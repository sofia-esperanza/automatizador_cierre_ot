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" sheetId="1" state="visible" r:id="rId1"/>
    <sheet name="17" sheetId="2" state="visible" r:id="rId2"/>
    <sheet name="20" sheetId="3" state="visible" r:id="rId3"/>
    <sheet name="21" sheetId="4" state="visible" r:id="rId4"/>
    <sheet name="22" sheetId="5" state="visible" r:id="rId5"/>
    <sheet name="SIGRPMO" sheetId="6" state="visible" r:id="rId6"/>
  </sheets>
  <definedNames>
    <definedName name="_xlnm._FilterDatabase" localSheetId="0" hidden="1">'16'!$A$1:$L$1</definedName>
    <definedName name="_xlnm._FilterDatabase" localSheetId="1" hidden="1">'17'!$A$1:$L$1</definedName>
    <definedName name="_xlnm._FilterDatabase" localSheetId="2" hidden="1">'20'!$A$1:$L$1</definedName>
    <definedName name="_xlnm._FilterDatabase" localSheetId="3" hidden="1">'21'!$A$1:$L$1</definedName>
    <definedName name="_xlnm._FilterDatabase" localSheetId="4" hidden="1">'22'!$A$1:$L$1</definedName>
    <definedName name="_xlnm._FilterDatabase" localSheetId="5" hidden="1">'SIGRPMO'!$A$1:$J$1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</font>
    <font>
      <b val="1"/>
      <color rgb="FF000000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297A76"/>
      </patternFill>
    </fill>
    <fill>
      <patternFill patternType="solid">
        <fgColor rgb="FF00B0AA"/>
      </patternFill>
    </fill>
    <fill>
      <patternFill patternType="solid">
        <fgColor rgb="FF666666"/>
      </patternFill>
    </fill>
    <fill>
      <patternFill patternType="solid">
        <fgColor rgb="FF9CE2DD"/>
      </patternFill>
    </fill>
    <fill>
      <patternFill patternType="solid">
        <fgColor rgb="FFB8B8B8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1" pivotButton="0" quotePrefix="0" xfId="0"/>
    <xf numFmtId="0" fontId="3" fillId="5" borderId="1" applyAlignment="1" pivotButton="0" quotePrefix="0" xfId="0">
      <alignment vertical="top" wrapText="1"/>
    </xf>
    <xf numFmtId="0" fontId="3" fillId="3" borderId="1" pivotButton="0" quotePrefix="0" xfId="0"/>
    <xf numFmtId="0" fontId="3" fillId="6" borderId="1" pivotButton="0" quotePrefix="0" xfId="0"/>
    <xf numFmtId="0" fontId="0" fillId="0" borderId="1" pivotButton="0" quotePrefix="0" xfId="0"/>
    <xf numFmtId="0" fontId="3" fillId="5" borderId="1" pivotButton="0" quotePrefix="0" xfId="0"/>
  </cellXfs>
  <cellStyles count="1">
    <cellStyle name="Normal" xfId="0" builtinId="0" hidden="0"/>
  </cellStyles>
  <dxfs count="1">
    <dxf>
      <font>
        <b val="1"/>
        <i val="1"/>
        <strike val="1"/>
      </font>
      <fill>
        <patternFill patternType="solid">
          <f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30" customWidth="1" min="3" max="3"/>
    <col width="16" customWidth="1" min="4" max="4"/>
    <col width="20" customWidth="1" min="5" max="5"/>
    <col width="14" customWidth="1" min="6" max="6"/>
    <col width="22" customWidth="1" min="7" max="7"/>
    <col width="14" customWidth="1" min="8" max="8"/>
    <col width="35" customWidth="1" min="9" max="9"/>
    <col width="80" customWidth="1" min="10" max="10"/>
    <col width="28" customWidth="1" min="11" max="11"/>
  </cols>
  <sheetData>
    <row r="1">
      <c r="A1" s="1" t="inlineStr">
        <is>
          <t>Referencia</t>
        </is>
      </c>
      <c r="B1" s="1" t="inlineStr">
        <is>
          <t>Descripción</t>
        </is>
      </c>
      <c r="C1" s="1" t="inlineStr">
        <is>
          <t>Descripción de tarea programada 2</t>
        </is>
      </c>
      <c r="D1" s="1" t="inlineStr">
        <is>
          <t>Fecha de inicio del plan</t>
        </is>
      </c>
      <c r="E1" s="1" t="inlineStr">
        <is>
          <t>Fecha de finalización planificada</t>
        </is>
      </c>
      <c r="F1" s="1" t="inlineStr">
        <is>
          <t>Grupo trab</t>
        </is>
      </c>
      <c r="G1" s="1" t="inlineStr">
        <is>
          <t>Observación</t>
        </is>
      </c>
      <c r="H1" s="2" t="inlineStr">
        <is>
          <t>CODIGO DE CIERRE</t>
        </is>
      </c>
      <c r="I1" s="1" t="inlineStr">
        <is>
          <t>Descripción, obs</t>
        </is>
      </c>
      <c r="J1" s="3" t="inlineStr">
        <is>
          <t>Descripción Descripción de tarea programada 2</t>
        </is>
      </c>
      <c r="K1" s="1" t="inlineStr">
        <is>
          <t>Comentario adiciona</t>
        </is>
      </c>
      <c r="L1" s="1" t="inlineStr">
        <is>
          <t>Matriz Terreno</t>
        </is>
      </c>
    </row>
    <row r="2">
      <c r="A2" s="4" t="inlineStr">
        <is>
          <t>03649003</t>
        </is>
      </c>
      <c r="B2" s="4" t="inlineStr">
        <is>
          <t>MED DE NIVELES FREATICOS</t>
        </is>
      </c>
      <c r="C2" s="4" t="inlineStr">
        <is>
          <t>RF-4 SAN NICOLAS</t>
        </is>
      </c>
      <c r="D2" s="4" t="inlineStr">
        <is>
          <t>2026-04-01</t>
        </is>
      </c>
      <c r="E2" s="4" t="inlineStr">
        <is>
          <t>2026-04-16</t>
        </is>
      </c>
      <c r="F2" s="4" t="inlineStr">
        <is>
          <t>SIGVA</t>
        </is>
      </c>
      <c r="G2" s="5">
        <f>IF(H2="TT","TRABAJO TERMINADO",IF(H2="MI","TRABAJO NO TERMINADO",""))</f>
        <v/>
      </c>
      <c r="H2" s="6" t="inlineStr"/>
      <c r="I2" s="7">
        <f>IF(B2="", G2, IF(G2="", LEFT(B2,45), IF(45-LEN(G2)-2&lt;=0, G2, LEFT(B2,45-LEN(G2)-2)&amp;", "&amp;G2)))</f>
        <v/>
      </c>
      <c r="J2" s="8">
        <f>IF(H2="MI","NO REALIZADO " &amp; B2 &amp; " EN " &amp; C2 &amp; IF(K2&lt;&gt;""," " &amp; K2,""),IF(H2="TT","SE REALIZA " &amp; B2 &amp; " EN " &amp; C2 &amp; IF(K2&lt;&gt;""," " &amp; K2,""),""))</f>
        <v/>
      </c>
      <c r="K2" s="4" t="n"/>
      <c r="L2" s="4" t="inlineStr">
        <is>
          <t>NF</t>
        </is>
      </c>
    </row>
    <row r="3">
      <c r="A3" s="4" t="inlineStr">
        <is>
          <t>03649004</t>
        </is>
      </c>
      <c r="B3" s="4" t="inlineStr">
        <is>
          <t>MM DE AGUAS SUBTERRÁNEAS</t>
        </is>
      </c>
      <c r="C3" s="4" t="inlineStr">
        <is>
          <t>RF-4 SAN NICOLAS</t>
        </is>
      </c>
      <c r="D3" s="4" t="inlineStr">
        <is>
          <t>2026-04-01</t>
        </is>
      </c>
      <c r="E3" s="4" t="inlineStr">
        <is>
          <t>2026-04-16</t>
        </is>
      </c>
      <c r="F3" s="4" t="inlineStr">
        <is>
          <t>SIGVA</t>
        </is>
      </c>
      <c r="G3" s="5">
        <f>IF(H3="TT","TRABAJO TERMINADO",IF(H3="MI","TRABAJO NO TERMINADO",""))</f>
        <v/>
      </c>
      <c r="H3" s="6" t="inlineStr"/>
      <c r="I3" s="7">
        <f>IF(B3="", G3, IF(G3="", LEFT(B3,45), IF(45-LEN(G3)-2&lt;=0, G3, LEFT(B3,45-LEN(G3)-2)&amp;", "&amp;G3)))</f>
        <v/>
      </c>
      <c r="J3" s="8">
        <f>IF(H3="MI","NO REALIZADO " &amp; B3 &amp; " EN " &amp; C3 &amp; IF(K3&lt;&gt;""," " &amp; K3,""),IF(H3="TT","SE REALIZA " &amp; B3 &amp; " EN " &amp; C3 &amp; IF(K3&lt;&gt;""," " &amp; K3,""),""))</f>
        <v/>
      </c>
      <c r="K3" s="4" t="n"/>
      <c r="L3" s="4" t="inlineStr">
        <is>
          <t>ASUB</t>
        </is>
      </c>
    </row>
    <row r="4">
      <c r="A4" s="4" t="inlineStr">
        <is>
          <t>03649057</t>
        </is>
      </c>
      <c r="B4" s="4" t="inlineStr">
        <is>
          <t>MEDICION DE NIVELES FREATICOS</t>
        </is>
      </c>
      <c r="C4" s="4" t="inlineStr">
        <is>
          <t>MAH-01 HUINQUINTIPA</t>
        </is>
      </c>
      <c r="D4" s="4" t="inlineStr">
        <is>
          <t>2026-04-01</t>
        </is>
      </c>
      <c r="E4" s="4" t="inlineStr">
        <is>
          <t>2026-04-16</t>
        </is>
      </c>
      <c r="F4" s="4" t="inlineStr">
        <is>
          <t>SIGVA</t>
        </is>
      </c>
      <c r="G4" s="5">
        <f>IF(H4="TT","TRABAJO TERMINADO",IF(H4="MI","TRABAJO NO TERMINADO",""))</f>
        <v/>
      </c>
      <c r="H4" s="6" t="inlineStr"/>
      <c r="I4" s="7">
        <f>IF(B4="", G4, IF(G4="", LEFT(B4,45), IF(45-LEN(G4)-2&lt;=0, G4, LEFT(B4,45-LEN(G4)-2)&amp;", "&amp;G4)))</f>
        <v/>
      </c>
      <c r="J4" s="8">
        <f>IF(H4="MI","NO REALIZADO " &amp; B4 &amp; " EN " &amp; C4 &amp; IF(K4&lt;&gt;""," " &amp; K4,""),IF(H4="TT","SE REALIZA " &amp; B4 &amp; " EN " &amp; C4 &amp; IF(K4&lt;&gt;""," " &amp; K4,""),""))</f>
        <v/>
      </c>
      <c r="K4" s="4" t="n"/>
      <c r="L4" s="4" t="inlineStr">
        <is>
          <t>NF</t>
        </is>
      </c>
    </row>
    <row r="5">
      <c r="A5" s="4" t="inlineStr">
        <is>
          <t>03649058</t>
        </is>
      </c>
      <c r="B5" s="4" t="inlineStr">
        <is>
          <t>MM DE AGUAS SUBTERRÁNEAS</t>
        </is>
      </c>
      <c r="C5" s="4" t="inlineStr">
        <is>
          <t>MAH-01 HUINQUINTIPA</t>
        </is>
      </c>
      <c r="D5" s="4" t="inlineStr">
        <is>
          <t>2026-04-01</t>
        </is>
      </c>
      <c r="E5" s="4" t="inlineStr">
        <is>
          <t>2026-04-16</t>
        </is>
      </c>
      <c r="F5" s="4" t="inlineStr">
        <is>
          <t>SIGVA</t>
        </is>
      </c>
      <c r="G5" s="5">
        <f>IF(H5="TT","TRABAJO TERMINADO",IF(H5="MI","TRABAJO NO TERMINADO",""))</f>
        <v/>
      </c>
      <c r="H5" s="6" t="inlineStr"/>
      <c r="I5" s="7">
        <f>IF(B5="", G5, IF(G5="", LEFT(B5,45), IF(45-LEN(G5)-2&lt;=0, G5, LEFT(B5,45-LEN(G5)-2)&amp;", "&amp;G5)))</f>
        <v/>
      </c>
      <c r="J5" s="8">
        <f>IF(H5="MI","NO REALIZADO " &amp; B5 &amp; " EN " &amp; C5 &amp; IF(K5&lt;&gt;""," " &amp; K5,""),IF(H5="TT","SE REALIZA " &amp; B5 &amp; " EN " &amp; C5 &amp; IF(K5&lt;&gt;""," " &amp; K5,""),""))</f>
        <v/>
      </c>
      <c r="K5" s="4" t="n"/>
      <c r="L5" s="4" t="inlineStr">
        <is>
          <t>ASUB</t>
        </is>
      </c>
    </row>
    <row r="6">
      <c r="A6" s="4" t="inlineStr">
        <is>
          <t>03649190</t>
        </is>
      </c>
      <c r="B6" s="4" t="inlineStr">
        <is>
          <t>MM DE AGUAS SUPERFICIALES</t>
        </is>
      </c>
      <c r="C6" s="4" t="inlineStr">
        <is>
          <t>QYA YABRICOYITA</t>
        </is>
      </c>
      <c r="D6" s="4" t="inlineStr">
        <is>
          <t>2026-04-01</t>
        </is>
      </c>
      <c r="E6" s="4" t="inlineStr">
        <is>
          <t>2026-04-16</t>
        </is>
      </c>
      <c r="F6" s="4" t="inlineStr">
        <is>
          <t>SIGVA</t>
        </is>
      </c>
      <c r="G6" s="5">
        <f>IF(H6="TT","TRABAJO TERMINADO",IF(H6="MI","TRABAJO NO TERMINADO",""))</f>
        <v/>
      </c>
      <c r="H6" s="6" t="inlineStr"/>
      <c r="I6" s="7">
        <f>IF(B6="", G6, IF(G6="", LEFT(B6,45), IF(45-LEN(G6)-2&lt;=0, G6, LEFT(B6,45-LEN(G6)-2)&amp;", "&amp;G6)))</f>
        <v/>
      </c>
      <c r="J6" s="8">
        <f>IF(H6="MI","NO REALIZADO " &amp; B6 &amp; " EN " &amp; C6 &amp; IF(K6&lt;&gt;""," " &amp; K6,""),IF(H6="TT","SE REALIZA " &amp; B6 &amp; " EN " &amp; C6 &amp; IF(K6&lt;&gt;""," " &amp; K6,""),""))</f>
        <v/>
      </c>
      <c r="K6" s="4" t="n"/>
      <c r="L6" s="4" t="inlineStr">
        <is>
          <t>ASUP</t>
        </is>
      </c>
    </row>
    <row r="7">
      <c r="A7" s="4" t="inlineStr">
        <is>
          <t>03649191</t>
        </is>
      </c>
      <c r="B7" s="4" t="inlineStr">
        <is>
          <t>MEDICION DE CAUDAL</t>
        </is>
      </c>
      <c r="C7" s="4" t="inlineStr">
        <is>
          <t>QYA YABRICOYITA</t>
        </is>
      </c>
      <c r="D7" s="4" t="inlineStr">
        <is>
          <t>2026-04-01</t>
        </is>
      </c>
      <c r="E7" s="4" t="inlineStr">
        <is>
          <t>2026-04-16</t>
        </is>
      </c>
      <c r="F7" s="4" t="inlineStr">
        <is>
          <t>SIGVA</t>
        </is>
      </c>
      <c r="G7" s="5">
        <f>IF(H7="TT","TRABAJO TERMINADO",IF(H7="MI","TRABAJO NO TERMINADO",""))</f>
        <v/>
      </c>
      <c r="H7" s="6" t="inlineStr"/>
      <c r="I7" s="7">
        <f>IF(B7="", G7, IF(G7="", LEFT(B7,45), IF(45-LEN(G7)-2&lt;=0, G7, LEFT(B7,45-LEN(G7)-2)&amp;", "&amp;G7)))</f>
        <v/>
      </c>
      <c r="J7" s="8">
        <f>IF(H7="MI","NO REALIZADO " &amp; B7 &amp; " EN " &amp; C7 &amp; IF(K7&lt;&gt;""," " &amp; K7,""),IF(H7="TT","SE REALIZA " &amp; B7 &amp; " EN " &amp; C7 &amp; IF(K7&lt;&gt;""," " &amp; K7,""),""))</f>
        <v/>
      </c>
      <c r="K7" s="4" t="n"/>
      <c r="L7" s="4" t="inlineStr">
        <is>
          <t>CAUDAL</t>
        </is>
      </c>
    </row>
    <row r="8">
      <c r="A8" s="4" t="inlineStr">
        <is>
          <t>03649194</t>
        </is>
      </c>
      <c r="B8" s="4" t="inlineStr">
        <is>
          <t>MEDICION DE NIVELES FREATICOS</t>
        </is>
      </c>
      <c r="C8" s="4" t="inlineStr">
        <is>
          <t>PUNTERA 1 (P-01)</t>
        </is>
      </c>
      <c r="D8" s="4" t="inlineStr">
        <is>
          <t>2026-04-01</t>
        </is>
      </c>
      <c r="E8" s="4" t="inlineStr">
        <is>
          <t>2026-04-16</t>
        </is>
      </c>
      <c r="F8" s="4" t="inlineStr">
        <is>
          <t>SIGVA</t>
        </is>
      </c>
      <c r="G8" s="5">
        <f>IF(H8="TT","TRABAJO TERMINADO",IF(H8="MI","TRABAJO NO TERMINADO",""))</f>
        <v/>
      </c>
      <c r="H8" s="6" t="inlineStr"/>
      <c r="I8" s="7">
        <f>IF(B8="", G8, IF(G8="", LEFT(B8,45), IF(45-LEN(G8)-2&lt;=0, G8, LEFT(B8,45-LEN(G8)-2)&amp;", "&amp;G8)))</f>
        <v/>
      </c>
      <c r="J8" s="8">
        <f>IF(H8="MI","NO REALIZADO " &amp; B8 &amp; " EN " &amp; C8 &amp; IF(K8&lt;&gt;""," " &amp; K8,""),IF(H8="TT","SE REALIZA " &amp; B8 &amp; " EN " &amp; C8 &amp; IF(K8&lt;&gt;""," " &amp; K8,""),""))</f>
        <v/>
      </c>
      <c r="K8" s="4" t="n"/>
      <c r="L8" s="4" t="inlineStr">
        <is>
          <t>NF</t>
        </is>
      </c>
    </row>
    <row r="9">
      <c r="A9" s="4" t="inlineStr">
        <is>
          <t>03649195</t>
        </is>
      </c>
      <c r="B9" s="4" t="inlineStr">
        <is>
          <t>MM DE AGUAS SUBTERRÁNEAS</t>
        </is>
      </c>
      <c r="C9" s="4" t="inlineStr">
        <is>
          <t>PUNTERA 1 (P-01)</t>
        </is>
      </c>
      <c r="D9" s="4" t="inlineStr">
        <is>
          <t>2026-04-01</t>
        </is>
      </c>
      <c r="E9" s="4" t="inlineStr">
        <is>
          <t>2026-04-16</t>
        </is>
      </c>
      <c r="F9" s="4" t="inlineStr">
        <is>
          <t>SIGVA</t>
        </is>
      </c>
      <c r="G9" s="5">
        <f>IF(H9="TT","TRABAJO TERMINADO",IF(H9="MI","TRABAJO NO TERMINADO",""))</f>
        <v/>
      </c>
      <c r="H9" s="6" t="inlineStr"/>
      <c r="I9" s="7">
        <f>IF(B9="", G9, IF(G9="", LEFT(B9,45), IF(45-LEN(G9)-2&lt;=0, G9, LEFT(B9,45-LEN(G9)-2)&amp;", "&amp;G9)))</f>
        <v/>
      </c>
      <c r="J9" s="8">
        <f>IF(H9="MI","NO REALIZADO " &amp; B9 &amp; " EN " &amp; C9 &amp; IF(K9&lt;&gt;""," " &amp; K9,""),IF(H9="TT","SE REALIZA " &amp; B9 &amp; " EN " &amp; C9 &amp; IF(K9&lt;&gt;""," " &amp; K9,""),""))</f>
        <v/>
      </c>
      <c r="K9" s="4" t="n"/>
      <c r="L9" s="4" t="inlineStr">
        <is>
          <t>ASUB</t>
        </is>
      </c>
    </row>
    <row r="10">
      <c r="A10" s="4" t="inlineStr">
        <is>
          <t>03649200</t>
        </is>
      </c>
      <c r="B10" s="4" t="inlineStr">
        <is>
          <t>MM DE AGUAS SUBTERRÁNEAS</t>
        </is>
      </c>
      <c r="C10" s="4" t="inlineStr">
        <is>
          <t>PUNTERA 2 SALLIHUINCA</t>
        </is>
      </c>
      <c r="D10" s="4" t="inlineStr">
        <is>
          <t>2026-04-01</t>
        </is>
      </c>
      <c r="E10" s="4" t="inlineStr">
        <is>
          <t>2026-04-16</t>
        </is>
      </c>
      <c r="F10" s="4" t="inlineStr">
        <is>
          <t>SIGVA</t>
        </is>
      </c>
      <c r="G10" s="5">
        <f>IF(H10="TT","TRABAJO TERMINADO",IF(H10="MI","TRABAJO NO TERMINADO",""))</f>
        <v/>
      </c>
      <c r="H10" s="6" t="inlineStr"/>
      <c r="I10" s="7">
        <f>IF(B10="", G10, IF(G10="", LEFT(B10,45), IF(45-LEN(G10)-2&lt;=0, G10, LEFT(B10,45-LEN(G10)-2)&amp;", "&amp;G10)))</f>
        <v/>
      </c>
      <c r="J10" s="8">
        <f>IF(H10="MI","NO REALIZADO " &amp; B10 &amp; " EN " &amp; C10 &amp; IF(K10&lt;&gt;""," " &amp; K10,""),IF(H10="TT","SE REALIZA " &amp; B10 &amp; " EN " &amp; C10 &amp; IF(K10&lt;&gt;""," " &amp; K10,""),""))</f>
        <v/>
      </c>
      <c r="K10" s="4" t="n"/>
      <c r="L10" s="4" t="inlineStr">
        <is>
          <t>ASUB</t>
        </is>
      </c>
    </row>
    <row r="11">
      <c r="A11" s="4" t="inlineStr">
        <is>
          <t>03649201</t>
        </is>
      </c>
      <c r="B11" s="4" t="inlineStr">
        <is>
          <t>MEDICIÓN NIVELES FREÁTICOS</t>
        </is>
      </c>
      <c r="C11" s="4" t="inlineStr">
        <is>
          <t>PUNTERA 2 SALLIHUINCA</t>
        </is>
      </c>
      <c r="D11" s="4" t="inlineStr">
        <is>
          <t>2026-04-01</t>
        </is>
      </c>
      <c r="E11" s="4" t="inlineStr">
        <is>
          <t>2026-04-16</t>
        </is>
      </c>
      <c r="F11" s="4" t="inlineStr">
        <is>
          <t>SIGVA</t>
        </is>
      </c>
      <c r="G11" s="5">
        <f>IF(H11="TT","TRABAJO TERMINADO",IF(H11="MI","TRABAJO NO TERMINADO",""))</f>
        <v/>
      </c>
      <c r="H11" s="6" t="inlineStr"/>
      <c r="I11" s="7">
        <f>IF(B11="", G11, IF(G11="", LEFT(B11,45), IF(45-LEN(G11)-2&lt;=0, G11, LEFT(B11,45-LEN(G11)-2)&amp;", "&amp;G11)))</f>
        <v/>
      </c>
      <c r="J11" s="8">
        <f>IF(H11="MI","NO REALIZADO " &amp; B11 &amp; " EN " &amp; C11 &amp; IF(K11&lt;&gt;""," " &amp; K11,""),IF(H11="TT","SE REALIZA " &amp; B11 &amp; " EN " &amp; C11 &amp; IF(K11&lt;&gt;""," " &amp; K11,""),""))</f>
        <v/>
      </c>
      <c r="K11" s="4" t="n"/>
      <c r="L11" s="4" t="inlineStr">
        <is>
          <t>NF</t>
        </is>
      </c>
    </row>
    <row r="12">
      <c r="A12" s="4" t="inlineStr">
        <is>
          <t>03649212</t>
        </is>
      </c>
      <c r="B12" s="4" t="inlineStr">
        <is>
          <t>MED DE NIVELES FREATICOS</t>
        </is>
      </c>
      <c r="C12" s="4" t="inlineStr">
        <is>
          <t>RF-1 YABRICOLLITA</t>
        </is>
      </c>
      <c r="D12" s="4" t="inlineStr">
        <is>
          <t>2026-04-01</t>
        </is>
      </c>
      <c r="E12" s="4" t="inlineStr">
        <is>
          <t>2026-04-16</t>
        </is>
      </c>
      <c r="F12" s="4" t="inlineStr">
        <is>
          <t>SIGVA</t>
        </is>
      </c>
      <c r="G12" s="5">
        <f>IF(H12="TT","TRABAJO TERMINADO",IF(H12="MI","TRABAJO NO TERMINADO",""))</f>
        <v/>
      </c>
      <c r="H12" s="6" t="inlineStr"/>
      <c r="I12" s="7">
        <f>IF(B12="", G12, IF(G12="", LEFT(B12,45), IF(45-LEN(G12)-2&lt;=0, G12, LEFT(B12,45-LEN(G12)-2)&amp;", "&amp;G12)))</f>
        <v/>
      </c>
      <c r="J12" s="8">
        <f>IF(H12="MI","NO REALIZADO " &amp; B12 &amp; " EN " &amp; C12 &amp; IF(K12&lt;&gt;""," " &amp; K12,""),IF(H12="TT","SE REALIZA " &amp; B12 &amp; " EN " &amp; C12 &amp; IF(K12&lt;&gt;""," " &amp; K12,""),""))</f>
        <v/>
      </c>
      <c r="K12" s="4" t="n"/>
      <c r="L12" s="4" t="inlineStr">
        <is>
          <t>NF</t>
        </is>
      </c>
    </row>
    <row r="13">
      <c r="A13" s="4" t="inlineStr">
        <is>
          <t>03649213</t>
        </is>
      </c>
      <c r="B13" s="4" t="inlineStr">
        <is>
          <t>MM DE AGUAS SUBTERRÁNEAS</t>
        </is>
      </c>
      <c r="C13" s="4" t="inlineStr">
        <is>
          <t>RF-1 YABRICOLLITA</t>
        </is>
      </c>
      <c r="D13" s="4" t="inlineStr">
        <is>
          <t>2026-04-01</t>
        </is>
      </c>
      <c r="E13" s="4" t="inlineStr">
        <is>
          <t>2026-04-16</t>
        </is>
      </c>
      <c r="F13" s="4" t="inlineStr">
        <is>
          <t>SIGVA</t>
        </is>
      </c>
      <c r="G13" s="5">
        <f>IF(H13="TT","TRABAJO TERMINADO",IF(H13="MI","TRABAJO NO TERMINADO",""))</f>
        <v/>
      </c>
      <c r="H13" s="6" t="inlineStr"/>
      <c r="I13" s="7">
        <f>IF(B13="", G13, IF(G13="", LEFT(B13,45), IF(45-LEN(G13)-2&lt;=0, G13, LEFT(B13,45-LEN(G13)-2)&amp;", "&amp;G13)))</f>
        <v/>
      </c>
      <c r="J13" s="8">
        <f>IF(H13="MI","NO REALIZADO " &amp; B13 &amp; " EN " &amp; C13 &amp; IF(K13&lt;&gt;""," " &amp; K13,""),IF(H13="TT","SE REALIZA " &amp; B13 &amp; " EN " &amp; C13 &amp; IF(K13&lt;&gt;""," " &amp; K13,""),""))</f>
        <v/>
      </c>
      <c r="K13" s="4" t="n"/>
      <c r="L13" s="4" t="inlineStr">
        <is>
          <t>ASUB</t>
        </is>
      </c>
    </row>
    <row r="14">
      <c r="A14" s="4" t="inlineStr">
        <is>
          <t>03649214</t>
        </is>
      </c>
      <c r="B14" s="4" t="inlineStr">
        <is>
          <t>MED DE NIVELES FREATICOS</t>
        </is>
      </c>
      <c r="C14" s="4" t="inlineStr">
        <is>
          <t>RF-2 SALLIHUINCA</t>
        </is>
      </c>
      <c r="D14" s="4" t="inlineStr">
        <is>
          <t>2026-04-01</t>
        </is>
      </c>
      <c r="E14" s="4" t="inlineStr">
        <is>
          <t>2026-04-16</t>
        </is>
      </c>
      <c r="F14" s="4" t="inlineStr">
        <is>
          <t>SIGVA</t>
        </is>
      </c>
      <c r="G14" s="5">
        <f>IF(H14="TT","TRABAJO TERMINADO",IF(H14="MI","TRABAJO NO TERMINADO",""))</f>
        <v/>
      </c>
      <c r="H14" s="6" t="inlineStr"/>
      <c r="I14" s="7">
        <f>IF(B14="", G14, IF(G14="", LEFT(B14,45), IF(45-LEN(G14)-2&lt;=0, G14, LEFT(B14,45-LEN(G14)-2)&amp;", "&amp;G14)))</f>
        <v/>
      </c>
      <c r="J14" s="8">
        <f>IF(H14="MI","NO REALIZADO " &amp; B14 &amp; " EN " &amp; C14 &amp; IF(K14&lt;&gt;""," " &amp; K14,""),IF(H14="TT","SE REALIZA " &amp; B14 &amp; " EN " &amp; C14 &amp; IF(K14&lt;&gt;""," " &amp; K14,""),""))</f>
        <v/>
      </c>
      <c r="K14" s="4" t="n"/>
      <c r="L14" s="4" t="inlineStr">
        <is>
          <t>NF</t>
        </is>
      </c>
    </row>
    <row r="15">
      <c r="A15" s="4" t="inlineStr">
        <is>
          <t>03649215</t>
        </is>
      </c>
      <c r="B15" s="4" t="inlineStr">
        <is>
          <t>MM DE AGUAS SUBTERRÁNEAS</t>
        </is>
      </c>
      <c r="C15" s="4" t="inlineStr">
        <is>
          <t>RF-2 SALLIHUINCA</t>
        </is>
      </c>
      <c r="D15" s="4" t="inlineStr">
        <is>
          <t>2026-04-01</t>
        </is>
      </c>
      <c r="E15" s="4" t="inlineStr">
        <is>
          <t>2026-04-16</t>
        </is>
      </c>
      <c r="F15" s="4" t="inlineStr">
        <is>
          <t>SIGVA</t>
        </is>
      </c>
      <c r="G15" s="5">
        <f>IF(H15="TT","TRABAJO TERMINADO",IF(H15="MI","TRABAJO NO TERMINADO",""))</f>
        <v/>
      </c>
      <c r="H15" s="6" t="inlineStr"/>
      <c r="I15" s="7">
        <f>IF(B15="", G15, IF(G15="", LEFT(B15,45), IF(45-LEN(G15)-2&lt;=0, G15, LEFT(B15,45-LEN(G15)-2)&amp;", "&amp;G15)))</f>
        <v/>
      </c>
      <c r="J15" s="8">
        <f>IF(H15="MI","NO REALIZADO " &amp; B15 &amp; " EN " &amp; C15 &amp; IF(K15&lt;&gt;""," " &amp; K15,""),IF(H15="TT","SE REALIZA " &amp; B15 &amp; " EN " &amp; C15 &amp; IF(K15&lt;&gt;""," " &amp; K15,""),""))</f>
        <v/>
      </c>
      <c r="K15" s="4" t="n"/>
      <c r="L15" s="4" t="inlineStr">
        <is>
          <t>ASUB</t>
        </is>
      </c>
    </row>
    <row r="16">
      <c r="A16" s="4" t="inlineStr">
        <is>
          <t>03649222</t>
        </is>
      </c>
      <c r="B16" s="4" t="inlineStr">
        <is>
          <t>MEDICION DE NIVELES FREATICOS</t>
        </is>
      </c>
      <c r="C16" s="4" t="inlineStr">
        <is>
          <t>RF-05 Chiclla</t>
        </is>
      </c>
      <c r="D16" s="4" t="inlineStr">
        <is>
          <t>2026-04-01</t>
        </is>
      </c>
      <c r="E16" s="4" t="inlineStr">
        <is>
          <t>2026-04-16</t>
        </is>
      </c>
      <c r="F16" s="4" t="inlineStr">
        <is>
          <t>SIGVA</t>
        </is>
      </c>
      <c r="G16" s="5">
        <f>IF(H16="TT","TRABAJO TERMINADO",IF(H16="MI","TRABAJO NO TERMINADO",""))</f>
        <v/>
      </c>
      <c r="H16" s="6" t="inlineStr"/>
      <c r="I16" s="7">
        <f>IF(B16="", G16, IF(G16="", LEFT(B16,45), IF(45-LEN(G16)-2&lt;=0, G16, LEFT(B16,45-LEN(G16)-2)&amp;", "&amp;G16)))</f>
        <v/>
      </c>
      <c r="J16" s="8">
        <f>IF(H16="MI","NO REALIZADO " &amp; B16 &amp; " EN " &amp; C16 &amp; IF(K16&lt;&gt;""," " &amp; K16,""),IF(H16="TT","SE REALIZA " &amp; B16 &amp; " EN " &amp; C16 &amp; IF(K16&lt;&gt;""," " &amp; K16,""),""))</f>
        <v/>
      </c>
      <c r="K16" s="4" t="n"/>
      <c r="L16" s="4" t="inlineStr">
        <is>
          <t>NF</t>
        </is>
      </c>
    </row>
    <row r="17">
      <c r="A17" s="4" t="inlineStr">
        <is>
          <t>03649223</t>
        </is>
      </c>
      <c r="B17" s="4" t="inlineStr">
        <is>
          <t>MM DE AGUAS SUBTERRÁNEAS</t>
        </is>
      </c>
      <c r="C17" s="4" t="inlineStr">
        <is>
          <t>RF-05 Chiclla</t>
        </is>
      </c>
      <c r="D17" s="4" t="inlineStr">
        <is>
          <t>2026-04-01</t>
        </is>
      </c>
      <c r="E17" s="4" t="inlineStr">
        <is>
          <t>2026-04-16</t>
        </is>
      </c>
      <c r="F17" s="4" t="inlineStr">
        <is>
          <t>SIGVA</t>
        </is>
      </c>
      <c r="G17" s="5">
        <f>IF(H17="TT","TRABAJO TERMINADO",IF(H17="MI","TRABAJO NO TERMINADO",""))</f>
        <v/>
      </c>
      <c r="H17" s="6" t="inlineStr"/>
      <c r="I17" s="7">
        <f>IF(B17="", G17, IF(G17="", LEFT(B17,45), IF(45-LEN(G17)-2&lt;=0, G17, LEFT(B17,45-LEN(G17)-2)&amp;", "&amp;G17)))</f>
        <v/>
      </c>
      <c r="J17" s="8">
        <f>IF(H17="MI","NO REALIZADO " &amp; B17 &amp; " EN " &amp; C17 &amp; IF(K17&lt;&gt;""," " &amp; K17,""),IF(H17="TT","SE REALIZA " &amp; B17 &amp; " EN " &amp; C17 &amp; IF(K17&lt;&gt;""," " &amp; K17,""),""))</f>
        <v/>
      </c>
      <c r="K17" s="4" t="n"/>
      <c r="L17" s="4" t="inlineStr">
        <is>
          <t>ASUB</t>
        </is>
      </c>
    </row>
  </sheetData>
  <autoFilter ref="A1:L1"/>
  <conditionalFormatting sqref="I2:I17">
    <cfRule type="expression" priority="1" dxfId="0">
      <formula>AND(I2&lt;&gt;"", LEN(I2)&gt;50)</formula>
    </cfRule>
  </conditionalFormatting>
  <dataValidations count="1">
    <dataValidation sqref="I1:I17" showDropDown="0" showInputMessage="0" showErrorMessage="0" allowBlank="0" type="textLength" operator="lessThanOrEqual">
      <formula1>45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30" customWidth="1" min="3" max="3"/>
    <col width="16" customWidth="1" min="4" max="4"/>
    <col width="20" customWidth="1" min="5" max="5"/>
    <col width="14" customWidth="1" min="6" max="6"/>
    <col width="22" customWidth="1" min="7" max="7"/>
    <col width="14" customWidth="1" min="8" max="8"/>
    <col width="35" customWidth="1" min="9" max="9"/>
    <col width="80" customWidth="1" min="10" max="10"/>
    <col width="28" customWidth="1" min="11" max="11"/>
  </cols>
  <sheetData>
    <row r="1">
      <c r="A1" s="1" t="inlineStr">
        <is>
          <t>Referencia</t>
        </is>
      </c>
      <c r="B1" s="1" t="inlineStr">
        <is>
          <t>Descripción</t>
        </is>
      </c>
      <c r="C1" s="1" t="inlineStr">
        <is>
          <t>Descripción de tarea programada 2</t>
        </is>
      </c>
      <c r="D1" s="1" t="inlineStr">
        <is>
          <t>Fecha de inicio del plan</t>
        </is>
      </c>
      <c r="E1" s="1" t="inlineStr">
        <is>
          <t>Fecha de finalización planificada</t>
        </is>
      </c>
      <c r="F1" s="1" t="inlineStr">
        <is>
          <t>Grupo trab</t>
        </is>
      </c>
      <c r="G1" s="1" t="inlineStr">
        <is>
          <t>Observación</t>
        </is>
      </c>
      <c r="H1" s="2" t="inlineStr">
        <is>
          <t>CODIGO DE CIERRE</t>
        </is>
      </c>
      <c r="I1" s="1" t="inlineStr">
        <is>
          <t>Descripción, obs</t>
        </is>
      </c>
      <c r="J1" s="3" t="inlineStr">
        <is>
          <t>Descripción Descripción de tarea programada 2</t>
        </is>
      </c>
      <c r="K1" s="1" t="inlineStr">
        <is>
          <t>Comentario adiciona</t>
        </is>
      </c>
      <c r="L1" s="1" t="inlineStr">
        <is>
          <t>Matriz Terreno</t>
        </is>
      </c>
    </row>
    <row r="2">
      <c r="A2" s="4" t="inlineStr">
        <is>
          <t>03649224</t>
        </is>
      </c>
      <c r="B2" s="4" t="inlineStr">
        <is>
          <t>MONITOREO DE BAÑOS Y CASINOS</t>
        </is>
      </c>
      <c r="C2" s="4" t="inlineStr">
        <is>
          <t>CGP PUERTO COLLAHUASI</t>
        </is>
      </c>
      <c r="D2" s="4" t="inlineStr">
        <is>
          <t>2026-04-04</t>
        </is>
      </c>
      <c r="E2" s="4" t="inlineStr">
        <is>
          <t>2026-04-17</t>
        </is>
      </c>
      <c r="F2" s="4" t="inlineStr">
        <is>
          <t>SIGVA</t>
        </is>
      </c>
      <c r="G2" s="5">
        <f>IF(H2="TT","TRABAJO TERMINADO",IF(H2="MI","TRABAJO NO TERMINADO",""))</f>
        <v/>
      </c>
      <c r="H2" s="6" t="inlineStr"/>
      <c r="I2" s="7">
        <f>IF(B2="", G2, IF(G2="", LEFT(B2,45), IF(45-LEN(G2)-2&lt;=0, G2, LEFT(B2,45-LEN(G2)-2)&amp;", "&amp;G2)))</f>
        <v/>
      </c>
      <c r="J2" s="8">
        <f>IF(H2="MI","NO REALIZADO " &amp; B2 &amp; " EN " &amp; C2 &amp; IF(K2&lt;&gt;""," " &amp; K2,""),IF(H2="TT","SE REALIZA " &amp; B2 &amp; " EN " &amp; C2 &amp; IF(K2&lt;&gt;""," " &amp; K2,""),""))</f>
        <v/>
      </c>
      <c r="K2" s="4" t="n"/>
      <c r="L2" s="4" t="inlineStr">
        <is>
          <t>AP</t>
        </is>
      </c>
    </row>
    <row r="3">
      <c r="A3" s="4" t="inlineStr">
        <is>
          <t>03677147</t>
        </is>
      </c>
      <c r="B3" s="4" t="inlineStr">
        <is>
          <t>MONITOREO DE BAÑOS Y CASINOS</t>
        </is>
      </c>
      <c r="C3" s="4" t="inlineStr">
        <is>
          <t>CPPCHE PUERTO COLLAHUASI</t>
        </is>
      </c>
      <c r="D3" s="4" t="inlineStr">
        <is>
          <t>2026-04-04</t>
        </is>
      </c>
      <c r="E3" s="4" t="inlineStr">
        <is>
          <t>2026-04-17</t>
        </is>
      </c>
      <c r="F3" s="4" t="inlineStr">
        <is>
          <t>SIGVA</t>
        </is>
      </c>
      <c r="G3" s="5">
        <f>IF(H3="TT","TRABAJO TERMINADO",IF(H3="MI","TRABAJO NO TERMINADO",""))</f>
        <v/>
      </c>
      <c r="H3" s="6" t="inlineStr"/>
      <c r="I3" s="7">
        <f>IF(B3="", G3, IF(G3="", LEFT(B3,45), IF(45-LEN(G3)-2&lt;=0, G3, LEFT(B3,45-LEN(G3)-2)&amp;", "&amp;G3)))</f>
        <v/>
      </c>
      <c r="J3" s="8">
        <f>IF(H3="MI","NO REALIZADO " &amp; B3 &amp; " EN " &amp; C3 &amp; IF(K3&lt;&gt;""," " &amp; K3,""),IF(H3="TT","SE REALIZA " &amp; B3 &amp; " EN " &amp; C3 &amp; IF(K3&lt;&gt;""," " &amp; K3,""),""))</f>
        <v/>
      </c>
      <c r="K3" s="4" t="n"/>
      <c r="L3" s="4" t="inlineStr">
        <is>
          <t>AP</t>
        </is>
      </c>
    </row>
    <row r="4">
      <c r="A4" s="4" t="inlineStr">
        <is>
          <t>03677148</t>
        </is>
      </c>
      <c r="B4" s="4" t="inlineStr">
        <is>
          <t>MM DE AGUAS SUPERFICIALES</t>
        </is>
      </c>
      <c r="C4" s="4" t="inlineStr">
        <is>
          <t>CGP PUERTO COLLAHUASI</t>
        </is>
      </c>
      <c r="D4" s="4" t="inlineStr">
        <is>
          <t>2026-04-04</t>
        </is>
      </c>
      <c r="E4" s="4" t="inlineStr">
        <is>
          <t>2026-04-17</t>
        </is>
      </c>
      <c r="F4" s="4" t="inlineStr">
        <is>
          <t>SIGVA</t>
        </is>
      </c>
      <c r="G4" s="5">
        <f>IF(H4="TT","TRABAJO TERMINADO",IF(H4="MI","TRABAJO NO TERMINADO",""))</f>
        <v/>
      </c>
      <c r="H4" s="6" t="inlineStr"/>
      <c r="I4" s="7">
        <f>IF(B4="", G4, IF(G4="", LEFT(B4,45), IF(45-LEN(G4)-2&lt;=0, G4, LEFT(B4,45-LEN(G4)-2)&amp;", "&amp;G4)))</f>
        <v/>
      </c>
      <c r="J4" s="8">
        <f>IF(H4="MI","NO REALIZADO " &amp; B4 &amp; " EN " &amp; C4 &amp; IF(K4&lt;&gt;""," " &amp; K4,""),IF(H4="TT","SE REALIZA " &amp; B4 &amp; " EN " &amp; C4 &amp; IF(K4&lt;&gt;""," " &amp; K4,""),""))</f>
        <v/>
      </c>
      <c r="K4" s="4" t="n"/>
      <c r="L4" s="4" t="inlineStr">
        <is>
          <t>ASUP</t>
        </is>
      </c>
    </row>
    <row r="5">
      <c r="A5" s="4" t="inlineStr">
        <is>
          <t>03677149</t>
        </is>
      </c>
      <c r="B5" s="4" t="inlineStr">
        <is>
          <t>MM DE AGUAS SUPERFICIALES</t>
        </is>
      </c>
      <c r="C5" s="4" t="inlineStr">
        <is>
          <t>CPPCHE PUERTO COLLAHUASI</t>
        </is>
      </c>
      <c r="D5" s="4" t="inlineStr">
        <is>
          <t>2026-04-04</t>
        </is>
      </c>
      <c r="E5" s="4" t="inlineStr">
        <is>
          <t>2026-04-17</t>
        </is>
      </c>
      <c r="F5" s="4" t="inlineStr">
        <is>
          <t>SIGVA</t>
        </is>
      </c>
      <c r="G5" s="5">
        <f>IF(H5="TT","TRABAJO TERMINADO",IF(H5="MI","TRABAJO NO TERMINADO",""))</f>
        <v/>
      </c>
      <c r="H5" s="6" t="inlineStr"/>
      <c r="I5" s="7">
        <f>IF(B5="", G5, IF(G5="", LEFT(B5,45), IF(45-LEN(G5)-2&lt;=0, G5, LEFT(B5,45-LEN(G5)-2)&amp;", "&amp;G5)))</f>
        <v/>
      </c>
      <c r="J5" s="8">
        <f>IF(H5="MI","NO REALIZADO " &amp; B5 &amp; " EN " &amp; C5 &amp; IF(K5&lt;&gt;""," " &amp; K5,""),IF(H5="TT","SE REALIZA " &amp; B5 &amp; " EN " &amp; C5 &amp; IF(K5&lt;&gt;""," " &amp; K5,""),""))</f>
        <v/>
      </c>
      <c r="K5" s="4" t="n"/>
      <c r="L5" s="4" t="inlineStr">
        <is>
          <t>ASUP</t>
        </is>
      </c>
    </row>
  </sheetData>
  <autoFilter ref="A1:L1"/>
  <conditionalFormatting sqref="I2:I5">
    <cfRule type="expression" priority="1" dxfId="0">
      <formula>AND(I2&lt;&gt;"", LEN(I2)&gt;50)</formula>
    </cfRule>
  </conditionalFormatting>
  <dataValidations count="1">
    <dataValidation sqref="I1:I5" showDropDown="0" showInputMessage="0" showErrorMessage="0" allowBlank="0" type="textLength" operator="lessThanOrEqual">
      <formula1>45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30" customWidth="1" min="3" max="3"/>
    <col width="16" customWidth="1" min="4" max="4"/>
    <col width="20" customWidth="1" min="5" max="5"/>
    <col width="14" customWidth="1" min="6" max="6"/>
    <col width="22" customWidth="1" min="7" max="7"/>
    <col width="14" customWidth="1" min="8" max="8"/>
    <col width="35" customWidth="1" min="9" max="9"/>
    <col width="80" customWidth="1" min="10" max="10"/>
    <col width="28" customWidth="1" min="11" max="11"/>
  </cols>
  <sheetData>
    <row r="1">
      <c r="A1" s="1" t="inlineStr">
        <is>
          <t>Referencia</t>
        </is>
      </c>
      <c r="B1" s="1" t="inlineStr">
        <is>
          <t>Descripción</t>
        </is>
      </c>
      <c r="C1" s="1" t="inlineStr">
        <is>
          <t>Descripción de tarea programada 2</t>
        </is>
      </c>
      <c r="D1" s="1" t="inlineStr">
        <is>
          <t>Fecha de inicio del plan</t>
        </is>
      </c>
      <c r="E1" s="1" t="inlineStr">
        <is>
          <t>Fecha de finalización planificada</t>
        </is>
      </c>
      <c r="F1" s="1" t="inlineStr">
        <is>
          <t>Grupo trab</t>
        </is>
      </c>
      <c r="G1" s="1" t="inlineStr">
        <is>
          <t>Observación</t>
        </is>
      </c>
      <c r="H1" s="2" t="inlineStr">
        <is>
          <t>CODIGO DE CIERRE</t>
        </is>
      </c>
      <c r="I1" s="1" t="inlineStr">
        <is>
          <t>Descripción, obs</t>
        </is>
      </c>
      <c r="J1" s="3" t="inlineStr">
        <is>
          <t>Descripción Descripción de tarea programada 2</t>
        </is>
      </c>
      <c r="K1" s="1" t="inlineStr">
        <is>
          <t>Comentario adiciona</t>
        </is>
      </c>
      <c r="L1" s="1" t="inlineStr">
        <is>
          <t>Matriz Terreno</t>
        </is>
      </c>
    </row>
    <row r="2">
      <c r="A2" s="4" t="inlineStr">
        <is>
          <t>03678603</t>
        </is>
      </c>
      <c r="B2" s="4" t="inlineStr">
        <is>
          <t>OP DE ESTACIONES CONTINUAS</t>
        </is>
      </c>
      <c r="C2" s="4" t="inlineStr">
        <is>
          <t>Estacion Calidad del aire Puerto</t>
        </is>
      </c>
      <c r="D2" s="4" t="inlineStr">
        <is>
          <t>2026-04-07</t>
        </is>
      </c>
      <c r="E2" s="4" t="inlineStr">
        <is>
          <t>2026-04-20</t>
        </is>
      </c>
      <c r="F2" s="4" t="inlineStr">
        <is>
          <t>SIGAIR</t>
        </is>
      </c>
      <c r="G2" s="5">
        <f>IF(H2="TT","TRABAJO TERMINADO",IF(H2="MI","TRABAJO NO TERMINADO",""))</f>
        <v/>
      </c>
      <c r="H2" s="6" t="inlineStr"/>
      <c r="I2" s="7">
        <f>IF(B2="", G2, IF(G2="", LEFT(B2,45), IF(45-LEN(G2)-2&lt;=0, G2, LEFT(B2,45-LEN(G2)-2)&amp;", "&amp;G2)))</f>
        <v/>
      </c>
      <c r="J2" s="8">
        <f>IF(H2="MI","NO REALIZADO " &amp; B2 &amp; " EN " &amp; C2 &amp; IF(K2&lt;&gt;""," " &amp; K2,""),IF(H2="TT","SE REALIZA " &amp; B2 &amp; " EN " &amp; C2 &amp; IF(K2&lt;&gt;""," " &amp; K2,""),""))</f>
        <v/>
      </c>
      <c r="K2" s="4" t="n"/>
      <c r="L2" s="4" t="inlineStr"/>
    </row>
    <row r="3">
      <c r="A3" s="4" t="inlineStr">
        <is>
          <t>03670809</t>
        </is>
      </c>
      <c r="B3" s="4" t="inlineStr">
        <is>
          <t>OP DE ESTACIONES CONTINUAS</t>
        </is>
      </c>
      <c r="C3" s="4" t="inlineStr"/>
      <c r="D3" s="4" t="inlineStr">
        <is>
          <t>2026-04-14</t>
        </is>
      </c>
      <c r="E3" s="4" t="inlineStr">
        <is>
          <t>2026-04-20</t>
        </is>
      </c>
      <c r="F3" s="4" t="inlineStr">
        <is>
          <t>SIGAIR</t>
        </is>
      </c>
      <c r="G3" s="5">
        <f>IF(H3="TT","TRABAJO TERMINADO",IF(H3="MI","TRABAJO NO TERMINADO",""))</f>
        <v/>
      </c>
      <c r="H3" s="6" t="inlineStr"/>
      <c r="I3" s="7">
        <f>IF(B3="", G3, IF(G3="", LEFT(B3,45), IF(45-LEN(G3)-2&lt;=0, G3, LEFT(B3,45-LEN(G3)-2)&amp;", "&amp;G3)))</f>
        <v/>
      </c>
      <c r="J3" s="8">
        <f>IF(H3="MI","NO REALIZADO " &amp; B3 &amp; " EN " &amp; C3 &amp; IF(K3&lt;&gt;""," " &amp; K3,""),IF(H3="TT","SE REALIZA " &amp; B3 &amp; " EN " &amp; C3 &amp; IF(K3&lt;&gt;""," " &amp; K3,""),""))</f>
        <v/>
      </c>
      <c r="K3" s="4" t="n"/>
      <c r="L3" s="4" t="inlineStr"/>
    </row>
    <row r="4">
      <c r="A4" s="4" t="inlineStr">
        <is>
          <t>03670810</t>
        </is>
      </c>
      <c r="B4" s="4" t="inlineStr">
        <is>
          <t>MANT DE ESTACIONES CONTINUAS</t>
        </is>
      </c>
      <c r="C4" s="4" t="inlineStr"/>
      <c r="D4" s="4" t="inlineStr">
        <is>
          <t>2026-04-14</t>
        </is>
      </c>
      <c r="E4" s="4" t="inlineStr">
        <is>
          <t>2026-04-20</t>
        </is>
      </c>
      <c r="F4" s="4" t="inlineStr">
        <is>
          <t>SIGAIR</t>
        </is>
      </c>
      <c r="G4" s="5">
        <f>IF(H4="TT","TRABAJO TERMINADO",IF(H4="MI","TRABAJO NO TERMINADO",""))</f>
        <v/>
      </c>
      <c r="H4" s="6" t="inlineStr"/>
      <c r="I4" s="7">
        <f>IF(B4="", G4, IF(G4="", LEFT(B4,45), IF(45-LEN(G4)-2&lt;=0, G4, LEFT(B4,45-LEN(G4)-2)&amp;", "&amp;G4)))</f>
        <v/>
      </c>
      <c r="J4" s="8">
        <f>IF(H4="MI","NO REALIZADO " &amp; B4 &amp; " EN " &amp; C4 &amp; IF(K4&lt;&gt;""," " &amp; K4,""),IF(H4="TT","SE REALIZA " &amp; B4 &amp; " EN " &amp; C4 &amp; IF(K4&lt;&gt;""," " &amp; K4,""),""))</f>
        <v/>
      </c>
      <c r="K4" s="4" t="n"/>
      <c r="L4" s="4" t="inlineStr"/>
    </row>
  </sheetData>
  <autoFilter ref="A1:L1"/>
  <conditionalFormatting sqref="I2:I4">
    <cfRule type="expression" priority="1" dxfId="0">
      <formula>AND(I2&lt;&gt;"", LEN(I2)&gt;50)</formula>
    </cfRule>
  </conditionalFormatting>
  <dataValidations count="1">
    <dataValidation sqref="I1:I4" showDropDown="0" showInputMessage="0" showErrorMessage="0" allowBlank="0" type="textLength" operator="lessThanOrEqual">
      <formula1>45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30" customWidth="1" min="3" max="3"/>
    <col width="16" customWidth="1" min="4" max="4"/>
    <col width="20" customWidth="1" min="5" max="5"/>
    <col width="14" customWidth="1" min="6" max="6"/>
    <col width="22" customWidth="1" min="7" max="7"/>
    <col width="14" customWidth="1" min="8" max="8"/>
    <col width="35" customWidth="1" min="9" max="9"/>
    <col width="80" customWidth="1" min="10" max="10"/>
    <col width="28" customWidth="1" min="11" max="11"/>
  </cols>
  <sheetData>
    <row r="1">
      <c r="A1" s="1" t="inlineStr">
        <is>
          <t>Referencia</t>
        </is>
      </c>
      <c r="B1" s="1" t="inlineStr">
        <is>
          <t>Descripción</t>
        </is>
      </c>
      <c r="C1" s="1" t="inlineStr">
        <is>
          <t>Descripción de tarea programada 2</t>
        </is>
      </c>
      <c r="D1" s="1" t="inlineStr">
        <is>
          <t>Fecha de inicio del plan</t>
        </is>
      </c>
      <c r="E1" s="1" t="inlineStr">
        <is>
          <t>Fecha de finalización planificada</t>
        </is>
      </c>
      <c r="F1" s="1" t="inlineStr">
        <is>
          <t>Grupo trab</t>
        </is>
      </c>
      <c r="G1" s="1" t="inlineStr">
        <is>
          <t>Observación</t>
        </is>
      </c>
      <c r="H1" s="2" t="inlineStr">
        <is>
          <t>CODIGO DE CIERRE</t>
        </is>
      </c>
      <c r="I1" s="1" t="inlineStr">
        <is>
          <t>Descripción, obs</t>
        </is>
      </c>
      <c r="J1" s="3" t="inlineStr">
        <is>
          <t>Descripción Descripción de tarea programada 2</t>
        </is>
      </c>
      <c r="K1" s="1" t="inlineStr">
        <is>
          <t>Comentario adiciona</t>
        </is>
      </c>
      <c r="L1" s="1" t="inlineStr">
        <is>
          <t>Matriz Terreno</t>
        </is>
      </c>
    </row>
    <row r="2">
      <c r="A2" s="4" t="inlineStr">
        <is>
          <t>03675515</t>
        </is>
      </c>
      <c r="B2" s="4" t="inlineStr">
        <is>
          <t>Op Estaciones Meteorologicas</t>
        </is>
      </c>
      <c r="C2" s="4" t="inlineStr"/>
      <c r="D2" s="4" t="inlineStr">
        <is>
          <t>2026-04-06</t>
        </is>
      </c>
      <c r="E2" s="4" t="inlineStr">
        <is>
          <t>2026-04-21</t>
        </is>
      </c>
      <c r="F2" s="4" t="inlineStr">
        <is>
          <t>SIGAIR</t>
        </is>
      </c>
      <c r="G2" s="5">
        <f>IF(H2="TT","TRABAJO TERMINADO",IF(H2="MI","TRABAJO NO TERMINADO",""))</f>
        <v/>
      </c>
      <c r="H2" s="6" t="inlineStr"/>
      <c r="I2" s="7">
        <f>IF(B2="", G2, IF(G2="", LEFT(B2,45), IF(45-LEN(G2)-2&lt;=0, G2, LEFT(B2,45-LEN(G2)-2)&amp;", "&amp;G2)))</f>
        <v/>
      </c>
      <c r="J2" s="8">
        <f>IF(H2="MI","NO REALIZADO " &amp; B2 &amp; " EN " &amp; C2 &amp; IF(K2&lt;&gt;""," " &amp; K2,""),IF(H2="TT","SE REALIZA " &amp; B2 &amp; " EN " &amp; C2 &amp; IF(K2&lt;&gt;""," " &amp; K2,""),""))</f>
        <v/>
      </c>
      <c r="K2" s="4" t="n"/>
      <c r="L2" s="4" t="inlineStr"/>
    </row>
    <row r="3">
      <c r="A3" s="4" t="inlineStr">
        <is>
          <t>03661667</t>
        </is>
      </c>
      <c r="B3" s="4" t="inlineStr">
        <is>
          <t>MEDICION DE NIVELES FREATICOS</t>
        </is>
      </c>
      <c r="C3" s="4" t="inlineStr">
        <is>
          <t>R-B-2 COPOSA NORTE</t>
        </is>
      </c>
      <c r="D3" s="4" t="inlineStr">
        <is>
          <t>2026-04-08</t>
        </is>
      </c>
      <c r="E3" s="4" t="inlineStr">
        <is>
          <t>2026-04-21</t>
        </is>
      </c>
      <c r="F3" s="4" t="inlineStr">
        <is>
          <t>SIGVA</t>
        </is>
      </c>
      <c r="G3" s="5">
        <f>IF(H3="TT","TRABAJO TERMINADO",IF(H3="MI","TRABAJO NO TERMINADO",""))</f>
        <v/>
      </c>
      <c r="H3" s="6" t="inlineStr"/>
      <c r="I3" s="7">
        <f>IF(B3="", G3, IF(G3="", LEFT(B3,45), IF(45-LEN(G3)-2&lt;=0, G3, LEFT(B3,45-LEN(G3)-2)&amp;", "&amp;G3)))</f>
        <v/>
      </c>
      <c r="J3" s="8">
        <f>IF(H3="MI","NO REALIZADO " &amp; B3 &amp; " EN " &amp; C3 &amp; IF(K3&lt;&gt;""," " &amp; K3,""),IF(H3="TT","SE REALIZA " &amp; B3 &amp; " EN " &amp; C3 &amp; IF(K3&lt;&gt;""," " &amp; K3,""),""))</f>
        <v/>
      </c>
      <c r="K3" s="4" t="n"/>
      <c r="L3" s="4" t="inlineStr">
        <is>
          <t>NF</t>
        </is>
      </c>
    </row>
    <row r="4">
      <c r="A4" s="4" t="inlineStr">
        <is>
          <t>03661668</t>
        </is>
      </c>
      <c r="B4" s="4" t="inlineStr">
        <is>
          <t>MED DE NIVELES FREATICOS</t>
        </is>
      </c>
      <c r="C4" s="4" t="inlineStr">
        <is>
          <t>R-C-1 COPOSA NORTE</t>
        </is>
      </c>
      <c r="D4" s="4" t="inlineStr">
        <is>
          <t>2026-04-08</t>
        </is>
      </c>
      <c r="E4" s="4" t="inlineStr">
        <is>
          <t>2026-04-21</t>
        </is>
      </c>
      <c r="F4" s="4" t="inlineStr">
        <is>
          <t>SIGVA</t>
        </is>
      </c>
      <c r="G4" s="5">
        <f>IF(H4="TT","TRABAJO TERMINADO",IF(H4="MI","TRABAJO NO TERMINADO",""))</f>
        <v/>
      </c>
      <c r="H4" s="6" t="inlineStr"/>
      <c r="I4" s="7">
        <f>IF(B4="", G4, IF(G4="", LEFT(B4,45), IF(45-LEN(G4)-2&lt;=0, G4, LEFT(B4,45-LEN(G4)-2)&amp;", "&amp;G4)))</f>
        <v/>
      </c>
      <c r="J4" s="8">
        <f>IF(H4="MI","NO REALIZADO " &amp; B4 &amp; " EN " &amp; C4 &amp; IF(K4&lt;&gt;""," " &amp; K4,""),IF(H4="TT","SE REALIZA " &amp; B4 &amp; " EN " &amp; C4 &amp; IF(K4&lt;&gt;""," " &amp; K4,""),""))</f>
        <v/>
      </c>
      <c r="K4" s="4" t="n"/>
      <c r="L4" s="4" t="inlineStr">
        <is>
          <t>NF</t>
        </is>
      </c>
    </row>
    <row r="5">
      <c r="A5" s="4" t="inlineStr">
        <is>
          <t>03661669</t>
        </is>
      </c>
      <c r="B5" s="4" t="inlineStr">
        <is>
          <t>MED DE NIVELES FREATICOS</t>
        </is>
      </c>
      <c r="C5" s="4" t="inlineStr">
        <is>
          <t>R-C-2 COPOSA NORTE</t>
        </is>
      </c>
      <c r="D5" s="4" t="inlineStr">
        <is>
          <t>2026-04-08</t>
        </is>
      </c>
      <c r="E5" s="4" t="inlineStr">
        <is>
          <t>2026-04-21</t>
        </is>
      </c>
      <c r="F5" s="4" t="inlineStr">
        <is>
          <t>SIGVA</t>
        </is>
      </c>
      <c r="G5" s="5">
        <f>IF(H5="TT","TRABAJO TERMINADO",IF(H5="MI","TRABAJO NO TERMINADO",""))</f>
        <v/>
      </c>
      <c r="H5" s="6" t="inlineStr"/>
      <c r="I5" s="7">
        <f>IF(B5="", G5, IF(G5="", LEFT(B5,45), IF(45-LEN(G5)-2&lt;=0, G5, LEFT(B5,45-LEN(G5)-2)&amp;", "&amp;G5)))</f>
        <v/>
      </c>
      <c r="J5" s="8">
        <f>IF(H5="MI","NO REALIZADO " &amp; B5 &amp; " EN " &amp; C5 &amp; IF(K5&lt;&gt;""," " &amp; K5,""),IF(H5="TT","SE REALIZA " &amp; B5 &amp; " EN " &amp; C5 &amp; IF(K5&lt;&gt;""," " &amp; K5,""),""))</f>
        <v/>
      </c>
      <c r="K5" s="4" t="n"/>
      <c r="L5" s="4" t="inlineStr">
        <is>
          <t>NF</t>
        </is>
      </c>
    </row>
    <row r="6">
      <c r="A6" s="4" t="inlineStr">
        <is>
          <t>03661670</t>
        </is>
      </c>
      <c r="B6" s="4" t="inlineStr">
        <is>
          <t>MED DE NIVELES FREATICOS</t>
        </is>
      </c>
      <c r="C6" s="4" t="inlineStr">
        <is>
          <t>R-C-3B  COPOSA NORTE</t>
        </is>
      </c>
      <c r="D6" s="4" t="inlineStr">
        <is>
          <t>2026-04-08</t>
        </is>
      </c>
      <c r="E6" s="4" t="inlineStr">
        <is>
          <t>2026-04-21</t>
        </is>
      </c>
      <c r="F6" s="4" t="inlineStr">
        <is>
          <t>SIGVA</t>
        </is>
      </c>
      <c r="G6" s="5">
        <f>IF(H6="TT","TRABAJO TERMINADO",IF(H6="MI","TRABAJO NO TERMINADO",""))</f>
        <v/>
      </c>
      <c r="H6" s="6" t="inlineStr"/>
      <c r="I6" s="7">
        <f>IF(B6="", G6, IF(G6="", LEFT(B6,45), IF(45-LEN(G6)-2&lt;=0, G6, LEFT(B6,45-LEN(G6)-2)&amp;", "&amp;G6)))</f>
        <v/>
      </c>
      <c r="J6" s="8">
        <f>IF(H6="MI","NO REALIZADO " &amp; B6 &amp; " EN " &amp; C6 &amp; IF(K6&lt;&gt;""," " &amp; K6,""),IF(H6="TT","SE REALIZA " &amp; B6 &amp; " EN " &amp; C6 &amp; IF(K6&lt;&gt;""," " &amp; K6,""),""))</f>
        <v/>
      </c>
      <c r="K6" s="4" t="n"/>
      <c r="L6" s="4" t="inlineStr">
        <is>
          <t>NF</t>
        </is>
      </c>
    </row>
    <row r="7">
      <c r="A7" s="4" t="inlineStr">
        <is>
          <t>03661671</t>
        </is>
      </c>
      <c r="B7" s="4" t="inlineStr">
        <is>
          <t>MED DE NIVELES FREATICOS</t>
        </is>
      </c>
      <c r="C7" s="4" t="inlineStr">
        <is>
          <t>R-PORT-1 PORTEZUELO</t>
        </is>
      </c>
      <c r="D7" s="4" t="inlineStr">
        <is>
          <t>2026-04-08</t>
        </is>
      </c>
      <c r="E7" s="4" t="inlineStr">
        <is>
          <t>2026-04-21</t>
        </is>
      </c>
      <c r="F7" s="4" t="inlineStr">
        <is>
          <t>SIGVA</t>
        </is>
      </c>
      <c r="G7" s="5">
        <f>IF(H7="TT","TRABAJO TERMINADO",IF(H7="MI","TRABAJO NO TERMINADO",""))</f>
        <v/>
      </c>
      <c r="H7" s="6" t="inlineStr"/>
      <c r="I7" s="7">
        <f>IF(B7="", G7, IF(G7="", LEFT(B7,45), IF(45-LEN(G7)-2&lt;=0, G7, LEFT(B7,45-LEN(G7)-2)&amp;", "&amp;G7)))</f>
        <v/>
      </c>
      <c r="J7" s="8">
        <f>IF(H7="MI","NO REALIZADO " &amp; B7 &amp; " EN " &amp; C7 &amp; IF(K7&lt;&gt;""," " &amp; K7,""),IF(H7="TT","SE REALIZA " &amp; B7 &amp; " EN " &amp; C7 &amp; IF(K7&lt;&gt;""," " &amp; K7,""),""))</f>
        <v/>
      </c>
      <c r="K7" s="4" t="n"/>
      <c r="L7" s="4" t="inlineStr">
        <is>
          <t>NF</t>
        </is>
      </c>
    </row>
    <row r="8">
      <c r="A8" s="4" t="inlineStr">
        <is>
          <t>03661672</t>
        </is>
      </c>
      <c r="B8" s="4" t="inlineStr">
        <is>
          <t>MM DE AGUAS SUBTERRÁNEAS</t>
        </is>
      </c>
      <c r="C8" s="4" t="inlineStr">
        <is>
          <t>PEP-04C PORTEZUELO</t>
        </is>
      </c>
      <c r="D8" s="4" t="inlineStr">
        <is>
          <t>2026-04-08</t>
        </is>
      </c>
      <c r="E8" s="4" t="inlineStr">
        <is>
          <t>2026-04-21</t>
        </is>
      </c>
      <c r="F8" s="4" t="inlineStr">
        <is>
          <t>SIGVA</t>
        </is>
      </c>
      <c r="G8" s="5">
        <f>IF(H8="TT","TRABAJO TERMINADO",IF(H8="MI","TRABAJO NO TERMINADO",""))</f>
        <v/>
      </c>
      <c r="H8" s="6" t="inlineStr"/>
      <c r="I8" s="7">
        <f>IF(B8="", G8, IF(G8="", LEFT(B8,45), IF(45-LEN(G8)-2&lt;=0, G8, LEFT(B8,45-LEN(G8)-2)&amp;", "&amp;G8)))</f>
        <v/>
      </c>
      <c r="J8" s="8">
        <f>IF(H8="MI","NO REALIZADO " &amp; B8 &amp; " EN " &amp; C8 &amp; IF(K8&lt;&gt;""," " &amp; K8,""),IF(H8="TT","SE REALIZA " &amp; B8 &amp; " EN " &amp; C8 &amp; IF(K8&lt;&gt;""," " &amp; K8,""),""))</f>
        <v/>
      </c>
      <c r="K8" s="4" t="n"/>
      <c r="L8" s="4" t="inlineStr">
        <is>
          <t>ASUB</t>
        </is>
      </c>
    </row>
    <row r="9">
      <c r="A9" s="4" t="inlineStr">
        <is>
          <t>03661673</t>
        </is>
      </c>
      <c r="B9" s="4" t="inlineStr">
        <is>
          <t>MED DE NIVELES FREATICOS</t>
        </is>
      </c>
      <c r="C9" s="4" t="inlineStr">
        <is>
          <t>PEP-04C PORTEZUELO</t>
        </is>
      </c>
      <c r="D9" s="4" t="inlineStr">
        <is>
          <t>2026-04-08</t>
        </is>
      </c>
      <c r="E9" s="4" t="inlineStr">
        <is>
          <t>2026-04-21</t>
        </is>
      </c>
      <c r="F9" s="4" t="inlineStr">
        <is>
          <t>SIGVA</t>
        </is>
      </c>
      <c r="G9" s="5">
        <f>IF(H9="TT","TRABAJO TERMINADO",IF(H9="MI","TRABAJO NO TERMINADO",""))</f>
        <v/>
      </c>
      <c r="H9" s="6" t="inlineStr"/>
      <c r="I9" s="7">
        <f>IF(B9="", G9, IF(G9="", LEFT(B9,45), IF(45-LEN(G9)-2&lt;=0, G9, LEFT(B9,45-LEN(G9)-2)&amp;", "&amp;G9)))</f>
        <v/>
      </c>
      <c r="J9" s="8">
        <f>IF(H9="MI","NO REALIZADO " &amp; B9 &amp; " EN " &amp; C9 &amp; IF(K9&lt;&gt;""," " &amp; K9,""),IF(H9="TT","SE REALIZA " &amp; B9 &amp; " EN " &amp; C9 &amp; IF(K9&lt;&gt;""," " &amp; K9,""),""))</f>
        <v/>
      </c>
      <c r="K9" s="4" t="n"/>
      <c r="L9" s="4" t="inlineStr">
        <is>
          <t>NF</t>
        </is>
      </c>
    </row>
    <row r="10">
      <c r="A10" s="4" t="inlineStr">
        <is>
          <t>03661674</t>
        </is>
      </c>
      <c r="B10" s="4" t="inlineStr">
        <is>
          <t>MM DE AGUAS SUBTERRÁNEAS</t>
        </is>
      </c>
      <c r="C10" s="4" t="inlineStr">
        <is>
          <t>PEP-03 PORTEZUELO</t>
        </is>
      </c>
      <c r="D10" s="4" t="inlineStr">
        <is>
          <t>2026-04-08</t>
        </is>
      </c>
      <c r="E10" s="4" t="inlineStr">
        <is>
          <t>2026-04-21</t>
        </is>
      </c>
      <c r="F10" s="4" t="inlineStr">
        <is>
          <t>SIGVA</t>
        </is>
      </c>
      <c r="G10" s="5">
        <f>IF(H10="TT","TRABAJO TERMINADO",IF(H10="MI","TRABAJO NO TERMINADO",""))</f>
        <v/>
      </c>
      <c r="H10" s="6" t="inlineStr"/>
      <c r="I10" s="7">
        <f>IF(B10="", G10, IF(G10="", LEFT(B10,45), IF(45-LEN(G10)-2&lt;=0, G10, LEFT(B10,45-LEN(G10)-2)&amp;", "&amp;G10)))</f>
        <v/>
      </c>
      <c r="J10" s="8">
        <f>IF(H10="MI","NO REALIZADO " &amp; B10 &amp; " EN " &amp; C10 &amp; IF(K10&lt;&gt;""," " &amp; K10,""),IF(H10="TT","SE REALIZA " &amp; B10 &amp; " EN " &amp; C10 &amp; IF(K10&lt;&gt;""," " &amp; K10,""),""))</f>
        <v/>
      </c>
      <c r="K10" s="4" t="n"/>
      <c r="L10" s="4" t="inlineStr">
        <is>
          <t>ASUB</t>
        </is>
      </c>
    </row>
    <row r="11">
      <c r="A11" s="4" t="inlineStr">
        <is>
          <t>03661675</t>
        </is>
      </c>
      <c r="B11" s="4" t="inlineStr">
        <is>
          <t>MED DE NIVELES FREATICOS</t>
        </is>
      </c>
      <c r="C11" s="4" t="inlineStr">
        <is>
          <t>PEP-03 PORTEZUELO</t>
        </is>
      </c>
      <c r="D11" s="4" t="inlineStr">
        <is>
          <t>2026-04-08</t>
        </is>
      </c>
      <c r="E11" s="4" t="inlineStr">
        <is>
          <t>2026-04-21</t>
        </is>
      </c>
      <c r="F11" s="4" t="inlineStr">
        <is>
          <t>SIGVA</t>
        </is>
      </c>
      <c r="G11" s="5">
        <f>IF(H11="TT","TRABAJO TERMINADO",IF(H11="MI","TRABAJO NO TERMINADO",""))</f>
        <v/>
      </c>
      <c r="H11" s="6" t="inlineStr"/>
      <c r="I11" s="7">
        <f>IF(B11="", G11, IF(G11="", LEFT(B11,45), IF(45-LEN(G11)-2&lt;=0, G11, LEFT(B11,45-LEN(G11)-2)&amp;", "&amp;G11)))</f>
        <v/>
      </c>
      <c r="J11" s="8">
        <f>IF(H11="MI","NO REALIZADO " &amp; B11 &amp; " EN " &amp; C11 &amp; IF(K11&lt;&gt;""," " &amp; K11,""),IF(H11="TT","SE REALIZA " &amp; B11 &amp; " EN " &amp; C11 &amp; IF(K11&lt;&gt;""," " &amp; K11,""),""))</f>
        <v/>
      </c>
      <c r="K11" s="4" t="n"/>
      <c r="L11" s="4" t="inlineStr">
        <is>
          <t>NF</t>
        </is>
      </c>
    </row>
    <row r="12">
      <c r="A12" s="4" t="inlineStr">
        <is>
          <t>03661743</t>
        </is>
      </c>
      <c r="B12" s="4" t="inlineStr">
        <is>
          <t>MED DE NIVELES FREATICOS</t>
        </is>
      </c>
      <c r="C12" s="4" t="inlineStr">
        <is>
          <t>CWE-25 (2) COPOSA NORTE</t>
        </is>
      </c>
      <c r="D12" s="4" t="inlineStr">
        <is>
          <t>2026-04-08</t>
        </is>
      </c>
      <c r="E12" s="4" t="inlineStr">
        <is>
          <t>2026-04-21</t>
        </is>
      </c>
      <c r="F12" s="4" t="inlineStr">
        <is>
          <t>SIGVA</t>
        </is>
      </c>
      <c r="G12" s="5">
        <f>IF(H12="TT","TRABAJO TERMINADO",IF(H12="MI","TRABAJO NO TERMINADO",""))</f>
        <v/>
      </c>
      <c r="H12" s="6" t="inlineStr"/>
      <c r="I12" s="7">
        <f>IF(B12="", G12, IF(G12="", LEFT(B12,45), IF(45-LEN(G12)-2&lt;=0, G12, LEFT(B12,45-LEN(G12)-2)&amp;", "&amp;G12)))</f>
        <v/>
      </c>
      <c r="J12" s="8">
        <f>IF(H12="MI","NO REALIZADO " &amp; B12 &amp; " EN " &amp; C12 &amp; IF(K12&lt;&gt;""," " &amp; K12,""),IF(H12="TT","SE REALIZA " &amp; B12 &amp; " EN " &amp; C12 &amp; IF(K12&lt;&gt;""," " &amp; K12,""),""))</f>
        <v/>
      </c>
      <c r="K12" s="4" t="n"/>
      <c r="L12" s="4" t="inlineStr">
        <is>
          <t>NF</t>
        </is>
      </c>
    </row>
    <row r="13">
      <c r="A13" s="4" t="inlineStr">
        <is>
          <t>03661744</t>
        </is>
      </c>
      <c r="B13" s="4" t="inlineStr">
        <is>
          <t>MED DE NIVELES FREATICOS</t>
        </is>
      </c>
      <c r="C13" s="4" t="inlineStr">
        <is>
          <t>CWE-25 (3) COPOSA NORTE</t>
        </is>
      </c>
      <c r="D13" s="4" t="inlineStr">
        <is>
          <t>2026-04-08</t>
        </is>
      </c>
      <c r="E13" s="4" t="inlineStr">
        <is>
          <t>2026-04-21</t>
        </is>
      </c>
      <c r="F13" s="4" t="inlineStr">
        <is>
          <t>SIGVA</t>
        </is>
      </c>
      <c r="G13" s="5">
        <f>IF(H13="TT","TRABAJO TERMINADO",IF(H13="MI","TRABAJO NO TERMINADO",""))</f>
        <v/>
      </c>
      <c r="H13" s="6" t="inlineStr"/>
      <c r="I13" s="7">
        <f>IF(B13="", G13, IF(G13="", LEFT(B13,45), IF(45-LEN(G13)-2&lt;=0, G13, LEFT(B13,45-LEN(G13)-2)&amp;", "&amp;G13)))</f>
        <v/>
      </c>
      <c r="J13" s="8">
        <f>IF(H13="MI","NO REALIZADO " &amp; B13 &amp; " EN " &amp; C13 &amp; IF(K13&lt;&gt;""," " &amp; K13,""),IF(H13="TT","SE REALIZA " &amp; B13 &amp; " EN " &amp; C13 &amp; IF(K13&lt;&gt;""," " &amp; K13,""),""))</f>
        <v/>
      </c>
      <c r="K13" s="4" t="n"/>
      <c r="L13" s="4" t="inlineStr">
        <is>
          <t>NF</t>
        </is>
      </c>
    </row>
    <row r="14">
      <c r="A14" s="4" t="inlineStr">
        <is>
          <t>03661754</t>
        </is>
      </c>
      <c r="B14" s="4" t="inlineStr">
        <is>
          <t>MED DE NIVELES FREATICOS</t>
        </is>
      </c>
      <c r="C14" s="4" t="inlineStr">
        <is>
          <t>CWE-07 COPOSA SUR</t>
        </is>
      </c>
      <c r="D14" s="4" t="inlineStr">
        <is>
          <t>2026-04-08</t>
        </is>
      </c>
      <c r="E14" s="4" t="inlineStr">
        <is>
          <t>2026-04-21</t>
        </is>
      </c>
      <c r="F14" s="4" t="inlineStr">
        <is>
          <t>SIGVA</t>
        </is>
      </c>
      <c r="G14" s="5">
        <f>IF(H14="TT","TRABAJO TERMINADO",IF(H14="MI","TRABAJO NO TERMINADO",""))</f>
        <v/>
      </c>
      <c r="H14" s="6" t="inlineStr"/>
      <c r="I14" s="7">
        <f>IF(B14="", G14, IF(G14="", LEFT(B14,45), IF(45-LEN(G14)-2&lt;=0, G14, LEFT(B14,45-LEN(G14)-2)&amp;", "&amp;G14)))</f>
        <v/>
      </c>
      <c r="J14" s="8">
        <f>IF(H14="MI","NO REALIZADO " &amp; B14 &amp; " EN " &amp; C14 &amp; IF(K14&lt;&gt;""," " &amp; K14,""),IF(H14="TT","SE REALIZA " &amp; B14 &amp; " EN " &amp; C14 &amp; IF(K14&lt;&gt;""," " &amp; K14,""),""))</f>
        <v/>
      </c>
      <c r="K14" s="4" t="n"/>
      <c r="L14" s="4" t="inlineStr">
        <is>
          <t>NF</t>
        </is>
      </c>
    </row>
    <row r="15">
      <c r="A15" s="4" t="inlineStr">
        <is>
          <t>03661779</t>
        </is>
      </c>
      <c r="B15" s="4" t="inlineStr">
        <is>
          <t>MED DE NIVELES FREATICOS</t>
        </is>
      </c>
      <c r="C15" s="4" t="inlineStr">
        <is>
          <t>PEC-02 PORTEZUELO</t>
        </is>
      </c>
      <c r="D15" s="4" t="inlineStr">
        <is>
          <t>2026-04-08</t>
        </is>
      </c>
      <c r="E15" s="4" t="inlineStr">
        <is>
          <t>2026-04-21</t>
        </is>
      </c>
      <c r="F15" s="4" t="inlineStr">
        <is>
          <t>SIGVA</t>
        </is>
      </c>
      <c r="G15" s="5">
        <f>IF(H15="TT","TRABAJO TERMINADO",IF(H15="MI","TRABAJO NO TERMINADO",""))</f>
        <v/>
      </c>
      <c r="H15" s="6" t="inlineStr"/>
      <c r="I15" s="7">
        <f>IF(B15="", G15, IF(G15="", LEFT(B15,45), IF(45-LEN(G15)-2&lt;=0, G15, LEFT(B15,45-LEN(G15)-2)&amp;", "&amp;G15)))</f>
        <v/>
      </c>
      <c r="J15" s="8">
        <f>IF(H15="MI","NO REALIZADO " &amp; B15 &amp; " EN " &amp; C15 &amp; IF(K15&lt;&gt;""," " &amp; K15,""),IF(H15="TT","SE REALIZA " &amp; B15 &amp; " EN " &amp; C15 &amp; IF(K15&lt;&gt;""," " &amp; K15,""),""))</f>
        <v/>
      </c>
      <c r="K15" s="4" t="n"/>
      <c r="L15" s="4" t="inlineStr">
        <is>
          <t>NF</t>
        </is>
      </c>
    </row>
    <row r="16">
      <c r="A16" s="4" t="inlineStr">
        <is>
          <t>03661780</t>
        </is>
      </c>
      <c r="B16" s="4" t="inlineStr">
        <is>
          <t>MED DE NIVELES FREATICOS</t>
        </is>
      </c>
      <c r="C16" s="4" t="inlineStr">
        <is>
          <t>PEP-02  PORTEZUELO</t>
        </is>
      </c>
      <c r="D16" s="4" t="inlineStr">
        <is>
          <t>2026-04-08</t>
        </is>
      </c>
      <c r="E16" s="4" t="inlineStr">
        <is>
          <t>2026-04-21</t>
        </is>
      </c>
      <c r="F16" s="4" t="inlineStr">
        <is>
          <t>SIGVA</t>
        </is>
      </c>
      <c r="G16" s="5">
        <f>IF(H16="TT","TRABAJO TERMINADO",IF(H16="MI","TRABAJO NO TERMINADO",""))</f>
        <v/>
      </c>
      <c r="H16" s="6" t="inlineStr"/>
      <c r="I16" s="7">
        <f>IF(B16="", G16, IF(G16="", LEFT(B16,45), IF(45-LEN(G16)-2&lt;=0, G16, LEFT(B16,45-LEN(G16)-2)&amp;", "&amp;G16)))</f>
        <v/>
      </c>
      <c r="J16" s="8">
        <f>IF(H16="MI","NO REALIZADO " &amp; B16 &amp; " EN " &amp; C16 &amp; IF(K16&lt;&gt;""," " &amp; K16,""),IF(H16="TT","SE REALIZA " &amp; B16 &amp; " EN " &amp; C16 &amp; IF(K16&lt;&gt;""," " &amp; K16,""),""))</f>
        <v/>
      </c>
      <c r="K16" s="4" t="n"/>
      <c r="L16" s="4" t="inlineStr">
        <is>
          <t>NF</t>
        </is>
      </c>
    </row>
    <row r="17">
      <c r="A17" s="4" t="inlineStr">
        <is>
          <t>03661783</t>
        </is>
      </c>
      <c r="B17" s="4" t="inlineStr">
        <is>
          <t>MED DE NIVELES FREATICOS</t>
        </is>
      </c>
      <c r="C17" s="4" t="inlineStr">
        <is>
          <t>PPC-01A COPOSA NORTE</t>
        </is>
      </c>
      <c r="D17" s="4" t="inlineStr">
        <is>
          <t>2026-04-08</t>
        </is>
      </c>
      <c r="E17" s="4" t="inlineStr">
        <is>
          <t>2026-04-21</t>
        </is>
      </c>
      <c r="F17" s="4" t="inlineStr">
        <is>
          <t>SIGVA</t>
        </is>
      </c>
      <c r="G17" s="5">
        <f>IF(H17="TT","TRABAJO TERMINADO",IF(H17="MI","TRABAJO NO TERMINADO",""))</f>
        <v/>
      </c>
      <c r="H17" s="6" t="inlineStr"/>
      <c r="I17" s="7">
        <f>IF(B17="", G17, IF(G17="", LEFT(B17,45), IF(45-LEN(G17)-2&lt;=0, G17, LEFT(B17,45-LEN(G17)-2)&amp;", "&amp;G17)))</f>
        <v/>
      </c>
      <c r="J17" s="8">
        <f>IF(H17="MI","NO REALIZADO " &amp; B17 &amp; " EN " &amp; C17 &amp; IF(K17&lt;&gt;""," " &amp; K17,""),IF(H17="TT","SE REALIZA " &amp; B17 &amp; " EN " &amp; C17 &amp; IF(K17&lt;&gt;""," " &amp; K17,""),""))</f>
        <v/>
      </c>
      <c r="K17" s="4" t="n"/>
      <c r="L17" s="4" t="inlineStr">
        <is>
          <t>NF</t>
        </is>
      </c>
    </row>
    <row r="18">
      <c r="A18" s="4" t="inlineStr">
        <is>
          <t>03661784</t>
        </is>
      </c>
      <c r="B18" s="4" t="inlineStr">
        <is>
          <t>MED DE NIVELES FREATICOS</t>
        </is>
      </c>
      <c r="C18" s="4" t="inlineStr">
        <is>
          <t>PPC-02 COPOSA NORTE</t>
        </is>
      </c>
      <c r="D18" s="4" t="inlineStr">
        <is>
          <t>2026-04-08</t>
        </is>
      </c>
      <c r="E18" s="4" t="inlineStr">
        <is>
          <t>2026-04-21</t>
        </is>
      </c>
      <c r="F18" s="4" t="inlineStr">
        <is>
          <t>SIGVA</t>
        </is>
      </c>
      <c r="G18" s="5">
        <f>IF(H18="TT","TRABAJO TERMINADO",IF(H18="MI","TRABAJO NO TERMINADO",""))</f>
        <v/>
      </c>
      <c r="H18" s="6" t="inlineStr"/>
      <c r="I18" s="7">
        <f>IF(B18="", G18, IF(G18="", LEFT(B18,45), IF(45-LEN(G18)-2&lt;=0, G18, LEFT(B18,45-LEN(G18)-2)&amp;", "&amp;G18)))</f>
        <v/>
      </c>
      <c r="J18" s="8">
        <f>IF(H18="MI","NO REALIZADO " &amp; B18 &amp; " EN " &amp; C18 &amp; IF(K18&lt;&gt;""," " &amp; K18,""),IF(H18="TT","SE REALIZA " &amp; B18 &amp; " EN " &amp; C18 &amp; IF(K18&lt;&gt;""," " &amp; K18,""),""))</f>
        <v/>
      </c>
      <c r="K18" s="4" t="n"/>
      <c r="L18" s="4" t="inlineStr">
        <is>
          <t>NF</t>
        </is>
      </c>
    </row>
    <row r="19">
      <c r="A19" s="4" t="inlineStr">
        <is>
          <t>03661785</t>
        </is>
      </c>
      <c r="B19" s="4" t="inlineStr">
        <is>
          <t>MED DE NIVELES FREATICOS</t>
        </is>
      </c>
      <c r="C19" s="4" t="inlineStr">
        <is>
          <t>PPC-07 COPOSA NORTE</t>
        </is>
      </c>
      <c r="D19" s="4" t="inlineStr">
        <is>
          <t>2026-04-08</t>
        </is>
      </c>
      <c r="E19" s="4" t="inlineStr">
        <is>
          <t>2026-04-21</t>
        </is>
      </c>
      <c r="F19" s="4" t="inlineStr">
        <is>
          <t>SIGVA</t>
        </is>
      </c>
      <c r="G19" s="5">
        <f>IF(H19="TT","TRABAJO TERMINADO",IF(H19="MI","TRABAJO NO TERMINADO",""))</f>
        <v/>
      </c>
      <c r="H19" s="6" t="inlineStr"/>
      <c r="I19" s="7">
        <f>IF(B19="", G19, IF(G19="", LEFT(B19,45), IF(45-LEN(G19)-2&lt;=0, G19, LEFT(B19,45-LEN(G19)-2)&amp;", "&amp;G19)))</f>
        <v/>
      </c>
      <c r="J19" s="8">
        <f>IF(H19="MI","NO REALIZADO " &amp; B19 &amp; " EN " &amp; C19 &amp; IF(K19&lt;&gt;""," " &amp; K19,""),IF(H19="TT","SE REALIZA " &amp; B19 &amp; " EN " &amp; C19 &amp; IF(K19&lt;&gt;""," " &amp; K19,""),""))</f>
        <v/>
      </c>
      <c r="K19" s="4" t="n"/>
      <c r="L19" s="4" t="inlineStr">
        <is>
          <t>NF</t>
        </is>
      </c>
    </row>
    <row r="20">
      <c r="A20" s="4" t="inlineStr">
        <is>
          <t>03661786</t>
        </is>
      </c>
      <c r="B20" s="4" t="inlineStr">
        <is>
          <t>MED DE NIVELES FREATICOS</t>
        </is>
      </c>
      <c r="C20" s="4" t="inlineStr">
        <is>
          <t>PPC-09 COPOSA NORTE</t>
        </is>
      </c>
      <c r="D20" s="4" t="inlineStr">
        <is>
          <t>2026-04-08</t>
        </is>
      </c>
      <c r="E20" s="4" t="inlineStr">
        <is>
          <t>2026-04-21</t>
        </is>
      </c>
      <c r="F20" s="4" t="inlineStr">
        <is>
          <t>SIGVA</t>
        </is>
      </c>
      <c r="G20" s="5">
        <f>IF(H20="TT","TRABAJO TERMINADO",IF(H20="MI","TRABAJO NO TERMINADO",""))</f>
        <v/>
      </c>
      <c r="H20" s="6" t="inlineStr"/>
      <c r="I20" s="7">
        <f>IF(B20="", G20, IF(G20="", LEFT(B20,45), IF(45-LEN(G20)-2&lt;=0, G20, LEFT(B20,45-LEN(G20)-2)&amp;", "&amp;G20)))</f>
        <v/>
      </c>
      <c r="J20" s="8">
        <f>IF(H20="MI","NO REALIZADO " &amp; B20 &amp; " EN " &amp; C20 &amp; IF(K20&lt;&gt;""," " &amp; K20,""),IF(H20="TT","SE REALIZA " &amp; B20 &amp; " EN " &amp; C20 &amp; IF(K20&lt;&gt;""," " &amp; K20,""),""))</f>
        <v/>
      </c>
      <c r="K20" s="4" t="n"/>
      <c r="L20" s="4" t="inlineStr">
        <is>
          <t>NF</t>
        </is>
      </c>
    </row>
    <row r="21">
      <c r="A21" s="4" t="inlineStr">
        <is>
          <t>03661787</t>
        </is>
      </c>
      <c r="B21" s="4" t="inlineStr">
        <is>
          <t>MED DE NIVELES FREATICOS</t>
        </is>
      </c>
      <c r="C21" s="4" t="inlineStr">
        <is>
          <t>PPC-10 COPOSA NORTE</t>
        </is>
      </c>
      <c r="D21" s="4" t="inlineStr">
        <is>
          <t>2026-04-08</t>
        </is>
      </c>
      <c r="E21" s="4" t="inlineStr">
        <is>
          <t>2026-04-21</t>
        </is>
      </c>
      <c r="F21" s="4" t="inlineStr">
        <is>
          <t>SIGVA</t>
        </is>
      </c>
      <c r="G21" s="5">
        <f>IF(H21="TT","TRABAJO TERMINADO",IF(H21="MI","TRABAJO NO TERMINADO",""))</f>
        <v/>
      </c>
      <c r="H21" s="6" t="inlineStr"/>
      <c r="I21" s="7">
        <f>IF(B21="", G21, IF(G21="", LEFT(B21,45), IF(45-LEN(G21)-2&lt;=0, G21, LEFT(B21,45-LEN(G21)-2)&amp;", "&amp;G21)))</f>
        <v/>
      </c>
      <c r="J21" s="8">
        <f>IF(H21="MI","NO REALIZADO " &amp; B21 &amp; " EN " &amp; C21 &amp; IF(K21&lt;&gt;""," " &amp; K21,""),IF(H21="TT","SE REALIZA " &amp; B21 &amp; " EN " &amp; C21 &amp; IF(K21&lt;&gt;""," " &amp; K21,""),""))</f>
        <v/>
      </c>
      <c r="K21" s="4" t="n"/>
      <c r="L21" s="4" t="inlineStr">
        <is>
          <t>NF</t>
        </is>
      </c>
    </row>
    <row r="22">
      <c r="A22" s="4" t="inlineStr">
        <is>
          <t>03661788</t>
        </is>
      </c>
      <c r="B22" s="4" t="inlineStr">
        <is>
          <t>MED DE NIVELES FREATICOS</t>
        </is>
      </c>
      <c r="C22" s="4" t="inlineStr">
        <is>
          <t>PPC-14 COPOSA NORTE</t>
        </is>
      </c>
      <c r="D22" s="4" t="inlineStr">
        <is>
          <t>2026-04-08</t>
        </is>
      </c>
      <c r="E22" s="4" t="inlineStr">
        <is>
          <t>2026-04-21</t>
        </is>
      </c>
      <c r="F22" s="4" t="inlineStr">
        <is>
          <t>SIGVA</t>
        </is>
      </c>
      <c r="G22" s="5">
        <f>IF(H22="TT","TRABAJO TERMINADO",IF(H22="MI","TRABAJO NO TERMINADO",""))</f>
        <v/>
      </c>
      <c r="H22" s="6" t="inlineStr"/>
      <c r="I22" s="7">
        <f>IF(B22="", G22, IF(G22="", LEFT(B22,45), IF(45-LEN(G22)-2&lt;=0, G22, LEFT(B22,45-LEN(G22)-2)&amp;", "&amp;G22)))</f>
        <v/>
      </c>
      <c r="J22" s="8">
        <f>IF(H22="MI","NO REALIZADO " &amp; B22 &amp; " EN " &amp; C22 &amp; IF(K22&lt;&gt;""," " &amp; K22,""),IF(H22="TT","SE REALIZA " &amp; B22 &amp; " EN " &amp; C22 &amp; IF(K22&lt;&gt;""," " &amp; K22,""),""))</f>
        <v/>
      </c>
      <c r="K22" s="4" t="n"/>
      <c r="L22" s="4" t="inlineStr">
        <is>
          <t>NF</t>
        </is>
      </c>
    </row>
    <row r="23">
      <c r="A23" s="4" t="inlineStr">
        <is>
          <t>03661789</t>
        </is>
      </c>
      <c r="B23" s="4" t="inlineStr">
        <is>
          <t>MED DE NIVELES FREATICOS</t>
        </is>
      </c>
      <c r="C23" s="4" t="inlineStr">
        <is>
          <t>PPC-15 COPOSA NORTE</t>
        </is>
      </c>
      <c r="D23" s="4" t="inlineStr">
        <is>
          <t>2026-04-08</t>
        </is>
      </c>
      <c r="E23" s="4" t="inlineStr">
        <is>
          <t>2026-04-21</t>
        </is>
      </c>
      <c r="F23" s="4" t="inlineStr">
        <is>
          <t>SIGVA</t>
        </is>
      </c>
      <c r="G23" s="5">
        <f>IF(H23="TT","TRABAJO TERMINADO",IF(H23="MI","TRABAJO NO TERMINADO",""))</f>
        <v/>
      </c>
      <c r="H23" s="6" t="inlineStr"/>
      <c r="I23" s="7">
        <f>IF(B23="", G23, IF(G23="", LEFT(B23,45), IF(45-LEN(G23)-2&lt;=0, G23, LEFT(B23,45-LEN(G23)-2)&amp;", "&amp;G23)))</f>
        <v/>
      </c>
      <c r="J23" s="8">
        <f>IF(H23="MI","NO REALIZADO " &amp; B23 &amp; " EN " &amp; C23 &amp; IF(K23&lt;&gt;""," " &amp; K23,""),IF(H23="TT","SE REALIZA " &amp; B23 &amp; " EN " &amp; C23 &amp; IF(K23&lt;&gt;""," " &amp; K23,""),""))</f>
        <v/>
      </c>
      <c r="K23" s="4" t="n"/>
      <c r="L23" s="4" t="inlineStr">
        <is>
          <t>NF</t>
        </is>
      </c>
    </row>
    <row r="24">
      <c r="A24" s="4" t="inlineStr">
        <is>
          <t>03661790</t>
        </is>
      </c>
      <c r="B24" s="4" t="inlineStr">
        <is>
          <t>MED DE NIVELES FREATICOS</t>
        </is>
      </c>
      <c r="C24" s="4" t="inlineStr">
        <is>
          <t>PPC-20 COPOSA NORTE</t>
        </is>
      </c>
      <c r="D24" s="4" t="inlineStr">
        <is>
          <t>2026-04-08</t>
        </is>
      </c>
      <c r="E24" s="4" t="inlineStr">
        <is>
          <t>2026-04-21</t>
        </is>
      </c>
      <c r="F24" s="4" t="inlineStr">
        <is>
          <t>SIGVA</t>
        </is>
      </c>
      <c r="G24" s="5">
        <f>IF(H24="TT","TRABAJO TERMINADO",IF(H24="MI","TRABAJO NO TERMINADO",""))</f>
        <v/>
      </c>
      <c r="H24" s="6" t="inlineStr"/>
      <c r="I24" s="7">
        <f>IF(B24="", G24, IF(G24="", LEFT(B24,45), IF(45-LEN(G24)-2&lt;=0, G24, LEFT(B24,45-LEN(G24)-2)&amp;", "&amp;G24)))</f>
        <v/>
      </c>
      <c r="J24" s="8">
        <f>IF(H24="MI","NO REALIZADO " &amp; B24 &amp; " EN " &amp; C24 &amp; IF(K24&lt;&gt;""," " &amp; K24,""),IF(H24="TT","SE REALIZA " &amp; B24 &amp; " EN " &amp; C24 &amp; IF(K24&lt;&gt;""," " &amp; K24,""),""))</f>
        <v/>
      </c>
      <c r="K24" s="4" t="n"/>
      <c r="L24" s="4" t="inlineStr">
        <is>
          <t>NF</t>
        </is>
      </c>
    </row>
    <row r="25">
      <c r="A25" s="4" t="inlineStr">
        <is>
          <t>03661791</t>
        </is>
      </c>
      <c r="B25" s="4" t="inlineStr">
        <is>
          <t>MED DE NIVELES FREATICOS</t>
        </is>
      </c>
      <c r="C25" s="4" t="inlineStr">
        <is>
          <t>PPC-21 COPOSA NORTE</t>
        </is>
      </c>
      <c r="D25" s="4" t="inlineStr">
        <is>
          <t>2026-04-08</t>
        </is>
      </c>
      <c r="E25" s="4" t="inlineStr">
        <is>
          <t>2026-04-21</t>
        </is>
      </c>
      <c r="F25" s="4" t="inlineStr">
        <is>
          <t>SIGVA</t>
        </is>
      </c>
      <c r="G25" s="5">
        <f>IF(H25="TT","TRABAJO TERMINADO",IF(H25="MI","TRABAJO NO TERMINADO",""))</f>
        <v/>
      </c>
      <c r="H25" s="6" t="inlineStr"/>
      <c r="I25" s="7">
        <f>IF(B25="", G25, IF(G25="", LEFT(B25,45), IF(45-LEN(G25)-2&lt;=0, G25, LEFT(B25,45-LEN(G25)-2)&amp;", "&amp;G25)))</f>
        <v/>
      </c>
      <c r="J25" s="8">
        <f>IF(H25="MI","NO REALIZADO " &amp; B25 &amp; " EN " &amp; C25 &amp; IF(K25&lt;&gt;""," " &amp; K25,""),IF(H25="TT","SE REALIZA " &amp; B25 &amp; " EN " &amp; C25 &amp; IF(K25&lt;&gt;""," " &amp; K25,""),""))</f>
        <v/>
      </c>
      <c r="K25" s="4" t="n"/>
      <c r="L25" s="4" t="inlineStr">
        <is>
          <t>NF</t>
        </is>
      </c>
    </row>
    <row r="26">
      <c r="A26" s="4" t="inlineStr">
        <is>
          <t>03661792</t>
        </is>
      </c>
      <c r="B26" s="4" t="inlineStr">
        <is>
          <t>MED DE NIVELES FREATICOS</t>
        </is>
      </c>
      <c r="C26" s="4" t="inlineStr">
        <is>
          <t>PPC-29 COPOSA NORTE</t>
        </is>
      </c>
      <c r="D26" s="4" t="inlineStr">
        <is>
          <t>2026-04-08</t>
        </is>
      </c>
      <c r="E26" s="4" t="inlineStr">
        <is>
          <t>2026-04-21</t>
        </is>
      </c>
      <c r="F26" s="4" t="inlineStr">
        <is>
          <t>SIGVA</t>
        </is>
      </c>
      <c r="G26" s="5">
        <f>IF(H26="TT","TRABAJO TERMINADO",IF(H26="MI","TRABAJO NO TERMINADO",""))</f>
        <v/>
      </c>
      <c r="H26" s="6" t="inlineStr"/>
      <c r="I26" s="7">
        <f>IF(B26="", G26, IF(G26="", LEFT(B26,45), IF(45-LEN(G26)-2&lt;=0, G26, LEFT(B26,45-LEN(G26)-2)&amp;", "&amp;G26)))</f>
        <v/>
      </c>
      <c r="J26" s="8">
        <f>IF(H26="MI","NO REALIZADO " &amp; B26 &amp; " EN " &amp; C26 &amp; IF(K26&lt;&gt;""," " &amp; K26,""),IF(H26="TT","SE REALIZA " &amp; B26 &amp; " EN " &amp; C26 &amp; IF(K26&lt;&gt;""," " &amp; K26,""),""))</f>
        <v/>
      </c>
      <c r="K26" s="4" t="n"/>
      <c r="L26" s="4" t="inlineStr">
        <is>
          <t>NF</t>
        </is>
      </c>
    </row>
    <row r="27">
      <c r="A27" s="4" t="inlineStr">
        <is>
          <t>03661826</t>
        </is>
      </c>
      <c r="B27" s="4" t="inlineStr">
        <is>
          <t>MM DE AGUAS SUBTERRÁNEAS</t>
        </is>
      </c>
      <c r="C27" s="4" t="inlineStr">
        <is>
          <t>PEP-01 PORTEZUELO</t>
        </is>
      </c>
      <c r="D27" s="4" t="inlineStr">
        <is>
          <t>2026-04-08</t>
        </is>
      </c>
      <c r="E27" s="4" t="inlineStr">
        <is>
          <t>2026-04-21</t>
        </is>
      </c>
      <c r="F27" s="4" t="inlineStr">
        <is>
          <t>SIGVA</t>
        </is>
      </c>
      <c r="G27" s="5">
        <f>IF(H27="TT","TRABAJO TERMINADO",IF(H27="MI","TRABAJO NO TERMINADO",""))</f>
        <v/>
      </c>
      <c r="H27" s="6" t="inlineStr"/>
      <c r="I27" s="7">
        <f>IF(B27="", G27, IF(G27="", LEFT(B27,45), IF(45-LEN(G27)-2&lt;=0, G27, LEFT(B27,45-LEN(G27)-2)&amp;", "&amp;G27)))</f>
        <v/>
      </c>
      <c r="J27" s="8">
        <f>IF(H27="MI","NO REALIZADO " &amp; B27 &amp; " EN " &amp; C27 &amp; IF(K27&lt;&gt;""," " &amp; K27,""),IF(H27="TT","SE REALIZA " &amp; B27 &amp; " EN " &amp; C27 &amp; IF(K27&lt;&gt;""," " &amp; K27,""),""))</f>
        <v/>
      </c>
      <c r="K27" s="4" t="n"/>
      <c r="L27" s="4" t="inlineStr">
        <is>
          <t>ASUB</t>
        </is>
      </c>
    </row>
    <row r="28">
      <c r="A28" s="4" t="inlineStr">
        <is>
          <t>03661827</t>
        </is>
      </c>
      <c r="B28" s="4" t="inlineStr">
        <is>
          <t>MED DE NIVELES FREATICOS</t>
        </is>
      </c>
      <c r="C28" s="4" t="inlineStr">
        <is>
          <t>PEP-01 PORTEZUELO</t>
        </is>
      </c>
      <c r="D28" s="4" t="inlineStr">
        <is>
          <t>2026-04-08</t>
        </is>
      </c>
      <c r="E28" s="4" t="inlineStr">
        <is>
          <t>2026-04-21</t>
        </is>
      </c>
      <c r="F28" s="4" t="inlineStr">
        <is>
          <t>SIGVA</t>
        </is>
      </c>
      <c r="G28" s="5">
        <f>IF(H28="TT","TRABAJO TERMINADO",IF(H28="MI","TRABAJO NO TERMINADO",""))</f>
        <v/>
      </c>
      <c r="H28" s="6" t="inlineStr"/>
      <c r="I28" s="7">
        <f>IF(B28="", G28, IF(G28="", LEFT(B28,45), IF(45-LEN(G28)-2&lt;=0, G28, LEFT(B28,45-LEN(G28)-2)&amp;", "&amp;G28)))</f>
        <v/>
      </c>
      <c r="J28" s="8">
        <f>IF(H28="MI","NO REALIZADO " &amp; B28 &amp; " EN " &amp; C28 &amp; IF(K28&lt;&gt;""," " &amp; K28,""),IF(H28="TT","SE REALIZA " &amp; B28 &amp; " EN " &amp; C28 &amp; IF(K28&lt;&gt;""," " &amp; K28,""),""))</f>
        <v/>
      </c>
      <c r="K28" s="4" t="n"/>
      <c r="L28" s="4" t="inlineStr">
        <is>
          <t>NF</t>
        </is>
      </c>
    </row>
    <row r="29">
      <c r="A29" s="4" t="inlineStr">
        <is>
          <t>03661830</t>
        </is>
      </c>
      <c r="B29" s="4" t="inlineStr">
        <is>
          <t>MED DE NIVELES FREATICOS</t>
        </is>
      </c>
      <c r="C29" s="4" t="inlineStr">
        <is>
          <t>RF-3 HUINQUINTIPA</t>
        </is>
      </c>
      <c r="D29" s="4" t="inlineStr">
        <is>
          <t>2026-04-08</t>
        </is>
      </c>
      <c r="E29" s="4" t="inlineStr">
        <is>
          <t>2026-04-21</t>
        </is>
      </c>
      <c r="F29" s="4" t="inlineStr">
        <is>
          <t>SIGVA</t>
        </is>
      </c>
      <c r="G29" s="5">
        <f>IF(H29="TT","TRABAJO TERMINADO",IF(H29="MI","TRABAJO NO TERMINADO",""))</f>
        <v/>
      </c>
      <c r="H29" s="6" t="inlineStr"/>
      <c r="I29" s="7">
        <f>IF(B29="", G29, IF(G29="", LEFT(B29,45), IF(45-LEN(G29)-2&lt;=0, G29, LEFT(B29,45-LEN(G29)-2)&amp;", "&amp;G29)))</f>
        <v/>
      </c>
      <c r="J29" s="8">
        <f>IF(H29="MI","NO REALIZADO " &amp; B29 &amp; " EN " &amp; C29 &amp; IF(K29&lt;&gt;""," " &amp; K29,""),IF(H29="TT","SE REALIZA " &amp; B29 &amp; " EN " &amp; C29 &amp; IF(K29&lt;&gt;""," " &amp; K29,""),""))</f>
        <v/>
      </c>
      <c r="K29" s="4" t="n"/>
      <c r="L29" s="4" t="inlineStr">
        <is>
          <t>NF</t>
        </is>
      </c>
    </row>
    <row r="30">
      <c r="A30" s="4" t="inlineStr">
        <is>
          <t>03661831</t>
        </is>
      </c>
      <c r="B30" s="4" t="inlineStr">
        <is>
          <t>MM DE AGUAS SUBTERRÁNEAS</t>
        </is>
      </c>
      <c r="C30" s="4" t="inlineStr">
        <is>
          <t>RF-3 HUINQUINTIPA</t>
        </is>
      </c>
      <c r="D30" s="4" t="inlineStr">
        <is>
          <t>2026-04-08</t>
        </is>
      </c>
      <c r="E30" s="4" t="inlineStr">
        <is>
          <t>2026-04-21</t>
        </is>
      </c>
      <c r="F30" s="4" t="inlineStr">
        <is>
          <t>SIGVA</t>
        </is>
      </c>
      <c r="G30" s="5">
        <f>IF(H30="TT","TRABAJO TERMINADO",IF(H30="MI","TRABAJO NO TERMINADO",""))</f>
        <v/>
      </c>
      <c r="H30" s="6" t="inlineStr"/>
      <c r="I30" s="7">
        <f>IF(B30="", G30, IF(G30="", LEFT(B30,45), IF(45-LEN(G30)-2&lt;=0, G30, LEFT(B30,45-LEN(G30)-2)&amp;", "&amp;G30)))</f>
        <v/>
      </c>
      <c r="J30" s="8">
        <f>IF(H30="MI","NO REALIZADO " &amp; B30 &amp; " EN " &amp; C30 &amp; IF(K30&lt;&gt;""," " &amp; K30,""),IF(H30="TT","SE REALIZA " &amp; B30 &amp; " EN " &amp; C30 &amp; IF(K30&lt;&gt;""," " &amp; K30,""),""))</f>
        <v/>
      </c>
      <c r="K30" s="4" t="n"/>
      <c r="L30" s="4" t="inlineStr">
        <is>
          <t>ASUB</t>
        </is>
      </c>
    </row>
    <row r="31">
      <c r="A31" s="4" t="inlineStr">
        <is>
          <t>03661846</t>
        </is>
      </c>
      <c r="B31" s="4" t="inlineStr">
        <is>
          <t>MEDICION DE EVAPOTRANSPIRACION Y EVAPORA</t>
        </is>
      </c>
      <c r="C31" s="4" t="inlineStr">
        <is>
          <t>DE AGUA. Lisimetro/Evaporimetro</t>
        </is>
      </c>
      <c r="D31" s="4" t="inlineStr">
        <is>
          <t>2026-04-08</t>
        </is>
      </c>
      <c r="E31" s="4" t="inlineStr">
        <is>
          <t>2026-04-21</t>
        </is>
      </c>
      <c r="F31" s="4" t="inlineStr">
        <is>
          <t>SIGAIR</t>
        </is>
      </c>
      <c r="G31" s="5">
        <f>IF(H31="TT","TRABAJO TERMINADO",IF(H31="MI","TRABAJO NO TERMINADO",""))</f>
        <v/>
      </c>
      <c r="H31" s="6" t="inlineStr"/>
      <c r="I31" s="7">
        <f>IF(B31="", G31, IF(G31="", LEFT(B31,45), IF(45-LEN(G31)-2&lt;=0, G31, LEFT(B31,45-LEN(G31)-2)&amp;", "&amp;G31)))</f>
        <v/>
      </c>
      <c r="J31" s="8">
        <f>IF(H31="MI","NO REALIZADO " &amp; B31 &amp; " EN " &amp; C31 &amp; IF(K31&lt;&gt;""," " &amp; K31,""),IF(H31="TT","SE REALIZA " &amp; B31 &amp; " EN " &amp; C31 &amp; IF(K31&lt;&gt;""," " &amp; K31,""),""))</f>
        <v/>
      </c>
      <c r="K31" s="4" t="n"/>
      <c r="L31" s="4" t="inlineStr"/>
    </row>
    <row r="32">
      <c r="A32" s="4" t="inlineStr">
        <is>
          <t>03661848</t>
        </is>
      </c>
      <c r="B32" s="4" t="inlineStr">
        <is>
          <t>MEDICION DE EVAPOTRANSPIRACION Y EVAPORA</t>
        </is>
      </c>
      <c r="C32" s="4" t="inlineStr">
        <is>
          <t>DE AGUA. Lisimetro/Evaporimetro</t>
        </is>
      </c>
      <c r="D32" s="4" t="inlineStr">
        <is>
          <t>2026-04-08</t>
        </is>
      </c>
      <c r="E32" s="4" t="inlineStr">
        <is>
          <t>2026-04-21</t>
        </is>
      </c>
      <c r="F32" s="4" t="inlineStr">
        <is>
          <t>SIGAIR</t>
        </is>
      </c>
      <c r="G32" s="5">
        <f>IF(H32="TT","TRABAJO TERMINADO",IF(H32="MI","TRABAJO NO TERMINADO",""))</f>
        <v/>
      </c>
      <c r="H32" s="6" t="inlineStr"/>
      <c r="I32" s="7">
        <f>IF(B32="", G32, IF(G32="", LEFT(B32,45), IF(45-LEN(G32)-2&lt;=0, G32, LEFT(B32,45-LEN(G32)-2)&amp;", "&amp;G32)))</f>
        <v/>
      </c>
      <c r="J32" s="8">
        <f>IF(H32="MI","NO REALIZADO " &amp; B32 &amp; " EN " &amp; C32 &amp; IF(K32&lt;&gt;""," " &amp; K32,""),IF(H32="TT","SE REALIZA " &amp; B32 &amp; " EN " &amp; C32 &amp; IF(K32&lt;&gt;""," " &amp; K32,""),""))</f>
        <v/>
      </c>
      <c r="K32" s="4" t="n"/>
      <c r="L32" s="4" t="inlineStr"/>
    </row>
    <row r="33">
      <c r="A33" s="4" t="inlineStr">
        <is>
          <t>03668548</t>
        </is>
      </c>
      <c r="B33" s="4" t="inlineStr">
        <is>
          <t>MM DE AGUAS SUBTERRÁNEAS</t>
        </is>
      </c>
      <c r="C33" s="4" t="inlineStr">
        <is>
          <t>MITIGACION JACHUCOPOSA (CP-03M)</t>
        </is>
      </c>
      <c r="D33" s="4" t="inlineStr">
        <is>
          <t>2026-04-15</t>
        </is>
      </c>
      <c r="E33" s="4" t="inlineStr">
        <is>
          <t>2026-04-21</t>
        </is>
      </c>
      <c r="F33" s="4" t="inlineStr">
        <is>
          <t>SIGVA</t>
        </is>
      </c>
      <c r="G33" s="5">
        <f>IF(H33="TT","TRABAJO TERMINADO",IF(H33="MI","TRABAJO NO TERMINADO",""))</f>
        <v/>
      </c>
      <c r="H33" s="6" t="inlineStr"/>
      <c r="I33" s="7">
        <f>IF(B33="", G33, IF(G33="", LEFT(B33,45), IF(45-LEN(G33)-2&lt;=0, G33, LEFT(B33,45-LEN(G33)-2)&amp;", "&amp;G33)))</f>
        <v/>
      </c>
      <c r="J33" s="8">
        <f>IF(H33="MI","NO REALIZADO " &amp; B33 &amp; " EN " &amp; C33 &amp; IF(K33&lt;&gt;""," " &amp; K33,""),IF(H33="TT","SE REALIZA " &amp; B33 &amp; " EN " &amp; C33 &amp; IF(K33&lt;&gt;""," " &amp; K33,""),""))</f>
        <v/>
      </c>
      <c r="K33" s="4" t="n"/>
      <c r="L33" s="4" t="inlineStr">
        <is>
          <t>ASUB</t>
        </is>
      </c>
    </row>
    <row r="34">
      <c r="A34" s="4" t="inlineStr">
        <is>
          <t>03668549</t>
        </is>
      </c>
      <c r="B34" s="4" t="inlineStr">
        <is>
          <t>MEDICION DE NIVELES FREATICOS</t>
        </is>
      </c>
      <c r="C34" s="4" t="inlineStr">
        <is>
          <t>CP-01-I FALLA PABELLON</t>
        </is>
      </c>
      <c r="D34" s="4" t="inlineStr">
        <is>
          <t>2026-04-15</t>
        </is>
      </c>
      <c r="E34" s="4" t="inlineStr">
        <is>
          <t>2026-04-21</t>
        </is>
      </c>
      <c r="F34" s="4" t="inlineStr">
        <is>
          <t>SIGVA</t>
        </is>
      </c>
      <c r="G34" s="5">
        <f>IF(H34="TT","TRABAJO TERMINADO",IF(H34="MI","TRABAJO NO TERMINADO",""))</f>
        <v/>
      </c>
      <c r="H34" s="6" t="inlineStr"/>
      <c r="I34" s="7">
        <f>IF(B34="", G34, IF(G34="", LEFT(B34,45), IF(45-LEN(G34)-2&lt;=0, G34, LEFT(B34,45-LEN(G34)-2)&amp;", "&amp;G34)))</f>
        <v/>
      </c>
      <c r="J34" s="8">
        <f>IF(H34="MI","NO REALIZADO " &amp; B34 &amp; " EN " &amp; C34 &amp; IF(K34&lt;&gt;""," " &amp; K34,""),IF(H34="TT","SE REALIZA " &amp; B34 &amp; " EN " &amp; C34 &amp; IF(K34&lt;&gt;""," " &amp; K34,""),""))</f>
        <v/>
      </c>
      <c r="K34" s="4" t="n"/>
      <c r="L34" s="4" t="inlineStr">
        <is>
          <t>NF</t>
        </is>
      </c>
    </row>
    <row r="35">
      <c r="A35" s="4" t="inlineStr">
        <is>
          <t>03668550</t>
        </is>
      </c>
      <c r="B35" s="4" t="inlineStr">
        <is>
          <t>MEDICION DE NIVELES FREATICOS</t>
        </is>
      </c>
      <c r="C35" s="4" t="inlineStr">
        <is>
          <t>CP-02-C FALLA PABELLON</t>
        </is>
      </c>
      <c r="D35" s="4" t="inlineStr">
        <is>
          <t>2026-04-15</t>
        </is>
      </c>
      <c r="E35" s="4" t="inlineStr">
        <is>
          <t>2026-04-21</t>
        </is>
      </c>
      <c r="F35" s="4" t="inlineStr">
        <is>
          <t>SIGVA</t>
        </is>
      </c>
      <c r="G35" s="5">
        <f>IF(H35="TT","TRABAJO TERMINADO",IF(H35="MI","TRABAJO NO TERMINADO",""))</f>
        <v/>
      </c>
      <c r="H35" s="6" t="inlineStr"/>
      <c r="I35" s="7">
        <f>IF(B35="", G35, IF(G35="", LEFT(B35,45), IF(45-LEN(G35)-2&lt;=0, G35, LEFT(B35,45-LEN(G35)-2)&amp;", "&amp;G35)))</f>
        <v/>
      </c>
      <c r="J35" s="8">
        <f>IF(H35="MI","NO REALIZADO " &amp; B35 &amp; " EN " &amp; C35 &amp; IF(K35&lt;&gt;""," " &amp; K35,""),IF(H35="TT","SE REALIZA " &amp; B35 &amp; " EN " &amp; C35 &amp; IF(K35&lt;&gt;""," " &amp; K35,""),""))</f>
        <v/>
      </c>
      <c r="K35" s="4" t="n"/>
      <c r="L35" s="4" t="inlineStr">
        <is>
          <t>NF</t>
        </is>
      </c>
    </row>
    <row r="36">
      <c r="A36" s="4" t="inlineStr">
        <is>
          <t>03668551</t>
        </is>
      </c>
      <c r="B36" s="4" t="inlineStr">
        <is>
          <t>MEDICION DE NIVELES FREATICOS</t>
        </is>
      </c>
      <c r="C36" s="4" t="inlineStr">
        <is>
          <t>CP-03-M FALLA PABELLON</t>
        </is>
      </c>
      <c r="D36" s="4" t="inlineStr">
        <is>
          <t>2026-04-15</t>
        </is>
      </c>
      <c r="E36" s="4" t="inlineStr">
        <is>
          <t>2026-04-21</t>
        </is>
      </c>
      <c r="F36" s="4" t="inlineStr">
        <is>
          <t>SIGVA</t>
        </is>
      </c>
      <c r="G36" s="5">
        <f>IF(H36="TT","TRABAJO TERMINADO",IF(H36="MI","TRABAJO NO TERMINADO",""))</f>
        <v/>
      </c>
      <c r="H36" s="6" t="inlineStr"/>
      <c r="I36" s="7">
        <f>IF(B36="", G36, IF(G36="", LEFT(B36,45), IF(45-LEN(G36)-2&lt;=0, G36, LEFT(B36,45-LEN(G36)-2)&amp;", "&amp;G36)))</f>
        <v/>
      </c>
      <c r="J36" s="8">
        <f>IF(H36="MI","NO REALIZADO " &amp; B36 &amp; " EN " &amp; C36 &amp; IF(K36&lt;&gt;""," " &amp; K36,""),IF(H36="TT","SE REALIZA " &amp; B36 &amp; " EN " &amp; C36 &amp; IF(K36&lt;&gt;""," " &amp; K36,""),""))</f>
        <v/>
      </c>
      <c r="K36" s="4" t="n"/>
      <c r="L36" s="4" t="inlineStr">
        <is>
          <t>NF</t>
        </is>
      </c>
    </row>
    <row r="37">
      <c r="A37" s="4" t="inlineStr">
        <is>
          <t>03668552</t>
        </is>
      </c>
      <c r="B37" s="4" t="inlineStr">
        <is>
          <t>MEDICION DE NIVELES FREATICOS</t>
        </is>
      </c>
      <c r="C37" s="4" t="inlineStr">
        <is>
          <t>CP-04-L FALLA PABELLON</t>
        </is>
      </c>
      <c r="D37" s="4" t="inlineStr">
        <is>
          <t>2026-04-15</t>
        </is>
      </c>
      <c r="E37" s="4" t="inlineStr">
        <is>
          <t>2026-04-21</t>
        </is>
      </c>
      <c r="F37" s="4" t="inlineStr">
        <is>
          <t>SIGVA</t>
        </is>
      </c>
      <c r="G37" s="5">
        <f>IF(H37="TT","TRABAJO TERMINADO",IF(H37="MI","TRABAJO NO TERMINADO",""))</f>
        <v/>
      </c>
      <c r="H37" s="6" t="inlineStr"/>
      <c r="I37" s="7">
        <f>IF(B37="", G37, IF(G37="", LEFT(B37,45), IF(45-LEN(G37)-2&lt;=0, G37, LEFT(B37,45-LEN(G37)-2)&amp;", "&amp;G37)))</f>
        <v/>
      </c>
      <c r="J37" s="8">
        <f>IF(H37="MI","NO REALIZADO " &amp; B37 &amp; " EN " &amp; C37 &amp; IF(K37&lt;&gt;""," " &amp; K37,""),IF(H37="TT","SE REALIZA " &amp; B37 &amp; " EN " &amp; C37 &amp; IF(K37&lt;&gt;""," " &amp; K37,""),""))</f>
        <v/>
      </c>
      <c r="K37" s="4" t="n"/>
      <c r="L37" s="4" t="inlineStr">
        <is>
          <t>NF</t>
        </is>
      </c>
    </row>
    <row r="38">
      <c r="A38" s="4" t="inlineStr">
        <is>
          <t>03668553</t>
        </is>
      </c>
      <c r="B38" s="4" t="inlineStr">
        <is>
          <t>MEDICION DE NIVELES FREATICOS</t>
        </is>
      </c>
      <c r="C38" s="4" t="inlineStr">
        <is>
          <t>CP-05-H FALLA PABELLON</t>
        </is>
      </c>
      <c r="D38" s="4" t="inlineStr">
        <is>
          <t>2026-04-15</t>
        </is>
      </c>
      <c r="E38" s="4" t="inlineStr">
        <is>
          <t>2026-04-21</t>
        </is>
      </c>
      <c r="F38" s="4" t="inlineStr">
        <is>
          <t>SIGVA</t>
        </is>
      </c>
      <c r="G38" s="5">
        <f>IF(H38="TT","TRABAJO TERMINADO",IF(H38="MI","TRABAJO NO TERMINADO",""))</f>
        <v/>
      </c>
      <c r="H38" s="6" t="inlineStr"/>
      <c r="I38" s="7">
        <f>IF(B38="", G38, IF(G38="", LEFT(B38,45), IF(45-LEN(G38)-2&lt;=0, G38, LEFT(B38,45-LEN(G38)-2)&amp;", "&amp;G38)))</f>
        <v/>
      </c>
      <c r="J38" s="8">
        <f>IF(H38="MI","NO REALIZADO " &amp; B38 &amp; " EN " &amp; C38 &amp; IF(K38&lt;&gt;""," " &amp; K38,""),IF(H38="TT","SE REALIZA " &amp; B38 &amp; " EN " &amp; C38 &amp; IF(K38&lt;&gt;""," " &amp; K38,""),""))</f>
        <v/>
      </c>
      <c r="K38" s="4" t="n"/>
      <c r="L38" s="4" t="inlineStr">
        <is>
          <t>NF</t>
        </is>
      </c>
    </row>
    <row r="39">
      <c r="A39" s="4" t="inlineStr">
        <is>
          <t>03668554</t>
        </is>
      </c>
      <c r="B39" s="4" t="inlineStr">
        <is>
          <t>MEDICION DE NIVELES FREATICOS</t>
        </is>
      </c>
      <c r="C39" s="4" t="inlineStr">
        <is>
          <t>CP-06-J FALLA PABELLON</t>
        </is>
      </c>
      <c r="D39" s="4" t="inlineStr">
        <is>
          <t>2026-04-15</t>
        </is>
      </c>
      <c r="E39" s="4" t="inlineStr">
        <is>
          <t>2026-04-21</t>
        </is>
      </c>
      <c r="F39" s="4" t="inlineStr">
        <is>
          <t>SIGVA</t>
        </is>
      </c>
      <c r="G39" s="5">
        <f>IF(H39="TT","TRABAJO TERMINADO",IF(H39="MI","TRABAJO NO TERMINADO",""))</f>
        <v/>
      </c>
      <c r="H39" s="6" t="inlineStr"/>
      <c r="I39" s="7">
        <f>IF(B39="", G39, IF(G39="", LEFT(B39,45), IF(45-LEN(G39)-2&lt;=0, G39, LEFT(B39,45-LEN(G39)-2)&amp;", "&amp;G39)))</f>
        <v/>
      </c>
      <c r="J39" s="8">
        <f>IF(H39="MI","NO REALIZADO " &amp; B39 &amp; " EN " &amp; C39 &amp; IF(K39&lt;&gt;""," " &amp; K39,""),IF(H39="TT","SE REALIZA " &amp; B39 &amp; " EN " &amp; C39 &amp; IF(K39&lt;&gt;""," " &amp; K39,""),""))</f>
        <v/>
      </c>
      <c r="K39" s="4" t="n"/>
      <c r="L39" s="4" t="inlineStr">
        <is>
          <t>NF</t>
        </is>
      </c>
    </row>
    <row r="40">
      <c r="A40" s="4" t="inlineStr">
        <is>
          <t>03668555</t>
        </is>
      </c>
      <c r="B40" s="4" t="inlineStr">
        <is>
          <t>MEDICION DE NIVELES FREATICOS</t>
        </is>
      </c>
      <c r="C40" s="4" t="inlineStr">
        <is>
          <t>CP-07-F FALLA PABELLON</t>
        </is>
      </c>
      <c r="D40" s="4" t="inlineStr">
        <is>
          <t>2026-04-15</t>
        </is>
      </c>
      <c r="E40" s="4" t="inlineStr">
        <is>
          <t>2026-04-21</t>
        </is>
      </c>
      <c r="F40" s="4" t="inlineStr">
        <is>
          <t>SIGVA</t>
        </is>
      </c>
      <c r="G40" s="5">
        <f>IF(H40="TT","TRABAJO TERMINADO",IF(H40="MI","TRABAJO NO TERMINADO",""))</f>
        <v/>
      </c>
      <c r="H40" s="6" t="inlineStr"/>
      <c r="I40" s="7">
        <f>IF(B40="", G40, IF(G40="", LEFT(B40,45), IF(45-LEN(G40)-2&lt;=0, G40, LEFT(B40,45-LEN(G40)-2)&amp;", "&amp;G40)))</f>
        <v/>
      </c>
      <c r="J40" s="8">
        <f>IF(H40="MI","NO REALIZADO " &amp; B40 &amp; " EN " &amp; C40 &amp; IF(K40&lt;&gt;""," " &amp; K40,""),IF(H40="TT","SE REALIZA " &amp; B40 &amp; " EN " &amp; C40 &amp; IF(K40&lt;&gt;""," " &amp; K40,""),""))</f>
        <v/>
      </c>
      <c r="K40" s="4" t="n"/>
      <c r="L40" s="4" t="inlineStr">
        <is>
          <t>NF</t>
        </is>
      </c>
    </row>
    <row r="41">
      <c r="A41" s="4" t="inlineStr">
        <is>
          <t>03668556</t>
        </is>
      </c>
      <c r="B41" s="4" t="inlineStr">
        <is>
          <t>MEDICION DE NIVELES FREATICOS</t>
        </is>
      </c>
      <c r="C41" s="4" t="inlineStr">
        <is>
          <t>CP-08-D FALLA PABELLON</t>
        </is>
      </c>
      <c r="D41" s="4" t="inlineStr">
        <is>
          <t>2026-04-15</t>
        </is>
      </c>
      <c r="E41" s="4" t="inlineStr">
        <is>
          <t>2026-04-21</t>
        </is>
      </c>
      <c r="F41" s="4" t="inlineStr">
        <is>
          <t>SIGVA</t>
        </is>
      </c>
      <c r="G41" s="5">
        <f>IF(H41="TT","TRABAJO TERMINADO",IF(H41="MI","TRABAJO NO TERMINADO",""))</f>
        <v/>
      </c>
      <c r="H41" s="6" t="inlineStr"/>
      <c r="I41" s="7">
        <f>IF(B41="", G41, IF(G41="", LEFT(B41,45), IF(45-LEN(G41)-2&lt;=0, G41, LEFT(B41,45-LEN(G41)-2)&amp;", "&amp;G41)))</f>
        <v/>
      </c>
      <c r="J41" s="8">
        <f>IF(H41="MI","NO REALIZADO " &amp; B41 &amp; " EN " &amp; C41 &amp; IF(K41&lt;&gt;""," " &amp; K41,""),IF(H41="TT","SE REALIZA " &amp; B41 &amp; " EN " &amp; C41 &amp; IF(K41&lt;&gt;""," " &amp; K41,""),""))</f>
        <v/>
      </c>
      <c r="K41" s="4" t="n"/>
      <c r="L41" s="4" t="inlineStr">
        <is>
          <t>NF</t>
        </is>
      </c>
    </row>
    <row r="42">
      <c r="A42" s="4" t="inlineStr">
        <is>
          <t>03668557</t>
        </is>
      </c>
      <c r="B42" s="4" t="inlineStr">
        <is>
          <t>MEDICION DE NIVELES FREATICOS</t>
        </is>
      </c>
      <c r="C42" s="4" t="inlineStr">
        <is>
          <t>CP-09-G FALLA PABELLON</t>
        </is>
      </c>
      <c r="D42" s="4" t="inlineStr">
        <is>
          <t>2026-04-15</t>
        </is>
      </c>
      <c r="E42" s="4" t="inlineStr">
        <is>
          <t>2026-04-21</t>
        </is>
      </c>
      <c r="F42" s="4" t="inlineStr">
        <is>
          <t>SIGVA</t>
        </is>
      </c>
      <c r="G42" s="5">
        <f>IF(H42="TT","TRABAJO TERMINADO",IF(H42="MI","TRABAJO NO TERMINADO",""))</f>
        <v/>
      </c>
      <c r="H42" s="6" t="inlineStr"/>
      <c r="I42" s="7">
        <f>IF(B42="", G42, IF(G42="", LEFT(B42,45), IF(45-LEN(G42)-2&lt;=0, G42, LEFT(B42,45-LEN(G42)-2)&amp;", "&amp;G42)))</f>
        <v/>
      </c>
      <c r="J42" s="8">
        <f>IF(H42="MI","NO REALIZADO " &amp; B42 &amp; " EN " &amp; C42 &amp; IF(K42&lt;&gt;""," " &amp; K42,""),IF(H42="TT","SE REALIZA " &amp; B42 &amp; " EN " &amp; C42 &amp; IF(K42&lt;&gt;""," " &amp; K42,""),""))</f>
        <v/>
      </c>
      <c r="K42" s="4" t="n"/>
      <c r="L42" s="4" t="inlineStr">
        <is>
          <t>NF</t>
        </is>
      </c>
    </row>
    <row r="43">
      <c r="A43" s="4" t="inlineStr">
        <is>
          <t>03668558</t>
        </is>
      </c>
      <c r="B43" s="4" t="inlineStr">
        <is>
          <t>MEDICION DE NIVELES FREATICOS</t>
        </is>
      </c>
      <c r="C43" s="4" t="inlineStr">
        <is>
          <t>CP-10-B FALLA PABELLON</t>
        </is>
      </c>
      <c r="D43" s="4" t="inlineStr">
        <is>
          <t>2026-04-15</t>
        </is>
      </c>
      <c r="E43" s="4" t="inlineStr">
        <is>
          <t>2026-04-21</t>
        </is>
      </c>
      <c r="F43" s="4" t="inlineStr">
        <is>
          <t>SIGVA</t>
        </is>
      </c>
      <c r="G43" s="5">
        <f>IF(H43="TT","TRABAJO TERMINADO",IF(H43="MI","TRABAJO NO TERMINADO",""))</f>
        <v/>
      </c>
      <c r="H43" s="6" t="inlineStr"/>
      <c r="I43" s="7">
        <f>IF(B43="", G43, IF(G43="", LEFT(B43,45), IF(45-LEN(G43)-2&lt;=0, G43, LEFT(B43,45-LEN(G43)-2)&amp;", "&amp;G43)))</f>
        <v/>
      </c>
      <c r="J43" s="8">
        <f>IF(H43="MI","NO REALIZADO " &amp; B43 &amp; " EN " &amp; C43 &amp; IF(K43&lt;&gt;""," " &amp; K43,""),IF(H43="TT","SE REALIZA " &amp; B43 &amp; " EN " &amp; C43 &amp; IF(K43&lt;&gt;""," " &amp; K43,""),""))</f>
        <v/>
      </c>
      <c r="K43" s="4" t="n"/>
      <c r="L43" s="4" t="inlineStr">
        <is>
          <t>NF</t>
        </is>
      </c>
    </row>
    <row r="44">
      <c r="A44" s="4" t="inlineStr">
        <is>
          <t>03668559</t>
        </is>
      </c>
      <c r="B44" s="4" t="inlineStr">
        <is>
          <t>MEDICION DE NIVELES FREATICOS</t>
        </is>
      </c>
      <c r="C44" s="4" t="inlineStr">
        <is>
          <t>CP-11-E FALLA PABELLON</t>
        </is>
      </c>
      <c r="D44" s="4" t="inlineStr">
        <is>
          <t>2026-04-15</t>
        </is>
      </c>
      <c r="E44" s="4" t="inlineStr">
        <is>
          <t>2026-04-21</t>
        </is>
      </c>
      <c r="F44" s="4" t="inlineStr">
        <is>
          <t>SIGVA</t>
        </is>
      </c>
      <c r="G44" s="5">
        <f>IF(H44="TT","TRABAJO TERMINADO",IF(H44="MI","TRABAJO NO TERMINADO",""))</f>
        <v/>
      </c>
      <c r="H44" s="6" t="inlineStr"/>
      <c r="I44" s="7">
        <f>IF(B44="", G44, IF(G44="", LEFT(B44,45), IF(45-LEN(G44)-2&lt;=0, G44, LEFT(B44,45-LEN(G44)-2)&amp;", "&amp;G44)))</f>
        <v/>
      </c>
      <c r="J44" s="8">
        <f>IF(H44="MI","NO REALIZADO " &amp; B44 &amp; " EN " &amp; C44 &amp; IF(K44&lt;&gt;""," " &amp; K44,""),IF(H44="TT","SE REALIZA " &amp; B44 &amp; " EN " &amp; C44 &amp; IF(K44&lt;&gt;""," " &amp; K44,""),""))</f>
        <v/>
      </c>
      <c r="K44" s="4" t="n"/>
      <c r="L44" s="4" t="inlineStr">
        <is>
          <t>NF</t>
        </is>
      </c>
    </row>
    <row r="45">
      <c r="A45" s="4" t="inlineStr">
        <is>
          <t>03668560</t>
        </is>
      </c>
      <c r="B45" s="4" t="inlineStr">
        <is>
          <t>MEDICION DE NIVELES FREATICOS</t>
        </is>
      </c>
      <c r="C45" s="4" t="inlineStr">
        <is>
          <t>CP-12-K FALLA PABELLON</t>
        </is>
      </c>
      <c r="D45" s="4" t="inlineStr">
        <is>
          <t>2026-04-15</t>
        </is>
      </c>
      <c r="E45" s="4" t="inlineStr">
        <is>
          <t>2026-04-21</t>
        </is>
      </c>
      <c r="F45" s="4" t="inlineStr">
        <is>
          <t>SIGVA</t>
        </is>
      </c>
      <c r="G45" s="5">
        <f>IF(H45="TT","TRABAJO TERMINADO",IF(H45="MI","TRABAJO NO TERMINADO",""))</f>
        <v/>
      </c>
      <c r="H45" s="6" t="inlineStr"/>
      <c r="I45" s="7">
        <f>IF(B45="", G45, IF(G45="", LEFT(B45,45), IF(45-LEN(G45)-2&lt;=0, G45, LEFT(B45,45-LEN(G45)-2)&amp;", "&amp;G45)))</f>
        <v/>
      </c>
      <c r="J45" s="8">
        <f>IF(H45="MI","NO REALIZADO " &amp; B45 &amp; " EN " &amp; C45 &amp; IF(K45&lt;&gt;""," " &amp; K45,""),IF(H45="TT","SE REALIZA " &amp; B45 &amp; " EN " &amp; C45 &amp; IF(K45&lt;&gt;""," " &amp; K45,""),""))</f>
        <v/>
      </c>
      <c r="K45" s="4" t="n"/>
      <c r="L45" s="4" t="inlineStr">
        <is>
          <t>NF</t>
        </is>
      </c>
    </row>
    <row r="46">
      <c r="A46" s="4" t="inlineStr">
        <is>
          <t>03668561</t>
        </is>
      </c>
      <c r="B46" s="4" t="inlineStr">
        <is>
          <t>MEDICION DE NIVELES FREATICOS</t>
        </is>
      </c>
      <c r="C46" s="4" t="inlineStr">
        <is>
          <t>CP-13-A FALLA PABELLON</t>
        </is>
      </c>
      <c r="D46" s="4" t="inlineStr">
        <is>
          <t>2026-04-15</t>
        </is>
      </c>
      <c r="E46" s="4" t="inlineStr">
        <is>
          <t>2026-04-21</t>
        </is>
      </c>
      <c r="F46" s="4" t="inlineStr">
        <is>
          <t>SIGVA</t>
        </is>
      </c>
      <c r="G46" s="5">
        <f>IF(H46="TT","TRABAJO TERMINADO",IF(H46="MI","TRABAJO NO TERMINADO",""))</f>
        <v/>
      </c>
      <c r="H46" s="6" t="inlineStr"/>
      <c r="I46" s="7">
        <f>IF(B46="", G46, IF(G46="", LEFT(B46,45), IF(45-LEN(G46)-2&lt;=0, G46, LEFT(B46,45-LEN(G46)-2)&amp;", "&amp;G46)))</f>
        <v/>
      </c>
      <c r="J46" s="8">
        <f>IF(H46="MI","NO REALIZADO " &amp; B46 &amp; " EN " &amp; C46 &amp; IF(K46&lt;&gt;""," " &amp; K46,""),IF(H46="TT","SE REALIZA " &amp; B46 &amp; " EN " &amp; C46 &amp; IF(K46&lt;&gt;""," " &amp; K46,""),""))</f>
        <v/>
      </c>
      <c r="K46" s="4" t="n"/>
      <c r="L46" s="4" t="inlineStr">
        <is>
          <t>NF</t>
        </is>
      </c>
    </row>
    <row r="47">
      <c r="A47" s="4" t="inlineStr">
        <is>
          <t>03668562</t>
        </is>
      </c>
      <c r="B47" s="4" t="inlineStr">
        <is>
          <t>MEDICION DE NIVELES FREATICOS</t>
        </is>
      </c>
      <c r="C47" s="4" t="inlineStr">
        <is>
          <t>CPS-20 JACHUCOPOSA</t>
        </is>
      </c>
      <c r="D47" s="4" t="inlineStr">
        <is>
          <t>2026-04-15</t>
        </is>
      </c>
      <c r="E47" s="4" t="inlineStr">
        <is>
          <t>2026-04-21</t>
        </is>
      </c>
      <c r="F47" s="4" t="inlineStr">
        <is>
          <t>SIGVA</t>
        </is>
      </c>
      <c r="G47" s="5">
        <f>IF(H47="TT","TRABAJO TERMINADO",IF(H47="MI","TRABAJO NO TERMINADO",""))</f>
        <v/>
      </c>
      <c r="H47" s="6" t="inlineStr"/>
      <c r="I47" s="7">
        <f>IF(B47="", G47, IF(G47="", LEFT(B47,45), IF(45-LEN(G47)-2&lt;=0, G47, LEFT(B47,45-LEN(G47)-2)&amp;", "&amp;G47)))</f>
        <v/>
      </c>
      <c r="J47" s="8">
        <f>IF(H47="MI","NO REALIZADO " &amp; B47 &amp; " EN " &amp; C47 &amp; IF(K47&lt;&gt;""," " &amp; K47,""),IF(H47="TT","SE REALIZA " &amp; B47 &amp; " EN " &amp; C47 &amp; IF(K47&lt;&gt;""," " &amp; K47,""),""))</f>
        <v/>
      </c>
      <c r="K47" s="4" t="n"/>
      <c r="L47" s="4" t="inlineStr">
        <is>
          <t>NF</t>
        </is>
      </c>
    </row>
    <row r="48">
      <c r="A48" s="4" t="inlineStr">
        <is>
          <t>03668563</t>
        </is>
      </c>
      <c r="B48" s="4" t="inlineStr">
        <is>
          <t>MEDICION DE NIVELES FREATICOS</t>
        </is>
      </c>
      <c r="C48" s="4" t="inlineStr">
        <is>
          <t>CPS-23 JACHUCOPOSA</t>
        </is>
      </c>
      <c r="D48" s="4" t="inlineStr">
        <is>
          <t>2026-04-15</t>
        </is>
      </c>
      <c r="E48" s="4" t="inlineStr">
        <is>
          <t>2026-04-21</t>
        </is>
      </c>
      <c r="F48" s="4" t="inlineStr">
        <is>
          <t>SIGVA</t>
        </is>
      </c>
      <c r="G48" s="5">
        <f>IF(H48="TT","TRABAJO TERMINADO",IF(H48="MI","TRABAJO NO TERMINADO",""))</f>
        <v/>
      </c>
      <c r="H48" s="6" t="inlineStr"/>
      <c r="I48" s="7">
        <f>IF(B48="", G48, IF(G48="", LEFT(B48,45), IF(45-LEN(G48)-2&lt;=0, G48, LEFT(B48,45-LEN(G48)-2)&amp;", "&amp;G48)))</f>
        <v/>
      </c>
      <c r="J48" s="8">
        <f>IF(H48="MI","NO REALIZADO " &amp; B48 &amp; " EN " &amp; C48 &amp; IF(K48&lt;&gt;""," " &amp; K48,""),IF(H48="TT","SE REALIZA " &amp; B48 &amp; " EN " &amp; C48 &amp; IF(K48&lt;&gt;""," " &amp; K48,""),""))</f>
        <v/>
      </c>
      <c r="K48" s="4" t="n"/>
      <c r="L48" s="4" t="inlineStr">
        <is>
          <t>NF</t>
        </is>
      </c>
    </row>
    <row r="49">
      <c r="A49" s="4" t="inlineStr">
        <is>
          <t>03668564</t>
        </is>
      </c>
      <c r="B49" s="4" t="inlineStr">
        <is>
          <t>MEDICION DE NIVELES FREATICOS</t>
        </is>
      </c>
      <c r="C49" s="4" t="inlineStr">
        <is>
          <t>CPS-54 JACHUCOPOSA</t>
        </is>
      </c>
      <c r="D49" s="4" t="inlineStr">
        <is>
          <t>2026-04-15</t>
        </is>
      </c>
      <c r="E49" s="4" t="inlineStr">
        <is>
          <t>2026-04-21</t>
        </is>
      </c>
      <c r="F49" s="4" t="inlineStr">
        <is>
          <t>SIGVA</t>
        </is>
      </c>
      <c r="G49" s="5">
        <f>IF(H49="TT","TRABAJO TERMINADO",IF(H49="MI","TRABAJO NO TERMINADO",""))</f>
        <v/>
      </c>
      <c r="H49" s="6" t="inlineStr"/>
      <c r="I49" s="7">
        <f>IF(B49="", G49, IF(G49="", LEFT(B49,45), IF(45-LEN(G49)-2&lt;=0, G49, LEFT(B49,45-LEN(G49)-2)&amp;", "&amp;G49)))</f>
        <v/>
      </c>
      <c r="J49" s="8">
        <f>IF(H49="MI","NO REALIZADO " &amp; B49 &amp; " EN " &amp; C49 &amp; IF(K49&lt;&gt;""," " &amp; K49,""),IF(H49="TT","SE REALIZA " &amp; B49 &amp; " EN " &amp; C49 &amp; IF(K49&lt;&gt;""," " &amp; K49,""),""))</f>
        <v/>
      </c>
      <c r="K49" s="4" t="n"/>
      <c r="L49" s="4" t="inlineStr">
        <is>
          <t>NF</t>
        </is>
      </c>
    </row>
    <row r="50">
      <c r="A50" s="4" t="inlineStr">
        <is>
          <t>03668565</t>
        </is>
      </c>
      <c r="B50" s="4" t="inlineStr">
        <is>
          <t>MEDICION DE NIVELES FREATICOS</t>
        </is>
      </c>
      <c r="C50" s="4" t="inlineStr">
        <is>
          <t>CPS-55 JACHUCOPOSA</t>
        </is>
      </c>
      <c r="D50" s="4" t="inlineStr">
        <is>
          <t>2026-04-15</t>
        </is>
      </c>
      <c r="E50" s="4" t="inlineStr">
        <is>
          <t>2026-04-21</t>
        </is>
      </c>
      <c r="F50" s="4" t="inlineStr">
        <is>
          <t>SIGVA</t>
        </is>
      </c>
      <c r="G50" s="5">
        <f>IF(H50="TT","TRABAJO TERMINADO",IF(H50="MI","TRABAJO NO TERMINADO",""))</f>
        <v/>
      </c>
      <c r="H50" s="6" t="inlineStr"/>
      <c r="I50" s="7">
        <f>IF(B50="", G50, IF(G50="", LEFT(B50,45), IF(45-LEN(G50)-2&lt;=0, G50, LEFT(B50,45-LEN(G50)-2)&amp;", "&amp;G50)))</f>
        <v/>
      </c>
      <c r="J50" s="8">
        <f>IF(H50="MI","NO REALIZADO " &amp; B50 &amp; " EN " &amp; C50 &amp; IF(K50&lt;&gt;""," " &amp; K50,""),IF(H50="TT","SE REALIZA " &amp; B50 &amp; " EN " &amp; C50 &amp; IF(K50&lt;&gt;""," " &amp; K50,""),""))</f>
        <v/>
      </c>
      <c r="K50" s="4" t="n"/>
      <c r="L50" s="4" t="inlineStr">
        <is>
          <t>NF</t>
        </is>
      </c>
    </row>
    <row r="51">
      <c r="A51" s="4" t="inlineStr">
        <is>
          <t>03668566</t>
        </is>
      </c>
      <c r="B51" s="4" t="inlineStr">
        <is>
          <t>MEDICION DE NIVELES FREATICOS</t>
        </is>
      </c>
      <c r="C51" s="4" t="inlineStr">
        <is>
          <t>CPZ-08C JACHUCOPOSA</t>
        </is>
      </c>
      <c r="D51" s="4" t="inlineStr">
        <is>
          <t>2026-04-15</t>
        </is>
      </c>
      <c r="E51" s="4" t="inlineStr">
        <is>
          <t>2026-04-21</t>
        </is>
      </c>
      <c r="F51" s="4" t="inlineStr">
        <is>
          <t>SIGVA</t>
        </is>
      </c>
      <c r="G51" s="5">
        <f>IF(H51="TT","TRABAJO TERMINADO",IF(H51="MI","TRABAJO NO TERMINADO",""))</f>
        <v/>
      </c>
      <c r="H51" s="6" t="inlineStr"/>
      <c r="I51" s="7">
        <f>IF(B51="", G51, IF(G51="", LEFT(B51,45), IF(45-LEN(G51)-2&lt;=0, G51, LEFT(B51,45-LEN(G51)-2)&amp;", "&amp;G51)))</f>
        <v/>
      </c>
      <c r="J51" s="8">
        <f>IF(H51="MI","NO REALIZADO " &amp; B51 &amp; " EN " &amp; C51 &amp; IF(K51&lt;&gt;""," " &amp; K51,""),IF(H51="TT","SE REALIZA " &amp; B51 &amp; " EN " &amp; C51 &amp; IF(K51&lt;&gt;""," " &amp; K51,""),""))</f>
        <v/>
      </c>
      <c r="K51" s="4" t="n"/>
      <c r="L51" s="4" t="inlineStr">
        <is>
          <t>NF</t>
        </is>
      </c>
    </row>
    <row r="52">
      <c r="A52" s="4" t="inlineStr">
        <is>
          <t>03668574</t>
        </is>
      </c>
      <c r="B52" s="4" t="inlineStr">
        <is>
          <t>MEDICION DE NIVELES FREATICOS</t>
        </is>
      </c>
      <c r="C52" s="4" t="inlineStr">
        <is>
          <t>CPZ-07A JACHUCOPOSA</t>
        </is>
      </c>
      <c r="D52" s="4" t="inlineStr">
        <is>
          <t>2026-04-15</t>
        </is>
      </c>
      <c r="E52" s="4" t="inlineStr">
        <is>
          <t>2026-04-21</t>
        </is>
      </c>
      <c r="F52" s="4" t="inlineStr">
        <is>
          <t>SIGVA</t>
        </is>
      </c>
      <c r="G52" s="5">
        <f>IF(H52="TT","TRABAJO TERMINADO",IF(H52="MI","TRABAJO NO TERMINADO",""))</f>
        <v/>
      </c>
      <c r="H52" s="6" t="inlineStr"/>
      <c r="I52" s="7">
        <f>IF(B52="", G52, IF(G52="", LEFT(B52,45), IF(45-LEN(G52)-2&lt;=0, G52, LEFT(B52,45-LEN(G52)-2)&amp;", "&amp;G52)))</f>
        <v/>
      </c>
      <c r="J52" s="8">
        <f>IF(H52="MI","NO REALIZADO " &amp; B52 &amp; " EN " &amp; C52 &amp; IF(K52&lt;&gt;""," " &amp; K52,""),IF(H52="TT","SE REALIZA " &amp; B52 &amp; " EN " &amp; C52 &amp; IF(K52&lt;&gt;""," " &amp; K52,""),""))</f>
        <v/>
      </c>
      <c r="K52" s="4" t="n"/>
      <c r="L52" s="4" t="inlineStr">
        <is>
          <t>NF</t>
        </is>
      </c>
    </row>
    <row r="53">
      <c r="A53" s="4" t="inlineStr">
        <is>
          <t>03668575</t>
        </is>
      </c>
      <c r="B53" s="4" t="inlineStr">
        <is>
          <t>MEDICION DE NIVELES FREATICOS</t>
        </is>
      </c>
      <c r="C53" s="4" t="inlineStr">
        <is>
          <t>CWE-12 JACHUCOPOSA</t>
        </is>
      </c>
      <c r="D53" s="4" t="inlineStr">
        <is>
          <t>2026-04-15</t>
        </is>
      </c>
      <c r="E53" s="4" t="inlineStr">
        <is>
          <t>2026-04-21</t>
        </is>
      </c>
      <c r="F53" s="4" t="inlineStr">
        <is>
          <t>SIGVA</t>
        </is>
      </c>
      <c r="G53" s="5">
        <f>IF(H53="TT","TRABAJO TERMINADO",IF(H53="MI","TRABAJO NO TERMINADO",""))</f>
        <v/>
      </c>
      <c r="H53" s="6" t="inlineStr"/>
      <c r="I53" s="7">
        <f>IF(B53="", G53, IF(G53="", LEFT(B53,45), IF(45-LEN(G53)-2&lt;=0, G53, LEFT(B53,45-LEN(G53)-2)&amp;", "&amp;G53)))</f>
        <v/>
      </c>
      <c r="J53" s="8">
        <f>IF(H53="MI","NO REALIZADO " &amp; B53 &amp; " EN " &amp; C53 &amp; IF(K53&lt;&gt;""," " &amp; K53,""),IF(H53="TT","SE REALIZA " &amp; B53 &amp; " EN " &amp; C53 &amp; IF(K53&lt;&gt;""," " &amp; K53,""),""))</f>
        <v/>
      </c>
      <c r="K53" s="4" t="n"/>
      <c r="L53" s="4" t="inlineStr">
        <is>
          <t>NF</t>
        </is>
      </c>
    </row>
    <row r="54">
      <c r="A54" s="4" t="inlineStr">
        <is>
          <t>03668579</t>
        </is>
      </c>
      <c r="B54" s="4" t="inlineStr">
        <is>
          <t>MM DE AGUAS SUBTERRÁNEAS</t>
        </is>
      </c>
      <c r="C54" s="4" t="inlineStr">
        <is>
          <t>CWE-01 FALLA PABELLON</t>
        </is>
      </c>
      <c r="D54" s="4" t="inlineStr">
        <is>
          <t>2026-04-15</t>
        </is>
      </c>
      <c r="E54" s="4" t="inlineStr">
        <is>
          <t>2026-04-21</t>
        </is>
      </c>
      <c r="F54" s="4" t="inlineStr">
        <is>
          <t>SIGVA</t>
        </is>
      </c>
      <c r="G54" s="5">
        <f>IF(H54="TT","TRABAJO TERMINADO",IF(H54="MI","TRABAJO NO TERMINADO",""))</f>
        <v/>
      </c>
      <c r="H54" s="6" t="inlineStr"/>
      <c r="I54" s="7">
        <f>IF(B54="", G54, IF(G54="", LEFT(B54,45), IF(45-LEN(G54)-2&lt;=0, G54, LEFT(B54,45-LEN(G54)-2)&amp;", "&amp;G54)))</f>
        <v/>
      </c>
      <c r="J54" s="8">
        <f>IF(H54="MI","NO REALIZADO " &amp; B54 &amp; " EN " &amp; C54 &amp; IF(K54&lt;&gt;""," " &amp; K54,""),IF(H54="TT","SE REALIZA " &amp; B54 &amp; " EN " &amp; C54 &amp; IF(K54&lt;&gt;""," " &amp; K54,""),""))</f>
        <v/>
      </c>
      <c r="K54" s="4" t="n"/>
      <c r="L54" s="4" t="inlineStr">
        <is>
          <t>ASUB</t>
        </is>
      </c>
    </row>
    <row r="55">
      <c r="A55" s="4" t="inlineStr">
        <is>
          <t>03668581</t>
        </is>
      </c>
      <c r="B55" s="4" t="inlineStr">
        <is>
          <t>MM DE AGUAS SUBTERRÁNEAS</t>
        </is>
      </c>
      <c r="C55" s="4" t="inlineStr">
        <is>
          <t>CWE-06 FALLA PABELLON</t>
        </is>
      </c>
      <c r="D55" s="4" t="inlineStr">
        <is>
          <t>2026-04-15</t>
        </is>
      </c>
      <c r="E55" s="4" t="inlineStr">
        <is>
          <t>2026-04-21</t>
        </is>
      </c>
      <c r="F55" s="4" t="inlineStr">
        <is>
          <t>SIGVA</t>
        </is>
      </c>
      <c r="G55" s="5">
        <f>IF(H55="TT","TRABAJO TERMINADO",IF(H55="MI","TRABAJO NO TERMINADO",""))</f>
        <v/>
      </c>
      <c r="H55" s="6" t="inlineStr"/>
      <c r="I55" s="7">
        <f>IF(B55="", G55, IF(G55="", LEFT(B55,45), IF(45-LEN(G55)-2&lt;=0, G55, LEFT(B55,45-LEN(G55)-2)&amp;", "&amp;G55)))</f>
        <v/>
      </c>
      <c r="J55" s="8">
        <f>IF(H55="MI","NO REALIZADO " &amp; B55 &amp; " EN " &amp; C55 &amp; IF(K55&lt;&gt;""," " &amp; K55,""),IF(H55="TT","SE REALIZA " &amp; B55 &amp; " EN " &amp; C55 &amp; IF(K55&lt;&gt;""," " &amp; K55,""),""))</f>
        <v/>
      </c>
      <c r="K55" s="4" t="n"/>
      <c r="L55" s="4" t="inlineStr">
        <is>
          <t>ASUB</t>
        </is>
      </c>
    </row>
    <row r="56">
      <c r="A56" s="4" t="inlineStr">
        <is>
          <t>03668584</t>
        </is>
      </c>
      <c r="B56" s="4" t="inlineStr">
        <is>
          <t>MM DE AGUAS SUBTERRÁNEAS</t>
        </is>
      </c>
      <c r="C56" s="4" t="inlineStr">
        <is>
          <t>CWE-12 JACHUCOPOSA</t>
        </is>
      </c>
      <c r="D56" s="4" t="inlineStr">
        <is>
          <t>2026-04-15</t>
        </is>
      </c>
      <c r="E56" s="4" t="inlineStr">
        <is>
          <t>2026-04-21</t>
        </is>
      </c>
      <c r="F56" s="4" t="inlineStr">
        <is>
          <t>SIGVA</t>
        </is>
      </c>
      <c r="G56" s="5">
        <f>IF(H56="TT","TRABAJO TERMINADO",IF(H56="MI","TRABAJO NO TERMINADO",""))</f>
        <v/>
      </c>
      <c r="H56" s="6" t="inlineStr"/>
      <c r="I56" s="7">
        <f>IF(B56="", G56, IF(G56="", LEFT(B56,45), IF(45-LEN(G56)-2&lt;=0, G56, LEFT(B56,45-LEN(G56)-2)&amp;", "&amp;G56)))</f>
        <v/>
      </c>
      <c r="J56" s="8">
        <f>IF(H56="MI","NO REALIZADO " &amp; B56 &amp; " EN " &amp; C56 &amp; IF(K56&lt;&gt;""," " &amp; K56,""),IF(H56="TT","SE REALIZA " &amp; B56 &amp; " EN " &amp; C56 &amp; IF(K56&lt;&gt;""," " &amp; K56,""),""))</f>
        <v/>
      </c>
      <c r="K56" s="4" t="n"/>
      <c r="L56" s="4" t="inlineStr">
        <is>
          <t>ASUB</t>
        </is>
      </c>
    </row>
    <row r="57">
      <c r="A57" s="4" t="inlineStr">
        <is>
          <t>03668585</t>
        </is>
      </c>
      <c r="B57" s="4" t="inlineStr">
        <is>
          <t>MM DE AGUAS SUBTERRÁNEAS</t>
        </is>
      </c>
      <c r="C57" s="4" t="inlineStr">
        <is>
          <t>CWE-19 JACHUCOPOSA</t>
        </is>
      </c>
      <c r="D57" s="4" t="inlineStr">
        <is>
          <t>2026-04-15</t>
        </is>
      </c>
      <c r="E57" s="4" t="inlineStr">
        <is>
          <t>2026-04-21</t>
        </is>
      </c>
      <c r="F57" s="4" t="inlineStr">
        <is>
          <t>SIGVA</t>
        </is>
      </c>
      <c r="G57" s="5">
        <f>IF(H57="TT","TRABAJO TERMINADO",IF(H57="MI","TRABAJO NO TERMINADO",""))</f>
        <v/>
      </c>
      <c r="H57" s="6" t="inlineStr"/>
      <c r="I57" s="7">
        <f>IF(B57="", G57, IF(G57="", LEFT(B57,45), IF(45-LEN(G57)-2&lt;=0, G57, LEFT(B57,45-LEN(G57)-2)&amp;", "&amp;G57)))</f>
        <v/>
      </c>
      <c r="J57" s="8">
        <f>IF(H57="MI","NO REALIZADO " &amp; B57 &amp; " EN " &amp; C57 &amp; IF(K57&lt;&gt;""," " &amp; K57,""),IF(H57="TT","SE REALIZA " &amp; B57 &amp; " EN " &amp; C57 &amp; IF(K57&lt;&gt;""," " &amp; K57,""),""))</f>
        <v/>
      </c>
      <c r="K57" s="4" t="n"/>
      <c r="L57" s="4" t="inlineStr">
        <is>
          <t>ASUB</t>
        </is>
      </c>
    </row>
    <row r="58">
      <c r="A58" s="4" t="inlineStr">
        <is>
          <t>03668591</t>
        </is>
      </c>
      <c r="B58" s="4" t="inlineStr">
        <is>
          <t>MEDICION DE NIVELES FREATICOS</t>
        </is>
      </c>
      <c r="C58" s="4" t="inlineStr">
        <is>
          <t>CWE-01 FALLA PABELLON</t>
        </is>
      </c>
      <c r="D58" s="4" t="inlineStr">
        <is>
          <t>2026-04-15</t>
        </is>
      </c>
      <c r="E58" s="4" t="inlineStr">
        <is>
          <t>2026-04-21</t>
        </is>
      </c>
      <c r="F58" s="4" t="inlineStr">
        <is>
          <t>SIGVA</t>
        </is>
      </c>
      <c r="G58" s="5">
        <f>IF(H58="TT","TRABAJO TERMINADO",IF(H58="MI","TRABAJO NO TERMINADO",""))</f>
        <v/>
      </c>
      <c r="H58" s="6" t="inlineStr"/>
      <c r="I58" s="7">
        <f>IF(B58="", G58, IF(G58="", LEFT(B58,45), IF(45-LEN(G58)-2&lt;=0, G58, LEFT(B58,45-LEN(G58)-2)&amp;", "&amp;G58)))</f>
        <v/>
      </c>
      <c r="J58" s="8">
        <f>IF(H58="MI","NO REALIZADO " &amp; B58 &amp; " EN " &amp; C58 &amp; IF(K58&lt;&gt;""," " &amp; K58,""),IF(H58="TT","SE REALIZA " &amp; B58 &amp; " EN " &amp; C58 &amp; IF(K58&lt;&gt;""," " &amp; K58,""),""))</f>
        <v/>
      </c>
      <c r="K58" s="4" t="n"/>
      <c r="L58" s="4" t="inlineStr">
        <is>
          <t>NF</t>
        </is>
      </c>
    </row>
    <row r="59">
      <c r="A59" s="4" t="inlineStr">
        <is>
          <t>03668592</t>
        </is>
      </c>
      <c r="B59" s="4" t="inlineStr">
        <is>
          <t>MEDICION DE NIVELES FREATICOS</t>
        </is>
      </c>
      <c r="C59" s="4" t="inlineStr">
        <is>
          <t>CWE-06 FALLA PABELLON</t>
        </is>
      </c>
      <c r="D59" s="4" t="inlineStr">
        <is>
          <t>2026-04-15</t>
        </is>
      </c>
      <c r="E59" s="4" t="inlineStr">
        <is>
          <t>2026-04-21</t>
        </is>
      </c>
      <c r="F59" s="4" t="inlineStr">
        <is>
          <t>SIGVA</t>
        </is>
      </c>
      <c r="G59" s="5">
        <f>IF(H59="TT","TRABAJO TERMINADO",IF(H59="MI","TRABAJO NO TERMINADO",""))</f>
        <v/>
      </c>
      <c r="H59" s="6" t="inlineStr"/>
      <c r="I59" s="7">
        <f>IF(B59="", G59, IF(G59="", LEFT(B59,45), IF(45-LEN(G59)-2&lt;=0, G59, LEFT(B59,45-LEN(G59)-2)&amp;", "&amp;G59)))</f>
        <v/>
      </c>
      <c r="J59" s="8">
        <f>IF(H59="MI","NO REALIZADO " &amp; B59 &amp; " EN " &amp; C59 &amp; IF(K59&lt;&gt;""," " &amp; K59,""),IF(H59="TT","SE REALIZA " &amp; B59 &amp; " EN " &amp; C59 &amp; IF(K59&lt;&gt;""," " &amp; K59,""),""))</f>
        <v/>
      </c>
      <c r="K59" s="4" t="n"/>
      <c r="L59" s="4" t="inlineStr">
        <is>
          <t>NF</t>
        </is>
      </c>
    </row>
    <row r="60">
      <c r="A60" s="4" t="inlineStr">
        <is>
          <t>03668594</t>
        </is>
      </c>
      <c r="B60" s="4" t="inlineStr">
        <is>
          <t>MM DE AGUAS SUBTERRÁNEAS</t>
        </is>
      </c>
      <c r="C60" s="4" t="inlineStr">
        <is>
          <t>CWP-14 FALLA PABELLON</t>
        </is>
      </c>
      <c r="D60" s="4" t="inlineStr">
        <is>
          <t>2026-04-15</t>
        </is>
      </c>
      <c r="E60" s="4" t="inlineStr">
        <is>
          <t>2026-04-21</t>
        </is>
      </c>
      <c r="F60" s="4" t="inlineStr">
        <is>
          <t>SIGVA</t>
        </is>
      </c>
      <c r="G60" s="5">
        <f>IF(H60="TT","TRABAJO TERMINADO",IF(H60="MI","TRABAJO NO TERMINADO",""))</f>
        <v/>
      </c>
      <c r="H60" s="6" t="inlineStr"/>
      <c r="I60" s="7">
        <f>IF(B60="", G60, IF(G60="", LEFT(B60,45), IF(45-LEN(G60)-2&lt;=0, G60, LEFT(B60,45-LEN(G60)-2)&amp;", "&amp;G60)))</f>
        <v/>
      </c>
      <c r="J60" s="8">
        <f>IF(H60="MI","NO REALIZADO " &amp; B60 &amp; " EN " &amp; C60 &amp; IF(K60&lt;&gt;""," " &amp; K60,""),IF(H60="TT","SE REALIZA " &amp; B60 &amp; " EN " &amp; C60 &amp; IF(K60&lt;&gt;""," " &amp; K60,""),""))</f>
        <v/>
      </c>
      <c r="K60" s="4" t="n"/>
      <c r="L60" s="4" t="inlineStr">
        <is>
          <t>ASUB</t>
        </is>
      </c>
    </row>
    <row r="61">
      <c r="A61" s="4" t="inlineStr">
        <is>
          <t>03668595</t>
        </is>
      </c>
      <c r="B61" s="4" t="inlineStr">
        <is>
          <t>MEDICION DE NIVELES FREATICOS</t>
        </is>
      </c>
      <c r="C61" s="4" t="inlineStr">
        <is>
          <t>CWP-14 FALLA PABELLON</t>
        </is>
      </c>
      <c r="D61" s="4" t="inlineStr">
        <is>
          <t>2026-04-15</t>
        </is>
      </c>
      <c r="E61" s="4" t="inlineStr">
        <is>
          <t>2026-04-21</t>
        </is>
      </c>
      <c r="F61" s="4" t="inlineStr">
        <is>
          <t>SIGVA</t>
        </is>
      </c>
      <c r="G61" s="5">
        <f>IF(H61="TT","TRABAJO TERMINADO",IF(H61="MI","TRABAJO NO TERMINADO",""))</f>
        <v/>
      </c>
      <c r="H61" s="6" t="inlineStr"/>
      <c r="I61" s="7">
        <f>IF(B61="", G61, IF(G61="", LEFT(B61,45), IF(45-LEN(G61)-2&lt;=0, G61, LEFT(B61,45-LEN(G61)-2)&amp;", "&amp;G61)))</f>
        <v/>
      </c>
      <c r="J61" s="8">
        <f>IF(H61="MI","NO REALIZADO " &amp; B61 &amp; " EN " &amp; C61 &amp; IF(K61&lt;&gt;""," " &amp; K61,""),IF(H61="TT","SE REALIZA " &amp; B61 &amp; " EN " &amp; C61 &amp; IF(K61&lt;&gt;""," " &amp; K61,""),""))</f>
        <v/>
      </c>
      <c r="K61" s="4" t="n"/>
      <c r="L61" s="4" t="inlineStr">
        <is>
          <t>NF</t>
        </is>
      </c>
    </row>
    <row r="62">
      <c r="A62" s="4" t="inlineStr">
        <is>
          <t>03668596</t>
        </is>
      </c>
      <c r="B62" s="4" t="inlineStr">
        <is>
          <t>MEDICION DE NIVELES FREATICOS</t>
        </is>
      </c>
      <c r="C62" s="4" t="inlineStr">
        <is>
          <t>DEC-06B COPOSA SUR</t>
        </is>
      </c>
      <c r="D62" s="4" t="inlineStr">
        <is>
          <t>2026-04-15</t>
        </is>
      </c>
      <c r="E62" s="4" t="inlineStr">
        <is>
          <t>2026-04-21</t>
        </is>
      </c>
      <c r="F62" s="4" t="inlineStr">
        <is>
          <t>SIGVANC</t>
        </is>
      </c>
      <c r="G62" s="5">
        <f>IF(H62="TT","TRABAJO TERMINADO",IF(H62="MI","TRABAJO NO TERMINADO",""))</f>
        <v/>
      </c>
      <c r="H62" s="6" t="inlineStr"/>
      <c r="I62" s="7">
        <f>IF(B62="", G62, IF(G62="", LEFT(B62,45), IF(45-LEN(G62)-2&lt;=0, G62, LEFT(B62,45-LEN(G62)-2)&amp;", "&amp;G62)))</f>
        <v/>
      </c>
      <c r="J62" s="8">
        <f>IF(H62="MI","NO REALIZADO " &amp; B62 &amp; " EN " &amp; C62 &amp; IF(K62&lt;&gt;""," " &amp; K62,""),IF(H62="TT","SE REALIZA " &amp; B62 &amp; " EN " &amp; C62 &amp; IF(K62&lt;&gt;""," " &amp; K62,""),""))</f>
        <v/>
      </c>
      <c r="K62" s="4" t="n"/>
      <c r="L62" s="4" t="inlineStr">
        <is>
          <t>NF</t>
        </is>
      </c>
    </row>
    <row r="63">
      <c r="A63" s="4" t="inlineStr">
        <is>
          <t>03668599</t>
        </is>
      </c>
      <c r="B63" s="4" t="inlineStr">
        <is>
          <t>MM DE AGUAS SUPERFICIALES</t>
        </is>
      </c>
      <c r="C63" s="4" t="inlineStr">
        <is>
          <t>JCC-4 JACHUCOPOSA</t>
        </is>
      </c>
      <c r="D63" s="4" t="inlineStr">
        <is>
          <t>2026-04-15</t>
        </is>
      </c>
      <c r="E63" s="4" t="inlineStr">
        <is>
          <t>2026-04-21</t>
        </is>
      </c>
      <c r="F63" s="4" t="inlineStr">
        <is>
          <t>SIGVA</t>
        </is>
      </c>
      <c r="G63" s="5">
        <f>IF(H63="TT","TRABAJO TERMINADO",IF(H63="MI","TRABAJO NO TERMINADO",""))</f>
        <v/>
      </c>
      <c r="H63" s="6" t="inlineStr"/>
      <c r="I63" s="7">
        <f>IF(B63="", G63, IF(G63="", LEFT(B63,45), IF(45-LEN(G63)-2&lt;=0, G63, LEFT(B63,45-LEN(G63)-2)&amp;", "&amp;G63)))</f>
        <v/>
      </c>
      <c r="J63" s="8">
        <f>IF(H63="MI","NO REALIZADO " &amp; B63 &amp; " EN " &amp; C63 &amp; IF(K63&lt;&gt;""," " &amp; K63,""),IF(H63="TT","SE REALIZA " &amp; B63 &amp; " EN " &amp; C63 &amp; IF(K63&lt;&gt;""," " &amp; K63,""),""))</f>
        <v/>
      </c>
      <c r="K63" s="4" t="n"/>
      <c r="L63" s="4" t="inlineStr">
        <is>
          <t>ASUP</t>
        </is>
      </c>
    </row>
    <row r="64">
      <c r="A64" s="4" t="inlineStr">
        <is>
          <t>03668600</t>
        </is>
      </c>
      <c r="B64" s="4" t="inlineStr">
        <is>
          <t>MM DE AGUAS SUPERFICIALES</t>
        </is>
      </c>
      <c r="C64" s="4" t="inlineStr">
        <is>
          <t>JCC-5 JACHUCOPOSA</t>
        </is>
      </c>
      <c r="D64" s="4" t="inlineStr">
        <is>
          <t>2026-04-15</t>
        </is>
      </c>
      <c r="E64" s="4" t="inlineStr">
        <is>
          <t>2026-04-21</t>
        </is>
      </c>
      <c r="F64" s="4" t="inlineStr">
        <is>
          <t>SIGVA</t>
        </is>
      </c>
      <c r="G64" s="5">
        <f>IF(H64="TT","TRABAJO TERMINADO",IF(H64="MI","TRABAJO NO TERMINADO",""))</f>
        <v/>
      </c>
      <c r="H64" s="6" t="inlineStr"/>
      <c r="I64" s="7">
        <f>IF(B64="", G64, IF(G64="", LEFT(B64,45), IF(45-LEN(G64)-2&lt;=0, G64, LEFT(B64,45-LEN(G64)-2)&amp;", "&amp;G64)))</f>
        <v/>
      </c>
      <c r="J64" s="8">
        <f>IF(H64="MI","NO REALIZADO " &amp; B64 &amp; " EN " &amp; C64 &amp; IF(K64&lt;&gt;""," " &amp; K64,""),IF(H64="TT","SE REALIZA " &amp; B64 &amp; " EN " &amp; C64 &amp; IF(K64&lt;&gt;""," " &amp; K64,""),""))</f>
        <v/>
      </c>
      <c r="K64" s="4" t="n"/>
      <c r="L64" s="4" t="inlineStr">
        <is>
          <t>ASUP</t>
        </is>
      </c>
    </row>
    <row r="65">
      <c r="A65" s="4" t="inlineStr">
        <is>
          <t>03668601</t>
        </is>
      </c>
      <c r="B65" s="4" t="inlineStr">
        <is>
          <t>MM DE AGUAS SUBTERRÁNEAS</t>
        </is>
      </c>
      <c r="C65" s="4" t="inlineStr">
        <is>
          <t>M-12 LIXIVIACIÓN</t>
        </is>
      </c>
      <c r="D65" s="4" t="inlineStr">
        <is>
          <t>2026-04-15</t>
        </is>
      </c>
      <c r="E65" s="4" t="inlineStr">
        <is>
          <t>2026-04-21</t>
        </is>
      </c>
      <c r="F65" s="4" t="inlineStr">
        <is>
          <t>SIGVA</t>
        </is>
      </c>
      <c r="G65" s="5">
        <f>IF(H65="TT","TRABAJO TERMINADO",IF(H65="MI","TRABAJO NO TERMINADO",""))</f>
        <v/>
      </c>
      <c r="H65" s="6" t="inlineStr"/>
      <c r="I65" s="7">
        <f>IF(B65="", G65, IF(G65="", LEFT(B65,45), IF(45-LEN(G65)-2&lt;=0, G65, LEFT(B65,45-LEN(G65)-2)&amp;", "&amp;G65)))</f>
        <v/>
      </c>
      <c r="J65" s="8">
        <f>IF(H65="MI","NO REALIZADO " &amp; B65 &amp; " EN " &amp; C65 &amp; IF(K65&lt;&gt;""," " &amp; K65,""),IF(H65="TT","SE REALIZA " &amp; B65 &amp; " EN " &amp; C65 &amp; IF(K65&lt;&gt;""," " &amp; K65,""),""))</f>
        <v/>
      </c>
      <c r="K65" s="4" t="n"/>
      <c r="L65" s="4" t="inlineStr">
        <is>
          <t>ASUB</t>
        </is>
      </c>
    </row>
    <row r="66">
      <c r="A66" s="4" t="inlineStr">
        <is>
          <t>03668602</t>
        </is>
      </c>
      <c r="B66" s="4" t="inlineStr">
        <is>
          <t>MEDICION DE NIVELES FREATICOS</t>
        </is>
      </c>
      <c r="C66" s="4" t="inlineStr">
        <is>
          <t>M-12 LIXIVIACIÓN</t>
        </is>
      </c>
      <c r="D66" s="4" t="inlineStr">
        <is>
          <t>2026-04-15</t>
        </is>
      </c>
      <c r="E66" s="4" t="inlineStr">
        <is>
          <t>2026-04-21</t>
        </is>
      </c>
      <c r="F66" s="4" t="inlineStr">
        <is>
          <t>SIGVA</t>
        </is>
      </c>
      <c r="G66" s="5">
        <f>IF(H66="TT","TRABAJO TERMINADO",IF(H66="MI","TRABAJO NO TERMINADO",""))</f>
        <v/>
      </c>
      <c r="H66" s="6" t="inlineStr"/>
      <c r="I66" s="7">
        <f>IF(B66="", G66, IF(G66="", LEFT(B66,45), IF(45-LEN(G66)-2&lt;=0, G66, LEFT(B66,45-LEN(G66)-2)&amp;", "&amp;G66)))</f>
        <v/>
      </c>
      <c r="J66" s="8">
        <f>IF(H66="MI","NO REALIZADO " &amp; B66 &amp; " EN " &amp; C66 &amp; IF(K66&lt;&gt;""," " &amp; K66,""),IF(H66="TT","SE REALIZA " &amp; B66 &amp; " EN " &amp; C66 &amp; IF(K66&lt;&gt;""," " &amp; K66,""),""))</f>
        <v/>
      </c>
      <c r="K66" s="4" t="n"/>
      <c r="L66" s="4" t="inlineStr">
        <is>
          <t>NF</t>
        </is>
      </c>
    </row>
    <row r="67">
      <c r="A67" s="4" t="inlineStr">
        <is>
          <t>03668603</t>
        </is>
      </c>
      <c r="B67" s="4" t="inlineStr">
        <is>
          <t>MM DE AGUAS SUBTERRÁNEAS</t>
        </is>
      </c>
      <c r="C67" s="4" t="inlineStr">
        <is>
          <t>MA-08 FALLA PABELLON</t>
        </is>
      </c>
      <c r="D67" s="4" t="inlineStr">
        <is>
          <t>2026-04-15</t>
        </is>
      </c>
      <c r="E67" s="4" t="inlineStr">
        <is>
          <t>2026-04-21</t>
        </is>
      </c>
      <c r="F67" s="4" t="inlineStr">
        <is>
          <t>SIGVANC</t>
        </is>
      </c>
      <c r="G67" s="5">
        <f>IF(H67="TT","TRABAJO TERMINADO",IF(H67="MI","TRABAJO NO TERMINADO",""))</f>
        <v/>
      </c>
      <c r="H67" s="6" t="inlineStr"/>
      <c r="I67" s="7">
        <f>IF(B67="", G67, IF(G67="", LEFT(B67,45), IF(45-LEN(G67)-2&lt;=0, G67, LEFT(B67,45-LEN(G67)-2)&amp;", "&amp;G67)))</f>
        <v/>
      </c>
      <c r="J67" s="8">
        <f>IF(H67="MI","NO REALIZADO " &amp; B67 &amp; " EN " &amp; C67 &amp; IF(K67&lt;&gt;""," " &amp; K67,""),IF(H67="TT","SE REALIZA " &amp; B67 &amp; " EN " &amp; C67 &amp; IF(K67&lt;&gt;""," " &amp; K67,""),""))</f>
        <v/>
      </c>
      <c r="K67" s="4" t="n"/>
      <c r="L67" s="4" t="inlineStr">
        <is>
          <t>ASUB</t>
        </is>
      </c>
    </row>
    <row r="68">
      <c r="A68" s="4" t="inlineStr">
        <is>
          <t>03668604</t>
        </is>
      </c>
      <c r="B68" s="4" t="inlineStr">
        <is>
          <t>MM DE AGUAS SUBTERRÁNEAS</t>
        </is>
      </c>
      <c r="C68" s="4" t="inlineStr">
        <is>
          <t>MAU-01B LIXIVIACIÓN</t>
        </is>
      </c>
      <c r="D68" s="4" t="inlineStr">
        <is>
          <t>2026-04-15</t>
        </is>
      </c>
      <c r="E68" s="4" t="inlineStr">
        <is>
          <t>2026-04-21</t>
        </is>
      </c>
      <c r="F68" s="4" t="inlineStr">
        <is>
          <t>SIGVA</t>
        </is>
      </c>
      <c r="G68" s="5">
        <f>IF(H68="TT","TRABAJO TERMINADO",IF(H68="MI","TRABAJO NO TERMINADO",""))</f>
        <v/>
      </c>
      <c r="H68" s="6" t="inlineStr"/>
      <c r="I68" s="7">
        <f>IF(B68="", G68, IF(G68="", LEFT(B68,45), IF(45-LEN(G68)-2&lt;=0, G68, LEFT(B68,45-LEN(G68)-2)&amp;", "&amp;G68)))</f>
        <v/>
      </c>
      <c r="J68" s="8">
        <f>IF(H68="MI","NO REALIZADO " &amp; B68 &amp; " EN " &amp; C68 &amp; IF(K68&lt;&gt;""," " &amp; K68,""),IF(H68="TT","SE REALIZA " &amp; B68 &amp; " EN " &amp; C68 &amp; IF(K68&lt;&gt;""," " &amp; K68,""),""))</f>
        <v/>
      </c>
      <c r="K68" s="4" t="n"/>
      <c r="L68" s="4" t="inlineStr">
        <is>
          <t>ASUB</t>
        </is>
      </c>
    </row>
    <row r="69">
      <c r="A69" s="4" t="inlineStr">
        <is>
          <t>03668605</t>
        </is>
      </c>
      <c r="B69" s="4" t="inlineStr">
        <is>
          <t>MM DE AGUAS SUBTERRÁNEAS</t>
        </is>
      </c>
      <c r="C69" s="4" t="inlineStr">
        <is>
          <t>MAU-12 LIXIVIACIÓN</t>
        </is>
      </c>
      <c r="D69" s="4" t="inlineStr">
        <is>
          <t>2026-04-15</t>
        </is>
      </c>
      <c r="E69" s="4" t="inlineStr">
        <is>
          <t>2026-04-21</t>
        </is>
      </c>
      <c r="F69" s="4" t="inlineStr">
        <is>
          <t>SIGVA</t>
        </is>
      </c>
      <c r="G69" s="5">
        <f>IF(H69="TT","TRABAJO TERMINADO",IF(H69="MI","TRABAJO NO TERMINADO",""))</f>
        <v/>
      </c>
      <c r="H69" s="6" t="inlineStr"/>
      <c r="I69" s="7">
        <f>IF(B69="", G69, IF(G69="", LEFT(B69,45), IF(45-LEN(G69)-2&lt;=0, G69, LEFT(B69,45-LEN(G69)-2)&amp;", "&amp;G69)))</f>
        <v/>
      </c>
      <c r="J69" s="8">
        <f>IF(H69="MI","NO REALIZADO " &amp; B69 &amp; " EN " &amp; C69 &amp; IF(K69&lt;&gt;""," " &amp; K69,""),IF(H69="TT","SE REALIZA " &amp; B69 &amp; " EN " &amp; C69 &amp; IF(K69&lt;&gt;""," " &amp; K69,""),""))</f>
        <v/>
      </c>
      <c r="K69" s="4" t="n"/>
      <c r="L69" s="4" t="inlineStr">
        <is>
          <t>ASUB</t>
        </is>
      </c>
    </row>
    <row r="70">
      <c r="A70" s="4" t="inlineStr">
        <is>
          <t>03668606</t>
        </is>
      </c>
      <c r="B70" s="4" t="inlineStr">
        <is>
          <t>MEDICION DE NIVELES FREATICOS</t>
        </is>
      </c>
      <c r="C70" s="4" t="inlineStr">
        <is>
          <t>MAU-01B LIXIVIACIÓN</t>
        </is>
      </c>
      <c r="D70" s="4" t="inlineStr">
        <is>
          <t>2026-04-15</t>
        </is>
      </c>
      <c r="E70" s="4" t="inlineStr">
        <is>
          <t>2026-04-21</t>
        </is>
      </c>
      <c r="F70" s="4" t="inlineStr">
        <is>
          <t>SIGVA</t>
        </is>
      </c>
      <c r="G70" s="5">
        <f>IF(H70="TT","TRABAJO TERMINADO",IF(H70="MI","TRABAJO NO TERMINADO",""))</f>
        <v/>
      </c>
      <c r="H70" s="6" t="inlineStr"/>
      <c r="I70" s="7">
        <f>IF(B70="", G70, IF(G70="", LEFT(B70,45), IF(45-LEN(G70)-2&lt;=0, G70, LEFT(B70,45-LEN(G70)-2)&amp;", "&amp;G70)))</f>
        <v/>
      </c>
      <c r="J70" s="8">
        <f>IF(H70="MI","NO REALIZADO " &amp; B70 &amp; " EN " &amp; C70 &amp; IF(K70&lt;&gt;""," " &amp; K70,""),IF(H70="TT","SE REALIZA " &amp; B70 &amp; " EN " &amp; C70 &amp; IF(K70&lt;&gt;""," " &amp; K70,""),""))</f>
        <v/>
      </c>
      <c r="K70" s="4" t="n"/>
      <c r="L70" s="4" t="inlineStr">
        <is>
          <t>NF</t>
        </is>
      </c>
    </row>
    <row r="71">
      <c r="A71" s="4" t="inlineStr">
        <is>
          <t>03668607</t>
        </is>
      </c>
      <c r="B71" s="4" t="inlineStr">
        <is>
          <t>MEDICION DE NIVELES FREATICOS</t>
        </is>
      </c>
      <c r="C71" s="4" t="inlineStr">
        <is>
          <t>MAU-12 LIXIVIACIÓN</t>
        </is>
      </c>
      <c r="D71" s="4" t="inlineStr">
        <is>
          <t>2026-04-15</t>
        </is>
      </c>
      <c r="E71" s="4" t="inlineStr">
        <is>
          <t>2026-04-21</t>
        </is>
      </c>
      <c r="F71" s="4" t="inlineStr">
        <is>
          <t>SIGVA</t>
        </is>
      </c>
      <c r="G71" s="5">
        <f>IF(H71="TT","TRABAJO TERMINADO",IF(H71="MI","TRABAJO NO TERMINADO",""))</f>
        <v/>
      </c>
      <c r="H71" s="6" t="inlineStr"/>
      <c r="I71" s="7">
        <f>IF(B71="", G71, IF(G71="", LEFT(B71,45), IF(45-LEN(G71)-2&lt;=0, G71, LEFT(B71,45-LEN(G71)-2)&amp;", "&amp;G71)))</f>
        <v/>
      </c>
      <c r="J71" s="8">
        <f>IF(H71="MI","NO REALIZADO " &amp; B71 &amp; " EN " &amp; C71 &amp; IF(K71&lt;&gt;""," " &amp; K71,""),IF(H71="TT","SE REALIZA " &amp; B71 &amp; " EN " &amp; C71 &amp; IF(K71&lt;&gt;""," " &amp; K71,""),""))</f>
        <v/>
      </c>
      <c r="K71" s="4" t="n"/>
      <c r="L71" s="4" t="inlineStr">
        <is>
          <t>NF</t>
        </is>
      </c>
    </row>
    <row r="72">
      <c r="A72" s="4" t="inlineStr">
        <is>
          <t>03668608</t>
        </is>
      </c>
      <c r="B72" s="4" t="inlineStr">
        <is>
          <t>MEDICION DE NIVELES FREATICOS</t>
        </is>
      </c>
      <c r="C72" s="4" t="inlineStr">
        <is>
          <t>MTP-11 LIXIVIACIÓN</t>
        </is>
      </c>
      <c r="D72" s="4" t="inlineStr">
        <is>
          <t>2026-04-15</t>
        </is>
      </c>
      <c r="E72" s="4" t="inlineStr">
        <is>
          <t>2026-04-21</t>
        </is>
      </c>
      <c r="F72" s="4" t="inlineStr">
        <is>
          <t>SIGVA</t>
        </is>
      </c>
      <c r="G72" s="5">
        <f>IF(H72="TT","TRABAJO TERMINADO",IF(H72="MI","TRABAJO NO TERMINADO",""))</f>
        <v/>
      </c>
      <c r="H72" s="6" t="inlineStr"/>
      <c r="I72" s="7">
        <f>IF(B72="", G72, IF(G72="", LEFT(B72,45), IF(45-LEN(G72)-2&lt;=0, G72, LEFT(B72,45-LEN(G72)-2)&amp;", "&amp;G72)))</f>
        <v/>
      </c>
      <c r="J72" s="8">
        <f>IF(H72="MI","NO REALIZADO " &amp; B72 &amp; " EN " &amp; C72 &amp; IF(K72&lt;&gt;""," " &amp; K72,""),IF(H72="TT","SE REALIZA " &amp; B72 &amp; " EN " &amp; C72 &amp; IF(K72&lt;&gt;""," " &amp; K72,""),""))</f>
        <v/>
      </c>
      <c r="K72" s="4" t="n"/>
      <c r="L72" s="4" t="inlineStr">
        <is>
          <t>NF</t>
        </is>
      </c>
    </row>
    <row r="73">
      <c r="A73" s="4" t="inlineStr">
        <is>
          <t>03668609</t>
        </is>
      </c>
      <c r="B73" s="4" t="inlineStr">
        <is>
          <t>MM DE AGUAS SUBTERRÁNEAS</t>
        </is>
      </c>
      <c r="C73" s="4" t="inlineStr">
        <is>
          <t>MTP-11 LIXIVIACIÓN</t>
        </is>
      </c>
      <c r="D73" s="4" t="inlineStr">
        <is>
          <t>2026-04-15</t>
        </is>
      </c>
      <c r="E73" s="4" t="inlineStr">
        <is>
          <t>2026-04-21</t>
        </is>
      </c>
      <c r="F73" s="4" t="inlineStr">
        <is>
          <t>SIGVA</t>
        </is>
      </c>
      <c r="G73" s="5">
        <f>IF(H73="TT","TRABAJO TERMINADO",IF(H73="MI","TRABAJO NO TERMINADO",""))</f>
        <v/>
      </c>
      <c r="H73" s="6" t="inlineStr"/>
      <c r="I73" s="7">
        <f>IF(B73="", G73, IF(G73="", LEFT(B73,45), IF(45-LEN(G73)-2&lt;=0, G73, LEFT(B73,45-LEN(G73)-2)&amp;", "&amp;G73)))</f>
        <v/>
      </c>
      <c r="J73" s="8">
        <f>IF(H73="MI","NO REALIZADO " &amp; B73 &amp; " EN " &amp; C73 &amp; IF(K73&lt;&gt;""," " &amp; K73,""),IF(H73="TT","SE REALIZA " &amp; B73 &amp; " EN " &amp; C73 &amp; IF(K73&lt;&gt;""," " &amp; K73,""),""))</f>
        <v/>
      </c>
      <c r="K73" s="4" t="n"/>
      <c r="L73" s="4" t="inlineStr">
        <is>
          <t>ASUB</t>
        </is>
      </c>
    </row>
    <row r="74">
      <c r="A74" s="4" t="inlineStr">
        <is>
          <t>03668610</t>
        </is>
      </c>
      <c r="B74" s="4" t="inlineStr">
        <is>
          <t>MEDICION DE NIVELES FREATICOS</t>
        </is>
      </c>
      <c r="C74" s="4" t="inlineStr">
        <is>
          <t>MTP-15 TRANQUE</t>
        </is>
      </c>
      <c r="D74" s="4" t="inlineStr">
        <is>
          <t>2026-04-15</t>
        </is>
      </c>
      <c r="E74" s="4" t="inlineStr">
        <is>
          <t>2026-04-21</t>
        </is>
      </c>
      <c r="F74" s="4" t="inlineStr">
        <is>
          <t>SIGVA</t>
        </is>
      </c>
      <c r="G74" s="5">
        <f>IF(H74="TT","TRABAJO TERMINADO",IF(H74="MI","TRABAJO NO TERMINADO",""))</f>
        <v/>
      </c>
      <c r="H74" s="6" t="inlineStr"/>
      <c r="I74" s="7">
        <f>IF(B74="", G74, IF(G74="", LEFT(B74,45), IF(45-LEN(G74)-2&lt;=0, G74, LEFT(B74,45-LEN(G74)-2)&amp;", "&amp;G74)))</f>
        <v/>
      </c>
      <c r="J74" s="8">
        <f>IF(H74="MI","NO REALIZADO " &amp; B74 &amp; " EN " &amp; C74 &amp; IF(K74&lt;&gt;""," " &amp; K74,""),IF(H74="TT","SE REALIZA " &amp; B74 &amp; " EN " &amp; C74 &amp; IF(K74&lt;&gt;""," " &amp; K74,""),""))</f>
        <v/>
      </c>
      <c r="K74" s="4" t="n"/>
      <c r="L74" s="4" t="inlineStr">
        <is>
          <t>NF</t>
        </is>
      </c>
    </row>
    <row r="75">
      <c r="A75" s="4" t="inlineStr">
        <is>
          <t>03668611</t>
        </is>
      </c>
      <c r="B75" s="4" t="inlineStr">
        <is>
          <t>MM DE AGUAS SUBTERRÁNEAS</t>
        </is>
      </c>
      <c r="C75" s="4" t="inlineStr">
        <is>
          <t>MTP-16 TRANQUE</t>
        </is>
      </c>
      <c r="D75" s="4" t="inlineStr">
        <is>
          <t>2026-04-15</t>
        </is>
      </c>
      <c r="E75" s="4" t="inlineStr">
        <is>
          <t>2026-04-21</t>
        </is>
      </c>
      <c r="F75" s="4" t="inlineStr">
        <is>
          <t>SIGVA</t>
        </is>
      </c>
      <c r="G75" s="5">
        <f>IF(H75="TT","TRABAJO TERMINADO",IF(H75="MI","TRABAJO NO TERMINADO",""))</f>
        <v/>
      </c>
      <c r="H75" s="6" t="inlineStr"/>
      <c r="I75" s="7">
        <f>IF(B75="", G75, IF(G75="", LEFT(B75,45), IF(45-LEN(G75)-2&lt;=0, G75, LEFT(B75,45-LEN(G75)-2)&amp;", "&amp;G75)))</f>
        <v/>
      </c>
      <c r="J75" s="8">
        <f>IF(H75="MI","NO REALIZADO " &amp; B75 &amp; " EN " &amp; C75 &amp; IF(K75&lt;&gt;""," " &amp; K75,""),IF(H75="TT","SE REALIZA " &amp; B75 &amp; " EN " &amp; C75 &amp; IF(K75&lt;&gt;""," " &amp; K75,""),""))</f>
        <v/>
      </c>
      <c r="K75" s="4" t="n"/>
      <c r="L75" s="4" t="inlineStr">
        <is>
          <t>ASUB</t>
        </is>
      </c>
    </row>
    <row r="76">
      <c r="A76" s="4" t="inlineStr">
        <is>
          <t>03668612</t>
        </is>
      </c>
      <c r="B76" s="4" t="inlineStr">
        <is>
          <t>MEDICION DE NIVELES FREATICOS</t>
        </is>
      </c>
      <c r="C76" s="4" t="inlineStr">
        <is>
          <t>MTP-20 TRANQUE</t>
        </is>
      </c>
      <c r="D76" s="4" t="inlineStr">
        <is>
          <t>2026-04-15</t>
        </is>
      </c>
      <c r="E76" s="4" t="inlineStr">
        <is>
          <t>2026-04-21</t>
        </is>
      </c>
      <c r="F76" s="4" t="inlineStr">
        <is>
          <t>SIGVA</t>
        </is>
      </c>
      <c r="G76" s="5">
        <f>IF(H76="TT","TRABAJO TERMINADO",IF(H76="MI","TRABAJO NO TERMINADO",""))</f>
        <v/>
      </c>
      <c r="H76" s="6" t="inlineStr"/>
      <c r="I76" s="7">
        <f>IF(B76="", G76, IF(G76="", LEFT(B76,45), IF(45-LEN(G76)-2&lt;=0, G76, LEFT(B76,45-LEN(G76)-2)&amp;", "&amp;G76)))</f>
        <v/>
      </c>
      <c r="J76" s="8">
        <f>IF(H76="MI","NO REALIZADO " &amp; B76 &amp; " EN " &amp; C76 &amp; IF(K76&lt;&gt;""," " &amp; K76,""),IF(H76="TT","SE REALIZA " &amp; B76 &amp; " EN " &amp; C76 &amp; IF(K76&lt;&gt;""," " &amp; K76,""),""))</f>
        <v/>
      </c>
      <c r="K76" s="4" t="n"/>
      <c r="L76" s="4" t="inlineStr">
        <is>
          <t>NF</t>
        </is>
      </c>
    </row>
    <row r="77">
      <c r="A77" s="4" t="inlineStr">
        <is>
          <t>03668613</t>
        </is>
      </c>
      <c r="B77" s="4" t="inlineStr">
        <is>
          <t>MEDICION DE NIVELES FREATICOS</t>
        </is>
      </c>
      <c r="C77" s="4" t="inlineStr">
        <is>
          <t>MTP-16 TRANQUE</t>
        </is>
      </c>
      <c r="D77" s="4" t="inlineStr">
        <is>
          <t>2026-04-15</t>
        </is>
      </c>
      <c r="E77" s="4" t="inlineStr">
        <is>
          <t>2026-04-21</t>
        </is>
      </c>
      <c r="F77" s="4" t="inlineStr">
        <is>
          <t>SIGVA</t>
        </is>
      </c>
      <c r="G77" s="5">
        <f>IF(H77="TT","TRABAJO TERMINADO",IF(H77="MI","TRABAJO NO TERMINADO",""))</f>
        <v/>
      </c>
      <c r="H77" s="6" t="inlineStr"/>
      <c r="I77" s="7">
        <f>IF(B77="", G77, IF(G77="", LEFT(B77,45), IF(45-LEN(G77)-2&lt;=0, G77, LEFT(B77,45-LEN(G77)-2)&amp;", "&amp;G77)))</f>
        <v/>
      </c>
      <c r="J77" s="8">
        <f>IF(H77="MI","NO REALIZADO " &amp; B77 &amp; " EN " &amp; C77 &amp; IF(K77&lt;&gt;""," " &amp; K77,""),IF(H77="TT","SE REALIZA " &amp; B77 &amp; " EN " &amp; C77 &amp; IF(K77&lt;&gt;""," " &amp; K77,""),""))</f>
        <v/>
      </c>
      <c r="K77" s="4" t="n"/>
      <c r="L77" s="4" t="inlineStr">
        <is>
          <t>NF</t>
        </is>
      </c>
    </row>
    <row r="78">
      <c r="A78" s="4" t="inlineStr">
        <is>
          <t>03668620</t>
        </is>
      </c>
      <c r="B78" s="4" t="inlineStr">
        <is>
          <t>MEDICION DE NIVELES FREATICOS</t>
        </is>
      </c>
      <c r="C78" s="4" t="inlineStr">
        <is>
          <t>PMA-03 UJINA</t>
        </is>
      </c>
      <c r="D78" s="4" t="inlineStr">
        <is>
          <t>2026-04-15</t>
        </is>
      </c>
      <c r="E78" s="4" t="inlineStr">
        <is>
          <t>2026-04-21</t>
        </is>
      </c>
      <c r="F78" s="4" t="inlineStr">
        <is>
          <t>SIGVA</t>
        </is>
      </c>
      <c r="G78" s="5">
        <f>IF(H78="TT","TRABAJO TERMINADO",IF(H78="MI","TRABAJO NO TERMINADO",""))</f>
        <v/>
      </c>
      <c r="H78" s="6" t="inlineStr"/>
      <c r="I78" s="7">
        <f>IF(B78="", G78, IF(G78="", LEFT(B78,45), IF(45-LEN(G78)-2&lt;=0, G78, LEFT(B78,45-LEN(G78)-2)&amp;", "&amp;G78)))</f>
        <v/>
      </c>
      <c r="J78" s="8">
        <f>IF(H78="MI","NO REALIZADO " &amp; B78 &amp; " EN " &amp; C78 &amp; IF(K78&lt;&gt;""," " &amp; K78,""),IF(H78="TT","SE REALIZA " &amp; B78 &amp; " EN " &amp; C78 &amp; IF(K78&lt;&gt;""," " &amp; K78,""),""))</f>
        <v/>
      </c>
      <c r="K78" s="4" t="n"/>
      <c r="L78" s="4" t="inlineStr">
        <is>
          <t>NF</t>
        </is>
      </c>
    </row>
    <row r="79">
      <c r="A79" s="4" t="inlineStr">
        <is>
          <t>03668625</t>
        </is>
      </c>
      <c r="B79" s="4" t="inlineStr">
        <is>
          <t>MEDICION DE NIVELES FREATICOS</t>
        </is>
      </c>
      <c r="C79" s="4" t="inlineStr">
        <is>
          <t>PQY-02 YABRICOYITA</t>
        </is>
      </c>
      <c r="D79" s="4" t="inlineStr">
        <is>
          <t>2026-04-15</t>
        </is>
      </c>
      <c r="E79" s="4" t="inlineStr">
        <is>
          <t>2026-04-21</t>
        </is>
      </c>
      <c r="F79" s="4" t="inlineStr">
        <is>
          <t>SIGVA</t>
        </is>
      </c>
      <c r="G79" s="5">
        <f>IF(H79="TT","TRABAJO TERMINADO",IF(H79="MI","TRABAJO NO TERMINADO",""))</f>
        <v/>
      </c>
      <c r="H79" s="6" t="inlineStr"/>
      <c r="I79" s="7">
        <f>IF(B79="", G79, IF(G79="", LEFT(B79,45), IF(45-LEN(G79)-2&lt;=0, G79, LEFT(B79,45-LEN(G79)-2)&amp;", "&amp;G79)))</f>
        <v/>
      </c>
      <c r="J79" s="8">
        <f>IF(H79="MI","NO REALIZADO " &amp; B79 &amp; " EN " &amp; C79 &amp; IF(K79&lt;&gt;""," " &amp; K79,""),IF(H79="TT","SE REALIZA " &amp; B79 &amp; " EN " &amp; C79 &amp; IF(K79&lt;&gt;""," " &amp; K79,""),""))</f>
        <v/>
      </c>
      <c r="K79" s="4" t="n"/>
      <c r="L79" s="4" t="inlineStr">
        <is>
          <t>NF</t>
        </is>
      </c>
    </row>
    <row r="80">
      <c r="A80" s="4" t="inlineStr">
        <is>
          <t>03668626</t>
        </is>
      </c>
      <c r="B80" s="4" t="inlineStr">
        <is>
          <t>MEDICION DE NIVELES FREATICOS</t>
        </is>
      </c>
      <c r="C80" s="4" t="inlineStr">
        <is>
          <t>PQY-03 YABRICOYITA</t>
        </is>
      </c>
      <c r="D80" s="4" t="inlineStr">
        <is>
          <t>2026-04-15</t>
        </is>
      </c>
      <c r="E80" s="4" t="inlineStr">
        <is>
          <t>2026-04-21</t>
        </is>
      </c>
      <c r="F80" s="4" t="inlineStr">
        <is>
          <t>SIGVA</t>
        </is>
      </c>
      <c r="G80" s="5">
        <f>IF(H80="TT","TRABAJO TERMINADO",IF(H80="MI","TRABAJO NO TERMINADO",""))</f>
        <v/>
      </c>
      <c r="H80" s="6" t="inlineStr"/>
      <c r="I80" s="7">
        <f>IF(B80="", G80, IF(G80="", LEFT(B80,45), IF(45-LEN(G80)-2&lt;=0, G80, LEFT(B80,45-LEN(G80)-2)&amp;", "&amp;G80)))</f>
        <v/>
      </c>
      <c r="J80" s="8">
        <f>IF(H80="MI","NO REALIZADO " &amp; B80 &amp; " EN " &amp; C80 &amp; IF(K80&lt;&gt;""," " &amp; K80,""),IF(H80="TT","SE REALIZA " &amp; B80 &amp; " EN " &amp; C80 &amp; IF(K80&lt;&gt;""," " &amp; K80,""),""))</f>
        <v/>
      </c>
      <c r="K80" s="4" t="n"/>
      <c r="L80" s="4" t="inlineStr">
        <is>
          <t>NF</t>
        </is>
      </c>
    </row>
    <row r="81">
      <c r="A81" s="4" t="inlineStr">
        <is>
          <t>03668627</t>
        </is>
      </c>
      <c r="B81" s="4" t="inlineStr">
        <is>
          <t>MEDICIÓN DE CAUDALES</t>
        </is>
      </c>
      <c r="C81" s="4" t="inlineStr">
        <is>
          <t>QDH-1E PISC. HUINQUIN. (INT. RAJO ROSA )</t>
        </is>
      </c>
      <c r="D81" s="4" t="inlineStr">
        <is>
          <t>2026-04-15</t>
        </is>
      </c>
      <c r="E81" s="4" t="inlineStr">
        <is>
          <t>2026-04-21</t>
        </is>
      </c>
      <c r="F81" s="4" t="inlineStr">
        <is>
          <t>SIGVA</t>
        </is>
      </c>
      <c r="G81" s="5">
        <f>IF(H81="TT","TRABAJO TERMINADO",IF(H81="MI","TRABAJO NO TERMINADO",""))</f>
        <v/>
      </c>
      <c r="H81" s="6" t="inlineStr"/>
      <c r="I81" s="7">
        <f>IF(B81="", G81, IF(G81="", LEFT(B81,45), IF(45-LEN(G81)-2&lt;=0, G81, LEFT(B81,45-LEN(G81)-2)&amp;", "&amp;G81)))</f>
        <v/>
      </c>
      <c r="J81" s="8">
        <f>IF(H81="MI","NO REALIZADO " &amp; B81 &amp; " EN " &amp; C81 &amp; IF(K81&lt;&gt;""," " &amp; K81,""),IF(H81="TT","SE REALIZA " &amp; B81 &amp; " EN " &amp; C81 &amp; IF(K81&lt;&gt;""," " &amp; K81,""),""))</f>
        <v/>
      </c>
      <c r="K81" s="4" t="n"/>
      <c r="L81" s="4" t="inlineStr">
        <is>
          <t>CAUDAL</t>
        </is>
      </c>
    </row>
    <row r="82">
      <c r="A82" s="4" t="inlineStr">
        <is>
          <t>03668628</t>
        </is>
      </c>
      <c r="B82" s="4" t="inlineStr">
        <is>
          <t>MEDICIÓN DE CAUDALES</t>
        </is>
      </c>
      <c r="C82" s="4" t="inlineStr">
        <is>
          <t>QSD-1 PISC. HUINQUIN. (INT. RAJO ROSA )</t>
        </is>
      </c>
      <c r="D82" s="4" t="inlineStr">
        <is>
          <t>2026-04-15</t>
        </is>
      </c>
      <c r="E82" s="4" t="inlineStr">
        <is>
          <t>2026-04-21</t>
        </is>
      </c>
      <c r="F82" s="4" t="inlineStr">
        <is>
          <t>SIGVA</t>
        </is>
      </c>
      <c r="G82" s="5">
        <f>IF(H82="TT","TRABAJO TERMINADO",IF(H82="MI","TRABAJO NO TERMINADO",""))</f>
        <v/>
      </c>
      <c r="H82" s="6" t="inlineStr"/>
      <c r="I82" s="7">
        <f>IF(B82="", G82, IF(G82="", LEFT(B82,45), IF(45-LEN(G82)-2&lt;=0, G82, LEFT(B82,45-LEN(G82)-2)&amp;", "&amp;G82)))</f>
        <v/>
      </c>
      <c r="J82" s="8">
        <f>IF(H82="MI","NO REALIZADO " &amp; B82 &amp; " EN " &amp; C82 &amp; IF(K82&lt;&gt;""," " &amp; K82,""),IF(H82="TT","SE REALIZA " &amp; B82 &amp; " EN " &amp; C82 &amp; IF(K82&lt;&gt;""," " &amp; K82,""),""))</f>
        <v/>
      </c>
      <c r="K82" s="4" t="n"/>
      <c r="L82" s="4" t="inlineStr">
        <is>
          <t>CAUDAL</t>
        </is>
      </c>
    </row>
    <row r="83">
      <c r="A83" s="4" t="inlineStr">
        <is>
          <t>03668633</t>
        </is>
      </c>
      <c r="B83" s="4" t="inlineStr">
        <is>
          <t>MM DE AGUAS SUBTERRÁNEAS</t>
        </is>
      </c>
      <c r="C83" s="4" t="inlineStr">
        <is>
          <t>SH-19 PUERTO COLLAHUASI</t>
        </is>
      </c>
      <c r="D83" s="4" t="inlineStr">
        <is>
          <t>2026-04-15</t>
        </is>
      </c>
      <c r="E83" s="4" t="inlineStr">
        <is>
          <t>2026-04-21</t>
        </is>
      </c>
      <c r="F83" s="4" t="inlineStr">
        <is>
          <t>SIGVA</t>
        </is>
      </c>
      <c r="G83" s="5">
        <f>IF(H83="TT","TRABAJO TERMINADO",IF(H83="MI","TRABAJO NO TERMINADO",""))</f>
        <v/>
      </c>
      <c r="H83" s="6" t="inlineStr"/>
      <c r="I83" s="7">
        <f>IF(B83="", G83, IF(G83="", LEFT(B83,45), IF(45-LEN(G83)-2&lt;=0, G83, LEFT(B83,45-LEN(G83)-2)&amp;", "&amp;G83)))</f>
        <v/>
      </c>
      <c r="J83" s="8">
        <f>IF(H83="MI","NO REALIZADO " &amp; B83 &amp; " EN " &amp; C83 &amp; IF(K83&lt;&gt;""," " &amp; K83,""),IF(H83="TT","SE REALIZA " &amp; B83 &amp; " EN " &amp; C83 &amp; IF(K83&lt;&gt;""," " &amp; K83,""),""))</f>
        <v/>
      </c>
      <c r="K83" s="4" t="n"/>
      <c r="L83" s="4" t="inlineStr">
        <is>
          <t>ASUB</t>
        </is>
      </c>
    </row>
    <row r="84">
      <c r="A84" s="4" t="inlineStr">
        <is>
          <t>03668634</t>
        </is>
      </c>
      <c r="B84" s="4" t="inlineStr">
        <is>
          <t>MM DE AGUAS SUBTERRÁNEAS</t>
        </is>
      </c>
      <c r="C84" s="4" t="inlineStr">
        <is>
          <t>SH-20 PUERTO COLLAHUASI</t>
        </is>
      </c>
      <c r="D84" s="4" t="inlineStr">
        <is>
          <t>2026-04-15</t>
        </is>
      </c>
      <c r="E84" s="4" t="inlineStr">
        <is>
          <t>2026-04-21</t>
        </is>
      </c>
      <c r="F84" s="4" t="inlineStr">
        <is>
          <t>SIGVA</t>
        </is>
      </c>
      <c r="G84" s="5">
        <f>IF(H84="TT","TRABAJO TERMINADO",IF(H84="MI","TRABAJO NO TERMINADO",""))</f>
        <v/>
      </c>
      <c r="H84" s="6" t="inlineStr"/>
      <c r="I84" s="7">
        <f>IF(B84="", G84, IF(G84="", LEFT(B84,45), IF(45-LEN(G84)-2&lt;=0, G84, LEFT(B84,45-LEN(G84)-2)&amp;", "&amp;G84)))</f>
        <v/>
      </c>
      <c r="J84" s="8">
        <f>IF(H84="MI","NO REALIZADO " &amp; B84 &amp; " EN " &amp; C84 &amp; IF(K84&lt;&gt;""," " &amp; K84,""),IF(H84="TT","SE REALIZA " &amp; B84 &amp; " EN " &amp; C84 &amp; IF(K84&lt;&gt;""," " &amp; K84,""),""))</f>
        <v/>
      </c>
      <c r="K84" s="4" t="n"/>
      <c r="L84" s="4" t="inlineStr">
        <is>
          <t>ASUB</t>
        </is>
      </c>
    </row>
    <row r="85">
      <c r="A85" s="4" t="inlineStr">
        <is>
          <t>03668635</t>
        </is>
      </c>
      <c r="B85" s="4" t="inlineStr">
        <is>
          <t>MM DE AGUAS SUBTERRÁNEAS</t>
        </is>
      </c>
      <c r="C85" s="4" t="inlineStr">
        <is>
          <t>SH-22 PUERTO COLLAHUASI</t>
        </is>
      </c>
      <c r="D85" s="4" t="inlineStr">
        <is>
          <t>2026-04-15</t>
        </is>
      </c>
      <c r="E85" s="4" t="inlineStr">
        <is>
          <t>2026-04-21</t>
        </is>
      </c>
      <c r="F85" s="4" t="inlineStr">
        <is>
          <t>SIGVA</t>
        </is>
      </c>
      <c r="G85" s="5">
        <f>IF(H85="TT","TRABAJO TERMINADO",IF(H85="MI","TRABAJO NO TERMINADO",""))</f>
        <v/>
      </c>
      <c r="H85" s="6" t="inlineStr"/>
      <c r="I85" s="7">
        <f>IF(B85="", G85, IF(G85="", LEFT(B85,45), IF(45-LEN(G85)-2&lt;=0, G85, LEFT(B85,45-LEN(G85)-2)&amp;", "&amp;G85)))</f>
        <v/>
      </c>
      <c r="J85" s="8">
        <f>IF(H85="MI","NO REALIZADO " &amp; B85 &amp; " EN " &amp; C85 &amp; IF(K85&lt;&gt;""," " &amp; K85,""),IF(H85="TT","SE REALIZA " &amp; B85 &amp; " EN " &amp; C85 &amp; IF(K85&lt;&gt;""," " &amp; K85,""),""))</f>
        <v/>
      </c>
      <c r="K85" s="4" t="n"/>
      <c r="L85" s="4" t="inlineStr">
        <is>
          <t>ASUB</t>
        </is>
      </c>
    </row>
    <row r="86">
      <c r="A86" s="4" t="inlineStr">
        <is>
          <t>03668636</t>
        </is>
      </c>
      <c r="B86" s="4" t="inlineStr">
        <is>
          <t>MM DE AGUAS SUBTERRÁNEAS</t>
        </is>
      </c>
      <c r="C86" s="4" t="inlineStr">
        <is>
          <t>SH-23 PUERTO COLLAHUASI</t>
        </is>
      </c>
      <c r="D86" s="4" t="inlineStr">
        <is>
          <t>2026-04-15</t>
        </is>
      </c>
      <c r="E86" s="4" t="inlineStr">
        <is>
          <t>2026-04-21</t>
        </is>
      </c>
      <c r="F86" s="4" t="inlineStr">
        <is>
          <t>SIGVA</t>
        </is>
      </c>
      <c r="G86" s="5">
        <f>IF(H86="TT","TRABAJO TERMINADO",IF(H86="MI","TRABAJO NO TERMINADO",""))</f>
        <v/>
      </c>
      <c r="H86" s="6" t="inlineStr"/>
      <c r="I86" s="7">
        <f>IF(B86="", G86, IF(G86="", LEFT(B86,45), IF(45-LEN(G86)-2&lt;=0, G86, LEFT(B86,45-LEN(G86)-2)&amp;", "&amp;G86)))</f>
        <v/>
      </c>
      <c r="J86" s="8">
        <f>IF(H86="MI","NO REALIZADO " &amp; B86 &amp; " EN " &amp; C86 &amp; IF(K86&lt;&gt;""," " &amp; K86,""),IF(H86="TT","SE REALIZA " &amp; B86 &amp; " EN " &amp; C86 &amp; IF(K86&lt;&gt;""," " &amp; K86,""),""))</f>
        <v/>
      </c>
      <c r="K86" s="4" t="n"/>
      <c r="L86" s="4" t="inlineStr">
        <is>
          <t>ASUB</t>
        </is>
      </c>
    </row>
    <row r="87">
      <c r="A87" s="4" t="inlineStr">
        <is>
          <t>03668637</t>
        </is>
      </c>
      <c r="B87" s="4" t="inlineStr">
        <is>
          <t>MEDICION DE NIVELES FREATICOS</t>
        </is>
      </c>
      <c r="C87" s="4" t="inlineStr">
        <is>
          <t>SH-20 PUERTO COLLAHUASI</t>
        </is>
      </c>
      <c r="D87" s="4" t="inlineStr">
        <is>
          <t>2026-04-15</t>
        </is>
      </c>
      <c r="E87" s="4" t="inlineStr">
        <is>
          <t>2026-04-21</t>
        </is>
      </c>
      <c r="F87" s="4" t="inlineStr">
        <is>
          <t>SIGVA</t>
        </is>
      </c>
      <c r="G87" s="5">
        <f>IF(H87="TT","TRABAJO TERMINADO",IF(H87="MI","TRABAJO NO TERMINADO",""))</f>
        <v/>
      </c>
      <c r="H87" s="6" t="inlineStr"/>
      <c r="I87" s="7">
        <f>IF(B87="", G87, IF(G87="", LEFT(B87,45), IF(45-LEN(G87)-2&lt;=0, G87, LEFT(B87,45-LEN(G87)-2)&amp;", "&amp;G87)))</f>
        <v/>
      </c>
      <c r="J87" s="8">
        <f>IF(H87="MI","NO REALIZADO " &amp; B87 &amp; " EN " &amp; C87 &amp; IF(K87&lt;&gt;""," " &amp; K87,""),IF(H87="TT","SE REALIZA " &amp; B87 &amp; " EN " &amp; C87 &amp; IF(K87&lt;&gt;""," " &amp; K87,""),""))</f>
        <v/>
      </c>
      <c r="K87" s="4" t="n"/>
      <c r="L87" s="4" t="inlineStr">
        <is>
          <t>NF</t>
        </is>
      </c>
    </row>
    <row r="88">
      <c r="A88" s="4" t="inlineStr">
        <is>
          <t>03668638</t>
        </is>
      </c>
      <c r="B88" s="4" t="inlineStr">
        <is>
          <t>MEDICION DE NIVELES FREATICOS</t>
        </is>
      </c>
      <c r="C88" s="4" t="inlineStr">
        <is>
          <t>SH-22 PUERTO COLLAHUASI</t>
        </is>
      </c>
      <c r="D88" s="4" t="inlineStr">
        <is>
          <t>2026-04-15</t>
        </is>
      </c>
      <c r="E88" s="4" t="inlineStr">
        <is>
          <t>2026-04-21</t>
        </is>
      </c>
      <c r="F88" s="4" t="inlineStr">
        <is>
          <t>SIGVA</t>
        </is>
      </c>
      <c r="G88" s="5">
        <f>IF(H88="TT","TRABAJO TERMINADO",IF(H88="MI","TRABAJO NO TERMINADO",""))</f>
        <v/>
      </c>
      <c r="H88" s="6" t="inlineStr"/>
      <c r="I88" s="7">
        <f>IF(B88="", G88, IF(G88="", LEFT(B88,45), IF(45-LEN(G88)-2&lt;=0, G88, LEFT(B88,45-LEN(G88)-2)&amp;", "&amp;G88)))</f>
        <v/>
      </c>
      <c r="J88" s="8">
        <f>IF(H88="MI","NO REALIZADO " &amp; B88 &amp; " EN " &amp; C88 &amp; IF(K88&lt;&gt;""," " &amp; K88,""),IF(H88="TT","SE REALIZA " &amp; B88 &amp; " EN " &amp; C88 &amp; IF(K88&lt;&gt;""," " &amp; K88,""),""))</f>
        <v/>
      </c>
      <c r="K88" s="4" t="n"/>
      <c r="L88" s="4" t="inlineStr">
        <is>
          <t>NF</t>
        </is>
      </c>
    </row>
    <row r="89">
      <c r="A89" s="4" t="inlineStr">
        <is>
          <t>03668639</t>
        </is>
      </c>
      <c r="B89" s="4" t="inlineStr">
        <is>
          <t>MEDICION DE NIVELES FREATICOS</t>
        </is>
      </c>
      <c r="C89" s="4" t="inlineStr">
        <is>
          <t>SH-23 PUERTO COLLAHUASI</t>
        </is>
      </c>
      <c r="D89" s="4" t="inlineStr">
        <is>
          <t>2026-04-15</t>
        </is>
      </c>
      <c r="E89" s="4" t="inlineStr">
        <is>
          <t>2026-04-21</t>
        </is>
      </c>
      <c r="F89" s="4" t="inlineStr">
        <is>
          <t>SIGVA</t>
        </is>
      </c>
      <c r="G89" s="5">
        <f>IF(H89="TT","TRABAJO TERMINADO",IF(H89="MI","TRABAJO NO TERMINADO",""))</f>
        <v/>
      </c>
      <c r="H89" s="6" t="inlineStr"/>
      <c r="I89" s="7">
        <f>IF(B89="", G89, IF(G89="", LEFT(B89,45), IF(45-LEN(G89)-2&lt;=0, G89, LEFT(B89,45-LEN(G89)-2)&amp;", "&amp;G89)))</f>
        <v/>
      </c>
      <c r="J89" s="8">
        <f>IF(H89="MI","NO REALIZADO " &amp; B89 &amp; " EN " &amp; C89 &amp; IF(K89&lt;&gt;""," " &amp; K89,""),IF(H89="TT","SE REALIZA " &amp; B89 &amp; " EN " &amp; C89 &amp; IF(K89&lt;&gt;""," " &amp; K89,""),""))</f>
        <v/>
      </c>
      <c r="K89" s="4" t="n"/>
      <c r="L89" s="4" t="inlineStr">
        <is>
          <t>NF</t>
        </is>
      </c>
    </row>
    <row r="90">
      <c r="A90" s="4" t="inlineStr">
        <is>
          <t>03668640</t>
        </is>
      </c>
      <c r="B90" s="4" t="inlineStr">
        <is>
          <t>MM DE AGUAS SUPERFICIALES</t>
        </is>
      </c>
      <c r="C90" s="4" t="inlineStr">
        <is>
          <t>Piscina P2 ROSARIO</t>
        </is>
      </c>
      <c r="D90" s="4" t="inlineStr">
        <is>
          <t>2026-04-15</t>
        </is>
      </c>
      <c r="E90" s="4" t="inlineStr">
        <is>
          <t>2026-04-21</t>
        </is>
      </c>
      <c r="F90" s="4" t="inlineStr">
        <is>
          <t>SIGVA</t>
        </is>
      </c>
      <c r="G90" s="5">
        <f>IF(H90="TT","TRABAJO TERMINADO",IF(H90="MI","TRABAJO NO TERMINADO",""))</f>
        <v/>
      </c>
      <c r="H90" s="6" t="inlineStr"/>
      <c r="I90" s="7">
        <f>IF(B90="", G90, IF(G90="", LEFT(B90,45), IF(45-LEN(G90)-2&lt;=0, G90, LEFT(B90,45-LEN(G90)-2)&amp;", "&amp;G90)))</f>
        <v/>
      </c>
      <c r="J90" s="8">
        <f>IF(H90="MI","NO REALIZADO " &amp; B90 &amp; " EN " &amp; C90 &amp; IF(K90&lt;&gt;""," " &amp; K90,""),IF(H90="TT","SE REALIZA " &amp; B90 &amp; " EN " &amp; C90 &amp; IF(K90&lt;&gt;""," " &amp; K90,""),""))</f>
        <v/>
      </c>
      <c r="K90" s="4" t="n"/>
      <c r="L90" s="4" t="inlineStr">
        <is>
          <t>ASUP</t>
        </is>
      </c>
    </row>
    <row r="91">
      <c r="A91" s="4" t="inlineStr">
        <is>
          <t>03668641</t>
        </is>
      </c>
      <c r="B91" s="4" t="inlineStr">
        <is>
          <t>MM DE AGUAS SUPERFICIALES</t>
        </is>
      </c>
      <c r="C91" s="4" t="inlineStr">
        <is>
          <t>ARR- 1 (Piscina P2)</t>
        </is>
      </c>
      <c r="D91" s="4" t="inlineStr">
        <is>
          <t>2026-04-15</t>
        </is>
      </c>
      <c r="E91" s="4" t="inlineStr">
        <is>
          <t>2026-04-21</t>
        </is>
      </c>
      <c r="F91" s="4" t="inlineStr">
        <is>
          <t>SIGVA</t>
        </is>
      </c>
      <c r="G91" s="5">
        <f>IF(H91="TT","TRABAJO TERMINADO",IF(H91="MI","TRABAJO NO TERMINADO",""))</f>
        <v/>
      </c>
      <c r="H91" s="6" t="inlineStr"/>
      <c r="I91" s="7">
        <f>IF(B91="", G91, IF(G91="", LEFT(B91,45), IF(45-LEN(G91)-2&lt;=0, G91, LEFT(B91,45-LEN(G91)-2)&amp;", "&amp;G91)))</f>
        <v/>
      </c>
      <c r="J91" s="8">
        <f>IF(H91="MI","NO REALIZADO " &amp; B91 &amp; " EN " &amp; C91 &amp; IF(K91&lt;&gt;""," " &amp; K91,""),IF(H91="TT","SE REALIZA " &amp; B91 &amp; " EN " &amp; C91 &amp; IF(K91&lt;&gt;""," " &amp; K91,""),""))</f>
        <v/>
      </c>
      <c r="K91" s="4" t="n"/>
      <c r="L91" s="4" t="inlineStr">
        <is>
          <t>ASUP</t>
        </is>
      </c>
    </row>
    <row r="92">
      <c r="A92" s="4" t="inlineStr">
        <is>
          <t>03668645</t>
        </is>
      </c>
      <c r="B92" s="4" t="inlineStr">
        <is>
          <t>MM DE AGUAS SUPERFICIALES</t>
        </is>
      </c>
      <c r="C92" s="4" t="inlineStr">
        <is>
          <t>Piscina P3 ROSARIO</t>
        </is>
      </c>
      <c r="D92" s="4" t="inlineStr">
        <is>
          <t>2026-04-15</t>
        </is>
      </c>
      <c r="E92" s="4" t="inlineStr">
        <is>
          <t>2026-04-21</t>
        </is>
      </c>
      <c r="F92" s="4" t="inlineStr">
        <is>
          <t>SIGVA</t>
        </is>
      </c>
      <c r="G92" s="5">
        <f>IF(H92="TT","TRABAJO TERMINADO",IF(H92="MI","TRABAJO NO TERMINADO",""))</f>
        <v/>
      </c>
      <c r="H92" s="6" t="inlineStr"/>
      <c r="I92" s="7">
        <f>IF(B92="", G92, IF(G92="", LEFT(B92,45), IF(45-LEN(G92)-2&lt;=0, G92, LEFT(B92,45-LEN(G92)-2)&amp;", "&amp;G92)))</f>
        <v/>
      </c>
      <c r="J92" s="8">
        <f>IF(H92="MI","NO REALIZADO " &amp; B92 &amp; " EN " &amp; C92 &amp; IF(K92&lt;&gt;""," " &amp; K92,""),IF(H92="TT","SE REALIZA " &amp; B92 &amp; " EN " &amp; C92 &amp; IF(K92&lt;&gt;""," " &amp; K92,""),""))</f>
        <v/>
      </c>
      <c r="K92" s="4" t="n"/>
      <c r="L92" s="4" t="inlineStr">
        <is>
          <t>ASUP</t>
        </is>
      </c>
    </row>
    <row r="93">
      <c r="A93" s="4" t="inlineStr">
        <is>
          <t>03670812</t>
        </is>
      </c>
      <c r="B93" s="4" t="inlineStr">
        <is>
          <t>MANT DE ESTACIONES CONTINUAS</t>
        </is>
      </c>
      <c r="C93" s="4" t="inlineStr">
        <is>
          <t>Casino 460</t>
        </is>
      </c>
      <c r="D93" s="4" t="inlineStr">
        <is>
          <t>2026-04-15</t>
        </is>
      </c>
      <c r="E93" s="4" t="inlineStr">
        <is>
          <t>2026-04-21</t>
        </is>
      </c>
      <c r="F93" s="4" t="inlineStr">
        <is>
          <t>SIGAIR</t>
        </is>
      </c>
      <c r="G93" s="5">
        <f>IF(H93="TT","TRABAJO TERMINADO",IF(H93="MI","TRABAJO NO TERMINADO",""))</f>
        <v/>
      </c>
      <c r="H93" s="6" t="inlineStr"/>
      <c r="I93" s="7">
        <f>IF(B93="", G93, IF(G93="", LEFT(B93,45), IF(45-LEN(G93)-2&lt;=0, G93, LEFT(B93,45-LEN(G93)-2)&amp;", "&amp;G93)))</f>
        <v/>
      </c>
      <c r="J93" s="8">
        <f>IF(H93="MI","NO REALIZADO " &amp; B93 &amp; " EN " &amp; C93 &amp; IF(K93&lt;&gt;""," " &amp; K93,""),IF(H93="TT","SE REALIZA " &amp; B93 &amp; " EN " &amp; C93 &amp; IF(K93&lt;&gt;""," " &amp; K93,""),""))</f>
        <v/>
      </c>
      <c r="K93" s="4" t="n"/>
      <c r="L93" s="4" t="inlineStr"/>
    </row>
    <row r="94">
      <c r="A94" s="4" t="inlineStr">
        <is>
          <t>03686123</t>
        </is>
      </c>
      <c r="B94" s="4" t="inlineStr">
        <is>
          <t>MEDICION DE NIVELES FREATICOS</t>
        </is>
      </c>
      <c r="C94" s="4" t="inlineStr"/>
      <c r="D94" s="4" t="inlineStr">
        <is>
          <t>2026-04-15</t>
        </is>
      </c>
      <c r="E94" s="4" t="inlineStr">
        <is>
          <t>2026-04-21</t>
        </is>
      </c>
      <c r="F94" s="4" t="inlineStr">
        <is>
          <t>SIGVA</t>
        </is>
      </c>
      <c r="G94" s="5">
        <f>IF(H94="TT","TRABAJO TERMINADO",IF(H94="MI","TRABAJO NO TERMINADO",""))</f>
        <v/>
      </c>
      <c r="H94" s="6" t="inlineStr"/>
      <c r="I94" s="7">
        <f>IF(B94="", G94, IF(G94="", LEFT(B94,45), IF(45-LEN(G94)-2&lt;=0, G94, LEFT(B94,45-LEN(G94)-2)&amp;", "&amp;G94)))</f>
        <v/>
      </c>
      <c r="J94" s="8">
        <f>IF(H94="MI","NO REALIZADO " &amp; B94 &amp; " EN " &amp; C94 &amp; IF(K94&lt;&gt;""," " &amp; K94,""),IF(H94="TT","SE REALIZA " &amp; B94 &amp; " EN " &amp; C94 &amp; IF(K94&lt;&gt;""," " &amp; K94,""),""))</f>
        <v/>
      </c>
      <c r="K94" s="4" t="n"/>
      <c r="L94" s="4" t="inlineStr">
        <is>
          <t>NF</t>
        </is>
      </c>
    </row>
    <row r="95">
      <c r="A95" s="4" t="inlineStr">
        <is>
          <t>03686126</t>
        </is>
      </c>
      <c r="B95" s="4" t="inlineStr">
        <is>
          <t>MEDICION DE NIVELES FREATICOS</t>
        </is>
      </c>
      <c r="C95" s="4" t="inlineStr"/>
      <c r="D95" s="4" t="inlineStr">
        <is>
          <t>2026-04-15</t>
        </is>
      </c>
      <c r="E95" s="4" t="inlineStr">
        <is>
          <t>2026-04-21</t>
        </is>
      </c>
      <c r="F95" s="4" t="inlineStr">
        <is>
          <t>SIGVA</t>
        </is>
      </c>
      <c r="G95" s="5">
        <f>IF(H95="TT","TRABAJO TERMINADO",IF(H95="MI","TRABAJO NO TERMINADO",""))</f>
        <v/>
      </c>
      <c r="H95" s="6" t="inlineStr"/>
      <c r="I95" s="7">
        <f>IF(B95="", G95, IF(G95="", LEFT(B95,45), IF(45-LEN(G95)-2&lt;=0, G95, LEFT(B95,45-LEN(G95)-2)&amp;", "&amp;G95)))</f>
        <v/>
      </c>
      <c r="J95" s="8">
        <f>IF(H95="MI","NO REALIZADO " &amp; B95 &amp; " EN " &amp; C95 &amp; IF(K95&lt;&gt;""," " &amp; K95,""),IF(H95="TT","SE REALIZA " &amp; B95 &amp; " EN " &amp; C95 &amp; IF(K95&lt;&gt;""," " &amp; K95,""),""))</f>
        <v/>
      </c>
      <c r="K95" s="4" t="n"/>
      <c r="L95" s="4" t="inlineStr">
        <is>
          <t>NF</t>
        </is>
      </c>
    </row>
    <row r="96">
      <c r="A96" s="4" t="inlineStr">
        <is>
          <t>03686127</t>
        </is>
      </c>
      <c r="B96" s="4" t="inlineStr">
        <is>
          <t>MEDICION DE NIVELES FREATICOS</t>
        </is>
      </c>
      <c r="C96" s="4" t="inlineStr"/>
      <c r="D96" s="4" t="inlineStr">
        <is>
          <t>2026-04-15</t>
        </is>
      </c>
      <c r="E96" s="4" t="inlineStr">
        <is>
          <t>2026-04-21</t>
        </is>
      </c>
      <c r="F96" s="4" t="inlineStr">
        <is>
          <t>SIGVA</t>
        </is>
      </c>
      <c r="G96" s="5">
        <f>IF(H96="TT","TRABAJO TERMINADO",IF(H96="MI","TRABAJO NO TERMINADO",""))</f>
        <v/>
      </c>
      <c r="H96" s="6" t="inlineStr"/>
      <c r="I96" s="7">
        <f>IF(B96="", G96, IF(G96="", LEFT(B96,45), IF(45-LEN(G96)-2&lt;=0, G96, LEFT(B96,45-LEN(G96)-2)&amp;", "&amp;G96)))</f>
        <v/>
      </c>
      <c r="J96" s="8">
        <f>IF(H96="MI","NO REALIZADO " &amp; B96 &amp; " EN " &amp; C96 &amp; IF(K96&lt;&gt;""," " &amp; K96,""),IF(H96="TT","SE REALIZA " &amp; B96 &amp; " EN " &amp; C96 &amp; IF(K96&lt;&gt;""," " &amp; K96,""),""))</f>
        <v/>
      </c>
      <c r="K96" s="4" t="n"/>
      <c r="L96" s="4" t="inlineStr">
        <is>
          <t>NF</t>
        </is>
      </c>
    </row>
    <row r="97">
      <c r="A97" s="4" t="inlineStr">
        <is>
          <t>03686128</t>
        </is>
      </c>
      <c r="B97" s="4" t="inlineStr">
        <is>
          <t>MEDICION DE NIVELES FREATICOS</t>
        </is>
      </c>
      <c r="C97" s="4" t="inlineStr"/>
      <c r="D97" s="4" t="inlineStr">
        <is>
          <t>2026-04-15</t>
        </is>
      </c>
      <c r="E97" s="4" t="inlineStr">
        <is>
          <t>2026-04-21</t>
        </is>
      </c>
      <c r="F97" s="4" t="inlineStr">
        <is>
          <t>SIGVA</t>
        </is>
      </c>
      <c r="G97" s="5">
        <f>IF(H97="TT","TRABAJO TERMINADO",IF(H97="MI","TRABAJO NO TERMINADO",""))</f>
        <v/>
      </c>
      <c r="H97" s="6" t="inlineStr"/>
      <c r="I97" s="7">
        <f>IF(B97="", G97, IF(G97="", LEFT(B97,45), IF(45-LEN(G97)-2&lt;=0, G97, LEFT(B97,45-LEN(G97)-2)&amp;", "&amp;G97)))</f>
        <v/>
      </c>
      <c r="J97" s="8">
        <f>IF(H97="MI","NO REALIZADO " &amp; B97 &amp; " EN " &amp; C97 &amp; IF(K97&lt;&gt;""," " &amp; K97,""),IF(H97="TT","SE REALIZA " &amp; B97 &amp; " EN " &amp; C97 &amp; IF(K97&lt;&gt;""," " &amp; K97,""),""))</f>
        <v/>
      </c>
      <c r="K97" s="4" t="n"/>
      <c r="L97" s="4" t="inlineStr">
        <is>
          <t>NF</t>
        </is>
      </c>
    </row>
    <row r="98">
      <c r="A98" s="4" t="inlineStr">
        <is>
          <t>03686137</t>
        </is>
      </c>
      <c r="B98" s="4" t="inlineStr">
        <is>
          <t>MEDICION DE NIVELES FREATICOS</t>
        </is>
      </c>
      <c r="C98" s="4" t="inlineStr"/>
      <c r="D98" s="4" t="inlineStr">
        <is>
          <t>2026-04-15</t>
        </is>
      </c>
      <c r="E98" s="4" t="inlineStr">
        <is>
          <t>2026-04-21</t>
        </is>
      </c>
      <c r="F98" s="4" t="inlineStr">
        <is>
          <t>SIGVA</t>
        </is>
      </c>
      <c r="G98" s="5">
        <f>IF(H98="TT","TRABAJO TERMINADO",IF(H98="MI","TRABAJO NO TERMINADO",""))</f>
        <v/>
      </c>
      <c r="H98" s="6" t="inlineStr"/>
      <c r="I98" s="7">
        <f>IF(B98="", G98, IF(G98="", LEFT(B98,45), IF(45-LEN(G98)-2&lt;=0, G98, LEFT(B98,45-LEN(G98)-2)&amp;", "&amp;G98)))</f>
        <v/>
      </c>
      <c r="J98" s="8">
        <f>IF(H98="MI","NO REALIZADO " &amp; B98 &amp; " EN " &amp; C98 &amp; IF(K98&lt;&gt;""," " &amp; K98,""),IF(H98="TT","SE REALIZA " &amp; B98 &amp; " EN " &amp; C98 &amp; IF(K98&lt;&gt;""," " &amp; K98,""),""))</f>
        <v/>
      </c>
      <c r="K98" s="4" t="n"/>
      <c r="L98" s="4" t="inlineStr">
        <is>
          <t>NF</t>
        </is>
      </c>
    </row>
  </sheetData>
  <autoFilter ref="A1:L1"/>
  <conditionalFormatting sqref="I2:I98">
    <cfRule type="expression" priority="1" dxfId="0">
      <formula>AND(I2&lt;&gt;"", LEN(I2)&gt;50)</formula>
    </cfRule>
  </conditionalFormatting>
  <dataValidations count="1">
    <dataValidation sqref="I1:I98" showDropDown="0" showInputMessage="0" showErrorMessage="0" allowBlank="0" type="textLength" operator="lessThanOrEqual">
      <formula1>45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30" customWidth="1" min="3" max="3"/>
    <col width="16" customWidth="1" min="4" max="4"/>
    <col width="20" customWidth="1" min="5" max="5"/>
    <col width="14" customWidth="1" min="6" max="6"/>
    <col width="22" customWidth="1" min="7" max="7"/>
    <col width="14" customWidth="1" min="8" max="8"/>
    <col width="35" customWidth="1" min="9" max="9"/>
    <col width="80" customWidth="1" min="10" max="10"/>
    <col width="28" customWidth="1" min="11" max="11"/>
  </cols>
  <sheetData>
    <row r="1">
      <c r="A1" s="1" t="inlineStr">
        <is>
          <t>Referencia</t>
        </is>
      </c>
      <c r="B1" s="1" t="inlineStr">
        <is>
          <t>Descripción</t>
        </is>
      </c>
      <c r="C1" s="1" t="inlineStr">
        <is>
          <t>Descripción de tarea programada 2</t>
        </is>
      </c>
      <c r="D1" s="1" t="inlineStr">
        <is>
          <t>Fecha de inicio del plan</t>
        </is>
      </c>
      <c r="E1" s="1" t="inlineStr">
        <is>
          <t>Fecha de finalización planificada</t>
        </is>
      </c>
      <c r="F1" s="1" t="inlineStr">
        <is>
          <t>Grupo trab</t>
        </is>
      </c>
      <c r="G1" s="1" t="inlineStr">
        <is>
          <t>Observación</t>
        </is>
      </c>
      <c r="H1" s="2" t="inlineStr">
        <is>
          <t>CODIGO DE CIERRE</t>
        </is>
      </c>
      <c r="I1" s="1" t="inlineStr">
        <is>
          <t>Descripción, obs</t>
        </is>
      </c>
      <c r="J1" s="3" t="inlineStr">
        <is>
          <t>Descripción Descripción de tarea programada 2</t>
        </is>
      </c>
      <c r="K1" s="1" t="inlineStr">
        <is>
          <t>Comentario adiciona</t>
        </is>
      </c>
      <c r="L1" s="1" t="inlineStr">
        <is>
          <t>Matriz Terreno</t>
        </is>
      </c>
    </row>
    <row r="2">
      <c r="A2" s="4" t="inlineStr">
        <is>
          <t>03676987</t>
        </is>
      </c>
      <c r="B2" s="4" t="inlineStr">
        <is>
          <t>HOUSEKEEPING</t>
        </is>
      </c>
      <c r="C2" s="4" t="inlineStr">
        <is>
          <t>OFICINAS  SI ENERGIA</t>
        </is>
      </c>
      <c r="D2" s="4" t="inlineStr">
        <is>
          <t>2026-04-16</t>
        </is>
      </c>
      <c r="E2" s="4" t="inlineStr">
        <is>
          <t>2026-04-22</t>
        </is>
      </c>
      <c r="F2" s="4" t="inlineStr">
        <is>
          <t>SIGVA</t>
        </is>
      </c>
      <c r="G2" s="5">
        <f>IF(H2="TT","TRABAJO TERMINADO",IF(H2="MI","TRABAJO NO TERMINADO",""))</f>
        <v/>
      </c>
      <c r="H2" s="6" t="inlineStr"/>
      <c r="I2" s="7">
        <f>IF(B2="", G2, IF(G2="", LEFT(B2,45), IF(45-LEN(G2)-2&lt;=0, G2, LEFT(B2,45-LEN(G2)-2)&amp;", "&amp;G2)))</f>
        <v/>
      </c>
      <c r="J2" s="8">
        <f>IF(H2="MI","NO REALIZADO " &amp; B2 &amp; " EN " &amp; C2 &amp; IF(K2&lt;&gt;""," " &amp; K2,""),IF(H2="TT","SE REALIZA " &amp; B2 &amp; " EN " &amp; C2 &amp; IF(K2&lt;&gt;""," " &amp; K2,""),""))</f>
        <v/>
      </c>
      <c r="K2" s="4" t="n"/>
      <c r="L2" s="4" t="inlineStr">
        <is>
          <t>HK</t>
        </is>
      </c>
    </row>
    <row r="3">
      <c r="A3" s="4" t="inlineStr">
        <is>
          <t>03676988</t>
        </is>
      </c>
      <c r="B3" s="4" t="inlineStr">
        <is>
          <t>MONITOREO DE BAÑOS Y CASINOS</t>
        </is>
      </c>
      <c r="C3" s="4" t="inlineStr">
        <is>
          <t>BCON UJINA</t>
        </is>
      </c>
      <c r="D3" s="4" t="inlineStr">
        <is>
          <t>2026-04-16</t>
        </is>
      </c>
      <c r="E3" s="4" t="inlineStr">
        <is>
          <t>2026-04-22</t>
        </is>
      </c>
      <c r="F3" s="4" t="inlineStr">
        <is>
          <t>SIGVA</t>
        </is>
      </c>
      <c r="G3" s="5">
        <f>IF(H3="TT","TRABAJO TERMINADO",IF(H3="MI","TRABAJO NO TERMINADO",""))</f>
        <v/>
      </c>
      <c r="H3" s="6" t="inlineStr"/>
      <c r="I3" s="7">
        <f>IF(B3="", G3, IF(G3="", LEFT(B3,45), IF(45-LEN(G3)-2&lt;=0, G3, LEFT(B3,45-LEN(G3)-2)&amp;", "&amp;G3)))</f>
        <v/>
      </c>
      <c r="J3" s="8">
        <f>IF(H3="MI","NO REALIZADO " &amp; B3 &amp; " EN " &amp; C3 &amp; IF(K3&lt;&gt;""," " &amp; K3,""),IF(H3="TT","SE REALIZA " &amp; B3 &amp; " EN " &amp; C3 &amp; IF(K3&lt;&gt;""," " &amp; K3,""),""))</f>
        <v/>
      </c>
      <c r="K3" s="4" t="n"/>
      <c r="L3" s="4" t="inlineStr">
        <is>
          <t>AP</t>
        </is>
      </c>
    </row>
    <row r="4">
      <c r="A4" s="4" t="inlineStr">
        <is>
          <t>03676989</t>
        </is>
      </c>
      <c r="B4" s="4" t="inlineStr">
        <is>
          <t>MONITOREO DE BAÑOS Y CASINOS</t>
        </is>
      </c>
      <c r="C4" s="4" t="inlineStr">
        <is>
          <t>BGSO UJINA</t>
        </is>
      </c>
      <c r="D4" s="4" t="inlineStr">
        <is>
          <t>2026-04-16</t>
        </is>
      </c>
      <c r="E4" s="4" t="inlineStr">
        <is>
          <t>2026-04-22</t>
        </is>
      </c>
      <c r="F4" s="4" t="inlineStr">
        <is>
          <t>SIGVA</t>
        </is>
      </c>
      <c r="G4" s="5">
        <f>IF(H4="TT","TRABAJO TERMINADO",IF(H4="MI","TRABAJO NO TERMINADO",""))</f>
        <v/>
      </c>
      <c r="H4" s="6" t="inlineStr"/>
      <c r="I4" s="7">
        <f>IF(B4="", G4, IF(G4="", LEFT(B4,45), IF(45-LEN(G4)-2&lt;=0, G4, LEFT(B4,45-LEN(G4)-2)&amp;", "&amp;G4)))</f>
        <v/>
      </c>
      <c r="J4" s="8">
        <f>IF(H4="MI","NO REALIZADO " &amp; B4 &amp; " EN " &amp; C4 &amp; IF(K4&lt;&gt;""," " &amp; K4,""),IF(H4="TT","SE REALIZA " &amp; B4 &amp; " EN " &amp; C4 &amp; IF(K4&lt;&gt;""," " &amp; K4,""),""))</f>
        <v/>
      </c>
      <c r="K4" s="4" t="n"/>
      <c r="L4" s="4" t="inlineStr">
        <is>
          <t>AP</t>
        </is>
      </c>
    </row>
    <row r="5">
      <c r="A5" s="4" t="inlineStr">
        <is>
          <t>03676990</t>
        </is>
      </c>
      <c r="B5" s="4" t="inlineStr">
        <is>
          <t>MEDICIÓN NIVELES FREÁTICOS</t>
        </is>
      </c>
      <c r="C5" s="4" t="inlineStr">
        <is>
          <t>ZANJA NORTE 2 PUERTO COLLAHUASI</t>
        </is>
      </c>
      <c r="D5" s="4" t="inlineStr">
        <is>
          <t>2026-04-16</t>
        </is>
      </c>
      <c r="E5" s="4" t="inlineStr">
        <is>
          <t>2026-04-22</t>
        </is>
      </c>
      <c r="F5" s="4" t="inlineStr">
        <is>
          <t>SIGVA</t>
        </is>
      </c>
      <c r="G5" s="5">
        <f>IF(H5="TT","TRABAJO TERMINADO",IF(H5="MI","TRABAJO NO TERMINADO",""))</f>
        <v/>
      </c>
      <c r="H5" s="6" t="inlineStr"/>
      <c r="I5" s="7">
        <f>IF(B5="", G5, IF(G5="", LEFT(B5,45), IF(45-LEN(G5)-2&lt;=0, G5, LEFT(B5,45-LEN(G5)-2)&amp;", "&amp;G5)))</f>
        <v/>
      </c>
      <c r="J5" s="8">
        <f>IF(H5="MI","NO REALIZADO " &amp; B5 &amp; " EN " &amp; C5 &amp; IF(K5&lt;&gt;""," " &amp; K5,""),IF(H5="TT","SE REALIZA " &amp; B5 &amp; " EN " &amp; C5 &amp; IF(K5&lt;&gt;""," " &amp; K5,""),""))</f>
        <v/>
      </c>
      <c r="K5" s="4" t="n"/>
      <c r="L5" s="4" t="inlineStr">
        <is>
          <t>NF</t>
        </is>
      </c>
    </row>
    <row r="6">
      <c r="A6" s="4" t="inlineStr">
        <is>
          <t>03676991</t>
        </is>
      </c>
      <c r="B6" s="4" t="inlineStr">
        <is>
          <t>MONITOREO AGUAS SERVIDAS</t>
        </is>
      </c>
      <c r="C6" s="4" t="inlineStr">
        <is>
          <t>PTAS PUERTO COLLAHUASI PUERTO COLLAHUASI</t>
        </is>
      </c>
      <c r="D6" s="4" t="inlineStr">
        <is>
          <t>2026-04-16</t>
        </is>
      </c>
      <c r="E6" s="4" t="inlineStr">
        <is>
          <t>2026-04-22</t>
        </is>
      </c>
      <c r="F6" s="4" t="inlineStr">
        <is>
          <t>SIGVA</t>
        </is>
      </c>
      <c r="G6" s="5">
        <f>IF(H6="TT","TRABAJO TERMINADO",IF(H6="MI","TRABAJO NO TERMINADO",""))</f>
        <v/>
      </c>
      <c r="H6" s="6" t="inlineStr"/>
      <c r="I6" s="7">
        <f>IF(B6="", G6, IF(G6="", LEFT(B6,45), IF(45-LEN(G6)-2&lt;=0, G6, LEFT(B6,45-LEN(G6)-2)&amp;", "&amp;G6)))</f>
        <v/>
      </c>
      <c r="J6" s="8">
        <f>IF(H6="MI","NO REALIZADO " &amp; B6 &amp; " EN " &amp; C6 &amp; IF(K6&lt;&gt;""," " &amp; K6,""),IF(H6="TT","SE REALIZA " &amp; B6 &amp; " EN " &amp; C6 &amp; IF(K6&lt;&gt;""," " &amp; K6,""),""))</f>
        <v/>
      </c>
      <c r="K6" s="4" t="n"/>
      <c r="L6" s="4" t="inlineStr">
        <is>
          <t>AR</t>
        </is>
      </c>
    </row>
    <row r="7">
      <c r="A7" s="4" t="inlineStr">
        <is>
          <t>03676992</t>
        </is>
      </c>
      <c r="B7" s="4" t="inlineStr">
        <is>
          <t>MEDICIÓN NIVELES FREÁTICOS</t>
        </is>
      </c>
      <c r="C7" s="4" t="inlineStr">
        <is>
          <t>ZANJA NORTE 1 PUERTO COLLAHUASI</t>
        </is>
      </c>
      <c r="D7" s="4" t="inlineStr">
        <is>
          <t>2026-04-16</t>
        </is>
      </c>
      <c r="E7" s="4" t="inlineStr">
        <is>
          <t>2026-04-22</t>
        </is>
      </c>
      <c r="F7" s="4" t="inlineStr">
        <is>
          <t>SIGVA</t>
        </is>
      </c>
      <c r="G7" s="5">
        <f>IF(H7="TT","TRABAJO TERMINADO",IF(H7="MI","TRABAJO NO TERMINADO",""))</f>
        <v/>
      </c>
      <c r="H7" s="6" t="inlineStr"/>
      <c r="I7" s="7">
        <f>IF(B7="", G7, IF(G7="", LEFT(B7,45), IF(45-LEN(G7)-2&lt;=0, G7, LEFT(B7,45-LEN(G7)-2)&amp;", "&amp;G7)))</f>
        <v/>
      </c>
      <c r="J7" s="8">
        <f>IF(H7="MI","NO REALIZADO " &amp; B7 &amp; " EN " &amp; C7 &amp; IF(K7&lt;&gt;""," " &amp; K7,""),IF(H7="TT","SE REALIZA " &amp; B7 &amp; " EN " &amp; C7 &amp; IF(K7&lt;&gt;""," " &amp; K7,""),""))</f>
        <v/>
      </c>
      <c r="K7" s="4" t="n"/>
      <c r="L7" s="4" t="inlineStr">
        <is>
          <t>NF</t>
        </is>
      </c>
    </row>
    <row r="8">
      <c r="A8" s="4" t="inlineStr">
        <is>
          <t>03676993</t>
        </is>
      </c>
      <c r="B8" s="4" t="inlineStr">
        <is>
          <t>MUESTREO PUNTUAL DE RIL AS</t>
        </is>
      </c>
      <c r="C8" s="4" t="inlineStr">
        <is>
          <t>PTAS-C FALLA PABELLON</t>
        </is>
      </c>
      <c r="D8" s="4" t="inlineStr">
        <is>
          <t>2026-04-16</t>
        </is>
      </c>
      <c r="E8" s="4" t="inlineStr">
        <is>
          <t>2026-04-22</t>
        </is>
      </c>
      <c r="F8" s="4" t="inlineStr">
        <is>
          <t>SIGVA</t>
        </is>
      </c>
      <c r="G8" s="5">
        <f>IF(H8="TT","TRABAJO TERMINADO",IF(H8="MI","TRABAJO NO TERMINADO",""))</f>
        <v/>
      </c>
      <c r="H8" s="6" t="inlineStr"/>
      <c r="I8" s="7">
        <f>IF(B8="", G8, IF(G8="", LEFT(B8,45), IF(45-LEN(G8)-2&lt;=0, G8, LEFT(B8,45-LEN(G8)-2)&amp;", "&amp;G8)))</f>
        <v/>
      </c>
      <c r="J8" s="8">
        <f>IF(H8="MI","NO REALIZADO " &amp; B8 &amp; " EN " &amp; C8 &amp; IF(K8&lt;&gt;""," " &amp; K8,""),IF(H8="TT","SE REALIZA " &amp; B8 &amp; " EN " &amp; C8 &amp; IF(K8&lt;&gt;""," " &amp; K8,""),""))</f>
        <v/>
      </c>
      <c r="K8" s="4" t="n"/>
      <c r="L8" s="4" t="inlineStr">
        <is>
          <t>AR</t>
        </is>
      </c>
    </row>
    <row r="9">
      <c r="A9" s="4" t="inlineStr">
        <is>
          <t>03676994</t>
        </is>
      </c>
      <c r="B9" s="4" t="inlineStr">
        <is>
          <t>MONIT EN SALAS DE ESTACION Y TK</t>
        </is>
      </c>
      <c r="C9" s="4" t="inlineStr">
        <is>
          <t>TK-505 FALLA PABELLON</t>
        </is>
      </c>
      <c r="D9" s="4" t="inlineStr">
        <is>
          <t>2026-04-16</t>
        </is>
      </c>
      <c r="E9" s="4" t="inlineStr">
        <is>
          <t>2026-04-22</t>
        </is>
      </c>
      <c r="F9" s="4" t="inlineStr">
        <is>
          <t>SIGVA</t>
        </is>
      </c>
      <c r="G9" s="5">
        <f>IF(H9="TT","TRABAJO TERMINADO",IF(H9="MI","TRABAJO NO TERMINADO",""))</f>
        <v/>
      </c>
      <c r="H9" s="6" t="inlineStr"/>
      <c r="I9" s="7">
        <f>IF(B9="", G9, IF(G9="", LEFT(B9,45), IF(45-LEN(G9)-2&lt;=0, G9, LEFT(B9,45-LEN(G9)-2)&amp;", "&amp;G9)))</f>
        <v/>
      </c>
      <c r="J9" s="8">
        <f>IF(H9="MI","NO REALIZADO " &amp; B9 &amp; " EN " &amp; C9 &amp; IF(K9&lt;&gt;""," " &amp; K9,""),IF(H9="TT","SE REALIZA " &amp; B9 &amp; " EN " &amp; C9 &amp; IF(K9&lt;&gt;""," " &amp; K9,""),""))</f>
        <v/>
      </c>
      <c r="K9" s="4" t="n"/>
      <c r="L9" s="4" t="inlineStr">
        <is>
          <t>AP</t>
        </is>
      </c>
    </row>
    <row r="10">
      <c r="A10" s="4" t="inlineStr">
        <is>
          <t>03676995</t>
        </is>
      </c>
      <c r="B10" s="4" t="inlineStr">
        <is>
          <t>MEDICIÓN CAUDALES</t>
        </is>
      </c>
      <c r="C10" s="4" t="inlineStr">
        <is>
          <t>CSW-02 JACHUCOPOSA</t>
        </is>
      </c>
      <c r="D10" s="4" t="inlineStr">
        <is>
          <t>2026-04-16</t>
        </is>
      </c>
      <c r="E10" s="4" t="inlineStr">
        <is>
          <t>2026-04-22</t>
        </is>
      </c>
      <c r="F10" s="4" t="inlineStr">
        <is>
          <t>SIGVA</t>
        </is>
      </c>
      <c r="G10" s="5">
        <f>IF(H10="TT","TRABAJO TERMINADO",IF(H10="MI","TRABAJO NO TERMINADO",""))</f>
        <v/>
      </c>
      <c r="H10" s="6" t="inlineStr"/>
      <c r="I10" s="7">
        <f>IF(B10="", G10, IF(G10="", LEFT(B10,45), IF(45-LEN(G10)-2&lt;=0, G10, LEFT(B10,45-LEN(G10)-2)&amp;", "&amp;G10)))</f>
        <v/>
      </c>
      <c r="J10" s="8">
        <f>IF(H10="MI","NO REALIZADO " &amp; B10 &amp; " EN " &amp; C10 &amp; IF(K10&lt;&gt;""," " &amp; K10,""),IF(H10="TT","SE REALIZA " &amp; B10 &amp; " EN " &amp; C10 &amp; IF(K10&lt;&gt;""," " &amp; K10,""),""))</f>
        <v/>
      </c>
      <c r="K10" s="4" t="n"/>
      <c r="L10" s="4" t="inlineStr">
        <is>
          <t>CAUDAL</t>
        </is>
      </c>
    </row>
    <row r="11">
      <c r="A11" s="4" t="inlineStr">
        <is>
          <t>03676996</t>
        </is>
      </c>
      <c r="B11" s="4" t="inlineStr">
        <is>
          <t>MONITOREO DE BAÑOS Y CASINOS</t>
        </is>
      </c>
      <c r="C11" s="4" t="inlineStr">
        <is>
          <t>BPCR ROSARIO</t>
        </is>
      </c>
      <c r="D11" s="4" t="inlineStr">
        <is>
          <t>2026-04-16</t>
        </is>
      </c>
      <c r="E11" s="4" t="inlineStr">
        <is>
          <t>2026-04-22</t>
        </is>
      </c>
      <c r="F11" s="4" t="inlineStr">
        <is>
          <t>SIGVA</t>
        </is>
      </c>
      <c r="G11" s="5">
        <f>IF(H11="TT","TRABAJO TERMINADO",IF(H11="MI","TRABAJO NO TERMINADO",""))</f>
        <v/>
      </c>
      <c r="H11" s="6" t="inlineStr"/>
      <c r="I11" s="7">
        <f>IF(B11="", G11, IF(G11="", LEFT(B11,45), IF(45-LEN(G11)-2&lt;=0, G11, LEFT(B11,45-LEN(G11)-2)&amp;", "&amp;G11)))</f>
        <v/>
      </c>
      <c r="J11" s="8">
        <f>IF(H11="MI","NO REALIZADO " &amp; B11 &amp; " EN " &amp; C11 &amp; IF(K11&lt;&gt;""," " &amp; K11,""),IF(H11="TT","SE REALIZA " &amp; B11 &amp; " EN " &amp; C11 &amp; IF(K11&lt;&gt;""," " &amp; K11,""),""))</f>
        <v/>
      </c>
      <c r="K11" s="4" t="n"/>
      <c r="L11" s="4" t="inlineStr">
        <is>
          <t>AP</t>
        </is>
      </c>
    </row>
    <row r="12">
      <c r="A12" s="4" t="inlineStr">
        <is>
          <t>03676997</t>
        </is>
      </c>
      <c r="B12" s="4" t="inlineStr">
        <is>
          <t>MUESTREO M. AGUAS SUPERF (FOTOMETRO)</t>
        </is>
      </c>
      <c r="C12" s="4" t="inlineStr">
        <is>
          <t>QDH-1E PISC. HUINQUIN. (INT. RAJO ROSA )</t>
        </is>
      </c>
      <c r="D12" s="4" t="inlineStr">
        <is>
          <t>2026-04-16</t>
        </is>
      </c>
      <c r="E12" s="4" t="inlineStr">
        <is>
          <t>2026-04-22</t>
        </is>
      </c>
      <c r="F12" s="4" t="inlineStr">
        <is>
          <t>SIGVA</t>
        </is>
      </c>
      <c r="G12" s="5">
        <f>IF(H12="TT","TRABAJO TERMINADO",IF(H12="MI","TRABAJO NO TERMINADO",""))</f>
        <v/>
      </c>
      <c r="H12" s="6" t="inlineStr"/>
      <c r="I12" s="7">
        <f>IF(B12="", G12, IF(G12="", LEFT(B12,45), IF(45-LEN(G12)-2&lt;=0, G12, LEFT(B12,45-LEN(G12)-2)&amp;", "&amp;G12)))</f>
        <v/>
      </c>
      <c r="J12" s="8">
        <f>IF(H12="MI","NO REALIZADO " &amp; B12 &amp; " EN " &amp; C12 &amp; IF(K12&lt;&gt;""," " &amp; K12,""),IF(H12="TT","SE REALIZA " &amp; B12 &amp; " EN " &amp; C12 &amp; IF(K12&lt;&gt;""," " &amp; K12,""),""))</f>
        <v/>
      </c>
      <c r="K12" s="4" t="n"/>
      <c r="L12" s="4" t="inlineStr">
        <is>
          <t>FOTOMETRO</t>
        </is>
      </c>
    </row>
    <row r="13">
      <c r="A13" s="4" t="inlineStr">
        <is>
          <t>03676998</t>
        </is>
      </c>
      <c r="B13" s="4" t="inlineStr">
        <is>
          <t>MEDICIÓN CAUDALES</t>
        </is>
      </c>
      <c r="C13" s="4" t="inlineStr">
        <is>
          <t>QDH-2 HUINQUINTIPA</t>
        </is>
      </c>
      <c r="D13" s="4" t="inlineStr">
        <is>
          <t>2026-04-16</t>
        </is>
      </c>
      <c r="E13" s="4" t="inlineStr">
        <is>
          <t>2026-04-22</t>
        </is>
      </c>
      <c r="F13" s="4" t="inlineStr">
        <is>
          <t>SIGVA</t>
        </is>
      </c>
      <c r="G13" s="5">
        <f>IF(H13="TT","TRABAJO TERMINADO",IF(H13="MI","TRABAJO NO TERMINADO",""))</f>
        <v/>
      </c>
      <c r="H13" s="6" t="inlineStr"/>
      <c r="I13" s="7">
        <f>IF(B13="", G13, IF(G13="", LEFT(B13,45), IF(45-LEN(G13)-2&lt;=0, G13, LEFT(B13,45-LEN(G13)-2)&amp;", "&amp;G13)))</f>
        <v/>
      </c>
      <c r="J13" s="8">
        <f>IF(H13="MI","NO REALIZADO " &amp; B13 &amp; " EN " &amp; C13 &amp; IF(K13&lt;&gt;""," " &amp; K13,""),IF(H13="TT","SE REALIZA " &amp; B13 &amp; " EN " &amp; C13 &amp; IF(K13&lt;&gt;""," " &amp; K13,""),""))</f>
        <v/>
      </c>
      <c r="K13" s="4" t="n"/>
      <c r="L13" s="4" t="inlineStr">
        <is>
          <t>CAUDAL</t>
        </is>
      </c>
    </row>
    <row r="14">
      <c r="A14" s="4" t="inlineStr">
        <is>
          <t>03676999</t>
        </is>
      </c>
      <c r="B14" s="4" t="inlineStr">
        <is>
          <t>MM. AGUAS  SUPERF. (FOTOMETRO)</t>
        </is>
      </c>
      <c r="C14" s="4" t="inlineStr">
        <is>
          <t>QSD-1 PISC. HUINQUIN. (INT. RAJO ROSA )</t>
        </is>
      </c>
      <c r="D14" s="4" t="inlineStr">
        <is>
          <t>2026-04-16</t>
        </is>
      </c>
      <c r="E14" s="4" t="inlineStr">
        <is>
          <t>2026-04-22</t>
        </is>
      </c>
      <c r="F14" s="4" t="inlineStr">
        <is>
          <t>SIGVA</t>
        </is>
      </c>
      <c r="G14" s="5">
        <f>IF(H14="TT","TRABAJO TERMINADO",IF(H14="MI","TRABAJO NO TERMINADO",""))</f>
        <v/>
      </c>
      <c r="H14" s="6" t="inlineStr"/>
      <c r="I14" s="7">
        <f>IF(B14="", G14, IF(G14="", LEFT(B14,45), IF(45-LEN(G14)-2&lt;=0, G14, LEFT(B14,45-LEN(G14)-2)&amp;", "&amp;G14)))</f>
        <v/>
      </c>
      <c r="J14" s="8">
        <f>IF(H14="MI","NO REALIZADO " &amp; B14 &amp; " EN " &amp; C14 &amp; IF(K14&lt;&gt;""," " &amp; K14,""),IF(H14="TT","SE REALIZA " &amp; B14 &amp; " EN " &amp; C14 &amp; IF(K14&lt;&gt;""," " &amp; K14,""),""))</f>
        <v/>
      </c>
      <c r="K14" s="4" t="n"/>
      <c r="L14" s="4" t="inlineStr">
        <is>
          <t>FOTOMETRO</t>
        </is>
      </c>
    </row>
    <row r="15">
      <c r="A15" s="4" t="inlineStr">
        <is>
          <t>03677000</t>
        </is>
      </c>
      <c r="B15" s="4" t="inlineStr">
        <is>
          <t>MEDICIÓN CAUDALES</t>
        </is>
      </c>
      <c r="C15" s="4" t="inlineStr">
        <is>
          <t>QSN-1 SAN NICOLAS</t>
        </is>
      </c>
      <c r="D15" s="4" t="inlineStr">
        <is>
          <t>2026-04-16</t>
        </is>
      </c>
      <c r="E15" s="4" t="inlineStr">
        <is>
          <t>2026-04-22</t>
        </is>
      </c>
      <c r="F15" s="4" t="inlineStr">
        <is>
          <t>SIGVA</t>
        </is>
      </c>
      <c r="G15" s="5">
        <f>IF(H15="TT","TRABAJO TERMINADO",IF(H15="MI","TRABAJO NO TERMINADO",""))</f>
        <v/>
      </c>
      <c r="H15" s="6" t="inlineStr"/>
      <c r="I15" s="7">
        <f>IF(B15="", G15, IF(G15="", LEFT(B15,45), IF(45-LEN(G15)-2&lt;=0, G15, LEFT(B15,45-LEN(G15)-2)&amp;", "&amp;G15)))</f>
        <v/>
      </c>
      <c r="J15" s="8">
        <f>IF(H15="MI","NO REALIZADO " &amp; B15 &amp; " EN " &amp; C15 &amp; IF(K15&lt;&gt;""," " &amp; K15,""),IF(H15="TT","SE REALIZA " &amp; B15 &amp; " EN " &amp; C15 &amp; IF(K15&lt;&gt;""," " &amp; K15,""),""))</f>
        <v/>
      </c>
      <c r="K15" s="4" t="n"/>
      <c r="L15" s="4" t="inlineStr">
        <is>
          <t>CAUDAL</t>
        </is>
      </c>
    </row>
    <row r="16">
      <c r="A16" s="4" t="inlineStr">
        <is>
          <t>03677001</t>
        </is>
      </c>
      <c r="B16" s="4" t="inlineStr">
        <is>
          <t>MEDICIÓN NIVELES FREÁTICOS</t>
        </is>
      </c>
      <c r="C16" s="4" t="inlineStr">
        <is>
          <t>SH-02B PUERTO COLLAHUASI</t>
        </is>
      </c>
      <c r="D16" s="4" t="inlineStr">
        <is>
          <t>2026-04-16</t>
        </is>
      </c>
      <c r="E16" s="4" t="inlineStr">
        <is>
          <t>2026-04-22</t>
        </is>
      </c>
      <c r="F16" s="4" t="inlineStr">
        <is>
          <t>SIGVA</t>
        </is>
      </c>
      <c r="G16" s="5">
        <f>IF(H16="TT","TRABAJO TERMINADO",IF(H16="MI","TRABAJO NO TERMINADO",""))</f>
        <v/>
      </c>
      <c r="H16" s="6" t="inlineStr"/>
      <c r="I16" s="7">
        <f>IF(B16="", G16, IF(G16="", LEFT(B16,45), IF(45-LEN(G16)-2&lt;=0, G16, LEFT(B16,45-LEN(G16)-2)&amp;", "&amp;G16)))</f>
        <v/>
      </c>
      <c r="J16" s="8">
        <f>IF(H16="MI","NO REALIZADO " &amp; B16 &amp; " EN " &amp; C16 &amp; IF(K16&lt;&gt;""," " &amp; K16,""),IF(H16="TT","SE REALIZA " &amp; B16 &amp; " EN " &amp; C16 &amp; IF(K16&lt;&gt;""," " &amp; K16,""),""))</f>
        <v/>
      </c>
      <c r="K16" s="4" t="n"/>
      <c r="L16" s="4" t="inlineStr">
        <is>
          <t>NF</t>
        </is>
      </c>
    </row>
    <row r="17">
      <c r="A17" s="4" t="inlineStr">
        <is>
          <t>03677002</t>
        </is>
      </c>
      <c r="B17" s="4" t="inlineStr">
        <is>
          <t>MEDICIÓN NIVELES FREÁTICOS</t>
        </is>
      </c>
      <c r="C17" s="4" t="inlineStr">
        <is>
          <t>SH-06 PUERTO COLLAHUASI</t>
        </is>
      </c>
      <c r="D17" s="4" t="inlineStr">
        <is>
          <t>2026-04-16</t>
        </is>
      </c>
      <c r="E17" s="4" t="inlineStr">
        <is>
          <t>2026-04-22</t>
        </is>
      </c>
      <c r="F17" s="4" t="inlineStr">
        <is>
          <t>SIGVA</t>
        </is>
      </c>
      <c r="G17" s="5">
        <f>IF(H17="TT","TRABAJO TERMINADO",IF(H17="MI","TRABAJO NO TERMINADO",""))</f>
        <v/>
      </c>
      <c r="H17" s="6" t="inlineStr"/>
      <c r="I17" s="7">
        <f>IF(B17="", G17, IF(G17="", LEFT(B17,45), IF(45-LEN(G17)-2&lt;=0, G17, LEFT(B17,45-LEN(G17)-2)&amp;", "&amp;G17)))</f>
        <v/>
      </c>
      <c r="J17" s="8">
        <f>IF(H17="MI","NO REALIZADO " &amp; B17 &amp; " EN " &amp; C17 &amp; IF(K17&lt;&gt;""," " &amp; K17,""),IF(H17="TT","SE REALIZA " &amp; B17 &amp; " EN " &amp; C17 &amp; IF(K17&lt;&gt;""," " &amp; K17,""),""))</f>
        <v/>
      </c>
      <c r="K17" s="4" t="n"/>
      <c r="L17" s="4" t="inlineStr">
        <is>
          <t>NF</t>
        </is>
      </c>
    </row>
    <row r="18">
      <c r="A18" s="4" t="inlineStr">
        <is>
          <t>03677003</t>
        </is>
      </c>
      <c r="B18" s="4" t="inlineStr">
        <is>
          <t>MEDICIÓN NIVELES FREÁTICOS</t>
        </is>
      </c>
      <c r="C18" s="4" t="inlineStr">
        <is>
          <t>SH-07 PUERTO COLLAHUASI</t>
        </is>
      </c>
      <c r="D18" s="4" t="inlineStr">
        <is>
          <t>2026-04-16</t>
        </is>
      </c>
      <c r="E18" s="4" t="inlineStr">
        <is>
          <t>2026-04-22</t>
        </is>
      </c>
      <c r="F18" s="4" t="inlineStr">
        <is>
          <t>SIGVA</t>
        </is>
      </c>
      <c r="G18" s="5">
        <f>IF(H18="TT","TRABAJO TERMINADO",IF(H18="MI","TRABAJO NO TERMINADO",""))</f>
        <v/>
      </c>
      <c r="H18" s="6" t="inlineStr"/>
      <c r="I18" s="7">
        <f>IF(B18="", G18, IF(G18="", LEFT(B18,45), IF(45-LEN(G18)-2&lt;=0, G18, LEFT(B18,45-LEN(G18)-2)&amp;", "&amp;G18)))</f>
        <v/>
      </c>
      <c r="J18" s="8">
        <f>IF(H18="MI","NO REALIZADO " &amp; B18 &amp; " EN " &amp; C18 &amp; IF(K18&lt;&gt;""," " &amp; K18,""),IF(H18="TT","SE REALIZA " &amp; B18 &amp; " EN " &amp; C18 &amp; IF(K18&lt;&gt;""," " &amp; K18,""),""))</f>
        <v/>
      </c>
      <c r="K18" s="4" t="n"/>
      <c r="L18" s="4" t="inlineStr">
        <is>
          <t>NF</t>
        </is>
      </c>
    </row>
    <row r="19">
      <c r="A19" s="4" t="inlineStr">
        <is>
          <t>03677004</t>
        </is>
      </c>
      <c r="B19" s="4" t="inlineStr">
        <is>
          <t>MEDICIÓN NIVELES FREÁTICOS</t>
        </is>
      </c>
      <c r="C19" s="4" t="inlineStr">
        <is>
          <t>SH-08 PUERTO COLLAHUASI</t>
        </is>
      </c>
      <c r="D19" s="4" t="inlineStr">
        <is>
          <t>2026-04-16</t>
        </is>
      </c>
      <c r="E19" s="4" t="inlineStr">
        <is>
          <t>2026-04-22</t>
        </is>
      </c>
      <c r="F19" s="4" t="inlineStr">
        <is>
          <t>SIGVA</t>
        </is>
      </c>
      <c r="G19" s="5">
        <f>IF(H19="TT","TRABAJO TERMINADO",IF(H19="MI","TRABAJO NO TERMINADO",""))</f>
        <v/>
      </c>
      <c r="H19" s="6" t="inlineStr"/>
      <c r="I19" s="7">
        <f>IF(B19="", G19, IF(G19="", LEFT(B19,45), IF(45-LEN(G19)-2&lt;=0, G19, LEFT(B19,45-LEN(G19)-2)&amp;", "&amp;G19)))</f>
        <v/>
      </c>
      <c r="J19" s="8">
        <f>IF(H19="MI","NO REALIZADO " &amp; B19 &amp; " EN " &amp; C19 &amp; IF(K19&lt;&gt;""," " &amp; K19,""),IF(H19="TT","SE REALIZA " &amp; B19 &amp; " EN " &amp; C19 &amp; IF(K19&lt;&gt;""," " &amp; K19,""),""))</f>
        <v/>
      </c>
      <c r="K19" s="4" t="n"/>
      <c r="L19" s="4" t="inlineStr">
        <is>
          <t>NF</t>
        </is>
      </c>
    </row>
    <row r="20">
      <c r="A20" s="4" t="inlineStr">
        <is>
          <t>03677005</t>
        </is>
      </c>
      <c r="B20" s="4" t="inlineStr">
        <is>
          <t>MEDICIÓN NIVELES FREÁTICOS</t>
        </is>
      </c>
      <c r="C20" s="4" t="inlineStr">
        <is>
          <t>SH-19 PUERTO COLLAHUASI</t>
        </is>
      </c>
      <c r="D20" s="4" t="inlineStr">
        <is>
          <t>2026-04-16</t>
        </is>
      </c>
      <c r="E20" s="4" t="inlineStr">
        <is>
          <t>2026-04-22</t>
        </is>
      </c>
      <c r="F20" s="4" t="inlineStr">
        <is>
          <t>SIGVA</t>
        </is>
      </c>
      <c r="G20" s="5">
        <f>IF(H20="TT","TRABAJO TERMINADO",IF(H20="MI","TRABAJO NO TERMINADO",""))</f>
        <v/>
      </c>
      <c r="H20" s="6" t="inlineStr"/>
      <c r="I20" s="7">
        <f>IF(B20="", G20, IF(G20="", LEFT(B20,45), IF(45-LEN(G20)-2&lt;=0, G20, LEFT(B20,45-LEN(G20)-2)&amp;", "&amp;G20)))</f>
        <v/>
      </c>
      <c r="J20" s="8">
        <f>IF(H20="MI","NO REALIZADO " &amp; B20 &amp; " EN " &amp; C20 &amp; IF(K20&lt;&gt;""," " &amp; K20,""),IF(H20="TT","SE REALIZA " &amp; B20 &amp; " EN " &amp; C20 &amp; IF(K20&lt;&gt;""," " &amp; K20,""),""))</f>
        <v/>
      </c>
      <c r="K20" s="4" t="n"/>
      <c r="L20" s="4" t="inlineStr">
        <is>
          <t>NF</t>
        </is>
      </c>
    </row>
    <row r="21">
      <c r="A21" s="4" t="inlineStr">
        <is>
          <t>03677006</t>
        </is>
      </c>
      <c r="B21" s="4" t="inlineStr">
        <is>
          <t>MONITOREO DE BAÑOS Y CASINOS</t>
        </is>
      </c>
      <c r="C21" s="4" t="inlineStr">
        <is>
          <t>CPC FALLA PABELLON</t>
        </is>
      </c>
      <c r="D21" s="4" t="inlineStr">
        <is>
          <t>2026-04-16</t>
        </is>
      </c>
      <c r="E21" s="4" t="inlineStr">
        <is>
          <t>2026-04-22</t>
        </is>
      </c>
      <c r="F21" s="4" t="inlineStr">
        <is>
          <t>SIGVA</t>
        </is>
      </c>
      <c r="G21" s="5">
        <f>IF(H21="TT","TRABAJO TERMINADO",IF(H21="MI","TRABAJO NO TERMINADO",""))</f>
        <v/>
      </c>
      <c r="H21" s="6" t="inlineStr"/>
      <c r="I21" s="7">
        <f>IF(B21="", G21, IF(G21="", LEFT(B21,45), IF(45-LEN(G21)-2&lt;=0, G21, LEFT(B21,45-LEN(G21)-2)&amp;", "&amp;G21)))</f>
        <v/>
      </c>
      <c r="J21" s="8">
        <f>IF(H21="MI","NO REALIZADO " &amp; B21 &amp; " EN " &amp; C21 &amp; IF(K21&lt;&gt;""," " &amp; K21,""),IF(H21="TT","SE REALIZA " &amp; B21 &amp; " EN " &amp; C21 &amp; IF(K21&lt;&gt;""," " &amp; K21,""),""))</f>
        <v/>
      </c>
      <c r="K21" s="4" t="n"/>
      <c r="L21" s="4" t="inlineStr">
        <is>
          <t>AP</t>
        </is>
      </c>
    </row>
    <row r="22">
      <c r="A22" s="4" t="inlineStr">
        <is>
          <t>03677007</t>
        </is>
      </c>
      <c r="B22" s="4" t="inlineStr">
        <is>
          <t>MONITOREO DE BAÑOS Y CASINOS</t>
        </is>
      </c>
      <c r="C22" s="4" t="inlineStr">
        <is>
          <t>C-1000 UJINA</t>
        </is>
      </c>
      <c r="D22" s="4" t="inlineStr">
        <is>
          <t>2026-04-16</t>
        </is>
      </c>
      <c r="E22" s="4" t="inlineStr">
        <is>
          <t>2026-04-22</t>
        </is>
      </c>
      <c r="F22" s="4" t="inlineStr">
        <is>
          <t>SIGVA</t>
        </is>
      </c>
      <c r="G22" s="5">
        <f>IF(H22="TT","TRABAJO TERMINADO",IF(H22="MI","TRABAJO NO TERMINADO",""))</f>
        <v/>
      </c>
      <c r="H22" s="6" t="inlineStr"/>
      <c r="I22" s="7">
        <f>IF(B22="", G22, IF(G22="", LEFT(B22,45), IF(45-LEN(G22)-2&lt;=0, G22, LEFT(B22,45-LEN(G22)-2)&amp;", "&amp;G22)))</f>
        <v/>
      </c>
      <c r="J22" s="8">
        <f>IF(H22="MI","NO REALIZADO " &amp; B22 &amp; " EN " &amp; C22 &amp; IF(K22&lt;&gt;""," " &amp; K22,""),IF(H22="TT","SE REALIZA " &amp; B22 &amp; " EN " &amp; C22 &amp; IF(K22&lt;&gt;""," " &amp; K22,""),""))</f>
        <v/>
      </c>
      <c r="K22" s="4" t="n"/>
      <c r="L22" s="4" t="inlineStr">
        <is>
          <t>AP</t>
        </is>
      </c>
    </row>
    <row r="23">
      <c r="A23" s="4" t="inlineStr">
        <is>
          <t>03677008</t>
        </is>
      </c>
      <c r="B23" s="4" t="inlineStr">
        <is>
          <t>MONITOREO DE BAÑOS Y CASINOS</t>
        </is>
      </c>
      <c r="C23" s="4" t="inlineStr">
        <is>
          <t>MONITOREO DE BAÑOS Y CASINOS BCC</t>
        </is>
      </c>
      <c r="D23" s="4" t="inlineStr">
        <is>
          <t>2026-04-16</t>
        </is>
      </c>
      <c r="E23" s="4" t="inlineStr">
        <is>
          <t>2026-04-22</t>
        </is>
      </c>
      <c r="F23" s="4" t="inlineStr">
        <is>
          <t>SIGVA</t>
        </is>
      </c>
      <c r="G23" s="5">
        <f>IF(H23="TT","TRABAJO TERMINADO",IF(H23="MI","TRABAJO NO TERMINADO",""))</f>
        <v/>
      </c>
      <c r="H23" s="6" t="inlineStr"/>
      <c r="I23" s="7">
        <f>IF(B23="", G23, IF(G23="", LEFT(B23,45), IF(45-LEN(G23)-2&lt;=0, G23, LEFT(B23,45-LEN(G23)-2)&amp;", "&amp;G23)))</f>
        <v/>
      </c>
      <c r="J23" s="8">
        <f>IF(H23="MI","NO REALIZADO " &amp; B23 &amp; " EN " &amp; C23 &amp; IF(K23&lt;&gt;""," " &amp; K23,""),IF(H23="TT","SE REALIZA " &amp; B23 &amp; " EN " &amp; C23 &amp; IF(K23&lt;&gt;""," " &amp; K23,""),""))</f>
        <v/>
      </c>
      <c r="K23" s="4" t="n"/>
      <c r="L23" s="4" t="inlineStr">
        <is>
          <t>AP</t>
        </is>
      </c>
    </row>
    <row r="24">
      <c r="A24" s="4" t="inlineStr">
        <is>
          <t>03677009</t>
        </is>
      </c>
      <c r="B24" s="4" t="inlineStr">
        <is>
          <t>MONITOREO DE BAÑOS Y CASINOS</t>
        </is>
      </c>
      <c r="C24" s="4" t="inlineStr">
        <is>
          <t>C-460 ROSARIO</t>
        </is>
      </c>
      <c r="D24" s="4" t="inlineStr">
        <is>
          <t>2026-04-16</t>
        </is>
      </c>
      <c r="E24" s="4" t="inlineStr">
        <is>
          <t>2026-04-22</t>
        </is>
      </c>
      <c r="F24" s="4" t="inlineStr">
        <is>
          <t>SIGVA</t>
        </is>
      </c>
      <c r="G24" s="5">
        <f>IF(H24="TT","TRABAJO TERMINADO",IF(H24="MI","TRABAJO NO TERMINADO",""))</f>
        <v/>
      </c>
      <c r="H24" s="6" t="inlineStr"/>
      <c r="I24" s="7">
        <f>IF(B24="", G24, IF(G24="", LEFT(B24,45), IF(45-LEN(G24)-2&lt;=0, G24, LEFT(B24,45-LEN(G24)-2)&amp;", "&amp;G24)))</f>
        <v/>
      </c>
      <c r="J24" s="8">
        <f>IF(H24="MI","NO REALIZADO " &amp; B24 &amp; " EN " &amp; C24 &amp; IF(K24&lt;&gt;""," " &amp; K24,""),IF(H24="TT","SE REALIZA " &amp; B24 &amp; " EN " &amp; C24 &amp; IF(K24&lt;&gt;""," " &amp; K24,""),""))</f>
        <v/>
      </c>
      <c r="K24" s="4" t="n"/>
      <c r="L24" s="4" t="inlineStr">
        <is>
          <t>AP</t>
        </is>
      </c>
    </row>
    <row r="25">
      <c r="A25" s="4" t="inlineStr">
        <is>
          <t>03677010</t>
        </is>
      </c>
      <c r="B25" s="4" t="inlineStr">
        <is>
          <t>MONITOREO DE BAÑOS Y CASINOS</t>
        </is>
      </c>
      <c r="C25" s="4" t="inlineStr">
        <is>
          <t>CCD</t>
        </is>
      </c>
      <c r="D25" s="4" t="inlineStr">
        <is>
          <t>2026-04-16</t>
        </is>
      </c>
      <c r="E25" s="4" t="inlineStr">
        <is>
          <t>2026-04-22</t>
        </is>
      </c>
      <c r="F25" s="4" t="inlineStr">
        <is>
          <t>SIGVA</t>
        </is>
      </c>
      <c r="G25" s="5">
        <f>IF(H25="TT","TRABAJO TERMINADO",IF(H25="MI","TRABAJO NO TERMINADO",""))</f>
        <v/>
      </c>
      <c r="H25" s="6" t="inlineStr"/>
      <c r="I25" s="7">
        <f>IF(B25="", G25, IF(G25="", LEFT(B25,45), IF(45-LEN(G25)-2&lt;=0, G25, LEFT(B25,45-LEN(G25)-2)&amp;", "&amp;G25)))</f>
        <v/>
      </c>
      <c r="J25" s="8">
        <f>IF(H25="MI","NO REALIZADO " &amp; B25 &amp; " EN " &amp; C25 &amp; IF(K25&lt;&gt;""," " &amp; K25,""),IF(H25="TT","SE REALIZA " &amp; B25 &amp; " EN " &amp; C25 &amp; IF(K25&lt;&gt;""," " &amp; K25,""),""))</f>
        <v/>
      </c>
      <c r="K25" s="4" t="n"/>
      <c r="L25" s="4" t="inlineStr">
        <is>
          <t>AP</t>
        </is>
      </c>
    </row>
    <row r="26">
      <c r="A26" s="4" t="inlineStr">
        <is>
          <t>03677011</t>
        </is>
      </c>
      <c r="B26" s="4" t="inlineStr">
        <is>
          <t>MONIT EN SALAS DE ESTACION Y TK</t>
        </is>
      </c>
      <c r="C26" s="4" t="inlineStr">
        <is>
          <t>TK-1004 ROSARIO</t>
        </is>
      </c>
      <c r="D26" s="4" t="inlineStr">
        <is>
          <t>2026-04-16</t>
        </is>
      </c>
      <c r="E26" s="4" t="inlineStr">
        <is>
          <t>2026-04-22</t>
        </is>
      </c>
      <c r="F26" s="4" t="inlineStr">
        <is>
          <t>SIGVA</t>
        </is>
      </c>
      <c r="G26" s="5">
        <f>IF(H26="TT","TRABAJO TERMINADO",IF(H26="MI","TRABAJO NO TERMINADO",""))</f>
        <v/>
      </c>
      <c r="H26" s="6" t="inlineStr"/>
      <c r="I26" s="7">
        <f>IF(B26="", G26, IF(G26="", LEFT(B26,45), IF(45-LEN(G26)-2&lt;=0, G26, LEFT(B26,45-LEN(G26)-2)&amp;", "&amp;G26)))</f>
        <v/>
      </c>
      <c r="J26" s="8">
        <f>IF(H26="MI","NO REALIZADO " &amp; B26 &amp; " EN " &amp; C26 &amp; IF(K26&lt;&gt;""," " &amp; K26,""),IF(H26="TT","SE REALIZA " &amp; B26 &amp; " EN " &amp; C26 &amp; IF(K26&lt;&gt;""," " &amp; K26,""),""))</f>
        <v/>
      </c>
      <c r="K26" s="4" t="n"/>
      <c r="L26" s="4" t="inlineStr">
        <is>
          <t>AP</t>
        </is>
      </c>
    </row>
    <row r="27">
      <c r="A27" s="4" t="inlineStr">
        <is>
          <t>03677012</t>
        </is>
      </c>
      <c r="B27" s="4" t="inlineStr">
        <is>
          <t>MONIT EN SALAS DE ESTACION Y TK</t>
        </is>
      </c>
      <c r="C27" s="4" t="inlineStr">
        <is>
          <t>TK-517 UJINA</t>
        </is>
      </c>
      <c r="D27" s="4" t="inlineStr">
        <is>
          <t>2026-04-16</t>
        </is>
      </c>
      <c r="E27" s="4" t="inlineStr">
        <is>
          <t>2026-04-22</t>
        </is>
      </c>
      <c r="F27" s="4" t="inlineStr">
        <is>
          <t>SIGVA</t>
        </is>
      </c>
      <c r="G27" s="5">
        <f>IF(H27="TT","TRABAJO TERMINADO",IF(H27="MI","TRABAJO NO TERMINADO",""))</f>
        <v/>
      </c>
      <c r="H27" s="6" t="inlineStr"/>
      <c r="I27" s="7">
        <f>IF(B27="", G27, IF(G27="", LEFT(B27,45), IF(45-LEN(G27)-2&lt;=0, G27, LEFT(B27,45-LEN(G27)-2)&amp;", "&amp;G27)))</f>
        <v/>
      </c>
      <c r="J27" s="8">
        <f>IF(H27="MI","NO REALIZADO " &amp; B27 &amp; " EN " &amp; C27 &amp; IF(K27&lt;&gt;""," " &amp; K27,""),IF(H27="TT","SE REALIZA " &amp; B27 &amp; " EN " &amp; C27 &amp; IF(K27&lt;&gt;""," " &amp; K27,""),""))</f>
        <v/>
      </c>
      <c r="K27" s="4" t="n"/>
      <c r="L27" s="4" t="inlineStr">
        <is>
          <t>AP</t>
        </is>
      </c>
    </row>
    <row r="28">
      <c r="A28" s="4" t="inlineStr">
        <is>
          <t>03677013</t>
        </is>
      </c>
      <c r="B28" s="4" t="inlineStr">
        <is>
          <t>MUESTREO PUNTUAL DE RIL-AS</t>
        </is>
      </c>
      <c r="C28" s="4" t="inlineStr">
        <is>
          <t>PTAS-M ROSARIO</t>
        </is>
      </c>
      <c r="D28" s="4" t="inlineStr">
        <is>
          <t>2026-04-16</t>
        </is>
      </c>
      <c r="E28" s="4" t="inlineStr">
        <is>
          <t>2026-04-22</t>
        </is>
      </c>
      <c r="F28" s="4" t="inlineStr">
        <is>
          <t>SIGVA</t>
        </is>
      </c>
      <c r="G28" s="5">
        <f>IF(H28="TT","TRABAJO TERMINADO",IF(H28="MI","TRABAJO NO TERMINADO",""))</f>
        <v/>
      </c>
      <c r="H28" s="6" t="inlineStr"/>
      <c r="I28" s="7">
        <f>IF(B28="", G28, IF(G28="", LEFT(B28,45), IF(45-LEN(G28)-2&lt;=0, G28, LEFT(B28,45-LEN(G28)-2)&amp;", "&amp;G28)))</f>
        <v/>
      </c>
      <c r="J28" s="8">
        <f>IF(H28="MI","NO REALIZADO " &amp; B28 &amp; " EN " &amp; C28 &amp; IF(K28&lt;&gt;""," " &amp; K28,""),IF(H28="TT","SE REALIZA " &amp; B28 &amp; " EN " &amp; C28 &amp; IF(K28&lt;&gt;""," " &amp; K28,""),""))</f>
        <v/>
      </c>
      <c r="K28" s="4" t="n"/>
      <c r="L28" s="4" t="inlineStr">
        <is>
          <t>AR</t>
        </is>
      </c>
    </row>
    <row r="29">
      <c r="A29" s="4" t="inlineStr">
        <is>
          <t>03677014</t>
        </is>
      </c>
      <c r="B29" s="4" t="inlineStr">
        <is>
          <t>MONITOREO DE BAÑOS Y CASINOS</t>
        </is>
      </c>
      <c r="C29" s="4" t="inlineStr">
        <is>
          <t>BOR ROSARIO</t>
        </is>
      </c>
      <c r="D29" s="4" t="inlineStr">
        <is>
          <t>2026-04-16</t>
        </is>
      </c>
      <c r="E29" s="4" t="inlineStr">
        <is>
          <t>2026-04-22</t>
        </is>
      </c>
      <c r="F29" s="4" t="inlineStr">
        <is>
          <t>SIGVA</t>
        </is>
      </c>
      <c r="G29" s="5">
        <f>IF(H29="TT","TRABAJO TERMINADO",IF(H29="MI","TRABAJO NO TERMINADO",""))</f>
        <v/>
      </c>
      <c r="H29" s="6" t="inlineStr"/>
      <c r="I29" s="7">
        <f>IF(B29="", G29, IF(G29="", LEFT(B29,45), IF(45-LEN(G29)-2&lt;=0, G29, LEFT(B29,45-LEN(G29)-2)&amp;", "&amp;G29)))</f>
        <v/>
      </c>
      <c r="J29" s="8">
        <f>IF(H29="MI","NO REALIZADO " &amp; B29 &amp; " EN " &amp; C29 &amp; IF(K29&lt;&gt;""," " &amp; K29,""),IF(H29="TT","SE REALIZA " &amp; B29 &amp; " EN " &amp; C29 &amp; IF(K29&lt;&gt;""," " &amp; K29,""),""))</f>
        <v/>
      </c>
      <c r="K29" s="4" t="n"/>
      <c r="L29" s="4" t="inlineStr">
        <is>
          <t>AP</t>
        </is>
      </c>
    </row>
    <row r="30">
      <c r="A30" s="4" t="inlineStr">
        <is>
          <t>03677015</t>
        </is>
      </c>
      <c r="B30" s="4" t="inlineStr">
        <is>
          <t>MUESTREO M. AGUAS SUPERF (FOTOMETRO)</t>
        </is>
      </c>
      <c r="C30" s="4" t="inlineStr">
        <is>
          <t>PISCINA  DIQUE HUINQUINTIPA</t>
        </is>
      </c>
      <c r="D30" s="4" t="inlineStr">
        <is>
          <t>2026-04-16</t>
        </is>
      </c>
      <c r="E30" s="4" t="inlineStr">
        <is>
          <t>2026-04-22</t>
        </is>
      </c>
      <c r="F30" s="4" t="inlineStr">
        <is>
          <t>SIGVA</t>
        </is>
      </c>
      <c r="G30" s="5">
        <f>IF(H30="TT","TRABAJO TERMINADO",IF(H30="MI","TRABAJO NO TERMINADO",""))</f>
        <v/>
      </c>
      <c r="H30" s="6" t="inlineStr"/>
      <c r="I30" s="7">
        <f>IF(B30="", G30, IF(G30="", LEFT(B30,45), IF(45-LEN(G30)-2&lt;=0, G30, LEFT(B30,45-LEN(G30)-2)&amp;", "&amp;G30)))</f>
        <v/>
      </c>
      <c r="J30" s="8">
        <f>IF(H30="MI","NO REALIZADO " &amp; B30 &amp; " EN " &amp; C30 &amp; IF(K30&lt;&gt;""," " &amp; K30,""),IF(H30="TT","SE REALIZA " &amp; B30 &amp; " EN " &amp; C30 &amp; IF(K30&lt;&gt;""," " &amp; K30,""),""))</f>
        <v/>
      </c>
      <c r="K30" s="4" t="n"/>
      <c r="L30" s="4" t="inlineStr">
        <is>
          <t>FOTOMETRO</t>
        </is>
      </c>
    </row>
    <row r="31">
      <c r="A31" s="4" t="inlineStr">
        <is>
          <t>03679194</t>
        </is>
      </c>
      <c r="B31" s="4" t="inlineStr">
        <is>
          <t>OP DE ESTACIONES CONTINUAS</t>
        </is>
      </c>
      <c r="C31" s="4" t="inlineStr">
        <is>
          <t>Ujina</t>
        </is>
      </c>
      <c r="D31" s="4" t="inlineStr">
        <is>
          <t>2026-04-16</t>
        </is>
      </c>
      <c r="E31" s="4" t="inlineStr">
        <is>
          <t>2026-04-22</t>
        </is>
      </c>
      <c r="F31" s="4" t="inlineStr">
        <is>
          <t>SIGAIR</t>
        </is>
      </c>
      <c r="G31" s="5">
        <f>IF(H31="TT","TRABAJO TERMINADO",IF(H31="MI","TRABAJO NO TERMINADO",""))</f>
        <v/>
      </c>
      <c r="H31" s="6" t="inlineStr"/>
      <c r="I31" s="7">
        <f>IF(B31="", G31, IF(G31="", LEFT(B31,45), IF(45-LEN(G31)-2&lt;=0, G31, LEFT(B31,45-LEN(G31)-2)&amp;", "&amp;G31)))</f>
        <v/>
      </c>
      <c r="J31" s="8">
        <f>IF(H31="MI","NO REALIZADO " &amp; B31 &amp; " EN " &amp; C31 &amp; IF(K31&lt;&gt;""," " &amp; K31,""),IF(H31="TT","SE REALIZA " &amp; B31 &amp; " EN " &amp; C31 &amp; IF(K31&lt;&gt;""," " &amp; K31,""),""))</f>
        <v/>
      </c>
      <c r="K31" s="4" t="n"/>
      <c r="L31" s="4" t="inlineStr"/>
    </row>
    <row r="32">
      <c r="A32" s="4" t="inlineStr">
        <is>
          <t>03679195</t>
        </is>
      </c>
      <c r="B32" s="4" t="inlineStr">
        <is>
          <t>OPERACIÓN DE ESTACIONES DISCRETAS</t>
        </is>
      </c>
      <c r="C32" s="4" t="inlineStr">
        <is>
          <t>Ujina</t>
        </is>
      </c>
      <c r="D32" s="4" t="inlineStr">
        <is>
          <t>2026-04-16</t>
        </is>
      </c>
      <c r="E32" s="4" t="inlineStr">
        <is>
          <t>2026-04-22</t>
        </is>
      </c>
      <c r="F32" s="4" t="inlineStr">
        <is>
          <t>SIGAIR</t>
        </is>
      </c>
      <c r="G32" s="5">
        <f>IF(H32="TT","TRABAJO TERMINADO",IF(H32="MI","TRABAJO NO TERMINADO",""))</f>
        <v/>
      </c>
      <c r="H32" s="6" t="inlineStr"/>
      <c r="I32" s="7">
        <f>IF(B32="", G32, IF(G32="", LEFT(B32,45), IF(45-LEN(G32)-2&lt;=0, G32, LEFT(B32,45-LEN(G32)-2)&amp;", "&amp;G32)))</f>
        <v/>
      </c>
      <c r="J32" s="8">
        <f>IF(H32="MI","NO REALIZADO " &amp; B32 &amp; " EN " &amp; C32 &amp; IF(K32&lt;&gt;""," " &amp; K32,""),IF(H32="TT","SE REALIZA " &amp; B32 &amp; " EN " &amp; C32 &amp; IF(K32&lt;&gt;""," " &amp; K32,""),""))</f>
        <v/>
      </c>
      <c r="K32" s="4" t="n"/>
      <c r="L32" s="4" t="inlineStr"/>
    </row>
    <row r="33">
      <c r="A33" s="4" t="inlineStr">
        <is>
          <t>03679196</t>
        </is>
      </c>
      <c r="B33" s="4" t="inlineStr">
        <is>
          <t>OP DE ESTACIONES CONTINUAS</t>
        </is>
      </c>
      <c r="C33" s="4" t="inlineStr">
        <is>
          <t>Coposa Continuo</t>
        </is>
      </c>
      <c r="D33" s="4" t="inlineStr">
        <is>
          <t>2026-04-16</t>
        </is>
      </c>
      <c r="E33" s="4" t="inlineStr">
        <is>
          <t>2026-04-22</t>
        </is>
      </c>
      <c r="F33" s="4" t="inlineStr">
        <is>
          <t>SIGAIR</t>
        </is>
      </c>
      <c r="G33" s="5">
        <f>IF(H33="TT","TRABAJO TERMINADO",IF(H33="MI","TRABAJO NO TERMINADO",""))</f>
        <v/>
      </c>
      <c r="H33" s="6" t="inlineStr"/>
      <c r="I33" s="7">
        <f>IF(B33="", G33, IF(G33="", LEFT(B33,45), IF(45-LEN(G33)-2&lt;=0, G33, LEFT(B33,45-LEN(G33)-2)&amp;", "&amp;G33)))</f>
        <v/>
      </c>
      <c r="J33" s="8">
        <f>IF(H33="MI","NO REALIZADO " &amp; B33 &amp; " EN " &amp; C33 &amp; IF(K33&lt;&gt;""," " &amp; K33,""),IF(H33="TT","SE REALIZA " &amp; B33 &amp; " EN " &amp; C33 &amp; IF(K33&lt;&gt;""," " &amp; K33,""),""))</f>
        <v/>
      </c>
      <c r="K33" s="4" t="n"/>
      <c r="L33" s="4" t="inlineStr"/>
    </row>
    <row r="34">
      <c r="A34" s="4" t="inlineStr">
        <is>
          <t>03679197</t>
        </is>
      </c>
      <c r="B34" s="4" t="inlineStr">
        <is>
          <t>OPERACIÓN DE ESTACIONES DISCRETAS</t>
        </is>
      </c>
      <c r="C34" s="4" t="inlineStr">
        <is>
          <t>Coposa EMRP Discreto</t>
        </is>
      </c>
      <c r="D34" s="4" t="inlineStr">
        <is>
          <t>2026-04-16</t>
        </is>
      </c>
      <c r="E34" s="4" t="inlineStr">
        <is>
          <t>2026-04-22</t>
        </is>
      </c>
      <c r="F34" s="4" t="inlineStr">
        <is>
          <t>SIGAIR</t>
        </is>
      </c>
      <c r="G34" s="5">
        <f>IF(H34="TT","TRABAJO TERMINADO",IF(H34="MI","TRABAJO NO TERMINADO",""))</f>
        <v/>
      </c>
      <c r="H34" s="6" t="inlineStr"/>
      <c r="I34" s="7">
        <f>IF(B34="", G34, IF(G34="", LEFT(B34,45), IF(45-LEN(G34)-2&lt;=0, G34, LEFT(B34,45-LEN(G34)-2)&amp;", "&amp;G34)))</f>
        <v/>
      </c>
      <c r="J34" s="8">
        <f>IF(H34="MI","NO REALIZADO " &amp; B34 &amp; " EN " &amp; C34 &amp; IF(K34&lt;&gt;""," " &amp; K34,""),IF(H34="TT","SE REALIZA " &amp; B34 &amp; " EN " &amp; C34 &amp; IF(K34&lt;&gt;""," " &amp; K34,""),""))</f>
        <v/>
      </c>
      <c r="K34" s="4" t="n"/>
      <c r="L34" s="4" t="inlineStr"/>
    </row>
    <row r="35">
      <c r="A35" s="4" t="inlineStr">
        <is>
          <t>03679236</t>
        </is>
      </c>
      <c r="B35" s="4" t="inlineStr">
        <is>
          <t>OP DE ESTACIONES CONTINUAS</t>
        </is>
      </c>
      <c r="C35" s="4" t="inlineStr">
        <is>
          <t>Casino 460</t>
        </is>
      </c>
      <c r="D35" s="4" t="inlineStr">
        <is>
          <t>2026-04-16</t>
        </is>
      </c>
      <c r="E35" s="4" t="inlineStr">
        <is>
          <t>2026-04-22</t>
        </is>
      </c>
      <c r="F35" s="4" t="inlineStr">
        <is>
          <t>SIGAIR</t>
        </is>
      </c>
      <c r="G35" s="5">
        <f>IF(H35="TT","TRABAJO TERMINADO",IF(H35="MI","TRABAJO NO TERMINADO",""))</f>
        <v/>
      </c>
      <c r="H35" s="6" t="inlineStr"/>
      <c r="I35" s="7">
        <f>IF(B35="", G35, IF(G35="", LEFT(B35,45), IF(45-LEN(G35)-2&lt;=0, G35, LEFT(B35,45-LEN(G35)-2)&amp;", "&amp;G35)))</f>
        <v/>
      </c>
      <c r="J35" s="8">
        <f>IF(H35="MI","NO REALIZADO " &amp; B35 &amp; " EN " &amp; C35 &amp; IF(K35&lt;&gt;""," " &amp; K35,""),IF(H35="TT","SE REALIZA " &amp; B35 &amp; " EN " &amp; C35 &amp; IF(K35&lt;&gt;""," " &amp; K35,""),""))</f>
        <v/>
      </c>
      <c r="K35" s="4" t="n"/>
      <c r="L35" s="4" t="inlineStr"/>
    </row>
    <row r="36">
      <c r="A36" s="4" t="inlineStr">
        <is>
          <t>03679237</t>
        </is>
      </c>
      <c r="B36" s="4" t="inlineStr">
        <is>
          <t>TRAS PERS. Y CAM. TURNO CONTRAT</t>
        </is>
      </c>
      <c r="C36" s="4" t="inlineStr">
        <is>
          <t>IQUIQUE - CMDIC Y VICE VERSA</t>
        </is>
      </c>
      <c r="D36" s="4" t="inlineStr">
        <is>
          <t>2026-04-16</t>
        </is>
      </c>
      <c r="E36" s="4" t="inlineStr">
        <is>
          <t>2026-04-22</t>
        </is>
      </c>
      <c r="F36" s="4" t="inlineStr">
        <is>
          <t>SIGADM</t>
        </is>
      </c>
      <c r="G36" s="5">
        <f>IF(H36="TT","TRABAJO TERMINADO",IF(H36="MI","TRABAJO NO TERMINADO",""))</f>
        <v/>
      </c>
      <c r="H36" s="6" t="inlineStr"/>
      <c r="I36" s="7">
        <f>IF(B36="", G36, IF(G36="", LEFT(B36,45), IF(45-LEN(G36)-2&lt;=0, G36, LEFT(B36,45-LEN(G36)-2)&amp;", "&amp;G36)))</f>
        <v/>
      </c>
      <c r="J36" s="8">
        <f>IF(H36="MI","NO REALIZADO " &amp; B36 &amp; " EN " &amp; C36 &amp; IF(K36&lt;&gt;""," " &amp; K36,""),IF(H36="TT","SE REALIZA " &amp; B36 &amp; " EN " &amp; C36 &amp; IF(K36&lt;&gt;""," " &amp; K36,""),""))</f>
        <v/>
      </c>
      <c r="K36" s="4" t="n"/>
      <c r="L36" s="4" t="inlineStr"/>
    </row>
    <row r="37">
      <c r="A37" s="4" t="inlineStr">
        <is>
          <t>03679238</t>
        </is>
      </c>
      <c r="B37" s="4" t="inlineStr">
        <is>
          <t>TRAS MUESTRAS Y MATERIAL MUEST</t>
        </is>
      </c>
      <c r="C37" s="4" t="inlineStr">
        <is>
          <t>IQUIQUE - CMDIC Y VICE VERSA</t>
        </is>
      </c>
      <c r="D37" s="4" t="inlineStr">
        <is>
          <t>2026-04-16</t>
        </is>
      </c>
      <c r="E37" s="4" t="inlineStr">
        <is>
          <t>2026-04-22</t>
        </is>
      </c>
      <c r="F37" s="4" t="inlineStr">
        <is>
          <t>SIGADM</t>
        </is>
      </c>
      <c r="G37" s="5">
        <f>IF(H37="TT","TRABAJO TERMINADO",IF(H37="MI","TRABAJO NO TERMINADO",""))</f>
        <v/>
      </c>
      <c r="H37" s="6" t="inlineStr"/>
      <c r="I37" s="7">
        <f>IF(B37="", G37, IF(G37="", LEFT(B37,45), IF(45-LEN(G37)-2&lt;=0, G37, LEFT(B37,45-LEN(G37)-2)&amp;", "&amp;G37)))</f>
        <v/>
      </c>
      <c r="J37" s="8">
        <f>IF(H37="MI","NO REALIZADO " &amp; B37 &amp; " EN " &amp; C37 &amp; IF(K37&lt;&gt;""," " &amp; K37,""),IF(H37="TT","SE REALIZA " &amp; B37 &amp; " EN " &amp; C37 &amp; IF(K37&lt;&gt;""," " &amp; K37,""),""))</f>
        <v/>
      </c>
      <c r="K37" s="4" t="n"/>
      <c r="L37" s="4" t="inlineStr"/>
    </row>
    <row r="38">
      <c r="A38" s="4" t="inlineStr">
        <is>
          <t>03687291</t>
        </is>
      </c>
      <c r="B38" s="4" t="inlineStr">
        <is>
          <t>GESTION DE RESIDUOS</t>
        </is>
      </c>
      <c r="C38" s="4" t="inlineStr">
        <is>
          <t>BODEGA SIGA-B02</t>
        </is>
      </c>
      <c r="D38" s="4" t="inlineStr">
        <is>
          <t>2026-04-16</t>
        </is>
      </c>
      <c r="E38" s="4" t="inlineStr">
        <is>
          <t>2026-04-22</t>
        </is>
      </c>
      <c r="F38" s="4" t="inlineStr">
        <is>
          <t>SIGAIR</t>
        </is>
      </c>
      <c r="G38" s="5">
        <f>IF(H38="TT","TRABAJO TERMINADO",IF(H38="MI","TRABAJO NO TERMINADO",""))</f>
        <v/>
      </c>
      <c r="H38" s="6" t="inlineStr"/>
      <c r="I38" s="7">
        <f>IF(B38="", G38, IF(G38="", LEFT(B38,45), IF(45-LEN(G38)-2&lt;=0, G38, LEFT(B38,45-LEN(G38)-2)&amp;", "&amp;G38)))</f>
        <v/>
      </c>
      <c r="J38" s="8">
        <f>IF(H38="MI","NO REALIZADO " &amp; B38 &amp; " EN " &amp; C38 &amp; IF(K38&lt;&gt;""," " &amp; K38,""),IF(H38="TT","SE REALIZA " &amp; B38 &amp; " EN " &amp; C38 &amp; IF(K38&lt;&gt;""," " &amp; K38,""),""))</f>
        <v/>
      </c>
      <c r="K38" s="4" t="n"/>
      <c r="L38" s="4" t="inlineStr"/>
    </row>
    <row r="39">
      <c r="A39" s="4" t="inlineStr">
        <is>
          <t>03687292</t>
        </is>
      </c>
      <c r="B39" s="4" t="inlineStr">
        <is>
          <t>HOUSEKEEPING</t>
        </is>
      </c>
      <c r="C39" s="4" t="inlineStr"/>
      <c r="D39" s="4" t="inlineStr">
        <is>
          <t>2026-04-16</t>
        </is>
      </c>
      <c r="E39" s="4" t="inlineStr">
        <is>
          <t>2026-04-22</t>
        </is>
      </c>
      <c r="F39" s="4" t="inlineStr">
        <is>
          <t>SIGADM</t>
        </is>
      </c>
      <c r="G39" s="5">
        <f>IF(H39="TT","TRABAJO TERMINADO",IF(H39="MI","TRABAJO NO TERMINADO",""))</f>
        <v/>
      </c>
      <c r="H39" s="6" t="inlineStr"/>
      <c r="I39" s="7">
        <f>IF(B39="", G39, IF(G39="", LEFT(B39,45), IF(45-LEN(G39)-2&lt;=0, G39, LEFT(B39,45-LEN(G39)-2)&amp;", "&amp;G39)))</f>
        <v/>
      </c>
      <c r="J39" s="8">
        <f>IF(H39="MI","NO REALIZADO " &amp; B39 &amp; " EN " &amp; C39 &amp; IF(K39&lt;&gt;""," " &amp; K39,""),IF(H39="TT","SE REALIZA " &amp; B39 &amp; " EN " &amp; C39 &amp; IF(K39&lt;&gt;""," " &amp; K39,""),""))</f>
        <v/>
      </c>
      <c r="K39" s="4" t="n"/>
      <c r="L39" s="4" t="inlineStr"/>
    </row>
    <row r="40">
      <c r="A40" s="4" t="inlineStr">
        <is>
          <t>03687293</t>
        </is>
      </c>
      <c r="B40" s="4" t="inlineStr">
        <is>
          <t>MM. AGUAS  SUPERF. (FOTOMETRO)</t>
        </is>
      </c>
      <c r="C40" s="4" t="inlineStr">
        <is>
          <t>PISCINA DIQUE SAN DANIEL</t>
        </is>
      </c>
      <c r="D40" s="4" t="inlineStr">
        <is>
          <t>2026-04-16</t>
        </is>
      </c>
      <c r="E40" s="4" t="inlineStr">
        <is>
          <t>2026-04-22</t>
        </is>
      </c>
      <c r="F40" s="4" t="inlineStr">
        <is>
          <t>SIGVA</t>
        </is>
      </c>
      <c r="G40" s="5">
        <f>IF(H40="TT","TRABAJO TERMINADO",IF(H40="MI","TRABAJO NO TERMINADO",""))</f>
        <v/>
      </c>
      <c r="H40" s="6" t="inlineStr"/>
      <c r="I40" s="7">
        <f>IF(B40="", G40, IF(G40="", LEFT(B40,45), IF(45-LEN(G40)-2&lt;=0, G40, LEFT(B40,45-LEN(G40)-2)&amp;", "&amp;G40)))</f>
        <v/>
      </c>
      <c r="J40" s="8">
        <f>IF(H40="MI","NO REALIZADO " &amp; B40 &amp; " EN " &amp; C40 &amp; IF(K40&lt;&gt;""," " &amp; K40,""),IF(H40="TT","SE REALIZA " &amp; B40 &amp; " EN " &amp; C40 &amp; IF(K40&lt;&gt;""," " &amp; K40,""),""))</f>
        <v/>
      </c>
      <c r="K40" s="4" t="n"/>
      <c r="L40" s="4" t="inlineStr">
        <is>
          <t>FOTOMETRO</t>
        </is>
      </c>
    </row>
  </sheetData>
  <autoFilter ref="A1:L1"/>
  <conditionalFormatting sqref="I2:I40">
    <cfRule type="expression" priority="1" dxfId="0">
      <formula>AND(I2&lt;&gt;"", LEN(I2)&gt;50)</formula>
    </cfRule>
  </conditionalFormatting>
  <dataValidations count="1">
    <dataValidation sqref="I1:I40" showDropDown="0" showInputMessage="0" showErrorMessage="0" allowBlank="0" type="textLength" operator="lessThanOrEqual">
      <formula1>45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0" customWidth="1" min="3" max="3"/>
    <col width="16" customWidth="1" min="4" max="4"/>
    <col width="20" customWidth="1" min="5" max="5"/>
    <col width="14" customWidth="1" min="6" max="6"/>
    <col width="14" customWidth="1" min="7" max="7"/>
    <col width="35" customWidth="1" min="8" max="8"/>
    <col width="60" customWidth="1" min="9" max="9"/>
    <col width="28" customWidth="1" min="10" max="10"/>
  </cols>
  <sheetData>
    <row r="1">
      <c r="A1" s="1" t="inlineStr">
        <is>
          <t>Referencia</t>
        </is>
      </c>
      <c r="B1" s="1" t="inlineStr">
        <is>
          <t>Descripción</t>
        </is>
      </c>
      <c r="C1" s="1" t="inlineStr">
        <is>
          <t>Descripción de tarea programada 2</t>
        </is>
      </c>
      <c r="D1" s="1" t="inlineStr">
        <is>
          <t>Fecha de inicio del plan</t>
        </is>
      </c>
      <c r="E1" s="1" t="inlineStr">
        <is>
          <t>Fecha de finalización planificada</t>
        </is>
      </c>
      <c r="F1" s="1" t="inlineStr">
        <is>
          <t>Grupo trab</t>
        </is>
      </c>
      <c r="G1" s="1" t="inlineStr">
        <is>
          <t>CODIGO DE CIERRE</t>
        </is>
      </c>
      <c r="H1" s="2" t="inlineStr">
        <is>
          <t>Descripción, obs</t>
        </is>
      </c>
      <c r="I1" s="1" t="inlineStr">
        <is>
          <t>Descripción Descripción de tarea programada 2</t>
        </is>
      </c>
      <c r="J1" s="3" t="inlineStr">
        <is>
          <t>Comentario adiciona</t>
        </is>
      </c>
    </row>
    <row r="2">
      <c r="A2" s="9" t="inlineStr">
        <is>
          <t>03671634</t>
        </is>
      </c>
      <c r="B2" s="9" t="inlineStr">
        <is>
          <t>REPORTE BBDD MP</t>
        </is>
      </c>
      <c r="C2" s="9" t="inlineStr"/>
      <c r="D2" s="9" t="inlineStr">
        <is>
          <t>2026-04-15</t>
        </is>
      </c>
      <c r="E2" s="9" t="inlineStr">
        <is>
          <t>2026-04-16</t>
        </is>
      </c>
      <c r="F2" s="9" t="inlineStr">
        <is>
          <t>SIGRPMO</t>
        </is>
      </c>
      <c r="G2" s="5" t="inlineStr"/>
      <c r="H2" s="10">
        <f>IF(G2="TT", B2 &amp; " EMITIDO", IF(G2="MI", B2 &amp; " NO EMITIDO", ""))</f>
        <v/>
      </c>
      <c r="I2" s="7">
        <f>IF(G2="TT", B2 &amp;" EMITIDO dentro de plazo, según planificación ", IF(G2="MI", B2 &amp; "NO SE RECIBE REPORTE EN LA FECHA SOLICITADA", ""))</f>
        <v/>
      </c>
      <c r="J2" s="5" t="n"/>
    </row>
    <row r="3">
      <c r="A3" s="9" t="inlineStr">
        <is>
          <t>03671635</t>
        </is>
      </c>
      <c r="B3" s="9" t="inlineStr">
        <is>
          <t>REPORTE CALIDAD CWS-02 Y MITIGACIÓN JACH</t>
        </is>
      </c>
      <c r="C3" s="9" t="inlineStr"/>
      <c r="D3" s="9" t="inlineStr">
        <is>
          <t>2026-04-15</t>
        </is>
      </c>
      <c r="E3" s="9" t="inlineStr">
        <is>
          <t>2026-04-16</t>
        </is>
      </c>
      <c r="F3" s="9" t="inlineStr">
        <is>
          <t>SIGRPMO</t>
        </is>
      </c>
      <c r="G3" s="5" t="inlineStr"/>
      <c r="H3" s="10">
        <f>IF(G3="TT", B3 &amp; " EMITIDO", IF(G3="MI", B3 &amp; " NO EMITIDO", ""))</f>
        <v/>
      </c>
      <c r="I3" s="7">
        <f>IF(G3="TT", B3 &amp;" EMITIDO dentro de plazo, según planificación ", IF(G3="MI", B3 &amp; "NO SE RECIBE REPORTE EN LA FECHA SOLICITADA", ""))</f>
        <v/>
      </c>
      <c r="J3" s="5" t="n"/>
    </row>
    <row r="4">
      <c r="A4" s="9" t="inlineStr">
        <is>
          <t>03671636</t>
        </is>
      </c>
      <c r="B4" s="9" t="inlineStr">
        <is>
          <t>REPORTE PAT FRONTERA (Dashboard nivel y</t>
        </is>
      </c>
      <c r="C4" s="9" t="inlineStr">
        <is>
          <t>REPORTE PAT FRONTERA (Dashboard nivel y cauda</t>
        </is>
      </c>
      <c r="D4" s="9" t="inlineStr">
        <is>
          <t>2026-04-15</t>
        </is>
      </c>
      <c r="E4" s="9" t="inlineStr">
        <is>
          <t>2026-04-16</t>
        </is>
      </c>
      <c r="F4" s="9" t="inlineStr">
        <is>
          <t>SIGRPMO</t>
        </is>
      </c>
      <c r="G4" s="5" t="inlineStr"/>
      <c r="H4" s="10">
        <f>IF(G4="TT", B4 &amp; " EMITIDO", IF(G4="MI", B4 &amp; " NO EMITIDO", ""))</f>
        <v/>
      </c>
      <c r="I4" s="7">
        <f>IF(G4="TT", B4 &amp;" EMITIDO dentro de plazo, según planificación ", IF(G4="MI", B4 &amp; "NO SE RECIBE REPORTE EN LA FECHA SOLICITADA", ""))</f>
        <v/>
      </c>
      <c r="J4" s="5" t="n"/>
    </row>
    <row r="5">
      <c r="A5" s="9" t="inlineStr">
        <is>
          <t>03671637</t>
        </is>
      </c>
      <c r="B5" s="9" t="inlineStr">
        <is>
          <t>REPORTE BBDD QDH-02</t>
        </is>
      </c>
      <c r="C5" s="9" t="inlineStr"/>
      <c r="D5" s="9" t="inlineStr">
        <is>
          <t>2026-04-15</t>
        </is>
      </c>
      <c r="E5" s="9" t="inlineStr">
        <is>
          <t>2026-04-16</t>
        </is>
      </c>
      <c r="F5" s="9" t="inlineStr">
        <is>
          <t>SIGRPMO</t>
        </is>
      </c>
      <c r="G5" s="5" t="inlineStr"/>
      <c r="H5" s="10">
        <f>IF(G5="TT", B5 &amp; " EMITIDO", IF(G5="MI", B5 &amp; " NO EMITIDO", ""))</f>
        <v/>
      </c>
      <c r="I5" s="7">
        <f>IF(G5="TT", B5 &amp;" EMITIDO dentro de plazo, según planificación ", IF(G5="MI", B5 &amp; "NO SE RECIBE REPORTE EN LA FECHA SOLICITADA", ""))</f>
        <v/>
      </c>
      <c r="J5" s="5" t="n"/>
    </row>
    <row r="6">
      <c r="A6" s="9" t="inlineStr">
        <is>
          <t>03671638</t>
        </is>
      </c>
      <c r="B6" s="9" t="inlineStr">
        <is>
          <t>REPORTE CALIDAD DE AIRE (TODAS ESTACIONE</t>
        </is>
      </c>
      <c r="C6" s="9" t="inlineStr"/>
      <c r="D6" s="9" t="inlineStr">
        <is>
          <t>2026-04-15</t>
        </is>
      </c>
      <c r="E6" s="9" t="inlineStr">
        <is>
          <t>2026-04-16</t>
        </is>
      </c>
      <c r="F6" s="9" t="inlineStr">
        <is>
          <t>SIGRPMO</t>
        </is>
      </c>
      <c r="G6" s="5" t="inlineStr"/>
      <c r="H6" s="10">
        <f>IF(G6="TT", B6 &amp; " EMITIDO", IF(G6="MI", B6 &amp; " NO EMITIDO", ""))</f>
        <v/>
      </c>
      <c r="I6" s="7">
        <f>IF(G6="TT", B6 &amp;" EMITIDO dentro de plazo, según planificación ", IF(G6="MI", B6 &amp; "NO SE RECIBE REPORTE EN LA FECHA SOLICITADA", ""))</f>
        <v/>
      </c>
      <c r="J6" s="5" t="n"/>
    </row>
    <row r="7">
      <c r="A7" s="9" t="inlineStr">
        <is>
          <t>03671639</t>
        </is>
      </c>
      <c r="B7" s="9" t="inlineStr">
        <is>
          <t>PPT RED CALIDAD DE AIRE</t>
        </is>
      </c>
      <c r="C7" s="9" t="inlineStr"/>
      <c r="D7" s="9" t="inlineStr">
        <is>
          <t>2026-04-15</t>
        </is>
      </c>
      <c r="E7" s="9" t="inlineStr">
        <is>
          <t>2026-04-16</t>
        </is>
      </c>
      <c r="F7" s="9" t="inlineStr">
        <is>
          <t>SIGRPMO</t>
        </is>
      </c>
      <c r="G7" s="5" t="inlineStr"/>
      <c r="H7" s="10">
        <f>IF(G7="TT", B7 &amp; " EMITIDO", IF(G7="MI", B7 &amp; " NO EMITIDO", ""))</f>
        <v/>
      </c>
      <c r="I7" s="7">
        <f>IF(G7="TT", B7 &amp;" EMITIDO dentro de plazo, según planificación ", IF(G7="MI", B7 &amp; "NO SE RECIBE REPORTE EN LA FECHA SOLICITADA", ""))</f>
        <v/>
      </c>
      <c r="J7" s="5" t="n"/>
    </row>
    <row r="8">
      <c r="A8" s="9" t="inlineStr">
        <is>
          <t>03679277</t>
        </is>
      </c>
      <c r="B8" s="9" t="inlineStr">
        <is>
          <t>REPORTE INFORMES PDR</t>
        </is>
      </c>
      <c r="C8" s="9" t="inlineStr"/>
      <c r="D8" s="9" t="inlineStr">
        <is>
          <t>2026-04-16</t>
        </is>
      </c>
      <c r="E8" s="9" t="inlineStr">
        <is>
          <t>2026-04-17</t>
        </is>
      </c>
      <c r="F8" s="9" t="inlineStr">
        <is>
          <t>SIGRPMO</t>
        </is>
      </c>
      <c r="G8" s="5" t="inlineStr"/>
      <c r="H8" s="10">
        <f>IF(G8="TT", B8 &amp; " EMITIDO", IF(G8="MI", B8 &amp; " NO EMITIDO", ""))</f>
        <v/>
      </c>
      <c r="I8" s="7">
        <f>IF(G8="TT", B8 &amp;" EMITIDO dentro de plazo, según planificación ", IF(G8="MI", B8 &amp; "NO SE RECIBE REPORTE EN LA FECHA SOLICITADA", ""))</f>
        <v/>
      </c>
      <c r="J8" s="5" t="n"/>
    </row>
    <row r="9">
      <c r="A9" s="9" t="inlineStr">
        <is>
          <t>03679278</t>
        </is>
      </c>
      <c r="B9" s="9" t="inlineStr">
        <is>
          <t>REPORTE PLANILLA NIVELES</t>
        </is>
      </c>
      <c r="C9" s="9" t="inlineStr"/>
      <c r="D9" s="9" t="inlineStr">
        <is>
          <t>2026-04-16</t>
        </is>
      </c>
      <c r="E9" s="9" t="inlineStr">
        <is>
          <t>2026-04-17</t>
        </is>
      </c>
      <c r="F9" s="9" t="inlineStr">
        <is>
          <t>SIGRPMO</t>
        </is>
      </c>
      <c r="G9" s="5" t="inlineStr"/>
      <c r="H9" s="10">
        <f>IF(G9="TT", B9 &amp; " EMITIDO", IF(G9="MI", B9 &amp; " NO EMITIDO", ""))</f>
        <v/>
      </c>
      <c r="I9" s="7">
        <f>IF(G9="TT", B9 &amp;" EMITIDO dentro de plazo, según planificación ", IF(G9="MI", B9 &amp; "NO SE RECIBE REPORTE EN LA FECHA SOLICITADA", ""))</f>
        <v/>
      </c>
      <c r="J9" s="5" t="n"/>
    </row>
    <row r="10">
      <c r="A10" s="9" t="inlineStr">
        <is>
          <t>03679279</t>
        </is>
      </c>
      <c r="B10" s="9" t="inlineStr">
        <is>
          <t>REPORTE PLANILLA CAUDALES</t>
        </is>
      </c>
      <c r="C10" s="9" t="inlineStr"/>
      <c r="D10" s="9" t="inlineStr">
        <is>
          <t>2026-04-16</t>
        </is>
      </c>
      <c r="E10" s="9" t="inlineStr">
        <is>
          <t>2026-04-17</t>
        </is>
      </c>
      <c r="F10" s="9" t="inlineStr">
        <is>
          <t>SIGRPMO</t>
        </is>
      </c>
      <c r="G10" s="5" t="inlineStr"/>
      <c r="H10" s="10">
        <f>IF(G10="TT", B10 &amp; " EMITIDO", IF(G10="MI", B10 &amp; " NO EMITIDO", ""))</f>
        <v/>
      </c>
      <c r="I10" s="7">
        <f>IF(G10="TT", B10 &amp;" EMITIDO dentro de plazo, según planificación ", IF(G10="MI", B10 &amp; "NO SE RECIBE REPORTE EN LA FECHA SOLICITADA", ""))</f>
        <v/>
      </c>
      <c r="J10" s="5" t="n"/>
    </row>
    <row r="11">
      <c r="A11" s="9" t="inlineStr">
        <is>
          <t>03679280</t>
        </is>
      </c>
      <c r="B11" s="9" t="inlineStr">
        <is>
          <t>INFORME NARICES ELECTRÓNICAS</t>
        </is>
      </c>
      <c r="C11" s="9" t="inlineStr"/>
      <c r="D11" s="9" t="inlineStr">
        <is>
          <t>2026-04-17</t>
        </is>
      </c>
      <c r="E11" s="9" t="inlineStr">
        <is>
          <t>2026-04-18</t>
        </is>
      </c>
      <c r="F11" s="9" t="inlineStr">
        <is>
          <t>SIGRPMO</t>
        </is>
      </c>
      <c r="G11" s="5" t="inlineStr"/>
      <c r="H11" s="10">
        <f>IF(G11="TT", B11 &amp; " EMITIDO", IF(G11="MI", B11 &amp; " NO EMITIDO", ""))</f>
        <v/>
      </c>
      <c r="I11" s="7">
        <f>IF(G11="TT", B11 &amp;" EMITIDO dentro de plazo, según planificación ", IF(G11="MI", B11 &amp; "NO SE RECIBE REPORTE EN LA FECHA SOLICITADA", ""))</f>
        <v/>
      </c>
      <c r="J11" s="5" t="n"/>
    </row>
    <row r="12">
      <c r="A12" s="9" t="inlineStr">
        <is>
          <t>03679281</t>
        </is>
      </c>
      <c r="B12" s="9" t="inlineStr">
        <is>
          <t>REPORTE PLANILLA NIVELES MENSUAL (PMA)</t>
        </is>
      </c>
      <c r="C12" s="9" t="inlineStr"/>
      <c r="D12" s="9" t="inlineStr">
        <is>
          <t>2026-04-20</t>
        </is>
      </c>
      <c r="E12" s="9" t="inlineStr">
        <is>
          <t>2026-04-21</t>
        </is>
      </c>
      <c r="F12" s="9" t="inlineStr">
        <is>
          <t>SIGRPMO</t>
        </is>
      </c>
      <c r="G12" s="5" t="inlineStr"/>
      <c r="H12" s="10">
        <f>IF(G12="TT", B12 &amp; " EMITIDO", IF(G12="MI", B12 &amp; " NO EMITIDO", ""))</f>
        <v/>
      </c>
      <c r="I12" s="7">
        <f>IF(G12="TT", B12 &amp;" EMITIDO dentro de plazo, según planificación ", IF(G12="MI", B12 &amp; "NO SE RECIBE REPORTE EN LA FECHA SOLICITADA", ""))</f>
        <v/>
      </c>
      <c r="J12" s="5" t="n"/>
    </row>
    <row r="13">
      <c r="A13" s="9" t="inlineStr">
        <is>
          <t>03679282</t>
        </is>
      </c>
      <c r="B13" s="9" t="inlineStr">
        <is>
          <t>REPORTE PLANILLA Q HORARIO (PMA)</t>
        </is>
      </c>
      <c r="C13" s="9" t="inlineStr"/>
      <c r="D13" s="9" t="inlineStr">
        <is>
          <t>2026-04-20</t>
        </is>
      </c>
      <c r="E13" s="9" t="inlineStr">
        <is>
          <t>2026-04-21</t>
        </is>
      </c>
      <c r="F13" s="9" t="inlineStr">
        <is>
          <t>SIGRPMO</t>
        </is>
      </c>
      <c r="G13" s="5" t="inlineStr"/>
      <c r="H13" s="10">
        <f>IF(G13="TT", B13 &amp; " EMITIDO", IF(G13="MI", B13 &amp; " NO EMITIDO", ""))</f>
        <v/>
      </c>
      <c r="I13" s="7">
        <f>IF(G13="TT", B13 &amp;" EMITIDO dentro de plazo, según planificación ", IF(G13="MI", B13 &amp; "NO SE RECIBE REPORTE EN LA FECHA SOLICITADA", ""))</f>
        <v/>
      </c>
      <c r="J13" s="5" t="n"/>
    </row>
    <row r="14">
      <c r="A14" s="9" t="inlineStr">
        <is>
          <t>03679283</t>
        </is>
      </c>
      <c r="B14" s="9" t="inlineStr">
        <is>
          <t>REPORTE PLANILLA Q DIARIO (PMA)</t>
        </is>
      </c>
      <c r="C14" s="9" t="inlineStr"/>
      <c r="D14" s="9" t="inlineStr">
        <is>
          <t>2026-04-20</t>
        </is>
      </c>
      <c r="E14" s="9" t="inlineStr">
        <is>
          <t>2026-04-21</t>
        </is>
      </c>
      <c r="F14" s="9" t="inlineStr">
        <is>
          <t>SIGRPMO</t>
        </is>
      </c>
      <c r="G14" s="5" t="inlineStr"/>
      <c r="H14" s="10">
        <f>IF(G14="TT", B14 &amp; " EMITIDO", IF(G14="MI", B14 &amp; " NO EMITIDO", ""))</f>
        <v/>
      </c>
      <c r="I14" s="7">
        <f>IF(G14="TT", B14 &amp;" EMITIDO dentro de plazo, según planificación ", IF(G14="MI", B14 &amp; "NO SE RECIBE REPORTE EN LA FECHA SOLICITADA", ""))</f>
        <v/>
      </c>
      <c r="J14" s="5" t="n"/>
    </row>
    <row r="15">
      <c r="A15" s="9" t="inlineStr">
        <is>
          <t>03679284</t>
        </is>
      </c>
      <c r="B15" s="9" t="inlineStr">
        <is>
          <t>REPORTE PLANILLA Q MENSUAL (PMA)</t>
        </is>
      </c>
      <c r="C15" s="9" t="inlineStr"/>
      <c r="D15" s="9" t="inlineStr">
        <is>
          <t>2026-04-20</t>
        </is>
      </c>
      <c r="E15" s="9" t="inlineStr">
        <is>
          <t>2026-04-21</t>
        </is>
      </c>
      <c r="F15" s="9" t="inlineStr">
        <is>
          <t>SIGRPMO</t>
        </is>
      </c>
      <c r="G15" s="5" t="inlineStr"/>
      <c r="H15" s="10">
        <f>IF(G15="TT", B15 &amp; " EMITIDO", IF(G15="MI", B15 &amp; " NO EMITIDO", ""))</f>
        <v/>
      </c>
      <c r="I15" s="7">
        <f>IF(G15="TT", B15 &amp;" EMITIDO dentro de plazo, según planificación ", IF(G15="MI", B15 &amp; "NO SE RECIBE REPORTE EN LA FECHA SOLICITADA", ""))</f>
        <v/>
      </c>
      <c r="J15" s="5" t="n"/>
    </row>
    <row r="16">
      <c r="A16" s="9" t="inlineStr">
        <is>
          <t>03679285</t>
        </is>
      </c>
      <c r="B16" s="9" t="inlineStr">
        <is>
          <t>REPORTE RES 31</t>
        </is>
      </c>
      <c r="C16" s="9" t="inlineStr"/>
      <c r="D16" s="9" t="inlineStr">
        <is>
          <t>2026-04-20</t>
        </is>
      </c>
      <c r="E16" s="9" t="inlineStr">
        <is>
          <t>2026-04-21</t>
        </is>
      </c>
      <c r="F16" s="9" t="inlineStr">
        <is>
          <t>SIGRPMO</t>
        </is>
      </c>
      <c r="G16" s="5" t="inlineStr"/>
      <c r="H16" s="10">
        <f>IF(G16="TT", B16 &amp; " EMITIDO", IF(G16="MI", B16 &amp; " NO EMITIDO", ""))</f>
        <v/>
      </c>
      <c r="I16" s="7">
        <f>IF(G16="TT", B16 &amp;" EMITIDO dentro de plazo, según planificación ", IF(G16="MI", B16 &amp; "NO SE RECIBE REPORTE EN LA FECHA SOLICITADA", ""))</f>
        <v/>
      </c>
      <c r="J16" s="5" t="n"/>
    </row>
    <row r="17">
      <c r="A17" s="9" t="inlineStr">
        <is>
          <t>03679286</t>
        </is>
      </c>
      <c r="B17" s="9" t="inlineStr">
        <is>
          <t>REPORTE POZOS  MICHINCHA</t>
        </is>
      </c>
      <c r="C17" s="9" t="inlineStr">
        <is>
          <t>REPORTE POZOS  MICHINCHA</t>
        </is>
      </c>
      <c r="D17" s="9" t="inlineStr">
        <is>
          <t>2026-04-20</t>
        </is>
      </c>
      <c r="E17" s="9" t="inlineStr">
        <is>
          <t>2026-04-21</t>
        </is>
      </c>
      <c r="F17" s="9" t="inlineStr">
        <is>
          <t>SIGRPMO</t>
        </is>
      </c>
      <c r="G17" s="5" t="inlineStr"/>
      <c r="H17" s="10">
        <f>IF(G17="TT", B17 &amp; " EMITIDO", IF(G17="MI", B17 &amp; " NO EMITIDO", ""))</f>
        <v/>
      </c>
      <c r="I17" s="7">
        <f>IF(G17="TT", B17 &amp;" EMITIDO dentro de plazo, según planificación ", IF(G17="MI", B17 &amp; "NO SE RECIBE REPORTE EN LA FECHA SOLICITADA", ""))</f>
        <v/>
      </c>
      <c r="J17" s="5" t="n"/>
    </row>
    <row r="18">
      <c r="A18" s="9" t="inlineStr">
        <is>
          <t>03679287</t>
        </is>
      </c>
      <c r="B18" s="9" t="inlineStr">
        <is>
          <t>MM1: Anexo CAUDAL SUPERFICIAL</t>
        </is>
      </c>
      <c r="C18" s="9" t="inlineStr"/>
      <c r="D18" s="9" t="inlineStr">
        <is>
          <t>2026-04-20</t>
        </is>
      </c>
      <c r="E18" s="9" t="inlineStr">
        <is>
          <t>2026-04-21</t>
        </is>
      </c>
      <c r="F18" s="9" t="inlineStr">
        <is>
          <t>SIGRPMO</t>
        </is>
      </c>
      <c r="G18" s="5" t="inlineStr"/>
      <c r="H18" s="10">
        <f>IF(G18="TT", B18 &amp; " EMITIDO", IF(G18="MI", B18 &amp; " NO EMITIDO", ""))</f>
        <v/>
      </c>
      <c r="I18" s="7">
        <f>IF(G18="TT", B18 &amp;" EMITIDO dentro de plazo, según planificación ", IF(G18="MI", B18 &amp; "NO SE RECIBE REPORTE EN LA FECHA SOLICITADA", ""))</f>
        <v/>
      </c>
      <c r="J18" s="5" t="n"/>
    </row>
    <row r="19">
      <c r="A19" s="9" t="inlineStr">
        <is>
          <t>03679288</t>
        </is>
      </c>
      <c r="B19" s="9" t="inlineStr">
        <is>
          <t>MM1: Dashboard niveles</t>
        </is>
      </c>
      <c r="C19" s="9" t="inlineStr">
        <is>
          <t>MM1: Dashboard niveles</t>
        </is>
      </c>
      <c r="D19" s="9" t="inlineStr">
        <is>
          <t>2026-04-20</t>
        </is>
      </c>
      <c r="E19" s="9" t="inlineStr">
        <is>
          <t>2026-04-21</t>
        </is>
      </c>
      <c r="F19" s="9" t="inlineStr">
        <is>
          <t>SIGRPMO</t>
        </is>
      </c>
      <c r="G19" s="5" t="inlineStr"/>
      <c r="H19" s="10">
        <f>IF(G19="TT", B19 &amp; " EMITIDO", IF(G19="MI", B19 &amp; " NO EMITIDO", ""))</f>
        <v/>
      </c>
      <c r="I19" s="7">
        <f>IF(G19="TT", B19 &amp;" EMITIDO dentro de plazo, según planificación ", IF(G19="MI", B19 &amp; "NO SE RECIBE REPORTE EN LA FECHA SOLICITADA", ""))</f>
        <v/>
      </c>
      <c r="J19" s="5" t="n"/>
    </row>
    <row r="20">
      <c r="A20" s="9" t="inlineStr">
        <is>
          <t>03679289</t>
        </is>
      </c>
      <c r="B20" s="9" t="inlineStr">
        <is>
          <t>REPORTE POZOS PUERTO</t>
        </is>
      </c>
      <c r="C20" s="9" t="inlineStr">
        <is>
          <t>REPORTE POZOS PUERTO</t>
        </is>
      </c>
      <c r="D20" s="9" t="inlineStr">
        <is>
          <t>2026-04-20</t>
        </is>
      </c>
      <c r="E20" s="9" t="inlineStr">
        <is>
          <t>2026-04-21</t>
        </is>
      </c>
      <c r="F20" s="9" t="inlineStr">
        <is>
          <t>SIGRPMO</t>
        </is>
      </c>
      <c r="G20" s="5" t="inlineStr"/>
      <c r="H20" s="10">
        <f>IF(G20="TT", B20 &amp; " EMITIDO", IF(G20="MI", B20 &amp; " NO EMITIDO", ""))</f>
        <v/>
      </c>
      <c r="I20" s="7">
        <f>IF(G20="TT", B20 &amp;" EMITIDO dentro de plazo, según planificación ", IF(G20="MI", B20 &amp; "NO SE RECIBE REPORTE EN LA FECHA SOLICITADA", ""))</f>
        <v/>
      </c>
      <c r="J20" s="5" t="n"/>
    </row>
    <row r="21">
      <c r="A21" s="9" t="inlineStr">
        <is>
          <t>03679290</t>
        </is>
      </c>
      <c r="B21" s="9" t="inlineStr">
        <is>
          <t>REPORTE PLANILLA NIVELES</t>
        </is>
      </c>
      <c r="C21" s="9" t="inlineStr"/>
      <c r="D21" s="9" t="inlineStr">
        <is>
          <t>2026-04-20</t>
        </is>
      </c>
      <c r="E21" s="9" t="inlineStr">
        <is>
          <t>2026-04-21</t>
        </is>
      </c>
      <c r="F21" s="9" t="inlineStr">
        <is>
          <t>SIGRPMO</t>
        </is>
      </c>
      <c r="G21" s="5" t="inlineStr"/>
      <c r="H21" s="10">
        <f>IF(G21="TT", B21 &amp; " EMITIDO", IF(G21="MI", B21 &amp; " NO EMITIDO", ""))</f>
        <v/>
      </c>
      <c r="I21" s="7">
        <f>IF(G21="TT", B21 &amp;" EMITIDO dentro de plazo, según planificación ", IF(G21="MI", B21 &amp; "NO SE RECIBE REPORTE EN LA FECHA SOLICITADA", ""))</f>
        <v/>
      </c>
      <c r="J21" s="5" t="n"/>
    </row>
    <row r="22">
      <c r="A22" s="9" t="inlineStr">
        <is>
          <t>03679291</t>
        </is>
      </c>
      <c r="B22" s="9" t="inlineStr">
        <is>
          <t>REPORTE PLANILLA CAUDALES</t>
        </is>
      </c>
      <c r="C22" s="9" t="inlineStr"/>
      <c r="D22" s="9" t="inlineStr">
        <is>
          <t>2026-04-20</t>
        </is>
      </c>
      <c r="E22" s="9" t="inlineStr">
        <is>
          <t>2026-04-21</t>
        </is>
      </c>
      <c r="F22" s="9" t="inlineStr">
        <is>
          <t>SIGRPMO</t>
        </is>
      </c>
      <c r="G22" s="5" t="inlineStr"/>
      <c r="H22" s="10">
        <f>IF(G22="TT", B22 &amp; " EMITIDO", IF(G22="MI", B22 &amp; " NO EMITIDO", ""))</f>
        <v/>
      </c>
      <c r="I22" s="7">
        <f>IF(G22="TT", B22 &amp;" EMITIDO dentro de plazo, según planificación ", IF(G22="MI", B22 &amp; "NO SE RECIBE REPORTE EN LA FECHA SOLICITADA", ""))</f>
        <v/>
      </c>
      <c r="J22" s="5" t="n"/>
    </row>
    <row r="23">
      <c r="A23" s="9" t="inlineStr">
        <is>
          <t>03679292</t>
        </is>
      </c>
      <c r="B23" s="9" t="inlineStr">
        <is>
          <t>REPORTE PISCINAS P3-P2</t>
        </is>
      </c>
      <c r="C23" s="9" t="inlineStr">
        <is>
          <t>REPORTE PISCINAS P3-P2</t>
        </is>
      </c>
      <c r="D23" s="9" t="inlineStr">
        <is>
          <t>2026-04-20</t>
        </is>
      </c>
      <c r="E23" s="9" t="inlineStr">
        <is>
          <t>2026-04-21</t>
        </is>
      </c>
      <c r="F23" s="9" t="inlineStr">
        <is>
          <t>SIGRPMO</t>
        </is>
      </c>
      <c r="G23" s="5" t="inlineStr"/>
      <c r="H23" s="10">
        <f>IF(G23="TT", B23 &amp; " EMITIDO", IF(G23="MI", B23 &amp; " NO EMITIDO", ""))</f>
        <v/>
      </c>
      <c r="I23" s="7">
        <f>IF(G23="TT", B23 &amp;" EMITIDO dentro de plazo, según planificación ", IF(G23="MI", B23 &amp; "NO SE RECIBE REPORTE EN LA FECHA SOLICITADA", ""))</f>
        <v/>
      </c>
      <c r="J23" s="5" t="n"/>
    </row>
    <row r="24">
      <c r="A24" s="9" t="inlineStr">
        <is>
          <t>03679293</t>
        </is>
      </c>
      <c r="B24" s="9" t="inlineStr">
        <is>
          <t>INFORME DE RUIDO</t>
        </is>
      </c>
      <c r="C24" s="9" t="inlineStr"/>
      <c r="D24" s="9" t="inlineStr">
        <is>
          <t>2026-04-20</t>
        </is>
      </c>
      <c r="E24" s="9" t="inlineStr">
        <is>
          <t>2026-04-21</t>
        </is>
      </c>
      <c r="F24" s="9" t="inlineStr">
        <is>
          <t>SIGRPMO</t>
        </is>
      </c>
      <c r="G24" s="5" t="inlineStr"/>
      <c r="H24" s="10">
        <f>IF(G24="TT", B24 &amp; " EMITIDO", IF(G24="MI", B24 &amp; " NO EMITIDO", ""))</f>
        <v/>
      </c>
      <c r="I24" s="7">
        <f>IF(G24="TT", B24 &amp;" EMITIDO dentro de plazo, según planificación ", IF(G24="MI", B24 &amp; "NO SE RECIBE REPORTE EN LA FECHA SOLICITADA", ""))</f>
        <v/>
      </c>
      <c r="J24" s="5" t="n"/>
    </row>
    <row r="25">
      <c r="A25" s="9" t="inlineStr">
        <is>
          <t>03679294</t>
        </is>
      </c>
      <c r="B25" s="9" t="inlineStr">
        <is>
          <t>REPORTE PAT BARRERA HIDRÁULICA</t>
        </is>
      </c>
      <c r="C25" s="9" t="inlineStr"/>
      <c r="D25" s="9" t="inlineStr">
        <is>
          <t>2026-04-21</t>
        </is>
      </c>
      <c r="E25" s="9" t="inlineStr">
        <is>
          <t>2026-04-22</t>
        </is>
      </c>
      <c r="F25" s="9" t="inlineStr">
        <is>
          <t>SIGRPMO</t>
        </is>
      </c>
      <c r="G25" s="5" t="inlineStr"/>
      <c r="H25" s="10">
        <f>IF(G25="TT", B25 &amp; " EMITIDO", IF(G25="MI", B25 &amp; " NO EMITIDO", ""))</f>
        <v/>
      </c>
      <c r="I25" s="7">
        <f>IF(G25="TT", B25 &amp;" EMITIDO dentro de plazo, según planificación ", IF(G25="MI", B25 &amp; "NO SE RECIBE REPORTE EN LA FECHA SOLICITADA", ""))</f>
        <v/>
      </c>
      <c r="J25" s="5" t="n"/>
    </row>
    <row r="26">
      <c r="A26" s="9" t="inlineStr">
        <is>
          <t>03679295</t>
        </is>
      </c>
      <c r="B26" s="9" t="inlineStr">
        <is>
          <t>REPORTE PAT JACHUCOPOSA-COPOSITO</t>
        </is>
      </c>
      <c r="C26" s="9" t="inlineStr">
        <is>
          <t>REPORTE PAT JACHUCOPOSA-COPOSITO</t>
        </is>
      </c>
      <c r="D26" s="9" t="inlineStr">
        <is>
          <t>2026-04-21</t>
        </is>
      </c>
      <c r="E26" s="9" t="inlineStr">
        <is>
          <t>2026-04-22</t>
        </is>
      </c>
      <c r="F26" s="9" t="inlineStr">
        <is>
          <t>SIGRPMO</t>
        </is>
      </c>
      <c r="G26" s="5" t="inlineStr"/>
      <c r="H26" s="10">
        <f>IF(G26="TT", B26 &amp; " EMITIDO", IF(G26="MI", B26 &amp; " NO EMITIDO", ""))</f>
        <v/>
      </c>
      <c r="I26" s="7">
        <f>IF(G26="TT", B26 &amp;" EMITIDO dentro de plazo, según planificación ", IF(G26="MI", B26 &amp; "NO SE RECIBE REPORTE EN LA FECHA SOLICITADA", ""))</f>
        <v/>
      </c>
      <c r="J26" s="5" t="n"/>
    </row>
    <row r="27">
      <c r="A27" s="9" t="inlineStr">
        <is>
          <t>03679296</t>
        </is>
      </c>
      <c r="B27" s="9" t="inlineStr">
        <is>
          <t>REPORTE PAT TRANQUE</t>
        </is>
      </c>
      <c r="C27" s="9" t="inlineStr">
        <is>
          <t>REPORTE PAT TRANQUE</t>
        </is>
      </c>
      <c r="D27" s="9" t="inlineStr">
        <is>
          <t>2026-04-21</t>
        </is>
      </c>
      <c r="E27" s="9" t="inlineStr">
        <is>
          <t>2026-04-22</t>
        </is>
      </c>
      <c r="F27" s="9" t="inlineStr">
        <is>
          <t>SIGRPMO</t>
        </is>
      </c>
      <c r="G27" s="5" t="inlineStr"/>
      <c r="H27" s="10">
        <f>IF(G27="TT", B27 &amp; " EMITIDO", IF(G27="MI", B27 &amp; " NO EMITIDO", ""))</f>
        <v/>
      </c>
      <c r="I27" s="7">
        <f>IF(G27="TT", B27 &amp;" EMITIDO dentro de plazo, según planificación ", IF(G27="MI", B27 &amp; "NO SE RECIBE REPORTE EN LA FECHA SOLICITADA", ""))</f>
        <v/>
      </c>
      <c r="J27" s="5" t="n"/>
    </row>
    <row r="28">
      <c r="A28" s="9" t="inlineStr">
        <is>
          <t>ES532MACWE          0001</t>
        </is>
      </c>
      <c r="B28" s="9" t="inlineStr">
        <is>
          <t>REPORTE BALANCE IONICO</t>
        </is>
      </c>
      <c r="C28" s="9" t="inlineStr">
        <is>
          <t>REPORTE BALANCE IONICO</t>
        </is>
      </c>
      <c r="D28" s="9" t="inlineStr">
        <is>
          <t>2026-04-21</t>
        </is>
      </c>
      <c r="E28" s="9" t="inlineStr">
        <is>
          <t>2026-04-22</t>
        </is>
      </c>
      <c r="F28" s="9" t="inlineStr">
        <is>
          <t>SIGRPMO</t>
        </is>
      </c>
      <c r="G28" s="5" t="inlineStr"/>
      <c r="H28" s="10">
        <f>IF(G28="TT", B28 &amp; " EMITIDO", IF(G28="MI", B28 &amp; " NO EMITIDO", ""))</f>
        <v/>
      </c>
      <c r="I28" s="7">
        <f>IF(G28="TT", B28 &amp;" EMITIDO dentro de plazo, según planificación ", IF(G28="MI", B28 &amp; "NO SE RECIBE REPORTE EN LA FECHA SOLICITADA", ""))</f>
        <v/>
      </c>
      <c r="J28" s="5" t="n"/>
    </row>
  </sheetData>
  <autoFilter ref="A1:J1"/>
  <conditionalFormatting sqref="I2:I28">
    <cfRule type="expression" priority="1" dxfId="0">
      <formula>AND(I2&lt;&gt;"", LEN(I2)&gt;50)</formula>
    </cfRule>
  </conditionalFormatting>
  <dataValidations count="1">
    <dataValidation sqref="I1:I28" showDropDown="0" showInputMessage="0" showErrorMessage="0" allowBlank="0" type="textLength" operator="lessThanOrEqual">
      <formula1>45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2026-04-16T22:10:01Z</dcterms:created>
  <dcterms:modified xsi:type="dcterms:W3CDTF">2026-04-16T22:10:01Z</dcterms:modified>
</cp:coreProperties>
</file>