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  <sheet name="10" sheetId="2" state="visible" r:id="rId2"/>
    <sheet name="11" sheetId="3" state="visible" r:id="rId3"/>
    <sheet name="SIGRPMO" sheetId="4" state="visible" r:id="rId4"/>
  </sheets>
  <definedNames>
    <definedName name="_xlnm._FilterDatabase" localSheetId="0" hidden="1">'7'!$A$1:$L$1</definedName>
    <definedName name="_xlnm._FilterDatabase" localSheetId="1" hidden="1">'10'!$A$1:$L$1</definedName>
    <definedName name="_xlnm._FilterDatabase" localSheetId="2" hidden="1">'11'!$A$1:$L$1</definedName>
    <definedName name="_xlnm._FilterDatabase" localSheetId="3" hidden="1">'SIGRPMO'!$A$1:$J$1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03613861</t>
        </is>
      </c>
      <c r="B2" s="4" t="inlineStr">
        <is>
          <t>Op Estaciones Meteorologicas</t>
        </is>
      </c>
      <c r="C2" s="4" t="inlineStr">
        <is>
          <t>Rosario</t>
        </is>
      </c>
      <c r="D2" s="4" t="inlineStr">
        <is>
          <t>2026-03-01</t>
        </is>
      </c>
      <c r="E2" s="4" t="inlineStr">
        <is>
          <t>2026-03-07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03613918</t>
        </is>
      </c>
      <c r="B3" s="4" t="inlineStr">
        <is>
          <t>MM DE AGUAS SUPERFICIALES</t>
        </is>
      </c>
      <c r="C3" s="4" t="inlineStr">
        <is>
          <t>PEV-01 (PES-01) PUERTO COLLAHUASI</t>
        </is>
      </c>
      <c r="D3" s="4" t="inlineStr">
        <is>
          <t>2026-03-01</t>
        </is>
      </c>
      <c r="E3" s="4" t="inlineStr">
        <is>
          <t>2026-03-07</t>
        </is>
      </c>
      <c r="F3" s="4" t="inlineStr">
        <is>
          <t>SIGVANC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ASUP</t>
        </is>
      </c>
    </row>
    <row r="4">
      <c r="A4" s="4" t="inlineStr">
        <is>
          <t>03613919</t>
        </is>
      </c>
      <c r="B4" s="4" t="inlineStr">
        <is>
          <t>MEDICION DE NIVELES FREATICOS</t>
        </is>
      </c>
      <c r="C4" s="4" t="inlineStr">
        <is>
          <t>M-28 MICHINCHA</t>
        </is>
      </c>
      <c r="D4" s="4" t="inlineStr">
        <is>
          <t>2026-03-01</t>
        </is>
      </c>
      <c r="E4" s="4" t="inlineStr">
        <is>
          <t>2026-03-07</t>
        </is>
      </c>
      <c r="F4" s="4" t="inlineStr">
        <is>
          <t>SIGVANC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NF</t>
        </is>
      </c>
    </row>
    <row r="5">
      <c r="A5" s="4" t="inlineStr">
        <is>
          <t>03613956</t>
        </is>
      </c>
      <c r="B5" s="4" t="inlineStr">
        <is>
          <t>MM DE AGUAS SUBTERRÁNEAS</t>
        </is>
      </c>
      <c r="C5" s="4" t="inlineStr">
        <is>
          <t>ADTR LIXIVIACIÓN</t>
        </is>
      </c>
      <c r="D5" s="4" t="inlineStr">
        <is>
          <t>2026-03-01</t>
        </is>
      </c>
      <c r="E5" s="4" t="inlineStr">
        <is>
          <t>2026-03-07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ASUB</t>
        </is>
      </c>
    </row>
    <row r="6">
      <c r="A6" s="4" t="inlineStr">
        <is>
          <t>03613957</t>
        </is>
      </c>
      <c r="B6" s="4" t="inlineStr">
        <is>
          <t>MED DE NIVELES FREATICOS</t>
        </is>
      </c>
      <c r="C6" s="4" t="inlineStr">
        <is>
          <t>MTP-17</t>
        </is>
      </c>
      <c r="D6" s="4" t="inlineStr">
        <is>
          <t>2026-03-01</t>
        </is>
      </c>
      <c r="E6" s="4" t="inlineStr">
        <is>
          <t>2026-03-07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NF</t>
        </is>
      </c>
    </row>
    <row r="7">
      <c r="A7" s="4" t="inlineStr">
        <is>
          <t>03613958</t>
        </is>
      </c>
      <c r="B7" s="4" t="inlineStr">
        <is>
          <t>MUESTREO EN PLANTA FAD</t>
        </is>
      </c>
      <c r="C7" s="4" t="inlineStr">
        <is>
          <t>FAD PUERTO COLLAHUASI</t>
        </is>
      </c>
      <c r="D7" s="4" t="inlineStr">
        <is>
          <t>2026-03-01</t>
        </is>
      </c>
      <c r="E7" s="4" t="inlineStr">
        <is>
          <t>2026-03-07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/>
    </row>
    <row r="8">
      <c r="A8" s="4" t="inlineStr">
        <is>
          <t>03613959</t>
        </is>
      </c>
      <c r="B8" s="4" t="inlineStr">
        <is>
          <t>MM DE AGUAS SUBTERRÁNEAS</t>
        </is>
      </c>
      <c r="C8" s="4" t="inlineStr">
        <is>
          <t>LPDC-01 LIXIVIACIÓN</t>
        </is>
      </c>
      <c r="D8" s="4" t="inlineStr">
        <is>
          <t>2026-03-01</t>
        </is>
      </c>
      <c r="E8" s="4" t="inlineStr">
        <is>
          <t>2026-03-07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ASUB</t>
        </is>
      </c>
    </row>
    <row r="9">
      <c r="A9" s="4" t="inlineStr">
        <is>
          <t>03613960</t>
        </is>
      </c>
      <c r="B9" s="4" t="inlineStr">
        <is>
          <t>MEDICION DE NIVELES FREATICOS</t>
        </is>
      </c>
      <c r="C9" s="4" t="inlineStr">
        <is>
          <t>LPDC-01 LIXIVIACIÓN</t>
        </is>
      </c>
      <c r="D9" s="4" t="inlineStr">
        <is>
          <t>2026-03-01</t>
        </is>
      </c>
      <c r="E9" s="4" t="inlineStr">
        <is>
          <t>2026-03-07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NF</t>
        </is>
      </c>
    </row>
    <row r="10">
      <c r="A10" s="4" t="inlineStr">
        <is>
          <t>03613961</t>
        </is>
      </c>
      <c r="B10" s="4" t="inlineStr">
        <is>
          <t>MM DE AGUAS SUBTERRÁNEAS</t>
        </is>
      </c>
      <c r="C10" s="4" t="inlineStr">
        <is>
          <t>LPDC-02 LIXIVIACIÓN</t>
        </is>
      </c>
      <c r="D10" s="4" t="inlineStr">
        <is>
          <t>2026-03-01</t>
        </is>
      </c>
      <c r="E10" s="4" t="inlineStr">
        <is>
          <t>2026-03-07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ASUB</t>
        </is>
      </c>
    </row>
    <row r="11">
      <c r="A11" s="4" t="inlineStr">
        <is>
          <t>03613962</t>
        </is>
      </c>
      <c r="B11" s="4" t="inlineStr">
        <is>
          <t>MEDICION DE NIVELES FREATICOS</t>
        </is>
      </c>
      <c r="C11" s="4" t="inlineStr">
        <is>
          <t>LPDC-02 LIXIVIACIÓN</t>
        </is>
      </c>
      <c r="D11" s="4" t="inlineStr">
        <is>
          <t>2026-03-01</t>
        </is>
      </c>
      <c r="E11" s="4" t="inlineStr">
        <is>
          <t>2026-03-07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NF</t>
        </is>
      </c>
    </row>
    <row r="12">
      <c r="A12" s="4" t="inlineStr">
        <is>
          <t>03613963</t>
        </is>
      </c>
      <c r="B12" s="4" t="inlineStr">
        <is>
          <t>MM DE AGUAS SUBTERRÁNEAS</t>
        </is>
      </c>
      <c r="C12" s="4" t="inlineStr">
        <is>
          <t>LPDC-03 LIXIVIACIÓN</t>
        </is>
      </c>
      <c r="D12" s="4" t="inlineStr">
        <is>
          <t>2026-03-01</t>
        </is>
      </c>
      <c r="E12" s="4" t="inlineStr">
        <is>
          <t>2026-03-07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ASUB</t>
        </is>
      </c>
    </row>
    <row r="13">
      <c r="A13" s="4" t="inlineStr">
        <is>
          <t>03613964</t>
        </is>
      </c>
      <c r="B13" s="4" t="inlineStr">
        <is>
          <t>MEDICION DE NIVELES FREATICOS</t>
        </is>
      </c>
      <c r="C13" s="4" t="inlineStr">
        <is>
          <t>LPDC-03 LIXIVIACIÓN</t>
        </is>
      </c>
      <c r="D13" s="4" t="inlineStr">
        <is>
          <t>2026-03-01</t>
        </is>
      </c>
      <c r="E13" s="4" t="inlineStr">
        <is>
          <t>2026-03-07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NF</t>
        </is>
      </c>
    </row>
    <row r="14">
      <c r="A14" s="4" t="inlineStr">
        <is>
          <t>03613965</t>
        </is>
      </c>
      <c r="B14" s="4" t="inlineStr">
        <is>
          <t>MM DE AGUAS SUBTERRÁNEAS</t>
        </is>
      </c>
      <c r="C14" s="4" t="inlineStr">
        <is>
          <t>LPDC-04 LIXIVIACIÓN</t>
        </is>
      </c>
      <c r="D14" s="4" t="inlineStr">
        <is>
          <t>2026-03-01</t>
        </is>
      </c>
      <c r="E14" s="4" t="inlineStr">
        <is>
          <t>2026-03-07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ASUB</t>
        </is>
      </c>
    </row>
    <row r="15">
      <c r="A15" s="4" t="inlineStr">
        <is>
          <t>03613966</t>
        </is>
      </c>
      <c r="B15" s="4" t="inlineStr">
        <is>
          <t>MEDICION DE NIVELES FREATICOS</t>
        </is>
      </c>
      <c r="C15" s="4" t="inlineStr">
        <is>
          <t>LPDC-04 LIXIVIACIÓN</t>
        </is>
      </c>
      <c r="D15" s="4" t="inlineStr">
        <is>
          <t>2026-03-01</t>
        </is>
      </c>
      <c r="E15" s="4" t="inlineStr">
        <is>
          <t>2026-03-07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NF</t>
        </is>
      </c>
    </row>
    <row r="16">
      <c r="A16" s="4" t="inlineStr">
        <is>
          <t>03613967</t>
        </is>
      </c>
      <c r="B16" s="4" t="inlineStr">
        <is>
          <t>MM DE AGUAS SUBTERRÁNEAS</t>
        </is>
      </c>
      <c r="C16" s="4" t="inlineStr">
        <is>
          <t>LPDC-05 LIXIVIACIÓN</t>
        </is>
      </c>
      <c r="D16" s="4" t="inlineStr">
        <is>
          <t>2026-03-01</t>
        </is>
      </c>
      <c r="E16" s="4" t="inlineStr">
        <is>
          <t>2026-03-07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ASUB</t>
        </is>
      </c>
    </row>
    <row r="17">
      <c r="A17" s="4" t="inlineStr">
        <is>
          <t>03613968</t>
        </is>
      </c>
      <c r="B17" s="4" t="inlineStr">
        <is>
          <t>MEDICION DE NIVELES FREATICOS</t>
        </is>
      </c>
      <c r="C17" s="4" t="inlineStr">
        <is>
          <t>LPDC-05 LIXIVIACIÓN</t>
        </is>
      </c>
      <c r="D17" s="4" t="inlineStr">
        <is>
          <t>2026-03-01</t>
        </is>
      </c>
      <c r="E17" s="4" t="inlineStr">
        <is>
          <t>2026-03-07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03613969</t>
        </is>
      </c>
      <c r="B18" s="4" t="inlineStr">
        <is>
          <t>MM DE AGUAS SUBTERRÁNEAS</t>
        </is>
      </c>
      <c r="C18" s="4" t="inlineStr">
        <is>
          <t>LPDC-06 LIXIVIACIÓN</t>
        </is>
      </c>
      <c r="D18" s="4" t="inlineStr">
        <is>
          <t>2026-03-01</t>
        </is>
      </c>
      <c r="E18" s="4" t="inlineStr">
        <is>
          <t>2026-03-07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ASUB</t>
        </is>
      </c>
    </row>
    <row r="19">
      <c r="A19" s="4" t="inlineStr">
        <is>
          <t>03613970</t>
        </is>
      </c>
      <c r="B19" s="4" t="inlineStr">
        <is>
          <t>MEDICION DE NIVELES FREATICOS</t>
        </is>
      </c>
      <c r="C19" s="4" t="inlineStr">
        <is>
          <t>LPDC-06 LIXIVIACIÓN</t>
        </is>
      </c>
      <c r="D19" s="4" t="inlineStr">
        <is>
          <t>2026-03-01</t>
        </is>
      </c>
      <c r="E19" s="4" t="inlineStr">
        <is>
          <t>2026-03-07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03613971</t>
        </is>
      </c>
      <c r="B20" s="4" t="inlineStr">
        <is>
          <t>MM DE AGUAS SUBTERRÁNEAS</t>
        </is>
      </c>
      <c r="C20" s="4" t="inlineStr">
        <is>
          <t>LPDC-07 LIXIVIACIÓN</t>
        </is>
      </c>
      <c r="D20" s="4" t="inlineStr">
        <is>
          <t>2026-03-01</t>
        </is>
      </c>
      <c r="E20" s="4" t="inlineStr">
        <is>
          <t>2026-03-07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ASUB</t>
        </is>
      </c>
    </row>
    <row r="21">
      <c r="A21" s="4" t="inlineStr">
        <is>
          <t>03613972</t>
        </is>
      </c>
      <c r="B21" s="4" t="inlineStr">
        <is>
          <t>MEDICION DE NIVELES FREATICOS</t>
        </is>
      </c>
      <c r="C21" s="4" t="inlineStr">
        <is>
          <t>LPDC-07 LIXIVIACIÓN</t>
        </is>
      </c>
      <c r="D21" s="4" t="inlineStr">
        <is>
          <t>2026-03-01</t>
        </is>
      </c>
      <c r="E21" s="4" t="inlineStr">
        <is>
          <t>2026-03-07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03613973</t>
        </is>
      </c>
      <c r="B22" s="4" t="inlineStr">
        <is>
          <t>MM DE AGUAS SUBTERRÁNEAS</t>
        </is>
      </c>
      <c r="C22" s="4" t="inlineStr">
        <is>
          <t>LPDC-08 LIXIVIACIÓN</t>
        </is>
      </c>
      <c r="D22" s="4" t="inlineStr">
        <is>
          <t>2026-03-01</t>
        </is>
      </c>
      <c r="E22" s="4" t="inlineStr">
        <is>
          <t>2026-03-07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ASUB</t>
        </is>
      </c>
    </row>
    <row r="23">
      <c r="A23" s="4" t="inlineStr">
        <is>
          <t>03613974</t>
        </is>
      </c>
      <c r="B23" s="4" t="inlineStr">
        <is>
          <t>MEDICION DE NIVELES FREATICOS</t>
        </is>
      </c>
      <c r="C23" s="4" t="inlineStr">
        <is>
          <t>LPDC-08 LIXIVIACIÓN</t>
        </is>
      </c>
      <c r="D23" s="4" t="inlineStr">
        <is>
          <t>2026-03-01</t>
        </is>
      </c>
      <c r="E23" s="4" t="inlineStr">
        <is>
          <t>2026-03-07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NF</t>
        </is>
      </c>
    </row>
    <row r="24">
      <c r="A24" s="4" t="inlineStr">
        <is>
          <t>03614085</t>
        </is>
      </c>
      <c r="B24" s="4" t="inlineStr">
        <is>
          <t>MED DE NIVELES FREATICOS</t>
        </is>
      </c>
      <c r="C24" s="4" t="inlineStr">
        <is>
          <t>P-4B MICHINCHA</t>
        </is>
      </c>
      <c r="D24" s="4" t="inlineStr">
        <is>
          <t>2026-03-01</t>
        </is>
      </c>
      <c r="E24" s="4" t="inlineStr">
        <is>
          <t>2026-03-07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03614086</t>
        </is>
      </c>
      <c r="B25" s="4" t="inlineStr">
        <is>
          <t>MED DE NIVELES FREATICOS</t>
        </is>
      </c>
      <c r="C25" s="4" t="inlineStr">
        <is>
          <t>RPW-3 LIXIVIACIÓN</t>
        </is>
      </c>
      <c r="D25" s="4" t="inlineStr">
        <is>
          <t>2026-03-01</t>
        </is>
      </c>
      <c r="E25" s="4" t="inlineStr">
        <is>
          <t>2026-03-07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NF</t>
        </is>
      </c>
    </row>
    <row r="26">
      <c r="A26" s="4" t="inlineStr">
        <is>
          <t>03614087</t>
        </is>
      </c>
      <c r="B26" s="4" t="inlineStr">
        <is>
          <t>MED DE NIVELES FREATICOS</t>
        </is>
      </c>
      <c r="C26" s="4" t="inlineStr">
        <is>
          <t>RPW-4 LIXIVIACIÓN</t>
        </is>
      </c>
      <c r="D26" s="4" t="inlineStr">
        <is>
          <t>2026-03-01</t>
        </is>
      </c>
      <c r="E26" s="4" t="inlineStr">
        <is>
          <t>2026-03-07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03614088</t>
        </is>
      </c>
      <c r="B27" s="4" t="inlineStr">
        <is>
          <t>MED DE NIVELES FREATICOS</t>
        </is>
      </c>
      <c r="C27" s="4" t="inlineStr">
        <is>
          <t>RPW-1 LIXIVIACIÓN</t>
        </is>
      </c>
      <c r="D27" s="4" t="inlineStr">
        <is>
          <t>2026-03-01</t>
        </is>
      </c>
      <c r="E27" s="4" t="inlineStr">
        <is>
          <t>2026-03-07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NF</t>
        </is>
      </c>
    </row>
    <row r="28">
      <c r="A28" s="4" t="inlineStr">
        <is>
          <t>03614089</t>
        </is>
      </c>
      <c r="B28" s="4" t="inlineStr">
        <is>
          <t>MEDICION DE NIVELES FREATICOS</t>
        </is>
      </c>
      <c r="C28" s="4" t="inlineStr">
        <is>
          <t>P-6 MICHINCHA</t>
        </is>
      </c>
      <c r="D28" s="4" t="inlineStr">
        <is>
          <t>2026-03-01</t>
        </is>
      </c>
      <c r="E28" s="4" t="inlineStr">
        <is>
          <t>2026-03-07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NF</t>
        </is>
      </c>
    </row>
    <row r="29">
      <c r="A29" s="4" t="inlineStr">
        <is>
          <t>03614090</t>
        </is>
      </c>
      <c r="B29" s="4" t="inlineStr">
        <is>
          <t>MEDICION DE NIVELES FREATICOS</t>
        </is>
      </c>
      <c r="C29" s="4" t="inlineStr">
        <is>
          <t>RPW-2  TRANQUE</t>
        </is>
      </c>
      <c r="D29" s="4" t="inlineStr">
        <is>
          <t>2026-03-01</t>
        </is>
      </c>
      <c r="E29" s="4" t="inlineStr">
        <is>
          <t>2026-03-07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NF</t>
        </is>
      </c>
    </row>
    <row r="30">
      <c r="A30" s="4" t="inlineStr">
        <is>
          <t>03614091</t>
        </is>
      </c>
      <c r="B30" s="4" t="inlineStr">
        <is>
          <t>MM DE AGUAS SUPERFICIALES</t>
        </is>
      </c>
      <c r="C30" s="4" t="inlineStr">
        <is>
          <t>CSW-02 JACHUCOPOSA</t>
        </is>
      </c>
      <c r="D30" s="4" t="inlineStr">
        <is>
          <t>2026-03-01</t>
        </is>
      </c>
      <c r="E30" s="4" t="inlineStr">
        <is>
          <t>2026-03-07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ASUP</t>
        </is>
      </c>
    </row>
    <row r="31">
      <c r="A31" s="4" t="inlineStr">
        <is>
          <t>03614098</t>
        </is>
      </c>
      <c r="B31" s="4" t="inlineStr">
        <is>
          <t>MEDICION DE NIVELES FREATICOS</t>
        </is>
      </c>
      <c r="C31" s="4" t="inlineStr">
        <is>
          <t>CPMA-01 JACHUCOPOSA</t>
        </is>
      </c>
      <c r="D31" s="4" t="inlineStr">
        <is>
          <t>2026-03-01</t>
        </is>
      </c>
      <c r="E31" s="4" t="inlineStr">
        <is>
          <t>2026-03-07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NF</t>
        </is>
      </c>
    </row>
    <row r="32">
      <c r="A32" s="4" t="inlineStr">
        <is>
          <t>03614114</t>
        </is>
      </c>
      <c r="B32" s="4" t="inlineStr">
        <is>
          <t>MEDICION DE NIVELES FREATICOS</t>
        </is>
      </c>
      <c r="C32" s="4" t="inlineStr">
        <is>
          <t>M-13 MICHINCHA</t>
        </is>
      </c>
      <c r="D32" s="4" t="inlineStr">
        <is>
          <t>2026-03-01</t>
        </is>
      </c>
      <c r="E32" s="4" t="inlineStr">
        <is>
          <t>2026-03-07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NF</t>
        </is>
      </c>
    </row>
    <row r="33">
      <c r="A33" s="4" t="inlineStr">
        <is>
          <t>03614115</t>
        </is>
      </c>
      <c r="B33" s="4" t="inlineStr">
        <is>
          <t>MM DE AGUAS SUBTERRÁNEAS</t>
        </is>
      </c>
      <c r="C33" s="4" t="inlineStr">
        <is>
          <t>M-13 MICHINCHA</t>
        </is>
      </c>
      <c r="D33" s="4" t="inlineStr">
        <is>
          <t>2026-03-01</t>
        </is>
      </c>
      <c r="E33" s="4" t="inlineStr">
        <is>
          <t>2026-03-07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ASUB</t>
        </is>
      </c>
    </row>
    <row r="34">
      <c r="A34" s="4" t="inlineStr">
        <is>
          <t>03614116</t>
        </is>
      </c>
      <c r="B34" s="4" t="inlineStr">
        <is>
          <t>MEDICION DE NIVELES FREATICOS</t>
        </is>
      </c>
      <c r="C34" s="4" t="inlineStr">
        <is>
          <t>M-18 MICHINCHA</t>
        </is>
      </c>
      <c r="D34" s="4" t="inlineStr">
        <is>
          <t>2026-03-01</t>
        </is>
      </c>
      <c r="E34" s="4" t="inlineStr">
        <is>
          <t>2026-03-07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NF</t>
        </is>
      </c>
    </row>
    <row r="35">
      <c r="A35" s="4" t="inlineStr">
        <is>
          <t>03614117</t>
        </is>
      </c>
      <c r="B35" s="4" t="inlineStr">
        <is>
          <t>MM DE AGUAS SUBTERRÁNEAS</t>
        </is>
      </c>
      <c r="C35" s="4" t="inlineStr">
        <is>
          <t>M-18 MICHINCHA</t>
        </is>
      </c>
      <c r="D35" s="4" t="inlineStr">
        <is>
          <t>2026-03-01</t>
        </is>
      </c>
      <c r="E35" s="4" t="inlineStr">
        <is>
          <t>2026-03-07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ASUB</t>
        </is>
      </c>
    </row>
    <row r="36">
      <c r="A36" s="4" t="inlineStr">
        <is>
          <t>03614118</t>
        </is>
      </c>
      <c r="B36" s="4" t="inlineStr">
        <is>
          <t>MEDICION DE NIVELES FREATICOS</t>
        </is>
      </c>
      <c r="C36" s="4" t="inlineStr">
        <is>
          <t>M-19 MICHINCHA</t>
        </is>
      </c>
      <c r="D36" s="4" t="inlineStr">
        <is>
          <t>2026-03-01</t>
        </is>
      </c>
      <c r="E36" s="4" t="inlineStr">
        <is>
          <t>2026-03-07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03614131</t>
        </is>
      </c>
      <c r="B37" s="4" t="inlineStr">
        <is>
          <t>MM DE AGUAS SUBTERRÁNEAS</t>
        </is>
      </c>
      <c r="C37" s="4" t="inlineStr">
        <is>
          <t>MAU-13 LIXIVIACIÓN</t>
        </is>
      </c>
      <c r="D37" s="4" t="inlineStr">
        <is>
          <t>2026-03-01</t>
        </is>
      </c>
      <c r="E37" s="4" t="inlineStr">
        <is>
          <t>2026-03-07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ASUB</t>
        </is>
      </c>
    </row>
    <row r="38">
      <c r="A38" s="4" t="inlineStr">
        <is>
          <t>03614132</t>
        </is>
      </c>
      <c r="B38" s="4" t="inlineStr">
        <is>
          <t>MEDICION DE NIVELES FREATICOS</t>
        </is>
      </c>
      <c r="C38" s="4" t="inlineStr">
        <is>
          <t>MAU-02 MICHINCHA</t>
        </is>
      </c>
      <c r="D38" s="4" t="inlineStr">
        <is>
          <t>2026-03-01</t>
        </is>
      </c>
      <c r="E38" s="4" t="inlineStr">
        <is>
          <t>2026-03-07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NF</t>
        </is>
      </c>
    </row>
    <row r="39">
      <c r="A39" s="4" t="inlineStr">
        <is>
          <t>03614135</t>
        </is>
      </c>
      <c r="B39" s="4" t="inlineStr">
        <is>
          <t>MEDICION DE NIVELES FREATICOS</t>
        </is>
      </c>
      <c r="C39" s="4" t="inlineStr">
        <is>
          <t>MAU-13 LIXIVIACIÓN</t>
        </is>
      </c>
      <c r="D39" s="4" t="inlineStr">
        <is>
          <t>2026-03-01</t>
        </is>
      </c>
      <c r="E39" s="4" t="inlineStr">
        <is>
          <t>2026-03-07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03614137</t>
        </is>
      </c>
      <c r="B40" s="4" t="inlineStr">
        <is>
          <t>MM DE AGUAS SUBTERRÁNEAS</t>
        </is>
      </c>
      <c r="C40" s="4" t="inlineStr">
        <is>
          <t>MIT-01B LIXIVIACIÓN</t>
        </is>
      </c>
      <c r="D40" s="4" t="inlineStr">
        <is>
          <t>2026-03-01</t>
        </is>
      </c>
      <c r="E40" s="4" t="inlineStr">
        <is>
          <t>2026-03-07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ASUB</t>
        </is>
      </c>
    </row>
    <row r="41">
      <c r="A41" s="4" t="inlineStr">
        <is>
          <t>03614138</t>
        </is>
      </c>
      <c r="B41" s="4" t="inlineStr">
        <is>
          <t>MM DE AGUAS SUBTERRÁNEAS</t>
        </is>
      </c>
      <c r="C41" s="4" t="inlineStr">
        <is>
          <t>MIT-02B LIXIVIACIÓN</t>
        </is>
      </c>
      <c r="D41" s="4" t="inlineStr">
        <is>
          <t>2026-03-01</t>
        </is>
      </c>
      <c r="E41" s="4" t="inlineStr">
        <is>
          <t>2026-03-07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ASUB</t>
        </is>
      </c>
    </row>
    <row r="42">
      <c r="A42" s="4" t="inlineStr">
        <is>
          <t>03614139</t>
        </is>
      </c>
      <c r="B42" s="4" t="inlineStr">
        <is>
          <t>MM DE AGUAS SUBTERRÁNEAS</t>
        </is>
      </c>
      <c r="C42" s="4" t="inlineStr">
        <is>
          <t>MIT-03 LIXIVIACIÓN</t>
        </is>
      </c>
      <c r="D42" s="4" t="inlineStr">
        <is>
          <t>2026-03-01</t>
        </is>
      </c>
      <c r="E42" s="4" t="inlineStr">
        <is>
          <t>2026-03-07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ASUB</t>
        </is>
      </c>
    </row>
    <row r="43">
      <c r="A43" s="4" t="inlineStr">
        <is>
          <t>03614140</t>
        </is>
      </c>
      <c r="B43" s="4" t="inlineStr">
        <is>
          <t>MEDICION DE NIVELES FREATICOS</t>
        </is>
      </c>
      <c r="C43" s="4" t="inlineStr">
        <is>
          <t>MIT-01B LIXIVIACIÓN</t>
        </is>
      </c>
      <c r="D43" s="4" t="inlineStr">
        <is>
          <t>2026-03-01</t>
        </is>
      </c>
      <c r="E43" s="4" t="inlineStr">
        <is>
          <t>2026-03-07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03614141</t>
        </is>
      </c>
      <c r="B44" s="4" t="inlineStr">
        <is>
          <t>MEDICION DE NIVELES FREATICOS</t>
        </is>
      </c>
      <c r="C44" s="4" t="inlineStr">
        <is>
          <t>MIT-02B LIXIVIACIÓN</t>
        </is>
      </c>
      <c r="D44" s="4" t="inlineStr">
        <is>
          <t>2026-03-01</t>
        </is>
      </c>
      <c r="E44" s="4" t="inlineStr">
        <is>
          <t>2026-03-07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NF</t>
        </is>
      </c>
    </row>
    <row r="45">
      <c r="A45" s="4" t="inlineStr">
        <is>
          <t>03614142</t>
        </is>
      </c>
      <c r="B45" s="4" t="inlineStr">
        <is>
          <t>MEDICION DE NIVELES FREATICOS</t>
        </is>
      </c>
      <c r="C45" s="4" t="inlineStr">
        <is>
          <t>MIT-03 LIXIVIACIÓN</t>
        </is>
      </c>
      <c r="D45" s="4" t="inlineStr">
        <is>
          <t>2026-03-01</t>
        </is>
      </c>
      <c r="E45" s="4" t="inlineStr">
        <is>
          <t>2026-03-07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03614143</t>
        </is>
      </c>
      <c r="B46" s="4" t="inlineStr">
        <is>
          <t>MM DE AGUAS SUBTERRÁNEAS</t>
        </is>
      </c>
      <c r="C46" s="4" t="inlineStr">
        <is>
          <t>MMA-01 MICHINCHA</t>
        </is>
      </c>
      <c r="D46" s="4" t="inlineStr">
        <is>
          <t>2026-03-01</t>
        </is>
      </c>
      <c r="E46" s="4" t="inlineStr">
        <is>
          <t>2026-03-07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ASUB</t>
        </is>
      </c>
    </row>
    <row r="47">
      <c r="A47" s="4" t="inlineStr">
        <is>
          <t>03614144</t>
        </is>
      </c>
      <c r="B47" s="4" t="inlineStr">
        <is>
          <t>MM DE AGUAS SUBTERRÁNEAS</t>
        </is>
      </c>
      <c r="C47" s="4" t="inlineStr">
        <is>
          <t>MMA-02 MICHINCHA</t>
        </is>
      </c>
      <c r="D47" s="4" t="inlineStr">
        <is>
          <t>2026-03-01</t>
        </is>
      </c>
      <c r="E47" s="4" t="inlineStr">
        <is>
          <t>2026-03-07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ASUB</t>
        </is>
      </c>
    </row>
    <row r="48">
      <c r="A48" s="4" t="inlineStr">
        <is>
          <t>03614145</t>
        </is>
      </c>
      <c r="B48" s="4" t="inlineStr">
        <is>
          <t>MM DE AGUAS SUBTERRÁNEAS</t>
        </is>
      </c>
      <c r="C48" s="4" t="inlineStr">
        <is>
          <t>MMA-03 MICHINCHA</t>
        </is>
      </c>
      <c r="D48" s="4" t="inlineStr">
        <is>
          <t>2026-03-01</t>
        </is>
      </c>
      <c r="E48" s="4" t="inlineStr">
        <is>
          <t>2026-03-07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ASUB</t>
        </is>
      </c>
    </row>
    <row r="49">
      <c r="A49" s="4" t="inlineStr">
        <is>
          <t>03614146</t>
        </is>
      </c>
      <c r="B49" s="4" t="inlineStr">
        <is>
          <t>MM DE AGUAS SUBTERRÁNEAS</t>
        </is>
      </c>
      <c r="C49" s="4" t="inlineStr">
        <is>
          <t>MMA-04 MICHINCHA</t>
        </is>
      </c>
      <c r="D49" s="4" t="inlineStr">
        <is>
          <t>2026-03-01</t>
        </is>
      </c>
      <c r="E49" s="4" t="inlineStr">
        <is>
          <t>2026-03-07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ASUB</t>
        </is>
      </c>
    </row>
    <row r="50">
      <c r="A50" s="4" t="inlineStr">
        <is>
          <t>03614147</t>
        </is>
      </c>
      <c r="B50" s="4" t="inlineStr">
        <is>
          <t>MM DE AGUAS SUBTERRÁNEAS</t>
        </is>
      </c>
      <c r="C50" s="4" t="inlineStr">
        <is>
          <t>MMA-05 MICHINCHA</t>
        </is>
      </c>
      <c r="D50" s="4" t="inlineStr">
        <is>
          <t>2026-03-01</t>
        </is>
      </c>
      <c r="E50" s="4" t="inlineStr">
        <is>
          <t>2026-03-07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ASUB</t>
        </is>
      </c>
    </row>
    <row r="51">
      <c r="A51" s="4" t="inlineStr">
        <is>
          <t>03614148</t>
        </is>
      </c>
      <c r="B51" s="4" t="inlineStr">
        <is>
          <t>MM DE AGUAS SUBTERRÁNEAS</t>
        </is>
      </c>
      <c r="C51" s="4" t="inlineStr">
        <is>
          <t>MMA-06 MICHINCHA</t>
        </is>
      </c>
      <c r="D51" s="4" t="inlineStr">
        <is>
          <t>2026-03-01</t>
        </is>
      </c>
      <c r="E51" s="4" t="inlineStr">
        <is>
          <t>2026-03-07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ASUB</t>
        </is>
      </c>
    </row>
    <row r="52">
      <c r="A52" s="4" t="inlineStr">
        <is>
          <t>03614149</t>
        </is>
      </c>
      <c r="B52" s="4" t="inlineStr">
        <is>
          <t>MM DE AGUAS SUBTERRÁNEAS</t>
        </is>
      </c>
      <c r="C52" s="4" t="inlineStr">
        <is>
          <t>MMA-07 MICHINCHA</t>
        </is>
      </c>
      <c r="D52" s="4" t="inlineStr">
        <is>
          <t>2026-03-01</t>
        </is>
      </c>
      <c r="E52" s="4" t="inlineStr">
        <is>
          <t>2026-03-07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ASUB</t>
        </is>
      </c>
    </row>
    <row r="53">
      <c r="A53" s="4" t="inlineStr">
        <is>
          <t>03614150</t>
        </is>
      </c>
      <c r="B53" s="4" t="inlineStr">
        <is>
          <t>MM DE AGUAS SUBTERRÁNEAS</t>
        </is>
      </c>
      <c r="C53" s="4" t="inlineStr">
        <is>
          <t>MMA-08 MICHINCHA</t>
        </is>
      </c>
      <c r="D53" s="4" t="inlineStr">
        <is>
          <t>2026-03-01</t>
        </is>
      </c>
      <c r="E53" s="4" t="inlineStr">
        <is>
          <t>2026-03-07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/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ASUB</t>
        </is>
      </c>
    </row>
    <row r="54">
      <c r="A54" s="4" t="inlineStr">
        <is>
          <t>03614151</t>
        </is>
      </c>
      <c r="B54" s="4" t="inlineStr">
        <is>
          <t>MM DE AGUAS SUBTERRÁNEAS</t>
        </is>
      </c>
      <c r="C54" s="4" t="inlineStr">
        <is>
          <t>MMA-09 MICHINCHA</t>
        </is>
      </c>
      <c r="D54" s="4" t="inlineStr">
        <is>
          <t>2026-03-01</t>
        </is>
      </c>
      <c r="E54" s="4" t="inlineStr">
        <is>
          <t>2026-03-07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/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ASUB</t>
        </is>
      </c>
    </row>
    <row r="55">
      <c r="A55" s="4" t="inlineStr">
        <is>
          <t>03614152</t>
        </is>
      </c>
      <c r="B55" s="4" t="inlineStr">
        <is>
          <t>MM DE AGUAS SUBTERRÁNEAS</t>
        </is>
      </c>
      <c r="C55" s="4" t="inlineStr">
        <is>
          <t>MMA-10 MICHINCHA</t>
        </is>
      </c>
      <c r="D55" s="4" t="inlineStr">
        <is>
          <t>2026-03-01</t>
        </is>
      </c>
      <c r="E55" s="4" t="inlineStr">
        <is>
          <t>2026-03-07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/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ASUB</t>
        </is>
      </c>
    </row>
    <row r="56">
      <c r="A56" s="4" t="inlineStr">
        <is>
          <t>03614153</t>
        </is>
      </c>
      <c r="B56" s="4" t="inlineStr">
        <is>
          <t>MM DE AGUAS SUBTERRÁNEAS</t>
        </is>
      </c>
      <c r="C56" s="4" t="inlineStr">
        <is>
          <t>MMA-11 MICHINCHA</t>
        </is>
      </c>
      <c r="D56" s="4" t="inlineStr">
        <is>
          <t>2026-03-01</t>
        </is>
      </c>
      <c r="E56" s="4" t="inlineStr">
        <is>
          <t>2026-03-07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/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ASUB</t>
        </is>
      </c>
    </row>
    <row r="57">
      <c r="A57" s="4" t="inlineStr">
        <is>
          <t>03614154</t>
        </is>
      </c>
      <c r="B57" s="4" t="inlineStr">
        <is>
          <t>MM DE AGUAS SUBTERRÁNEAS</t>
        </is>
      </c>
      <c r="C57" s="4" t="inlineStr">
        <is>
          <t>MMA-12 MICHINCHA</t>
        </is>
      </c>
      <c r="D57" s="4" t="inlineStr">
        <is>
          <t>2026-03-01</t>
        </is>
      </c>
      <c r="E57" s="4" t="inlineStr">
        <is>
          <t>2026-03-07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03614155</t>
        </is>
      </c>
      <c r="B58" s="4" t="inlineStr">
        <is>
          <t>MM DE AGUAS SUBTERRÁNEAS</t>
        </is>
      </c>
      <c r="C58" s="4" t="inlineStr">
        <is>
          <t>MMA-13 MICHINCHA</t>
        </is>
      </c>
      <c r="D58" s="4" t="inlineStr">
        <is>
          <t>2026-03-01</t>
        </is>
      </c>
      <c r="E58" s="4" t="inlineStr">
        <is>
          <t>2026-03-07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/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ASUB</t>
        </is>
      </c>
    </row>
    <row r="59">
      <c r="A59" s="4" t="inlineStr">
        <is>
          <t>03614156</t>
        </is>
      </c>
      <c r="B59" s="4" t="inlineStr">
        <is>
          <t>MM DE AGUAS SUBTERRÁNEAS</t>
        </is>
      </c>
      <c r="C59" s="4" t="inlineStr">
        <is>
          <t>MMA-14 MICHINCHA</t>
        </is>
      </c>
      <c r="D59" s="4" t="inlineStr">
        <is>
          <t>2026-03-01</t>
        </is>
      </c>
      <c r="E59" s="4" t="inlineStr">
        <is>
          <t>2026-03-07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/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ASUB</t>
        </is>
      </c>
    </row>
    <row r="60">
      <c r="A60" s="4" t="inlineStr">
        <is>
          <t>03614157</t>
        </is>
      </c>
      <c r="B60" s="4" t="inlineStr">
        <is>
          <t>MEDICION DE NIVELES FREATICOS</t>
        </is>
      </c>
      <c r="C60" s="4" t="inlineStr">
        <is>
          <t>MMA-04 MICHINCHA</t>
        </is>
      </c>
      <c r="D60" s="4" t="inlineStr">
        <is>
          <t>2026-03-01</t>
        </is>
      </c>
      <c r="E60" s="4" t="inlineStr">
        <is>
          <t>2026-03-07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/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n"/>
      <c r="L60" s="4" t="inlineStr">
        <is>
          <t>NF</t>
        </is>
      </c>
    </row>
    <row r="61">
      <c r="A61" s="4" t="inlineStr">
        <is>
          <t>03614158</t>
        </is>
      </c>
      <c r="B61" s="4" t="inlineStr">
        <is>
          <t>MEDICION DE NIVELES FREATICOS</t>
        </is>
      </c>
      <c r="C61" s="4" t="inlineStr">
        <is>
          <t>MMA-05 MICHINCHA</t>
        </is>
      </c>
      <c r="D61" s="4" t="inlineStr">
        <is>
          <t>2026-03-01</t>
        </is>
      </c>
      <c r="E61" s="4" t="inlineStr">
        <is>
          <t>2026-03-07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/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n"/>
      <c r="L61" s="4" t="inlineStr">
        <is>
          <t>NF</t>
        </is>
      </c>
    </row>
    <row r="62">
      <c r="A62" s="4" t="inlineStr">
        <is>
          <t>03614159</t>
        </is>
      </c>
      <c r="B62" s="4" t="inlineStr">
        <is>
          <t>MEDICION DE NIVELES FREATICOS</t>
        </is>
      </c>
      <c r="C62" s="4" t="inlineStr">
        <is>
          <t>MMA-06 MICHINCHA</t>
        </is>
      </c>
      <c r="D62" s="4" t="inlineStr">
        <is>
          <t>2026-03-01</t>
        </is>
      </c>
      <c r="E62" s="4" t="inlineStr">
        <is>
          <t>2026-03-07</t>
        </is>
      </c>
      <c r="F62" s="4" t="inlineStr">
        <is>
          <t>SIGVA</t>
        </is>
      </c>
      <c r="G62" s="5">
        <f>IF(H62="TT","TRABAJO TERMINADO",IF(H62="MI","TRABAJO NO TERMINADO",""))</f>
        <v/>
      </c>
      <c r="H62" s="6" t="inlineStr"/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n"/>
      <c r="L62" s="4" t="inlineStr">
        <is>
          <t>NF</t>
        </is>
      </c>
    </row>
    <row r="63">
      <c r="A63" s="4" t="inlineStr">
        <is>
          <t>03614160</t>
        </is>
      </c>
      <c r="B63" s="4" t="inlineStr">
        <is>
          <t>MEDICION DE NIVELES FREATICOS</t>
        </is>
      </c>
      <c r="C63" s="4" t="inlineStr">
        <is>
          <t>MMA-07 MICHINCHA</t>
        </is>
      </c>
      <c r="D63" s="4" t="inlineStr">
        <is>
          <t>2026-03-01</t>
        </is>
      </c>
      <c r="E63" s="4" t="inlineStr">
        <is>
          <t>2026-03-07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/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NF</t>
        </is>
      </c>
    </row>
    <row r="64">
      <c r="A64" s="4" t="inlineStr">
        <is>
          <t>03614161</t>
        </is>
      </c>
      <c r="B64" s="4" t="inlineStr">
        <is>
          <t>MEDICION DE NIVELES FREATICOS</t>
        </is>
      </c>
      <c r="C64" s="4" t="inlineStr">
        <is>
          <t>MMA-08 MICHINCHA</t>
        </is>
      </c>
      <c r="D64" s="4" t="inlineStr">
        <is>
          <t>2026-03-01</t>
        </is>
      </c>
      <c r="E64" s="4" t="inlineStr">
        <is>
          <t>2026-03-07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/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NF</t>
        </is>
      </c>
    </row>
    <row r="65">
      <c r="A65" s="4" t="inlineStr">
        <is>
          <t>03614162</t>
        </is>
      </c>
      <c r="B65" s="4" t="inlineStr">
        <is>
          <t>MEDICION DE NIVELES FREATICOS</t>
        </is>
      </c>
      <c r="C65" s="4" t="inlineStr">
        <is>
          <t>MMA-09 MICHINCHA</t>
        </is>
      </c>
      <c r="D65" s="4" t="inlineStr">
        <is>
          <t>2026-03-01</t>
        </is>
      </c>
      <c r="E65" s="4" t="inlineStr">
        <is>
          <t>2026-03-07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NF</t>
        </is>
      </c>
    </row>
    <row r="66">
      <c r="A66" s="4" t="inlineStr">
        <is>
          <t>03614163</t>
        </is>
      </c>
      <c r="B66" s="4" t="inlineStr">
        <is>
          <t>MEDICION DE NIVELES FREATICOS</t>
        </is>
      </c>
      <c r="C66" s="4" t="inlineStr">
        <is>
          <t>MMA-10 MICHINCHA</t>
        </is>
      </c>
      <c r="D66" s="4" t="inlineStr">
        <is>
          <t>2026-03-01</t>
        </is>
      </c>
      <c r="E66" s="4" t="inlineStr">
        <is>
          <t>2026-03-07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NF</t>
        </is>
      </c>
    </row>
    <row r="67">
      <c r="A67" s="4" t="inlineStr">
        <is>
          <t>03614164</t>
        </is>
      </c>
      <c r="B67" s="4" t="inlineStr">
        <is>
          <t>MEDICION DE NIVELES FREATICOS</t>
        </is>
      </c>
      <c r="C67" s="4" t="inlineStr">
        <is>
          <t>MMA-11 MICHINCHA</t>
        </is>
      </c>
      <c r="D67" s="4" t="inlineStr">
        <is>
          <t>2026-03-01</t>
        </is>
      </c>
      <c r="E67" s="4" t="inlineStr">
        <is>
          <t>2026-03-07</t>
        </is>
      </c>
      <c r="F67" s="4" t="inlineStr">
        <is>
          <t>SIGVA</t>
        </is>
      </c>
      <c r="G67" s="5">
        <f>IF(H67="TT","TRABAJO TERMINADO",IF(H67="MI","TRABAJO NO TERMINADO",""))</f>
        <v/>
      </c>
      <c r="H67" s="6" t="inlineStr"/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NF</t>
        </is>
      </c>
    </row>
    <row r="68">
      <c r="A68" s="4" t="inlineStr">
        <is>
          <t>03614165</t>
        </is>
      </c>
      <c r="B68" s="4" t="inlineStr">
        <is>
          <t>MEDICION DE NIVELES FREATICOS</t>
        </is>
      </c>
      <c r="C68" s="4" t="inlineStr">
        <is>
          <t>MMA-12 MICHINCHA</t>
        </is>
      </c>
      <c r="D68" s="4" t="inlineStr">
        <is>
          <t>2026-03-01</t>
        </is>
      </c>
      <c r="E68" s="4" t="inlineStr">
        <is>
          <t>2026-03-07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NF</t>
        </is>
      </c>
    </row>
    <row r="69">
      <c r="A69" s="4" t="inlineStr">
        <is>
          <t>03614166</t>
        </is>
      </c>
      <c r="B69" s="4" t="inlineStr">
        <is>
          <t>MEDICION DE NIVELES FREATICOS</t>
        </is>
      </c>
      <c r="C69" s="4" t="inlineStr">
        <is>
          <t>MMA-13 MICHINCHA</t>
        </is>
      </c>
      <c r="D69" s="4" t="inlineStr">
        <is>
          <t>2026-03-01</t>
        </is>
      </c>
      <c r="E69" s="4" t="inlineStr">
        <is>
          <t>2026-03-07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NF</t>
        </is>
      </c>
    </row>
    <row r="70">
      <c r="A70" s="4" t="inlineStr">
        <is>
          <t>03614167</t>
        </is>
      </c>
      <c r="B70" s="4" t="inlineStr">
        <is>
          <t>MEDICION DE NIVELES FREATICOS</t>
        </is>
      </c>
      <c r="C70" s="4" t="inlineStr">
        <is>
          <t>MMA-14 MICHINCHA</t>
        </is>
      </c>
      <c r="D70" s="4" t="inlineStr">
        <is>
          <t>2026-03-01</t>
        </is>
      </c>
      <c r="E70" s="4" t="inlineStr">
        <is>
          <t>2026-03-07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03614168</t>
        </is>
      </c>
      <c r="B71" s="4" t="inlineStr">
        <is>
          <t>MM DE AGUAS SUBTERRÁNEAS</t>
        </is>
      </c>
      <c r="C71" s="4" t="inlineStr">
        <is>
          <t>MPZ-10A LIXIVIACIÓN</t>
        </is>
      </c>
      <c r="D71" s="4" t="inlineStr">
        <is>
          <t>2026-03-01</t>
        </is>
      </c>
      <c r="E71" s="4" t="inlineStr">
        <is>
          <t>2026-03-07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ASUB</t>
        </is>
      </c>
    </row>
    <row r="72">
      <c r="A72" s="4" t="inlineStr">
        <is>
          <t>03614169</t>
        </is>
      </c>
      <c r="B72" s="4" t="inlineStr">
        <is>
          <t>MM DE AGUAS SUBTERRÁNEAS</t>
        </is>
      </c>
      <c r="C72" s="4" t="inlineStr">
        <is>
          <t>MPZ-10B LIXIVIACIÓN</t>
        </is>
      </c>
      <c r="D72" s="4" t="inlineStr">
        <is>
          <t>2026-03-01</t>
        </is>
      </c>
      <c r="E72" s="4" t="inlineStr">
        <is>
          <t>2026-03-07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ASUB</t>
        </is>
      </c>
    </row>
    <row r="73">
      <c r="A73" s="4" t="inlineStr">
        <is>
          <t>03614170</t>
        </is>
      </c>
      <c r="B73" s="4" t="inlineStr">
        <is>
          <t>MEDICION DE NIVELES FREATICOS</t>
        </is>
      </c>
      <c r="C73" s="4" t="inlineStr">
        <is>
          <t>MPZ-11B MICHINCHA</t>
        </is>
      </c>
      <c r="D73" s="4" t="inlineStr">
        <is>
          <t>2026-03-01</t>
        </is>
      </c>
      <c r="E73" s="4" t="inlineStr">
        <is>
          <t>2026-03-07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NF</t>
        </is>
      </c>
    </row>
    <row r="74">
      <c r="A74" s="4" t="inlineStr">
        <is>
          <t>03614173</t>
        </is>
      </c>
      <c r="B74" s="4" t="inlineStr">
        <is>
          <t>MEDICION DE NIVELES FREATICOS</t>
        </is>
      </c>
      <c r="C74" s="4" t="inlineStr">
        <is>
          <t>MPZ-10A LIXIVIACIÓN</t>
        </is>
      </c>
      <c r="D74" s="4" t="inlineStr">
        <is>
          <t>2026-03-01</t>
        </is>
      </c>
      <c r="E74" s="4" t="inlineStr">
        <is>
          <t>2026-03-07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/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NF</t>
        </is>
      </c>
    </row>
    <row r="75">
      <c r="A75" s="4" t="inlineStr">
        <is>
          <t>03614174</t>
        </is>
      </c>
      <c r="B75" s="4" t="inlineStr">
        <is>
          <t>MEDICION DE NIVELES FREATICOS</t>
        </is>
      </c>
      <c r="C75" s="4" t="inlineStr">
        <is>
          <t>MPZ-10B LIXIVIACIÓN</t>
        </is>
      </c>
      <c r="D75" s="4" t="inlineStr">
        <is>
          <t>2026-03-01</t>
        </is>
      </c>
      <c r="E75" s="4" t="inlineStr">
        <is>
          <t>2026-03-07</t>
        </is>
      </c>
      <c r="F75" s="4" t="inlineStr">
        <is>
          <t>SIGVA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n"/>
      <c r="L75" s="4" t="inlineStr">
        <is>
          <t>NF</t>
        </is>
      </c>
    </row>
    <row r="76">
      <c r="A76" s="4" t="inlineStr">
        <is>
          <t>03614175</t>
        </is>
      </c>
      <c r="B76" s="4" t="inlineStr">
        <is>
          <t>MEDICIÓN DE CAUDALES</t>
        </is>
      </c>
      <c r="C76" s="4" t="inlineStr">
        <is>
          <t>MSW-2 MICHINCHA</t>
        </is>
      </c>
      <c r="D76" s="4" t="inlineStr">
        <is>
          <t>2026-03-01</t>
        </is>
      </c>
      <c r="E76" s="4" t="inlineStr">
        <is>
          <t>2026-03-07</t>
        </is>
      </c>
      <c r="F76" s="4" t="inlineStr">
        <is>
          <t>SIGVA</t>
        </is>
      </c>
      <c r="G76" s="5">
        <f>IF(H76="TT","TRABAJO TERMINADO",IF(H76="MI","TRABAJO NO TERMINADO",""))</f>
        <v/>
      </c>
      <c r="H76" s="6" t="inlineStr"/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CAUDAL</t>
        </is>
      </c>
    </row>
    <row r="77">
      <c r="A77" s="4" t="inlineStr">
        <is>
          <t>03614176</t>
        </is>
      </c>
      <c r="B77" s="4" t="inlineStr">
        <is>
          <t>MED DE NIVELES FREATICOS</t>
        </is>
      </c>
      <c r="C77" s="4" t="inlineStr">
        <is>
          <t>MTP-13 MICHINCHA</t>
        </is>
      </c>
      <c r="D77" s="4" t="inlineStr">
        <is>
          <t>2026-03-01</t>
        </is>
      </c>
      <c r="E77" s="4" t="inlineStr">
        <is>
          <t>2026-03-07</t>
        </is>
      </c>
      <c r="F77" s="4" t="inlineStr">
        <is>
          <t>SIGVA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n"/>
      <c r="L77" s="4" t="inlineStr">
        <is>
          <t>NF</t>
        </is>
      </c>
    </row>
    <row r="78">
      <c r="A78" s="4" t="inlineStr">
        <is>
          <t>03614177</t>
        </is>
      </c>
      <c r="B78" s="4" t="inlineStr">
        <is>
          <t>MED DE NIVELES FREATICOS</t>
        </is>
      </c>
      <c r="C78" s="4" t="inlineStr">
        <is>
          <t>MTP-09 TRANQUE</t>
        </is>
      </c>
      <c r="D78" s="4" t="inlineStr">
        <is>
          <t>2026-03-01</t>
        </is>
      </c>
      <c r="E78" s="4" t="inlineStr">
        <is>
          <t>2026-03-07</t>
        </is>
      </c>
      <c r="F78" s="4" t="inlineStr">
        <is>
          <t>SIGVA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03614178</t>
        </is>
      </c>
      <c r="B79" s="4" t="inlineStr">
        <is>
          <t>MED DE NIVELES FREATICOS</t>
        </is>
      </c>
      <c r="C79" s="4" t="inlineStr">
        <is>
          <t>MTP-14 TRANQUE</t>
        </is>
      </c>
      <c r="D79" s="4" t="inlineStr">
        <is>
          <t>2026-03-01</t>
        </is>
      </c>
      <c r="E79" s="4" t="inlineStr">
        <is>
          <t>2026-03-07</t>
        </is>
      </c>
      <c r="F79" s="4" t="inlineStr">
        <is>
          <t>SIGVA</t>
        </is>
      </c>
      <c r="G79" s="5">
        <f>IF(H79="TT","TRABAJO TERMINADO",IF(H79="MI","TRABAJO NO TERMINADO",""))</f>
        <v/>
      </c>
      <c r="H79" s="6" t="inlineStr"/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03614184</t>
        </is>
      </c>
      <c r="B80" s="4" t="inlineStr">
        <is>
          <t>MM DE AGUAS SUBTERRÁNEAS</t>
        </is>
      </c>
      <c r="C80" s="4" t="inlineStr">
        <is>
          <t>PLIX-01A LIXIVIACIÓN</t>
        </is>
      </c>
      <c r="D80" s="4" t="inlineStr">
        <is>
          <t>2026-03-01</t>
        </is>
      </c>
      <c r="E80" s="4" t="inlineStr">
        <is>
          <t>2026-03-07</t>
        </is>
      </c>
      <c r="F80" s="4" t="inlineStr">
        <is>
          <t>SIGVA</t>
        </is>
      </c>
      <c r="G80" s="5">
        <f>IF(H80="TT","TRABAJO TERMINADO",IF(H80="MI","TRABAJO NO TERMINADO",""))</f>
        <v/>
      </c>
      <c r="H80" s="6" t="inlineStr"/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ASUB</t>
        </is>
      </c>
    </row>
    <row r="81">
      <c r="A81" s="4" t="inlineStr">
        <is>
          <t>03614185</t>
        </is>
      </c>
      <c r="B81" s="4" t="inlineStr">
        <is>
          <t>MM DE AGUAS SUBTERRÁNEAS</t>
        </is>
      </c>
      <c r="C81" s="4" t="inlineStr">
        <is>
          <t>PLIX-01B LIXIVIACIÓN</t>
        </is>
      </c>
      <c r="D81" s="4" t="inlineStr">
        <is>
          <t>2026-03-01</t>
        </is>
      </c>
      <c r="E81" s="4" t="inlineStr">
        <is>
          <t>2026-03-07</t>
        </is>
      </c>
      <c r="F81" s="4" t="inlineStr">
        <is>
          <t>SIGVA</t>
        </is>
      </c>
      <c r="G81" s="5">
        <f>IF(H81="TT","TRABAJO TERMINADO",IF(H81="MI","TRABAJO NO TERMINADO",""))</f>
        <v/>
      </c>
      <c r="H81" s="6" t="inlineStr"/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ASUB</t>
        </is>
      </c>
    </row>
    <row r="82">
      <c r="A82" s="4" t="inlineStr">
        <is>
          <t>03614186</t>
        </is>
      </c>
      <c r="B82" s="4" t="inlineStr">
        <is>
          <t>MM DE AGUAS SUBTERRÁNEAS</t>
        </is>
      </c>
      <c r="C82" s="4" t="inlineStr">
        <is>
          <t>PLIX-02A LIXIVIACIÓN</t>
        </is>
      </c>
      <c r="D82" s="4" t="inlineStr">
        <is>
          <t>2026-03-01</t>
        </is>
      </c>
      <c r="E82" s="4" t="inlineStr">
        <is>
          <t>2026-03-07</t>
        </is>
      </c>
      <c r="F82" s="4" t="inlineStr">
        <is>
          <t>SIGVA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n"/>
      <c r="L82" s="4" t="inlineStr">
        <is>
          <t>ASUB</t>
        </is>
      </c>
    </row>
    <row r="83">
      <c r="A83" s="4" t="inlineStr">
        <is>
          <t>03614187</t>
        </is>
      </c>
      <c r="B83" s="4" t="inlineStr">
        <is>
          <t>MM DE AGUAS SUBTERRÁNEAS</t>
        </is>
      </c>
      <c r="C83" s="4" t="inlineStr">
        <is>
          <t>PLIX-02B LIXIVIACIÓN</t>
        </is>
      </c>
      <c r="D83" s="4" t="inlineStr">
        <is>
          <t>2026-03-01</t>
        </is>
      </c>
      <c r="E83" s="4" t="inlineStr">
        <is>
          <t>2026-03-07</t>
        </is>
      </c>
      <c r="F83" s="4" t="inlineStr">
        <is>
          <t>SIGVA</t>
        </is>
      </c>
      <c r="G83" s="5">
        <f>IF(H83="TT","TRABAJO TERMINADO",IF(H83="MI","TRABAJO NO TERMINADO",""))</f>
        <v/>
      </c>
      <c r="H83" s="6" t="inlineStr"/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ASUB</t>
        </is>
      </c>
    </row>
    <row r="84">
      <c r="A84" s="4" t="inlineStr">
        <is>
          <t>03614188</t>
        </is>
      </c>
      <c r="B84" s="4" t="inlineStr">
        <is>
          <t>MM DE AGUAS SUBTERRÁNEAS</t>
        </is>
      </c>
      <c r="C84" s="4" t="inlineStr">
        <is>
          <t>PLIX-03A LIXIVIACIÓN</t>
        </is>
      </c>
      <c r="D84" s="4" t="inlineStr">
        <is>
          <t>2026-03-01</t>
        </is>
      </c>
      <c r="E84" s="4" t="inlineStr">
        <is>
          <t>2026-03-07</t>
        </is>
      </c>
      <c r="F84" s="4" t="inlineStr">
        <is>
          <t>SIGVA</t>
        </is>
      </c>
      <c r="G84" s="5">
        <f>IF(H84="TT","TRABAJO TERMINADO",IF(H84="MI","TRABAJO NO TERMINADO",""))</f>
        <v/>
      </c>
      <c r="H84" s="6" t="inlineStr"/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ASUB</t>
        </is>
      </c>
    </row>
    <row r="85">
      <c r="A85" s="4" t="inlineStr">
        <is>
          <t>03614189</t>
        </is>
      </c>
      <c r="B85" s="4" t="inlineStr">
        <is>
          <t>MM DE AGUAS SUBTERRÁNEAS</t>
        </is>
      </c>
      <c r="C85" s="4" t="inlineStr">
        <is>
          <t>PLIX-03B LIXIVIACIÓN</t>
        </is>
      </c>
      <c r="D85" s="4" t="inlineStr">
        <is>
          <t>2026-03-01</t>
        </is>
      </c>
      <c r="E85" s="4" t="inlineStr">
        <is>
          <t>2026-03-07</t>
        </is>
      </c>
      <c r="F85" s="4" t="inlineStr">
        <is>
          <t>SIGVA</t>
        </is>
      </c>
      <c r="G85" s="5">
        <f>IF(H85="TT","TRABAJO TERMINADO",IF(H85="MI","TRABAJO NO TERMINADO",""))</f>
        <v/>
      </c>
      <c r="H85" s="6" t="inlineStr"/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ASUB</t>
        </is>
      </c>
    </row>
    <row r="86">
      <c r="A86" s="4" t="inlineStr">
        <is>
          <t>03614190</t>
        </is>
      </c>
      <c r="B86" s="4" t="inlineStr">
        <is>
          <t>MM DE AGUAS SUBTERRÁNEAS</t>
        </is>
      </c>
      <c r="C86" s="4" t="inlineStr">
        <is>
          <t>PLIX-04 LIXIVIACIÓN</t>
        </is>
      </c>
      <c r="D86" s="4" t="inlineStr">
        <is>
          <t>2026-03-01</t>
        </is>
      </c>
      <c r="E86" s="4" t="inlineStr">
        <is>
          <t>2026-03-07</t>
        </is>
      </c>
      <c r="F86" s="4" t="inlineStr">
        <is>
          <t>SIGVA</t>
        </is>
      </c>
      <c r="G86" s="5">
        <f>IF(H86="TT","TRABAJO TERMINADO",IF(H86="MI","TRABAJO NO TERMINADO",""))</f>
        <v/>
      </c>
      <c r="H86" s="6" t="inlineStr"/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ASUB</t>
        </is>
      </c>
    </row>
    <row r="87">
      <c r="A87" s="4" t="inlineStr">
        <is>
          <t>03614191</t>
        </is>
      </c>
      <c r="B87" s="4" t="inlineStr">
        <is>
          <t>MM DE AGUAS SUBTERRÁNEAS</t>
        </is>
      </c>
      <c r="C87" s="4" t="inlineStr">
        <is>
          <t>PLIX-05A LIXIVIACIÓN</t>
        </is>
      </c>
      <c r="D87" s="4" t="inlineStr">
        <is>
          <t>2026-03-01</t>
        </is>
      </c>
      <c r="E87" s="4" t="inlineStr">
        <is>
          <t>2026-03-07</t>
        </is>
      </c>
      <c r="F87" s="4" t="inlineStr">
        <is>
          <t>SIGVA</t>
        </is>
      </c>
      <c r="G87" s="5">
        <f>IF(H87="TT","TRABAJO TERMINADO",IF(H87="MI","TRABAJO NO TERMINADO",""))</f>
        <v/>
      </c>
      <c r="H87" s="6" t="inlineStr"/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ASUB</t>
        </is>
      </c>
    </row>
    <row r="88">
      <c r="A88" s="4" t="inlineStr">
        <is>
          <t>03614192</t>
        </is>
      </c>
      <c r="B88" s="4" t="inlineStr">
        <is>
          <t>MM DE AGUAS SUBTERRÁNEAS</t>
        </is>
      </c>
      <c r="C88" s="4" t="inlineStr">
        <is>
          <t>PLIX-05B LIXIVIACIÓN</t>
        </is>
      </c>
      <c r="D88" s="4" t="inlineStr">
        <is>
          <t>2026-03-01</t>
        </is>
      </c>
      <c r="E88" s="4" t="inlineStr">
        <is>
          <t>2026-03-07</t>
        </is>
      </c>
      <c r="F88" s="4" t="inlineStr">
        <is>
          <t>SIGVA</t>
        </is>
      </c>
      <c r="G88" s="5">
        <f>IF(H88="TT","TRABAJO TERMINADO",IF(H88="MI","TRABAJO NO TERMINADO",""))</f>
        <v/>
      </c>
      <c r="H88" s="6" t="inlineStr"/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ASUB</t>
        </is>
      </c>
    </row>
    <row r="89">
      <c r="A89" s="4" t="inlineStr">
        <is>
          <t>03614193</t>
        </is>
      </c>
      <c r="B89" s="4" t="inlineStr">
        <is>
          <t>MM DE AGUAS SUBTERRÁNEAS</t>
        </is>
      </c>
      <c r="C89" s="4" t="inlineStr">
        <is>
          <t>PLIX-06 LIXIVIACIÓN</t>
        </is>
      </c>
      <c r="D89" s="4" t="inlineStr">
        <is>
          <t>2026-03-01</t>
        </is>
      </c>
      <c r="E89" s="4" t="inlineStr">
        <is>
          <t>2026-03-07</t>
        </is>
      </c>
      <c r="F89" s="4" t="inlineStr">
        <is>
          <t>SIGVA</t>
        </is>
      </c>
      <c r="G89" s="5">
        <f>IF(H89="TT","TRABAJO TERMINADO",IF(H89="MI","TRABAJO NO TERMINADO",""))</f>
        <v/>
      </c>
      <c r="H89" s="6" t="inlineStr"/>
      <c r="I89" s="7">
        <f>IF(B89="", G89, IF(G89="", LEFT(B89,45), IF(45-LEN(G89)-2&lt;=0, G89, LEFT(B89,45-LEN(G89)-2)&amp;", "&amp;G89)))</f>
        <v/>
      </c>
      <c r="J89" s="8">
        <f>IF(H89="MI","NO REALIZADO " &amp; B89 &amp; " EN " &amp; C89 &amp; IF(K89&lt;&gt;""," " &amp; K89,""),IF(H89="TT","SE REALIZA " &amp; B89 &amp; " EN " &amp; C89 &amp; IF(K89&lt;&gt;""," " &amp; K89,""),""))</f>
        <v/>
      </c>
      <c r="K89" s="4" t="n"/>
      <c r="L89" s="4" t="inlineStr">
        <is>
          <t>ASUB</t>
        </is>
      </c>
    </row>
    <row r="90">
      <c r="A90" s="4" t="inlineStr">
        <is>
          <t>03614194</t>
        </is>
      </c>
      <c r="B90" s="4" t="inlineStr">
        <is>
          <t>MM DE AGUAS SUBTERRÁNEAS</t>
        </is>
      </c>
      <c r="C90" s="4" t="inlineStr">
        <is>
          <t>PLIX-07A LIXIVIACIÓN</t>
        </is>
      </c>
      <c r="D90" s="4" t="inlineStr">
        <is>
          <t>2026-03-01</t>
        </is>
      </c>
      <c r="E90" s="4" t="inlineStr">
        <is>
          <t>2026-03-07</t>
        </is>
      </c>
      <c r="F90" s="4" t="inlineStr">
        <is>
          <t>SIGVA</t>
        </is>
      </c>
      <c r="G90" s="5">
        <f>IF(H90="TT","TRABAJO TERMINADO",IF(H90="MI","TRABAJO NO TERMINADO",""))</f>
        <v/>
      </c>
      <c r="H90" s="6" t="inlineStr"/>
      <c r="I90" s="7">
        <f>IF(B90="", G90, IF(G90="", LEFT(B90,45), IF(45-LEN(G90)-2&lt;=0, G90, LEFT(B90,45-LEN(G90)-2)&amp;", "&amp;G90)))</f>
        <v/>
      </c>
      <c r="J90" s="8">
        <f>IF(H90="MI","NO REALIZADO " &amp; B90 &amp; " EN " &amp; C90 &amp; IF(K90&lt;&gt;""," " &amp; K90,""),IF(H90="TT","SE REALIZA " &amp; B90 &amp; " EN " &amp; C90 &amp; IF(K90&lt;&gt;""," " &amp; K90,""),""))</f>
        <v/>
      </c>
      <c r="K90" s="4" t="n"/>
      <c r="L90" s="4" t="inlineStr">
        <is>
          <t>ASUB</t>
        </is>
      </c>
    </row>
    <row r="91">
      <c r="A91" s="4" t="inlineStr">
        <is>
          <t>03614195</t>
        </is>
      </c>
      <c r="B91" s="4" t="inlineStr">
        <is>
          <t>MM DE AGUAS SUBTERRÁNEAS</t>
        </is>
      </c>
      <c r="C91" s="4" t="inlineStr">
        <is>
          <t>PLIX-07B LIXIVIACIÓN</t>
        </is>
      </c>
      <c r="D91" s="4" t="inlineStr">
        <is>
          <t>2026-03-01</t>
        </is>
      </c>
      <c r="E91" s="4" t="inlineStr">
        <is>
          <t>2026-03-07</t>
        </is>
      </c>
      <c r="F91" s="4" t="inlineStr">
        <is>
          <t>SIGVA</t>
        </is>
      </c>
      <c r="G91" s="5">
        <f>IF(H91="TT","TRABAJO TERMINADO",IF(H91="MI","TRABAJO NO TERMINADO",""))</f>
        <v/>
      </c>
      <c r="H91" s="6" t="inlineStr"/>
      <c r="I91" s="7">
        <f>IF(B91="", G91, IF(G91="", LEFT(B91,45), IF(45-LEN(G91)-2&lt;=0, G91, LEFT(B91,45-LEN(G91)-2)&amp;", "&amp;G91)))</f>
        <v/>
      </c>
      <c r="J91" s="8">
        <f>IF(H91="MI","NO REALIZADO " &amp; B91 &amp; " EN " &amp; C91 &amp; IF(K91&lt;&gt;""," " &amp; K91,""),IF(H91="TT","SE REALIZA " &amp; B91 &amp; " EN " &amp; C91 &amp; IF(K91&lt;&gt;""," " &amp; K91,""),""))</f>
        <v/>
      </c>
      <c r="K91" s="4" t="n"/>
      <c r="L91" s="4" t="inlineStr">
        <is>
          <t>ASUB</t>
        </is>
      </c>
    </row>
    <row r="92">
      <c r="A92" s="4" t="inlineStr">
        <is>
          <t>03614196</t>
        </is>
      </c>
      <c r="B92" s="4" t="inlineStr">
        <is>
          <t>MM DE AGUAS SUBTERRÁNEAS</t>
        </is>
      </c>
      <c r="C92" s="4" t="inlineStr">
        <is>
          <t>PLIX-08A LIXIVIACIÓN</t>
        </is>
      </c>
      <c r="D92" s="4" t="inlineStr">
        <is>
          <t>2026-03-01</t>
        </is>
      </c>
      <c r="E92" s="4" t="inlineStr">
        <is>
          <t>2026-03-07</t>
        </is>
      </c>
      <c r="F92" s="4" t="inlineStr">
        <is>
          <t>SIGVA</t>
        </is>
      </c>
      <c r="G92" s="5">
        <f>IF(H92="TT","TRABAJO TERMINADO",IF(H92="MI","TRABAJO NO TERMINADO",""))</f>
        <v/>
      </c>
      <c r="H92" s="6" t="inlineStr"/>
      <c r="I92" s="7">
        <f>IF(B92="", G92, IF(G92="", LEFT(B92,45), IF(45-LEN(G92)-2&lt;=0, G92, LEFT(B92,45-LEN(G92)-2)&amp;", "&amp;G92)))</f>
        <v/>
      </c>
      <c r="J92" s="8">
        <f>IF(H92="MI","NO REALIZADO " &amp; B92 &amp; " EN " &amp; C92 &amp; IF(K92&lt;&gt;""," " &amp; K92,""),IF(H92="TT","SE REALIZA " &amp; B92 &amp; " EN " &amp; C92 &amp; IF(K92&lt;&gt;""," " &amp; K92,""),""))</f>
        <v/>
      </c>
      <c r="K92" s="4" t="n"/>
      <c r="L92" s="4" t="inlineStr">
        <is>
          <t>ASUB</t>
        </is>
      </c>
    </row>
    <row r="93">
      <c r="A93" s="4" t="inlineStr">
        <is>
          <t>03614197</t>
        </is>
      </c>
      <c r="B93" s="4" t="inlineStr">
        <is>
          <t>MM DE AGUAS SUBTERRÁNEAS</t>
        </is>
      </c>
      <c r="C93" s="4" t="inlineStr">
        <is>
          <t>PLIX-08B LIXIVIACIÓN</t>
        </is>
      </c>
      <c r="D93" s="4" t="inlineStr">
        <is>
          <t>2026-03-01</t>
        </is>
      </c>
      <c r="E93" s="4" t="inlineStr">
        <is>
          <t>2026-03-07</t>
        </is>
      </c>
      <c r="F93" s="4" t="inlineStr">
        <is>
          <t>SIGVA</t>
        </is>
      </c>
      <c r="G93" s="5">
        <f>IF(H93="TT","TRABAJO TERMINADO",IF(H93="MI","TRABAJO NO TERMINADO",""))</f>
        <v/>
      </c>
      <c r="H93" s="6" t="inlineStr"/>
      <c r="I93" s="7">
        <f>IF(B93="", G93, IF(G93="", LEFT(B93,45), IF(45-LEN(G93)-2&lt;=0, G93, LEFT(B93,45-LEN(G93)-2)&amp;", "&amp;G93)))</f>
        <v/>
      </c>
      <c r="J93" s="8">
        <f>IF(H93="MI","NO REALIZADO " &amp; B93 &amp; " EN " &amp; C93 &amp; IF(K93&lt;&gt;""," " &amp; K93,""),IF(H93="TT","SE REALIZA " &amp; B93 &amp; " EN " &amp; C93 &amp; IF(K93&lt;&gt;""," " &amp; K93,""),""))</f>
        <v/>
      </c>
      <c r="K93" s="4" t="n"/>
      <c r="L93" s="4" t="inlineStr">
        <is>
          <t>ASUB</t>
        </is>
      </c>
    </row>
    <row r="94">
      <c r="A94" s="4" t="inlineStr">
        <is>
          <t>03614198</t>
        </is>
      </c>
      <c r="B94" s="4" t="inlineStr">
        <is>
          <t>MM DE AGUAS SUBTERRÁNEAS</t>
        </is>
      </c>
      <c r="C94" s="4" t="inlineStr">
        <is>
          <t>PLIX-09 LIXIVIACIÓN</t>
        </is>
      </c>
      <c r="D94" s="4" t="inlineStr">
        <is>
          <t>2026-03-01</t>
        </is>
      </c>
      <c r="E94" s="4" t="inlineStr">
        <is>
          <t>2026-03-07</t>
        </is>
      </c>
      <c r="F94" s="4" t="inlineStr">
        <is>
          <t>SIGVA</t>
        </is>
      </c>
      <c r="G94" s="5">
        <f>IF(H94="TT","TRABAJO TERMINADO",IF(H94="MI","TRABAJO NO TERMINADO",""))</f>
        <v/>
      </c>
      <c r="H94" s="6" t="inlineStr"/>
      <c r="I94" s="7">
        <f>IF(B94="", G94, IF(G94="", LEFT(B94,45), IF(45-LEN(G94)-2&lt;=0, G94, LEFT(B94,45-LEN(G94)-2)&amp;", "&amp;G94)))</f>
        <v/>
      </c>
      <c r="J94" s="8">
        <f>IF(H94="MI","NO REALIZADO " &amp; B94 &amp; " EN " &amp; C94 &amp; IF(K94&lt;&gt;""," " &amp; K94,""),IF(H94="TT","SE REALIZA " &amp; B94 &amp; " EN " &amp; C94 &amp; IF(K94&lt;&gt;""," " &amp; K94,""),""))</f>
        <v/>
      </c>
      <c r="K94" s="4" t="n"/>
      <c r="L94" s="4" t="inlineStr">
        <is>
          <t>ASUB</t>
        </is>
      </c>
    </row>
    <row r="95">
      <c r="A95" s="4" t="inlineStr">
        <is>
          <t>03614199</t>
        </is>
      </c>
      <c r="B95" s="4" t="inlineStr">
        <is>
          <t>MM DE AGUAS SUBTERRÁNEAS</t>
        </is>
      </c>
      <c r="C95" s="4" t="inlineStr">
        <is>
          <t>PLIX-10A LIXIVIACIÓN</t>
        </is>
      </c>
      <c r="D95" s="4" t="inlineStr">
        <is>
          <t>2026-03-01</t>
        </is>
      </c>
      <c r="E95" s="4" t="inlineStr">
        <is>
          <t>2026-03-07</t>
        </is>
      </c>
      <c r="F95" s="4" t="inlineStr">
        <is>
          <t>SIGVA</t>
        </is>
      </c>
      <c r="G95" s="5">
        <f>IF(H95="TT","TRABAJO TERMINADO",IF(H95="MI","TRABAJO NO TERMINADO",""))</f>
        <v/>
      </c>
      <c r="H95" s="6" t="inlineStr"/>
      <c r="I95" s="7">
        <f>IF(B95="", G95, IF(G95="", LEFT(B95,45), IF(45-LEN(G95)-2&lt;=0, G95, LEFT(B95,45-LEN(G95)-2)&amp;", "&amp;G95)))</f>
        <v/>
      </c>
      <c r="J95" s="8">
        <f>IF(H95="MI","NO REALIZADO " &amp; B95 &amp; " EN " &amp; C95 &amp; IF(K95&lt;&gt;""," " &amp; K95,""),IF(H95="TT","SE REALIZA " &amp; B95 &amp; " EN " &amp; C95 &amp; IF(K95&lt;&gt;""," " &amp; K95,""),""))</f>
        <v/>
      </c>
      <c r="K95" s="4" t="n"/>
      <c r="L95" s="4" t="inlineStr">
        <is>
          <t>ASUB</t>
        </is>
      </c>
    </row>
    <row r="96">
      <c r="A96" s="4" t="inlineStr">
        <is>
          <t>03614200</t>
        </is>
      </c>
      <c r="B96" s="4" t="inlineStr">
        <is>
          <t>MM DE AGUAS SUBTERRÁNEAS</t>
        </is>
      </c>
      <c r="C96" s="4" t="inlineStr">
        <is>
          <t>PLIX-10B LIXIVIACIÓN</t>
        </is>
      </c>
      <c r="D96" s="4" t="inlineStr">
        <is>
          <t>2026-03-01</t>
        </is>
      </c>
      <c r="E96" s="4" t="inlineStr">
        <is>
          <t>2026-03-07</t>
        </is>
      </c>
      <c r="F96" s="4" t="inlineStr">
        <is>
          <t>SIGVA</t>
        </is>
      </c>
      <c r="G96" s="5">
        <f>IF(H96="TT","TRABAJO TERMINADO",IF(H96="MI","TRABAJO NO TERMINADO",""))</f>
        <v/>
      </c>
      <c r="H96" s="6" t="inlineStr"/>
      <c r="I96" s="7">
        <f>IF(B96="", G96, IF(G96="", LEFT(B96,45), IF(45-LEN(G96)-2&lt;=0, G96, LEFT(B96,45-LEN(G96)-2)&amp;", "&amp;G96)))</f>
        <v/>
      </c>
      <c r="J96" s="8">
        <f>IF(H96="MI","NO REALIZADO " &amp; B96 &amp; " EN " &amp; C96 &amp; IF(K96&lt;&gt;""," " &amp; K96,""),IF(H96="TT","SE REALIZA " &amp; B96 &amp; " EN " &amp; C96 &amp; IF(K96&lt;&gt;""," " &amp; K96,""),""))</f>
        <v/>
      </c>
      <c r="K96" s="4" t="n"/>
      <c r="L96" s="4" t="inlineStr">
        <is>
          <t>ASUB</t>
        </is>
      </c>
    </row>
    <row r="97">
      <c r="A97" s="4" t="inlineStr">
        <is>
          <t>03614201</t>
        </is>
      </c>
      <c r="B97" s="4" t="inlineStr">
        <is>
          <t>MM DE AGUAS SUBTERRÁNEAS</t>
        </is>
      </c>
      <c r="C97" s="4" t="inlineStr">
        <is>
          <t>PLIX-11A LIXIVIACIÓN</t>
        </is>
      </c>
      <c r="D97" s="4" t="inlineStr">
        <is>
          <t>2026-03-01</t>
        </is>
      </c>
      <c r="E97" s="4" t="inlineStr">
        <is>
          <t>2026-03-07</t>
        </is>
      </c>
      <c r="F97" s="4" t="inlineStr">
        <is>
          <t>SIGVA</t>
        </is>
      </c>
      <c r="G97" s="5">
        <f>IF(H97="TT","TRABAJO TERMINADO",IF(H97="MI","TRABAJO NO TERMINADO",""))</f>
        <v/>
      </c>
      <c r="H97" s="6" t="inlineStr"/>
      <c r="I97" s="7">
        <f>IF(B97="", G97, IF(G97="", LEFT(B97,45), IF(45-LEN(G97)-2&lt;=0, G97, LEFT(B97,45-LEN(G97)-2)&amp;", "&amp;G97)))</f>
        <v/>
      </c>
      <c r="J97" s="8">
        <f>IF(H97="MI","NO REALIZADO " &amp; B97 &amp; " EN " &amp; C97 &amp; IF(K97&lt;&gt;""," " &amp; K97,""),IF(H97="TT","SE REALIZA " &amp; B97 &amp; " EN " &amp; C97 &amp; IF(K97&lt;&gt;""," " &amp; K97,""),""))</f>
        <v/>
      </c>
      <c r="K97" s="4" t="n"/>
      <c r="L97" s="4" t="inlineStr">
        <is>
          <t>ASUB</t>
        </is>
      </c>
    </row>
    <row r="98">
      <c r="A98" s="4" t="inlineStr">
        <is>
          <t>03614202</t>
        </is>
      </c>
      <c r="B98" s="4" t="inlineStr">
        <is>
          <t>MM DE AGUAS SUBTERRÁNEAS</t>
        </is>
      </c>
      <c r="C98" s="4" t="inlineStr">
        <is>
          <t>PLIX-11B LIXIVIACIÓN</t>
        </is>
      </c>
      <c r="D98" s="4" t="inlineStr">
        <is>
          <t>2026-03-01</t>
        </is>
      </c>
      <c r="E98" s="4" t="inlineStr">
        <is>
          <t>2026-03-07</t>
        </is>
      </c>
      <c r="F98" s="4" t="inlineStr">
        <is>
          <t>SIGVA</t>
        </is>
      </c>
      <c r="G98" s="5">
        <f>IF(H98="TT","TRABAJO TERMINADO",IF(H98="MI","TRABAJO NO TERMINADO",""))</f>
        <v/>
      </c>
      <c r="H98" s="6" t="inlineStr"/>
      <c r="I98" s="7">
        <f>IF(B98="", G98, IF(G98="", LEFT(B98,45), IF(45-LEN(G98)-2&lt;=0, G98, LEFT(B98,45-LEN(G98)-2)&amp;", "&amp;G98)))</f>
        <v/>
      </c>
      <c r="J98" s="8">
        <f>IF(H98="MI","NO REALIZADO " &amp; B98 &amp; " EN " &amp; C98 &amp; IF(K98&lt;&gt;""," " &amp; K98,""),IF(H98="TT","SE REALIZA " &amp; B98 &amp; " EN " &amp; C98 &amp; IF(K98&lt;&gt;""," " &amp; K98,""),""))</f>
        <v/>
      </c>
      <c r="K98" s="4" t="n"/>
      <c r="L98" s="4" t="inlineStr">
        <is>
          <t>ASUB</t>
        </is>
      </c>
    </row>
    <row r="99">
      <c r="A99" s="4" t="inlineStr">
        <is>
          <t>03614203</t>
        </is>
      </c>
      <c r="B99" s="4" t="inlineStr">
        <is>
          <t>MM DE AGUAS SUBTERRÁNEAS</t>
        </is>
      </c>
      <c r="C99" s="4" t="inlineStr">
        <is>
          <t>PLIX-12B LIXIVIACIÓN</t>
        </is>
      </c>
      <c r="D99" s="4" t="inlineStr">
        <is>
          <t>2026-03-01</t>
        </is>
      </c>
      <c r="E99" s="4" t="inlineStr">
        <is>
          <t>2026-03-07</t>
        </is>
      </c>
      <c r="F99" s="4" t="inlineStr">
        <is>
          <t>SIGVA</t>
        </is>
      </c>
      <c r="G99" s="5">
        <f>IF(H99="TT","TRABAJO TERMINADO",IF(H99="MI","TRABAJO NO TERMINADO",""))</f>
        <v/>
      </c>
      <c r="H99" s="6" t="inlineStr"/>
      <c r="I99" s="7">
        <f>IF(B99="", G99, IF(G99="", LEFT(B99,45), IF(45-LEN(G99)-2&lt;=0, G99, LEFT(B99,45-LEN(G99)-2)&amp;", "&amp;G99)))</f>
        <v/>
      </c>
      <c r="J99" s="8">
        <f>IF(H99="MI","NO REALIZADO " &amp; B99 &amp; " EN " &amp; C99 &amp; IF(K99&lt;&gt;""," " &amp; K99,""),IF(H99="TT","SE REALIZA " &amp; B99 &amp; " EN " &amp; C99 &amp; IF(K99&lt;&gt;""," " &amp; K99,""),""))</f>
        <v/>
      </c>
      <c r="K99" s="4" t="n"/>
      <c r="L99" s="4" t="inlineStr">
        <is>
          <t>ASUB</t>
        </is>
      </c>
    </row>
    <row r="100">
      <c r="A100" s="4" t="inlineStr">
        <is>
          <t>03614204</t>
        </is>
      </c>
      <c r="B100" s="4" t="inlineStr">
        <is>
          <t>MM DE AGUAS SUBTERRÁNEAS</t>
        </is>
      </c>
      <c r="C100" s="4" t="inlineStr">
        <is>
          <t>PLIX-13A LIXIVIACIÓN</t>
        </is>
      </c>
      <c r="D100" s="4" t="inlineStr">
        <is>
          <t>2026-03-01</t>
        </is>
      </c>
      <c r="E100" s="4" t="inlineStr">
        <is>
          <t>2026-03-07</t>
        </is>
      </c>
      <c r="F100" s="4" t="inlineStr">
        <is>
          <t>SIGVA</t>
        </is>
      </c>
      <c r="G100" s="5">
        <f>IF(H100="TT","TRABAJO TERMINADO",IF(H100="MI","TRABAJO NO TERMINADO",""))</f>
        <v/>
      </c>
      <c r="H100" s="6" t="inlineStr"/>
      <c r="I100" s="7">
        <f>IF(B100="", G100, IF(G100="", LEFT(B100,45), IF(45-LEN(G100)-2&lt;=0, G100, LEFT(B100,45-LEN(G100)-2)&amp;", "&amp;G100)))</f>
        <v/>
      </c>
      <c r="J100" s="8">
        <f>IF(H100="MI","NO REALIZADO " &amp; B100 &amp; " EN " &amp; C100 &amp; IF(K100&lt;&gt;""," " &amp; K100,""),IF(H100="TT","SE REALIZA " &amp; B100 &amp; " EN " &amp; C100 &amp; IF(K100&lt;&gt;""," " &amp; K100,""),""))</f>
        <v/>
      </c>
      <c r="K100" s="4" t="n"/>
      <c r="L100" s="4" t="inlineStr">
        <is>
          <t>ASUB</t>
        </is>
      </c>
    </row>
    <row r="101">
      <c r="A101" s="4" t="inlineStr">
        <is>
          <t>03614205</t>
        </is>
      </c>
      <c r="B101" s="4" t="inlineStr">
        <is>
          <t>MM DE AGUAS SUBTERRÁNEAS</t>
        </is>
      </c>
      <c r="C101" s="4" t="inlineStr">
        <is>
          <t>PLIX-13B LIXIVIACIÓN</t>
        </is>
      </c>
      <c r="D101" s="4" t="inlineStr">
        <is>
          <t>2026-03-01</t>
        </is>
      </c>
      <c r="E101" s="4" t="inlineStr">
        <is>
          <t>2026-03-07</t>
        </is>
      </c>
      <c r="F101" s="4" t="inlineStr">
        <is>
          <t>SIGVA</t>
        </is>
      </c>
      <c r="G101" s="5">
        <f>IF(H101="TT","TRABAJO TERMINADO",IF(H101="MI","TRABAJO NO TERMINADO",""))</f>
        <v/>
      </c>
      <c r="H101" s="6" t="inlineStr"/>
      <c r="I101" s="7">
        <f>IF(B101="", G101, IF(G101="", LEFT(B101,45), IF(45-LEN(G101)-2&lt;=0, G101, LEFT(B101,45-LEN(G101)-2)&amp;", "&amp;G101)))</f>
        <v/>
      </c>
      <c r="J101" s="8">
        <f>IF(H101="MI","NO REALIZADO " &amp; B101 &amp; " EN " &amp; C101 &amp; IF(K101&lt;&gt;""," " &amp; K101,""),IF(H101="TT","SE REALIZA " &amp; B101 &amp; " EN " &amp; C101 &amp; IF(K101&lt;&gt;""," " &amp; K101,""),""))</f>
        <v/>
      </c>
      <c r="K101" s="4" t="n"/>
      <c r="L101" s="4" t="inlineStr">
        <is>
          <t>ASUB</t>
        </is>
      </c>
    </row>
    <row r="102">
      <c r="A102" s="4" t="inlineStr">
        <is>
          <t>03614206</t>
        </is>
      </c>
      <c r="B102" s="4" t="inlineStr">
        <is>
          <t>MM DE AGUAS SUBTERRÁNEAS</t>
        </is>
      </c>
      <c r="C102" s="4" t="inlineStr">
        <is>
          <t>PLIX-14 LIXIVIACIÓN</t>
        </is>
      </c>
      <c r="D102" s="4" t="inlineStr">
        <is>
          <t>2026-03-01</t>
        </is>
      </c>
      <c r="E102" s="4" t="inlineStr">
        <is>
          <t>2026-03-07</t>
        </is>
      </c>
      <c r="F102" s="4" t="inlineStr">
        <is>
          <t>SIGVA</t>
        </is>
      </c>
      <c r="G102" s="5">
        <f>IF(H102="TT","TRABAJO TERMINADO",IF(H102="MI","TRABAJO NO TERMINADO",""))</f>
        <v/>
      </c>
      <c r="H102" s="6" t="inlineStr"/>
      <c r="I102" s="7">
        <f>IF(B102="", G102, IF(G102="", LEFT(B102,45), IF(45-LEN(G102)-2&lt;=0, G102, LEFT(B102,45-LEN(G102)-2)&amp;", "&amp;G102)))</f>
        <v/>
      </c>
      <c r="J102" s="8">
        <f>IF(H102="MI","NO REALIZADO " &amp; B102 &amp; " EN " &amp; C102 &amp; IF(K102&lt;&gt;""," " &amp; K102,""),IF(H102="TT","SE REALIZA " &amp; B102 &amp; " EN " &amp; C102 &amp; IF(K102&lt;&gt;""," " &amp; K102,""),""))</f>
        <v/>
      </c>
      <c r="K102" s="4" t="n"/>
      <c r="L102" s="4" t="inlineStr">
        <is>
          <t>ASUB</t>
        </is>
      </c>
    </row>
    <row r="103">
      <c r="A103" s="4" t="inlineStr">
        <is>
          <t>03614207</t>
        </is>
      </c>
      <c r="B103" s="4" t="inlineStr">
        <is>
          <t>MEDICION DE NIVELES FREATICOS</t>
        </is>
      </c>
      <c r="C103" s="4" t="inlineStr">
        <is>
          <t>PLIX-01A LIXIVIACIÓN</t>
        </is>
      </c>
      <c r="D103" s="4" t="inlineStr">
        <is>
          <t>2026-03-01</t>
        </is>
      </c>
      <c r="E103" s="4" t="inlineStr">
        <is>
          <t>2026-03-07</t>
        </is>
      </c>
      <c r="F103" s="4" t="inlineStr">
        <is>
          <t>SIGVA</t>
        </is>
      </c>
      <c r="G103" s="5">
        <f>IF(H103="TT","TRABAJO TERMINADO",IF(H103="MI","TRABAJO NO TERMINADO",""))</f>
        <v/>
      </c>
      <c r="H103" s="6" t="inlineStr"/>
      <c r="I103" s="7">
        <f>IF(B103="", G103, IF(G103="", LEFT(B103,45), IF(45-LEN(G103)-2&lt;=0, G103, LEFT(B103,45-LEN(G103)-2)&amp;", "&amp;G103)))</f>
        <v/>
      </c>
      <c r="J103" s="8">
        <f>IF(H103="MI","NO REALIZADO " &amp; B103 &amp; " EN " &amp; C103 &amp; IF(K103&lt;&gt;""," " &amp; K103,""),IF(H103="TT","SE REALIZA " &amp; B103 &amp; " EN " &amp; C103 &amp; IF(K103&lt;&gt;""," " &amp; K103,""),""))</f>
        <v/>
      </c>
      <c r="K103" s="4" t="n"/>
      <c r="L103" s="4" t="inlineStr">
        <is>
          <t>NF</t>
        </is>
      </c>
    </row>
    <row r="104">
      <c r="A104" s="4" t="inlineStr">
        <is>
          <t>03614208</t>
        </is>
      </c>
      <c r="B104" s="4" t="inlineStr">
        <is>
          <t>MEDICION DE NIVELES FREATICOS</t>
        </is>
      </c>
      <c r="C104" s="4" t="inlineStr">
        <is>
          <t>PLIX-01B LIXIVIACIÓN</t>
        </is>
      </c>
      <c r="D104" s="4" t="inlineStr">
        <is>
          <t>2026-03-01</t>
        </is>
      </c>
      <c r="E104" s="4" t="inlineStr">
        <is>
          <t>2026-03-07</t>
        </is>
      </c>
      <c r="F104" s="4" t="inlineStr">
        <is>
          <t>SIGVA</t>
        </is>
      </c>
      <c r="G104" s="5">
        <f>IF(H104="TT","TRABAJO TERMINADO",IF(H104="MI","TRABAJO NO TERMINADO",""))</f>
        <v/>
      </c>
      <c r="H104" s="6" t="inlineStr"/>
      <c r="I104" s="7">
        <f>IF(B104="", G104, IF(G104="", LEFT(B104,45), IF(45-LEN(G104)-2&lt;=0, G104, LEFT(B104,45-LEN(G104)-2)&amp;", "&amp;G104)))</f>
        <v/>
      </c>
      <c r="J104" s="8">
        <f>IF(H104="MI","NO REALIZADO " &amp; B104 &amp; " EN " &amp; C104 &amp; IF(K104&lt;&gt;""," " &amp; K104,""),IF(H104="TT","SE REALIZA " &amp; B104 &amp; " EN " &amp; C104 &amp; IF(K104&lt;&gt;""," " &amp; K104,""),""))</f>
        <v/>
      </c>
      <c r="K104" s="4" t="n"/>
      <c r="L104" s="4" t="inlineStr">
        <is>
          <t>NF</t>
        </is>
      </c>
    </row>
    <row r="105">
      <c r="A105" s="4" t="inlineStr">
        <is>
          <t>03614209</t>
        </is>
      </c>
      <c r="B105" s="4" t="inlineStr">
        <is>
          <t>MEDICION DE NIVELES FREATICOS</t>
        </is>
      </c>
      <c r="C105" s="4" t="inlineStr">
        <is>
          <t>PLIX-02A LIXIVIACIÓN</t>
        </is>
      </c>
      <c r="D105" s="4" t="inlineStr">
        <is>
          <t>2026-03-01</t>
        </is>
      </c>
      <c r="E105" s="4" t="inlineStr">
        <is>
          <t>2026-03-07</t>
        </is>
      </c>
      <c r="F105" s="4" t="inlineStr">
        <is>
          <t>SIGVA</t>
        </is>
      </c>
      <c r="G105" s="5">
        <f>IF(H105="TT","TRABAJO TERMINADO",IF(H105="MI","TRABAJO NO TERMINADO",""))</f>
        <v/>
      </c>
      <c r="H105" s="6" t="inlineStr"/>
      <c r="I105" s="7">
        <f>IF(B105="", G105, IF(G105="", LEFT(B105,45), IF(45-LEN(G105)-2&lt;=0, G105, LEFT(B105,45-LEN(G105)-2)&amp;", "&amp;G105)))</f>
        <v/>
      </c>
      <c r="J105" s="8">
        <f>IF(H105="MI","NO REALIZADO " &amp; B105 &amp; " EN " &amp; C105 &amp; IF(K105&lt;&gt;""," " &amp; K105,""),IF(H105="TT","SE REALIZA " &amp; B105 &amp; " EN " &amp; C105 &amp; IF(K105&lt;&gt;""," " &amp; K105,""),""))</f>
        <v/>
      </c>
      <c r="K105" s="4" t="n"/>
      <c r="L105" s="4" t="inlineStr">
        <is>
          <t>NF</t>
        </is>
      </c>
    </row>
    <row r="106">
      <c r="A106" s="4" t="inlineStr">
        <is>
          <t>03614210</t>
        </is>
      </c>
      <c r="B106" s="4" t="inlineStr">
        <is>
          <t>MEDICION DE NIVELES FREATICOS</t>
        </is>
      </c>
      <c r="C106" s="4" t="inlineStr">
        <is>
          <t>PLIX-02B LIXIVIACIÓN</t>
        </is>
      </c>
      <c r="D106" s="4" t="inlineStr">
        <is>
          <t>2026-03-01</t>
        </is>
      </c>
      <c r="E106" s="4" t="inlineStr">
        <is>
          <t>2026-03-07</t>
        </is>
      </c>
      <c r="F106" s="4" t="inlineStr">
        <is>
          <t>SIGVA</t>
        </is>
      </c>
      <c r="G106" s="5">
        <f>IF(H106="TT","TRABAJO TERMINADO",IF(H106="MI","TRABAJO NO TERMINADO",""))</f>
        <v/>
      </c>
      <c r="H106" s="6" t="inlineStr"/>
      <c r="I106" s="7">
        <f>IF(B106="", G106, IF(G106="", LEFT(B106,45), IF(45-LEN(G106)-2&lt;=0, G106, LEFT(B106,45-LEN(G106)-2)&amp;", "&amp;G106)))</f>
        <v/>
      </c>
      <c r="J106" s="8">
        <f>IF(H106="MI","NO REALIZADO " &amp; B106 &amp; " EN " &amp; C106 &amp; IF(K106&lt;&gt;""," " &amp; K106,""),IF(H106="TT","SE REALIZA " &amp; B106 &amp; " EN " &amp; C106 &amp; IF(K106&lt;&gt;""," " &amp; K106,""),""))</f>
        <v/>
      </c>
      <c r="K106" s="4" t="n"/>
      <c r="L106" s="4" t="inlineStr">
        <is>
          <t>NF</t>
        </is>
      </c>
    </row>
    <row r="107">
      <c r="A107" s="4" t="inlineStr">
        <is>
          <t>03614211</t>
        </is>
      </c>
      <c r="B107" s="4" t="inlineStr">
        <is>
          <t>MEDICION DE NIVELES FREATICOS</t>
        </is>
      </c>
      <c r="C107" s="4" t="inlineStr">
        <is>
          <t>PLIX-03A LIXIVIACIÓN</t>
        </is>
      </c>
      <c r="D107" s="4" t="inlineStr">
        <is>
          <t>2026-03-01</t>
        </is>
      </c>
      <c r="E107" s="4" t="inlineStr">
        <is>
          <t>2026-03-07</t>
        </is>
      </c>
      <c r="F107" s="4" t="inlineStr">
        <is>
          <t>SIGVA</t>
        </is>
      </c>
      <c r="G107" s="5">
        <f>IF(H107="TT","TRABAJO TERMINADO",IF(H107="MI","TRABAJO NO TERMINADO",""))</f>
        <v/>
      </c>
      <c r="H107" s="6" t="inlineStr"/>
      <c r="I107" s="7">
        <f>IF(B107="", G107, IF(G107="", LEFT(B107,45), IF(45-LEN(G107)-2&lt;=0, G107, LEFT(B107,45-LEN(G107)-2)&amp;", "&amp;G107)))</f>
        <v/>
      </c>
      <c r="J107" s="8">
        <f>IF(H107="MI","NO REALIZADO " &amp; B107 &amp; " EN " &amp; C107 &amp; IF(K107&lt;&gt;""," " &amp; K107,""),IF(H107="TT","SE REALIZA " &amp; B107 &amp; " EN " &amp; C107 &amp; IF(K107&lt;&gt;""," " &amp; K107,""),""))</f>
        <v/>
      </c>
      <c r="K107" s="4" t="n"/>
      <c r="L107" s="4" t="inlineStr">
        <is>
          <t>NF</t>
        </is>
      </c>
    </row>
    <row r="108">
      <c r="A108" s="4" t="inlineStr">
        <is>
          <t>03614212</t>
        </is>
      </c>
      <c r="B108" s="4" t="inlineStr">
        <is>
          <t>MEDICION DE NIVELES FREATICOS</t>
        </is>
      </c>
      <c r="C108" s="4" t="inlineStr">
        <is>
          <t>PLIX-03B LIXIVIACIÓN</t>
        </is>
      </c>
      <c r="D108" s="4" t="inlineStr">
        <is>
          <t>2026-03-01</t>
        </is>
      </c>
      <c r="E108" s="4" t="inlineStr">
        <is>
          <t>2026-03-07</t>
        </is>
      </c>
      <c r="F108" s="4" t="inlineStr">
        <is>
          <t>SIGVA</t>
        </is>
      </c>
      <c r="G108" s="5">
        <f>IF(H108="TT","TRABAJO TERMINADO",IF(H108="MI","TRABAJO NO TERMINADO",""))</f>
        <v/>
      </c>
      <c r="H108" s="6" t="inlineStr"/>
      <c r="I108" s="7">
        <f>IF(B108="", G108, IF(G108="", LEFT(B108,45), IF(45-LEN(G108)-2&lt;=0, G108, LEFT(B108,45-LEN(G108)-2)&amp;", "&amp;G108)))</f>
        <v/>
      </c>
      <c r="J108" s="8">
        <f>IF(H108="MI","NO REALIZADO " &amp; B108 &amp; " EN " &amp; C108 &amp; IF(K108&lt;&gt;""," " &amp; K108,""),IF(H108="TT","SE REALIZA " &amp; B108 &amp; " EN " &amp; C108 &amp; IF(K108&lt;&gt;""," " &amp; K108,""),""))</f>
        <v/>
      </c>
      <c r="K108" s="4" t="n"/>
      <c r="L108" s="4" t="inlineStr">
        <is>
          <t>NF</t>
        </is>
      </c>
    </row>
    <row r="109">
      <c r="A109" s="4" t="inlineStr">
        <is>
          <t>03614213</t>
        </is>
      </c>
      <c r="B109" s="4" t="inlineStr">
        <is>
          <t>MEDICION DE NIVELES FREATICOS</t>
        </is>
      </c>
      <c r="C109" s="4" t="inlineStr">
        <is>
          <t>PLIX-04 LIXIVIACIÓN</t>
        </is>
      </c>
      <c r="D109" s="4" t="inlineStr">
        <is>
          <t>2026-03-01</t>
        </is>
      </c>
      <c r="E109" s="4" t="inlineStr">
        <is>
          <t>2026-03-07</t>
        </is>
      </c>
      <c r="F109" s="4" t="inlineStr">
        <is>
          <t>SIGVA</t>
        </is>
      </c>
      <c r="G109" s="5">
        <f>IF(H109="TT","TRABAJO TERMINADO",IF(H109="MI","TRABAJO NO TERMINADO",""))</f>
        <v/>
      </c>
      <c r="H109" s="6" t="inlineStr"/>
      <c r="I109" s="7">
        <f>IF(B109="", G109, IF(G109="", LEFT(B109,45), IF(45-LEN(G109)-2&lt;=0, G109, LEFT(B109,45-LEN(G109)-2)&amp;", "&amp;G109)))</f>
        <v/>
      </c>
      <c r="J109" s="8">
        <f>IF(H109="MI","NO REALIZADO " &amp; B109 &amp; " EN " &amp; C109 &amp; IF(K109&lt;&gt;""," " &amp; K109,""),IF(H109="TT","SE REALIZA " &amp; B109 &amp; " EN " &amp; C109 &amp; IF(K109&lt;&gt;""," " &amp; K109,""),""))</f>
        <v/>
      </c>
      <c r="K109" s="4" t="n"/>
      <c r="L109" s="4" t="inlineStr">
        <is>
          <t>NF</t>
        </is>
      </c>
    </row>
    <row r="110">
      <c r="A110" s="4" t="inlineStr">
        <is>
          <t>03614214</t>
        </is>
      </c>
      <c r="B110" s="4" t="inlineStr">
        <is>
          <t>MEDICION DE NIVELES FREATICOS</t>
        </is>
      </c>
      <c r="C110" s="4" t="inlineStr">
        <is>
          <t>PLIX-05A LIXIVIACIÓN</t>
        </is>
      </c>
      <c r="D110" s="4" t="inlineStr">
        <is>
          <t>2026-03-01</t>
        </is>
      </c>
      <c r="E110" s="4" t="inlineStr">
        <is>
          <t>2026-03-07</t>
        </is>
      </c>
      <c r="F110" s="4" t="inlineStr">
        <is>
          <t>SIGVA</t>
        </is>
      </c>
      <c r="G110" s="5">
        <f>IF(H110="TT","TRABAJO TERMINADO",IF(H110="MI","TRABAJO NO TERMINADO",""))</f>
        <v/>
      </c>
      <c r="H110" s="6" t="inlineStr"/>
      <c r="I110" s="7">
        <f>IF(B110="", G110, IF(G110="", LEFT(B110,45), IF(45-LEN(G110)-2&lt;=0, G110, LEFT(B110,45-LEN(G110)-2)&amp;", "&amp;G110)))</f>
        <v/>
      </c>
      <c r="J110" s="8">
        <f>IF(H110="MI","NO REALIZADO " &amp; B110 &amp; " EN " &amp; C110 &amp; IF(K110&lt;&gt;""," " &amp; K110,""),IF(H110="TT","SE REALIZA " &amp; B110 &amp; " EN " &amp; C110 &amp; IF(K110&lt;&gt;""," " &amp; K110,""),""))</f>
        <v/>
      </c>
      <c r="K110" s="4" t="n"/>
      <c r="L110" s="4" t="inlineStr">
        <is>
          <t>NF</t>
        </is>
      </c>
    </row>
    <row r="111">
      <c r="A111" s="4" t="inlineStr">
        <is>
          <t>03614215</t>
        </is>
      </c>
      <c r="B111" s="4" t="inlineStr">
        <is>
          <t>MEDICION DE NIVELES FREATICOS</t>
        </is>
      </c>
      <c r="C111" s="4" t="inlineStr">
        <is>
          <t>PLIX-05B LIXIVIACIÓN</t>
        </is>
      </c>
      <c r="D111" s="4" t="inlineStr">
        <is>
          <t>2026-03-01</t>
        </is>
      </c>
      <c r="E111" s="4" t="inlineStr">
        <is>
          <t>2026-03-07</t>
        </is>
      </c>
      <c r="F111" s="4" t="inlineStr">
        <is>
          <t>SIGVA</t>
        </is>
      </c>
      <c r="G111" s="5">
        <f>IF(H111="TT","TRABAJO TERMINADO",IF(H111="MI","TRABAJO NO TERMINADO",""))</f>
        <v/>
      </c>
      <c r="H111" s="6" t="inlineStr"/>
      <c r="I111" s="7">
        <f>IF(B111="", G111, IF(G111="", LEFT(B111,45), IF(45-LEN(G111)-2&lt;=0, G111, LEFT(B111,45-LEN(G111)-2)&amp;", "&amp;G111)))</f>
        <v/>
      </c>
      <c r="J111" s="8">
        <f>IF(H111="MI","NO REALIZADO " &amp; B111 &amp; " EN " &amp; C111 &amp; IF(K111&lt;&gt;""," " &amp; K111,""),IF(H111="TT","SE REALIZA " &amp; B111 &amp; " EN " &amp; C111 &amp; IF(K111&lt;&gt;""," " &amp; K111,""),""))</f>
        <v/>
      </c>
      <c r="K111" s="4" t="n"/>
      <c r="L111" s="4" t="inlineStr">
        <is>
          <t>NF</t>
        </is>
      </c>
    </row>
    <row r="112">
      <c r="A112" s="4" t="inlineStr">
        <is>
          <t>03614216</t>
        </is>
      </c>
      <c r="B112" s="4" t="inlineStr">
        <is>
          <t>MEDICION DE NIVELES FREATICOS</t>
        </is>
      </c>
      <c r="C112" s="4" t="inlineStr">
        <is>
          <t>PLIX-06 LIXIVIACIÓN</t>
        </is>
      </c>
      <c r="D112" s="4" t="inlineStr">
        <is>
          <t>2026-03-01</t>
        </is>
      </c>
      <c r="E112" s="4" t="inlineStr">
        <is>
          <t>2026-03-07</t>
        </is>
      </c>
      <c r="F112" s="4" t="inlineStr">
        <is>
          <t>SIGVA</t>
        </is>
      </c>
      <c r="G112" s="5">
        <f>IF(H112="TT","TRABAJO TERMINADO",IF(H112="MI","TRABAJO NO TERMINADO",""))</f>
        <v/>
      </c>
      <c r="H112" s="6" t="inlineStr"/>
      <c r="I112" s="7">
        <f>IF(B112="", G112, IF(G112="", LEFT(B112,45), IF(45-LEN(G112)-2&lt;=0, G112, LEFT(B112,45-LEN(G112)-2)&amp;", "&amp;G112)))</f>
        <v/>
      </c>
      <c r="J112" s="8">
        <f>IF(H112="MI","NO REALIZADO " &amp; B112 &amp; " EN " &amp; C112 &amp; IF(K112&lt;&gt;""," " &amp; K112,""),IF(H112="TT","SE REALIZA " &amp; B112 &amp; " EN " &amp; C112 &amp; IF(K112&lt;&gt;""," " &amp; K112,""),""))</f>
        <v/>
      </c>
      <c r="K112" s="4" t="n"/>
      <c r="L112" s="4" t="inlineStr">
        <is>
          <t>NF</t>
        </is>
      </c>
    </row>
    <row r="113">
      <c r="A113" s="4" t="inlineStr">
        <is>
          <t>03614217</t>
        </is>
      </c>
      <c r="B113" s="4" t="inlineStr">
        <is>
          <t>MEDICION DE NIVELES FREATICOS</t>
        </is>
      </c>
      <c r="C113" s="4" t="inlineStr">
        <is>
          <t>PLIX-07A LIXIVIACIÓN</t>
        </is>
      </c>
      <c r="D113" s="4" t="inlineStr">
        <is>
          <t>2026-03-01</t>
        </is>
      </c>
      <c r="E113" s="4" t="inlineStr">
        <is>
          <t>2026-03-07</t>
        </is>
      </c>
      <c r="F113" s="4" t="inlineStr">
        <is>
          <t>SIGVA</t>
        </is>
      </c>
      <c r="G113" s="5">
        <f>IF(H113="TT","TRABAJO TERMINADO",IF(H113="MI","TRABAJO NO TERMINADO",""))</f>
        <v/>
      </c>
      <c r="H113" s="6" t="inlineStr"/>
      <c r="I113" s="7">
        <f>IF(B113="", G113, IF(G113="", LEFT(B113,45), IF(45-LEN(G113)-2&lt;=0, G113, LEFT(B113,45-LEN(G113)-2)&amp;", "&amp;G113)))</f>
        <v/>
      </c>
      <c r="J113" s="8">
        <f>IF(H113="MI","NO REALIZADO " &amp; B113 &amp; " EN " &amp; C113 &amp; IF(K113&lt;&gt;""," " &amp; K113,""),IF(H113="TT","SE REALIZA " &amp; B113 &amp; " EN " &amp; C113 &amp; IF(K113&lt;&gt;""," " &amp; K113,""),""))</f>
        <v/>
      </c>
      <c r="K113" s="4" t="n"/>
      <c r="L113" s="4" t="inlineStr">
        <is>
          <t>NF</t>
        </is>
      </c>
    </row>
    <row r="114">
      <c r="A114" s="4" t="inlineStr">
        <is>
          <t>03614218</t>
        </is>
      </c>
      <c r="B114" s="4" t="inlineStr">
        <is>
          <t>MEDICION DE NIVELES FREATICOS</t>
        </is>
      </c>
      <c r="C114" s="4" t="inlineStr">
        <is>
          <t>PLIX-07B LIXIVIACIÓN</t>
        </is>
      </c>
      <c r="D114" s="4" t="inlineStr">
        <is>
          <t>2026-03-01</t>
        </is>
      </c>
      <c r="E114" s="4" t="inlineStr">
        <is>
          <t>2026-03-07</t>
        </is>
      </c>
      <c r="F114" s="4" t="inlineStr">
        <is>
          <t>SIGVA</t>
        </is>
      </c>
      <c r="G114" s="5">
        <f>IF(H114="TT","TRABAJO TERMINADO",IF(H114="MI","TRABAJO NO TERMINADO",""))</f>
        <v/>
      </c>
      <c r="H114" s="6" t="inlineStr"/>
      <c r="I114" s="7">
        <f>IF(B114="", G114, IF(G114="", LEFT(B114,45), IF(45-LEN(G114)-2&lt;=0, G114, LEFT(B114,45-LEN(G114)-2)&amp;", "&amp;G114)))</f>
        <v/>
      </c>
      <c r="J114" s="8">
        <f>IF(H114="MI","NO REALIZADO " &amp; B114 &amp; " EN " &amp; C114 &amp; IF(K114&lt;&gt;""," " &amp; K114,""),IF(H114="TT","SE REALIZA " &amp; B114 &amp; " EN " &amp; C114 &amp; IF(K114&lt;&gt;""," " &amp; K114,""),""))</f>
        <v/>
      </c>
      <c r="K114" s="4" t="n"/>
      <c r="L114" s="4" t="inlineStr">
        <is>
          <t>NF</t>
        </is>
      </c>
    </row>
    <row r="115">
      <c r="A115" s="4" t="inlineStr">
        <is>
          <t>03614219</t>
        </is>
      </c>
      <c r="B115" s="4" t="inlineStr">
        <is>
          <t>MEDICION DE NIVELES FREATICOS</t>
        </is>
      </c>
      <c r="C115" s="4" t="inlineStr">
        <is>
          <t>PLIX-08A LIXIVIACIÓN</t>
        </is>
      </c>
      <c r="D115" s="4" t="inlineStr">
        <is>
          <t>2026-03-01</t>
        </is>
      </c>
      <c r="E115" s="4" t="inlineStr">
        <is>
          <t>2026-03-07</t>
        </is>
      </c>
      <c r="F115" s="4" t="inlineStr">
        <is>
          <t>SIGVA</t>
        </is>
      </c>
      <c r="G115" s="5">
        <f>IF(H115="TT","TRABAJO TERMINADO",IF(H115="MI","TRABAJO NO TERMINADO",""))</f>
        <v/>
      </c>
      <c r="H115" s="6" t="inlineStr"/>
      <c r="I115" s="7">
        <f>IF(B115="", G115, IF(G115="", LEFT(B115,45), IF(45-LEN(G115)-2&lt;=0, G115, LEFT(B115,45-LEN(G115)-2)&amp;", "&amp;G115)))</f>
        <v/>
      </c>
      <c r="J115" s="8">
        <f>IF(H115="MI","NO REALIZADO " &amp; B115 &amp; " EN " &amp; C115 &amp; IF(K115&lt;&gt;""," " &amp; K115,""),IF(H115="TT","SE REALIZA " &amp; B115 &amp; " EN " &amp; C115 &amp; IF(K115&lt;&gt;""," " &amp; K115,""),""))</f>
        <v/>
      </c>
      <c r="K115" s="4" t="n"/>
      <c r="L115" s="4" t="inlineStr">
        <is>
          <t>NF</t>
        </is>
      </c>
    </row>
    <row r="116">
      <c r="A116" s="4" t="inlineStr">
        <is>
          <t>03614220</t>
        </is>
      </c>
      <c r="B116" s="4" t="inlineStr">
        <is>
          <t>MEDICION DE NIVELES FREATICOS</t>
        </is>
      </c>
      <c r="C116" s="4" t="inlineStr">
        <is>
          <t>PLIX-08B LIXIVIACIÓN</t>
        </is>
      </c>
      <c r="D116" s="4" t="inlineStr">
        <is>
          <t>2026-03-01</t>
        </is>
      </c>
      <c r="E116" s="4" t="inlineStr">
        <is>
          <t>2026-03-07</t>
        </is>
      </c>
      <c r="F116" s="4" t="inlineStr">
        <is>
          <t>SIGVA</t>
        </is>
      </c>
      <c r="G116" s="5">
        <f>IF(H116="TT","TRABAJO TERMINADO",IF(H116="MI","TRABAJO NO TERMINADO",""))</f>
        <v/>
      </c>
      <c r="H116" s="6" t="inlineStr"/>
      <c r="I116" s="7">
        <f>IF(B116="", G116, IF(G116="", LEFT(B116,45), IF(45-LEN(G116)-2&lt;=0, G116, LEFT(B116,45-LEN(G116)-2)&amp;", "&amp;G116)))</f>
        <v/>
      </c>
      <c r="J116" s="8">
        <f>IF(H116="MI","NO REALIZADO " &amp; B116 &amp; " EN " &amp; C116 &amp; IF(K116&lt;&gt;""," " &amp; K116,""),IF(H116="TT","SE REALIZA " &amp; B116 &amp; " EN " &amp; C116 &amp; IF(K116&lt;&gt;""," " &amp; K116,""),""))</f>
        <v/>
      </c>
      <c r="K116" s="4" t="n"/>
      <c r="L116" s="4" t="inlineStr">
        <is>
          <t>NF</t>
        </is>
      </c>
    </row>
    <row r="117">
      <c r="A117" s="4" t="inlineStr">
        <is>
          <t>03614221</t>
        </is>
      </c>
      <c r="B117" s="4" t="inlineStr">
        <is>
          <t>MEDICION DE NIVELES FREATICOS</t>
        </is>
      </c>
      <c r="C117" s="4" t="inlineStr">
        <is>
          <t>PLIX-09 LIXIVIACIÓN</t>
        </is>
      </c>
      <c r="D117" s="4" t="inlineStr">
        <is>
          <t>2026-03-01</t>
        </is>
      </c>
      <c r="E117" s="4" t="inlineStr">
        <is>
          <t>2026-03-07</t>
        </is>
      </c>
      <c r="F117" s="4" t="inlineStr">
        <is>
          <t>SIGVA</t>
        </is>
      </c>
      <c r="G117" s="5">
        <f>IF(H117="TT","TRABAJO TERMINADO",IF(H117="MI","TRABAJO NO TERMINADO",""))</f>
        <v/>
      </c>
      <c r="H117" s="6" t="inlineStr"/>
      <c r="I117" s="7">
        <f>IF(B117="", G117, IF(G117="", LEFT(B117,45), IF(45-LEN(G117)-2&lt;=0, G117, LEFT(B117,45-LEN(G117)-2)&amp;", "&amp;G117)))</f>
        <v/>
      </c>
      <c r="J117" s="8">
        <f>IF(H117="MI","NO REALIZADO " &amp; B117 &amp; " EN " &amp; C117 &amp; IF(K117&lt;&gt;""," " &amp; K117,""),IF(H117="TT","SE REALIZA " &amp; B117 &amp; " EN " &amp; C117 &amp; IF(K117&lt;&gt;""," " &amp; K117,""),""))</f>
        <v/>
      </c>
      <c r="K117" s="4" t="n"/>
      <c r="L117" s="4" t="inlineStr">
        <is>
          <t>NF</t>
        </is>
      </c>
    </row>
    <row r="118">
      <c r="A118" s="4" t="inlineStr">
        <is>
          <t>03614222</t>
        </is>
      </c>
      <c r="B118" s="4" t="inlineStr">
        <is>
          <t>MEDICION DE NIVELES FREATICOS</t>
        </is>
      </c>
      <c r="C118" s="4" t="inlineStr">
        <is>
          <t>PLIX-10A LIXIVIACIÓN</t>
        </is>
      </c>
      <c r="D118" s="4" t="inlineStr">
        <is>
          <t>2026-03-01</t>
        </is>
      </c>
      <c r="E118" s="4" t="inlineStr">
        <is>
          <t>2026-03-07</t>
        </is>
      </c>
      <c r="F118" s="4" t="inlineStr">
        <is>
          <t>SIGVA</t>
        </is>
      </c>
      <c r="G118" s="5">
        <f>IF(H118="TT","TRABAJO TERMINADO",IF(H118="MI","TRABAJO NO TERMINADO",""))</f>
        <v/>
      </c>
      <c r="H118" s="6" t="inlineStr"/>
      <c r="I118" s="7">
        <f>IF(B118="", G118, IF(G118="", LEFT(B118,45), IF(45-LEN(G118)-2&lt;=0, G118, LEFT(B118,45-LEN(G118)-2)&amp;", "&amp;G118)))</f>
        <v/>
      </c>
      <c r="J118" s="8">
        <f>IF(H118="MI","NO REALIZADO " &amp; B118 &amp; " EN " &amp; C118 &amp; IF(K118&lt;&gt;""," " &amp; K118,""),IF(H118="TT","SE REALIZA " &amp; B118 &amp; " EN " &amp; C118 &amp; IF(K118&lt;&gt;""," " &amp; K118,""),""))</f>
        <v/>
      </c>
      <c r="K118" s="4" t="n"/>
      <c r="L118" s="4" t="inlineStr">
        <is>
          <t>NF</t>
        </is>
      </c>
    </row>
    <row r="119">
      <c r="A119" s="4" t="inlineStr">
        <is>
          <t>03614223</t>
        </is>
      </c>
      <c r="B119" s="4" t="inlineStr">
        <is>
          <t>MEDICION DE NIVELES FREATICOS</t>
        </is>
      </c>
      <c r="C119" s="4" t="inlineStr">
        <is>
          <t>PLIX-10B LIXIVIACIÓN</t>
        </is>
      </c>
      <c r="D119" s="4" t="inlineStr">
        <is>
          <t>2026-03-01</t>
        </is>
      </c>
      <c r="E119" s="4" t="inlineStr">
        <is>
          <t>2026-03-07</t>
        </is>
      </c>
      <c r="F119" s="4" t="inlineStr">
        <is>
          <t>SIGVA</t>
        </is>
      </c>
      <c r="G119" s="5">
        <f>IF(H119="TT","TRABAJO TERMINADO",IF(H119="MI","TRABAJO NO TERMINADO",""))</f>
        <v/>
      </c>
      <c r="H119" s="6" t="inlineStr"/>
      <c r="I119" s="7">
        <f>IF(B119="", G119, IF(G119="", LEFT(B119,45), IF(45-LEN(G119)-2&lt;=0, G119, LEFT(B119,45-LEN(G119)-2)&amp;", "&amp;G119)))</f>
        <v/>
      </c>
      <c r="J119" s="8">
        <f>IF(H119="MI","NO REALIZADO " &amp; B119 &amp; " EN " &amp; C119 &amp; IF(K119&lt;&gt;""," " &amp; K119,""),IF(H119="TT","SE REALIZA " &amp; B119 &amp; " EN " &amp; C119 &amp; IF(K119&lt;&gt;""," " &amp; K119,""),""))</f>
        <v/>
      </c>
      <c r="K119" s="4" t="n"/>
      <c r="L119" s="4" t="inlineStr">
        <is>
          <t>NF</t>
        </is>
      </c>
    </row>
    <row r="120">
      <c r="A120" s="4" t="inlineStr">
        <is>
          <t>03614224</t>
        </is>
      </c>
      <c r="B120" s="4" t="inlineStr">
        <is>
          <t>MEDICION DE NIVELES FREATICOS</t>
        </is>
      </c>
      <c r="C120" s="4" t="inlineStr">
        <is>
          <t>PLIX-11A LIXIVIACIÓN</t>
        </is>
      </c>
      <c r="D120" s="4" t="inlineStr">
        <is>
          <t>2026-03-01</t>
        </is>
      </c>
      <c r="E120" s="4" t="inlineStr">
        <is>
          <t>2026-03-07</t>
        </is>
      </c>
      <c r="F120" s="4" t="inlineStr">
        <is>
          <t>SIGVA</t>
        </is>
      </c>
      <c r="G120" s="5">
        <f>IF(H120="TT","TRABAJO TERMINADO",IF(H120="MI","TRABAJO NO TERMINADO",""))</f>
        <v/>
      </c>
      <c r="H120" s="6" t="inlineStr"/>
      <c r="I120" s="7">
        <f>IF(B120="", G120, IF(G120="", LEFT(B120,45), IF(45-LEN(G120)-2&lt;=0, G120, LEFT(B120,45-LEN(G120)-2)&amp;", "&amp;G120)))</f>
        <v/>
      </c>
      <c r="J120" s="8">
        <f>IF(H120="MI","NO REALIZADO " &amp; B120 &amp; " EN " &amp; C120 &amp; IF(K120&lt;&gt;""," " &amp; K120,""),IF(H120="TT","SE REALIZA " &amp; B120 &amp; " EN " &amp; C120 &amp; IF(K120&lt;&gt;""," " &amp; K120,""),""))</f>
        <v/>
      </c>
      <c r="K120" s="4" t="n"/>
      <c r="L120" s="4" t="inlineStr">
        <is>
          <t>NF</t>
        </is>
      </c>
    </row>
    <row r="121">
      <c r="A121" s="4" t="inlineStr">
        <is>
          <t>03614225</t>
        </is>
      </c>
      <c r="B121" s="4" t="inlineStr">
        <is>
          <t>MEDICION DE NIVELES FREATICOS</t>
        </is>
      </c>
      <c r="C121" s="4" t="inlineStr">
        <is>
          <t>PLIX-11B LIXIVIACIÓN</t>
        </is>
      </c>
      <c r="D121" s="4" t="inlineStr">
        <is>
          <t>2026-03-01</t>
        </is>
      </c>
      <c r="E121" s="4" t="inlineStr">
        <is>
          <t>2026-03-07</t>
        </is>
      </c>
      <c r="F121" s="4" t="inlineStr">
        <is>
          <t>SIGVA</t>
        </is>
      </c>
      <c r="G121" s="5">
        <f>IF(H121="TT","TRABAJO TERMINADO",IF(H121="MI","TRABAJO NO TERMINADO",""))</f>
        <v/>
      </c>
      <c r="H121" s="6" t="inlineStr"/>
      <c r="I121" s="7">
        <f>IF(B121="", G121, IF(G121="", LEFT(B121,45), IF(45-LEN(G121)-2&lt;=0, G121, LEFT(B121,45-LEN(G121)-2)&amp;", "&amp;G121)))</f>
        <v/>
      </c>
      <c r="J121" s="8">
        <f>IF(H121="MI","NO REALIZADO " &amp; B121 &amp; " EN " &amp; C121 &amp; IF(K121&lt;&gt;""," " &amp; K121,""),IF(H121="TT","SE REALIZA " &amp; B121 &amp; " EN " &amp; C121 &amp; IF(K121&lt;&gt;""," " &amp; K121,""),""))</f>
        <v/>
      </c>
      <c r="K121" s="4" t="n"/>
      <c r="L121" s="4" t="inlineStr">
        <is>
          <t>NF</t>
        </is>
      </c>
    </row>
    <row r="122">
      <c r="A122" s="4" t="inlineStr">
        <is>
          <t>03614226</t>
        </is>
      </c>
      <c r="B122" s="4" t="inlineStr">
        <is>
          <t>MEDICION DE NIVELES FREATICOS</t>
        </is>
      </c>
      <c r="C122" s="4" t="inlineStr">
        <is>
          <t>PLIX-12B LIXIVIACIÓN</t>
        </is>
      </c>
      <c r="D122" s="4" t="inlineStr">
        <is>
          <t>2026-03-01</t>
        </is>
      </c>
      <c r="E122" s="4" t="inlineStr">
        <is>
          <t>2026-03-07</t>
        </is>
      </c>
      <c r="F122" s="4" t="inlineStr">
        <is>
          <t>SIGVA</t>
        </is>
      </c>
      <c r="G122" s="5">
        <f>IF(H122="TT","TRABAJO TERMINADO",IF(H122="MI","TRABAJO NO TERMINADO",""))</f>
        <v/>
      </c>
      <c r="H122" s="6" t="inlineStr"/>
      <c r="I122" s="7">
        <f>IF(B122="", G122, IF(G122="", LEFT(B122,45), IF(45-LEN(G122)-2&lt;=0, G122, LEFT(B122,45-LEN(G122)-2)&amp;", "&amp;G122)))</f>
        <v/>
      </c>
      <c r="J122" s="8">
        <f>IF(H122="MI","NO REALIZADO " &amp; B122 &amp; " EN " &amp; C122 &amp; IF(K122&lt;&gt;""," " &amp; K122,""),IF(H122="TT","SE REALIZA " &amp; B122 &amp; " EN " &amp; C122 &amp; IF(K122&lt;&gt;""," " &amp; K122,""),""))</f>
        <v/>
      </c>
      <c r="K122" s="4" t="n"/>
      <c r="L122" s="4" t="inlineStr">
        <is>
          <t>NF</t>
        </is>
      </c>
    </row>
    <row r="123">
      <c r="A123" s="4" t="inlineStr">
        <is>
          <t>03614227</t>
        </is>
      </c>
      <c r="B123" s="4" t="inlineStr">
        <is>
          <t>MEDICION DE NIVELES FREATICOS</t>
        </is>
      </c>
      <c r="C123" s="4" t="inlineStr">
        <is>
          <t>PLIX-13A LIXIVIACIÓN</t>
        </is>
      </c>
      <c r="D123" s="4" t="inlineStr">
        <is>
          <t>2026-03-01</t>
        </is>
      </c>
      <c r="E123" s="4" t="inlineStr">
        <is>
          <t>2026-03-07</t>
        </is>
      </c>
      <c r="F123" s="4" t="inlineStr">
        <is>
          <t>SIGVA</t>
        </is>
      </c>
      <c r="G123" s="5">
        <f>IF(H123="TT","TRABAJO TERMINADO",IF(H123="MI","TRABAJO NO TERMINADO",""))</f>
        <v/>
      </c>
      <c r="H123" s="6" t="inlineStr"/>
      <c r="I123" s="7">
        <f>IF(B123="", G123, IF(G123="", LEFT(B123,45), IF(45-LEN(G123)-2&lt;=0, G123, LEFT(B123,45-LEN(G123)-2)&amp;", "&amp;G123)))</f>
        <v/>
      </c>
      <c r="J123" s="8">
        <f>IF(H123="MI","NO REALIZADO " &amp; B123 &amp; " EN " &amp; C123 &amp; IF(K123&lt;&gt;""," " &amp; K123,""),IF(H123="TT","SE REALIZA " &amp; B123 &amp; " EN " &amp; C123 &amp; IF(K123&lt;&gt;""," " &amp; K123,""),""))</f>
        <v/>
      </c>
      <c r="K123" s="4" t="n"/>
      <c r="L123" s="4" t="inlineStr">
        <is>
          <t>NF</t>
        </is>
      </c>
    </row>
    <row r="124">
      <c r="A124" s="4" t="inlineStr">
        <is>
          <t>03614228</t>
        </is>
      </c>
      <c r="B124" s="4" t="inlineStr">
        <is>
          <t>MEDICION DE NIVELES FREATICOS</t>
        </is>
      </c>
      <c r="C124" s="4" t="inlineStr">
        <is>
          <t>PLIX-13B LIXIVIACIÓN</t>
        </is>
      </c>
      <c r="D124" s="4" t="inlineStr">
        <is>
          <t>2026-03-01</t>
        </is>
      </c>
      <c r="E124" s="4" t="inlineStr">
        <is>
          <t>2026-03-07</t>
        </is>
      </c>
      <c r="F124" s="4" t="inlineStr">
        <is>
          <t>SIGVA</t>
        </is>
      </c>
      <c r="G124" s="5">
        <f>IF(H124="TT","TRABAJO TERMINADO",IF(H124="MI","TRABAJO NO TERMINADO",""))</f>
        <v/>
      </c>
      <c r="H124" s="6" t="inlineStr"/>
      <c r="I124" s="7">
        <f>IF(B124="", G124, IF(G124="", LEFT(B124,45), IF(45-LEN(G124)-2&lt;=0, G124, LEFT(B124,45-LEN(G124)-2)&amp;", "&amp;G124)))</f>
        <v/>
      </c>
      <c r="J124" s="8">
        <f>IF(H124="MI","NO REALIZADO " &amp; B124 &amp; " EN " &amp; C124 &amp; IF(K124&lt;&gt;""," " &amp; K124,""),IF(H124="TT","SE REALIZA " &amp; B124 &amp; " EN " &amp; C124 &amp; IF(K124&lt;&gt;""," " &amp; K124,""),""))</f>
        <v/>
      </c>
      <c r="K124" s="4" t="n"/>
      <c r="L124" s="4" t="inlineStr">
        <is>
          <t>NF</t>
        </is>
      </c>
    </row>
    <row r="125">
      <c r="A125" s="4" t="inlineStr">
        <is>
          <t>03614229</t>
        </is>
      </c>
      <c r="B125" s="4" t="inlineStr">
        <is>
          <t>MEDICION DE NIVELES FREATICOS</t>
        </is>
      </c>
      <c r="C125" s="4" t="inlineStr">
        <is>
          <t>PLIX-14 LIXIVIACIÓN</t>
        </is>
      </c>
      <c r="D125" s="4" t="inlineStr">
        <is>
          <t>2026-03-01</t>
        </is>
      </c>
      <c r="E125" s="4" t="inlineStr">
        <is>
          <t>2026-03-07</t>
        </is>
      </c>
      <c r="F125" s="4" t="inlineStr">
        <is>
          <t>SIGVA</t>
        </is>
      </c>
      <c r="G125" s="5">
        <f>IF(H125="TT","TRABAJO TERMINADO",IF(H125="MI","TRABAJO NO TERMINADO",""))</f>
        <v/>
      </c>
      <c r="H125" s="6" t="inlineStr"/>
      <c r="I125" s="7">
        <f>IF(B125="", G125, IF(G125="", LEFT(B125,45), IF(45-LEN(G125)-2&lt;=0, G125, LEFT(B125,45-LEN(G125)-2)&amp;", "&amp;G125)))</f>
        <v/>
      </c>
      <c r="J125" s="8">
        <f>IF(H125="MI","NO REALIZADO " &amp; B125 &amp; " EN " &amp; C125 &amp; IF(K125&lt;&gt;""," " &amp; K125,""),IF(H125="TT","SE REALIZA " &amp; B125 &amp; " EN " &amp; C125 &amp; IF(K125&lt;&gt;""," " &amp; K125,""),""))</f>
        <v/>
      </c>
      <c r="K125" s="4" t="n"/>
      <c r="L125" s="4" t="inlineStr">
        <is>
          <t>NF</t>
        </is>
      </c>
    </row>
    <row r="126">
      <c r="A126" s="4" t="inlineStr">
        <is>
          <t>03614236</t>
        </is>
      </c>
      <c r="B126" s="4" t="inlineStr">
        <is>
          <t>MED DE NIVELES FREATICOS</t>
        </is>
      </c>
      <c r="C126" s="4" t="inlineStr">
        <is>
          <t>PMI-01 MICHINCHA</t>
        </is>
      </c>
      <c r="D126" s="4" t="inlineStr">
        <is>
          <t>2026-03-01</t>
        </is>
      </c>
      <c r="E126" s="4" t="inlineStr">
        <is>
          <t>2026-03-07</t>
        </is>
      </c>
      <c r="F126" s="4" t="inlineStr">
        <is>
          <t>SIGVA</t>
        </is>
      </c>
      <c r="G126" s="5">
        <f>IF(H126="TT","TRABAJO TERMINADO",IF(H126="MI","TRABAJO NO TERMINADO",""))</f>
        <v/>
      </c>
      <c r="H126" s="6" t="inlineStr"/>
      <c r="I126" s="7">
        <f>IF(B126="", G126, IF(G126="", LEFT(B126,45), IF(45-LEN(G126)-2&lt;=0, G126, LEFT(B126,45-LEN(G126)-2)&amp;", "&amp;G126)))</f>
        <v/>
      </c>
      <c r="J126" s="8">
        <f>IF(H126="MI","NO REALIZADO " &amp; B126 &amp; " EN " &amp; C126 &amp; IF(K126&lt;&gt;""," " &amp; K126,""),IF(H126="TT","SE REALIZA " &amp; B126 &amp; " EN " &amp; C126 &amp; IF(K126&lt;&gt;""," " &amp; K126,""),""))</f>
        <v/>
      </c>
      <c r="K126" s="4" t="n"/>
      <c r="L126" s="4" t="inlineStr">
        <is>
          <t>NF</t>
        </is>
      </c>
    </row>
    <row r="127">
      <c r="A127" s="4" t="inlineStr">
        <is>
          <t>03614241</t>
        </is>
      </c>
      <c r="B127" s="4" t="inlineStr">
        <is>
          <t>MM DE AGUAS SUPERFICIALES</t>
        </is>
      </c>
      <c r="C127" s="4" t="inlineStr">
        <is>
          <t>PR  PUERTO COLLAHUASI</t>
        </is>
      </c>
      <c r="D127" s="4" t="inlineStr">
        <is>
          <t>2026-03-01</t>
        </is>
      </c>
      <c r="E127" s="4" t="inlineStr">
        <is>
          <t>2026-03-07</t>
        </is>
      </c>
      <c r="F127" s="4" t="inlineStr">
        <is>
          <t>SIGVA</t>
        </is>
      </c>
      <c r="G127" s="5">
        <f>IF(H127="TT","TRABAJO TERMINADO",IF(H127="MI","TRABAJO NO TERMINADO",""))</f>
        <v/>
      </c>
      <c r="H127" s="6" t="inlineStr"/>
      <c r="I127" s="7">
        <f>IF(B127="", G127, IF(G127="", LEFT(B127,45), IF(45-LEN(G127)-2&lt;=0, G127, LEFT(B127,45-LEN(G127)-2)&amp;", "&amp;G127)))</f>
        <v/>
      </c>
      <c r="J127" s="8">
        <f>IF(H127="MI","NO REALIZADO " &amp; B127 &amp; " EN " &amp; C127 &amp; IF(K127&lt;&gt;""," " &amp; K127,""),IF(H127="TT","SE REALIZA " &amp; B127 &amp; " EN " &amp; C127 &amp; IF(K127&lt;&gt;""," " &amp; K127,""),""))</f>
        <v/>
      </c>
      <c r="K127" s="4" t="n"/>
      <c r="L127" s="4" t="inlineStr">
        <is>
          <t>ASUP</t>
        </is>
      </c>
    </row>
    <row r="128">
      <c r="A128" s="4" t="inlineStr">
        <is>
          <t>03614242</t>
        </is>
      </c>
      <c r="B128" s="4" t="inlineStr">
        <is>
          <t>MEDICIÓN DE CAUDALES</t>
        </is>
      </c>
      <c r="C128" s="4" t="inlineStr">
        <is>
          <t>QDH-1E PISC. HUINQUIN. (INT. RAJO ROSA )</t>
        </is>
      </c>
      <c r="D128" s="4" t="inlineStr">
        <is>
          <t>2026-03-01</t>
        </is>
      </c>
      <c r="E128" s="4" t="inlineStr">
        <is>
          <t>2026-03-07</t>
        </is>
      </c>
      <c r="F128" s="4" t="inlineStr">
        <is>
          <t>SIGVA</t>
        </is>
      </c>
      <c r="G128" s="5">
        <f>IF(H128="TT","TRABAJO TERMINADO",IF(H128="MI","TRABAJO NO TERMINADO",""))</f>
        <v/>
      </c>
      <c r="H128" s="6" t="inlineStr"/>
      <c r="I128" s="7">
        <f>IF(B128="", G128, IF(G128="", LEFT(B128,45), IF(45-LEN(G128)-2&lt;=0, G128, LEFT(B128,45-LEN(G128)-2)&amp;", "&amp;G128)))</f>
        <v/>
      </c>
      <c r="J128" s="8">
        <f>IF(H128="MI","NO REALIZADO " &amp; B128 &amp; " EN " &amp; C128 &amp; IF(K128&lt;&gt;""," " &amp; K128,""),IF(H128="TT","SE REALIZA " &amp; B128 &amp; " EN " &amp; C128 &amp; IF(K128&lt;&gt;""," " &amp; K128,""),""))</f>
        <v/>
      </c>
      <c r="K128" s="4" t="n"/>
      <c r="L128" s="4" t="inlineStr">
        <is>
          <t>CAUDAL</t>
        </is>
      </c>
    </row>
    <row r="129">
      <c r="A129" s="4" t="inlineStr">
        <is>
          <t>03614244</t>
        </is>
      </c>
      <c r="B129" s="4" t="inlineStr">
        <is>
          <t>MEDICIÓN DE CAUDALES</t>
        </is>
      </c>
      <c r="C129" s="4" t="inlineStr">
        <is>
          <t>QSD-1 PISC. HUINQUIN. (INT. RAJO ROSA )</t>
        </is>
      </c>
      <c r="D129" s="4" t="inlineStr">
        <is>
          <t>2026-03-01</t>
        </is>
      </c>
      <c r="E129" s="4" t="inlineStr">
        <is>
          <t>2026-03-07</t>
        </is>
      </c>
      <c r="F129" s="4" t="inlineStr">
        <is>
          <t>SIGVA</t>
        </is>
      </c>
      <c r="G129" s="5">
        <f>IF(H129="TT","TRABAJO TERMINADO",IF(H129="MI","TRABAJO NO TERMINADO",""))</f>
        <v/>
      </c>
      <c r="H129" s="6" t="inlineStr"/>
      <c r="I129" s="7">
        <f>IF(B129="", G129, IF(G129="", LEFT(B129,45), IF(45-LEN(G129)-2&lt;=0, G129, LEFT(B129,45-LEN(G129)-2)&amp;", "&amp;G129)))</f>
        <v/>
      </c>
      <c r="J129" s="8">
        <f>IF(H129="MI","NO REALIZADO " &amp; B129 &amp; " EN " &amp; C129 &amp; IF(K129&lt;&gt;""," " &amp; K129,""),IF(H129="TT","SE REALIZA " &amp; B129 &amp; " EN " &amp; C129 &amp; IF(K129&lt;&gt;""," " &amp; K129,""),""))</f>
        <v/>
      </c>
      <c r="K129" s="4" t="n"/>
      <c r="L129" s="4" t="inlineStr">
        <is>
          <t>CAUDAL</t>
        </is>
      </c>
    </row>
    <row r="130">
      <c r="A130" s="4" t="inlineStr">
        <is>
          <t>03614259</t>
        </is>
      </c>
      <c r="B130" s="4" t="inlineStr">
        <is>
          <t>MM DE AGUAS SUPERFICIALES</t>
        </is>
      </c>
      <c r="C130" s="4" t="inlineStr">
        <is>
          <t>Estación 1</t>
        </is>
      </c>
      <c r="D130" s="4" t="inlineStr">
        <is>
          <t>2026-03-01</t>
        </is>
      </c>
      <c r="E130" s="4" t="inlineStr">
        <is>
          <t>2026-03-07</t>
        </is>
      </c>
      <c r="F130" s="4" t="inlineStr">
        <is>
          <t>SIGVA</t>
        </is>
      </c>
      <c r="G130" s="5">
        <f>IF(H130="TT","TRABAJO TERMINADO",IF(H130="MI","TRABAJO NO TERMINADO",""))</f>
        <v/>
      </c>
      <c r="H130" s="6" t="inlineStr"/>
      <c r="I130" s="7">
        <f>IF(B130="", G130, IF(G130="", LEFT(B130,45), IF(45-LEN(G130)-2&lt;=0, G130, LEFT(B130,45-LEN(G130)-2)&amp;", "&amp;G130)))</f>
        <v/>
      </c>
      <c r="J130" s="8">
        <f>IF(H130="MI","NO REALIZADO " &amp; B130 &amp; " EN " &amp; C130 &amp; IF(K130&lt;&gt;""," " &amp; K130,""),IF(H130="TT","SE REALIZA " &amp; B130 &amp; " EN " &amp; C130 &amp; IF(K130&lt;&gt;""," " &amp; K130,""),""))</f>
        <v/>
      </c>
      <c r="K130" s="4" t="n"/>
      <c r="L130" s="4" t="inlineStr">
        <is>
          <t>ASUP</t>
        </is>
      </c>
    </row>
    <row r="131">
      <c r="A131" s="4" t="inlineStr">
        <is>
          <t>03614260</t>
        </is>
      </c>
      <c r="B131" s="4" t="inlineStr">
        <is>
          <t>MM DE AGUAS SUPERFICIALES</t>
        </is>
      </c>
      <c r="C131" s="4" t="inlineStr">
        <is>
          <t>Piscina P3 ROSARIO</t>
        </is>
      </c>
      <c r="D131" s="4" t="inlineStr">
        <is>
          <t>2026-03-01</t>
        </is>
      </c>
      <c r="E131" s="4" t="inlineStr">
        <is>
          <t>2026-03-07</t>
        </is>
      </c>
      <c r="F131" s="4" t="inlineStr">
        <is>
          <t>SIGVA</t>
        </is>
      </c>
      <c r="G131" s="5">
        <f>IF(H131="TT","TRABAJO TERMINADO",IF(H131="MI","TRABAJO NO TERMINADO",""))</f>
        <v/>
      </c>
      <c r="H131" s="6" t="inlineStr"/>
      <c r="I131" s="7">
        <f>IF(B131="", G131, IF(G131="", LEFT(B131,45), IF(45-LEN(G131)-2&lt;=0, G131, LEFT(B131,45-LEN(G131)-2)&amp;", "&amp;G131)))</f>
        <v/>
      </c>
      <c r="J131" s="8">
        <f>IF(H131="MI","NO REALIZADO " &amp; B131 &amp; " EN " &amp; C131 &amp; IF(K131&lt;&gt;""," " &amp; K131,""),IF(H131="TT","SE REALIZA " &amp; B131 &amp; " EN " &amp; C131 &amp; IF(K131&lt;&gt;""," " &amp; K131,""),""))</f>
        <v/>
      </c>
      <c r="K131" s="4" t="n"/>
      <c r="L131" s="4" t="inlineStr">
        <is>
          <t>ASUP</t>
        </is>
      </c>
    </row>
    <row r="132">
      <c r="A132" s="4" t="inlineStr">
        <is>
          <t>03614268</t>
        </is>
      </c>
      <c r="B132" s="4" t="inlineStr">
        <is>
          <t>MM DE AGUAS SUBTERRÁNEAS</t>
        </is>
      </c>
      <c r="C132" s="4" t="inlineStr">
        <is>
          <t>LPDC-09 LIXIVIACIÓN</t>
        </is>
      </c>
      <c r="D132" s="4" t="inlineStr">
        <is>
          <t>2026-03-01</t>
        </is>
      </c>
      <c r="E132" s="4" t="inlineStr">
        <is>
          <t>2026-03-07</t>
        </is>
      </c>
      <c r="F132" s="4" t="inlineStr">
        <is>
          <t>SIGVA</t>
        </is>
      </c>
      <c r="G132" s="5">
        <f>IF(H132="TT","TRABAJO TERMINADO",IF(H132="MI","TRABAJO NO TERMINADO",""))</f>
        <v/>
      </c>
      <c r="H132" s="6" t="inlineStr"/>
      <c r="I132" s="7">
        <f>IF(B132="", G132, IF(G132="", LEFT(B132,45), IF(45-LEN(G132)-2&lt;=0, G132, LEFT(B132,45-LEN(G132)-2)&amp;", "&amp;G132)))</f>
        <v/>
      </c>
      <c r="J132" s="8">
        <f>IF(H132="MI","NO REALIZADO " &amp; B132 &amp; " EN " &amp; C132 &amp; IF(K132&lt;&gt;""," " &amp; K132,""),IF(H132="TT","SE REALIZA " &amp; B132 &amp; " EN " &amp; C132 &amp; IF(K132&lt;&gt;""," " &amp; K132,""),""))</f>
        <v/>
      </c>
      <c r="K132" s="4" t="n"/>
      <c r="L132" s="4" t="inlineStr">
        <is>
          <t>ASUB</t>
        </is>
      </c>
    </row>
    <row r="133">
      <c r="A133" s="4" t="inlineStr">
        <is>
          <t>03614269</t>
        </is>
      </c>
      <c r="B133" s="4" t="inlineStr">
        <is>
          <t>MEDICION DE NIVELES FREATICOS</t>
        </is>
      </c>
      <c r="C133" s="4" t="inlineStr">
        <is>
          <t>LPDC-09 LIXIVIACIÓN</t>
        </is>
      </c>
      <c r="D133" s="4" t="inlineStr">
        <is>
          <t>2026-03-01</t>
        </is>
      </c>
      <c r="E133" s="4" t="inlineStr">
        <is>
          <t>2026-03-07</t>
        </is>
      </c>
      <c r="F133" s="4" t="inlineStr">
        <is>
          <t>SIGVA</t>
        </is>
      </c>
      <c r="G133" s="5">
        <f>IF(H133="TT","TRABAJO TERMINADO",IF(H133="MI","TRABAJO NO TERMINADO",""))</f>
        <v/>
      </c>
      <c r="H133" s="6" t="inlineStr"/>
      <c r="I133" s="7">
        <f>IF(B133="", G133, IF(G133="", LEFT(B133,45), IF(45-LEN(G133)-2&lt;=0, G133, LEFT(B133,45-LEN(G133)-2)&amp;", "&amp;G133)))</f>
        <v/>
      </c>
      <c r="J133" s="8">
        <f>IF(H133="MI","NO REALIZADO " &amp; B133 &amp; " EN " &amp; C133 &amp; IF(K133&lt;&gt;""," " &amp; K133,""),IF(H133="TT","SE REALIZA " &amp; B133 &amp; " EN " &amp; C133 &amp; IF(K133&lt;&gt;""," " &amp; K133,""),""))</f>
        <v/>
      </c>
      <c r="K133" s="4" t="n"/>
      <c r="L133" s="4" t="inlineStr">
        <is>
          <t>NF</t>
        </is>
      </c>
    </row>
    <row r="134">
      <c r="A134" s="4" t="inlineStr">
        <is>
          <t>03614270</t>
        </is>
      </c>
      <c r="B134" s="4" t="inlineStr">
        <is>
          <t>MM DE AGUAS SUBTERRÁNEAS</t>
        </is>
      </c>
      <c r="C134" s="4" t="inlineStr">
        <is>
          <t>LPDC-10 LIXIVIACIÓN</t>
        </is>
      </c>
      <c r="D134" s="4" t="inlineStr">
        <is>
          <t>2026-03-01</t>
        </is>
      </c>
      <c r="E134" s="4" t="inlineStr">
        <is>
          <t>2026-03-07</t>
        </is>
      </c>
      <c r="F134" s="4" t="inlineStr">
        <is>
          <t>SIGVA</t>
        </is>
      </c>
      <c r="G134" s="5">
        <f>IF(H134="TT","TRABAJO TERMINADO",IF(H134="MI","TRABAJO NO TERMINADO",""))</f>
        <v/>
      </c>
      <c r="H134" s="6" t="inlineStr"/>
      <c r="I134" s="7">
        <f>IF(B134="", G134, IF(G134="", LEFT(B134,45), IF(45-LEN(G134)-2&lt;=0, G134, LEFT(B134,45-LEN(G134)-2)&amp;", "&amp;G134)))</f>
        <v/>
      </c>
      <c r="J134" s="8">
        <f>IF(H134="MI","NO REALIZADO " &amp; B134 &amp; " EN " &amp; C134 &amp; IF(K134&lt;&gt;""," " &amp; K134,""),IF(H134="TT","SE REALIZA " &amp; B134 &amp; " EN " &amp; C134 &amp; IF(K134&lt;&gt;""," " &amp; K134,""),""))</f>
        <v/>
      </c>
      <c r="K134" s="4" t="n"/>
      <c r="L134" s="4" t="inlineStr">
        <is>
          <t>ASUB</t>
        </is>
      </c>
    </row>
    <row r="135">
      <c r="A135" s="4" t="inlineStr">
        <is>
          <t>03614271</t>
        </is>
      </c>
      <c r="B135" s="4" t="inlineStr">
        <is>
          <t>MEDICION DE NIVELES FREATICOS</t>
        </is>
      </c>
      <c r="C135" s="4" t="inlineStr">
        <is>
          <t>LPDC-10 LIXIVIACIÓN</t>
        </is>
      </c>
      <c r="D135" s="4" t="inlineStr">
        <is>
          <t>2026-03-01</t>
        </is>
      </c>
      <c r="E135" s="4" t="inlineStr">
        <is>
          <t>2026-03-07</t>
        </is>
      </c>
      <c r="F135" s="4" t="inlineStr">
        <is>
          <t>SIGVA</t>
        </is>
      </c>
      <c r="G135" s="5">
        <f>IF(H135="TT","TRABAJO TERMINADO",IF(H135="MI","TRABAJO NO TERMINADO",""))</f>
        <v/>
      </c>
      <c r="H135" s="6" t="inlineStr"/>
      <c r="I135" s="7">
        <f>IF(B135="", G135, IF(G135="", LEFT(B135,45), IF(45-LEN(G135)-2&lt;=0, G135, LEFT(B135,45-LEN(G135)-2)&amp;", "&amp;G135)))</f>
        <v/>
      </c>
      <c r="J135" s="8">
        <f>IF(H135="MI","NO REALIZADO " &amp; B135 &amp; " EN " &amp; C135 &amp; IF(K135&lt;&gt;""," " &amp; K135,""),IF(H135="TT","SE REALIZA " &amp; B135 &amp; " EN " &amp; C135 &amp; IF(K135&lt;&gt;""," " &amp; K135,""),""))</f>
        <v/>
      </c>
      <c r="K135" s="4" t="n"/>
      <c r="L135" s="4" t="inlineStr">
        <is>
          <t>NF</t>
        </is>
      </c>
    </row>
    <row r="136">
      <c r="A136" s="4" t="inlineStr">
        <is>
          <t>03614272</t>
        </is>
      </c>
      <c r="B136" s="4" t="inlineStr">
        <is>
          <t>MM DE AGUAS SUBTERRÁNEAS</t>
        </is>
      </c>
      <c r="C136" s="4" t="inlineStr">
        <is>
          <t>LPDC-11 LIXIVIACIÓN</t>
        </is>
      </c>
      <c r="D136" s="4" t="inlineStr">
        <is>
          <t>2026-03-01</t>
        </is>
      </c>
      <c r="E136" s="4" t="inlineStr">
        <is>
          <t>2026-03-07</t>
        </is>
      </c>
      <c r="F136" s="4" t="inlineStr">
        <is>
          <t>SIGVA</t>
        </is>
      </c>
      <c r="G136" s="5">
        <f>IF(H136="TT","TRABAJO TERMINADO",IF(H136="MI","TRABAJO NO TERMINADO",""))</f>
        <v/>
      </c>
      <c r="H136" s="6" t="inlineStr"/>
      <c r="I136" s="7">
        <f>IF(B136="", G136, IF(G136="", LEFT(B136,45), IF(45-LEN(G136)-2&lt;=0, G136, LEFT(B136,45-LEN(G136)-2)&amp;", "&amp;G136)))</f>
        <v/>
      </c>
      <c r="J136" s="8">
        <f>IF(H136="MI","NO REALIZADO " &amp; B136 &amp; " EN " &amp; C136 &amp; IF(K136&lt;&gt;""," " &amp; K136,""),IF(H136="TT","SE REALIZA " &amp; B136 &amp; " EN " &amp; C136 &amp; IF(K136&lt;&gt;""," " &amp; K136,""),""))</f>
        <v/>
      </c>
      <c r="K136" s="4" t="n"/>
      <c r="L136" s="4" t="inlineStr">
        <is>
          <t>ASUB</t>
        </is>
      </c>
    </row>
    <row r="137">
      <c r="A137" s="4" t="inlineStr">
        <is>
          <t>03614273</t>
        </is>
      </c>
      <c r="B137" s="4" t="inlineStr">
        <is>
          <t>MEDICION DE NIVELES FREATICOS</t>
        </is>
      </c>
      <c r="C137" s="4" t="inlineStr">
        <is>
          <t>LPDC-11 LIXIVIACIÓN</t>
        </is>
      </c>
      <c r="D137" s="4" t="inlineStr">
        <is>
          <t>2026-03-01</t>
        </is>
      </c>
      <c r="E137" s="4" t="inlineStr">
        <is>
          <t>2026-03-07</t>
        </is>
      </c>
      <c r="F137" s="4" t="inlineStr">
        <is>
          <t>SIGVA</t>
        </is>
      </c>
      <c r="G137" s="5">
        <f>IF(H137="TT","TRABAJO TERMINADO",IF(H137="MI","TRABAJO NO TERMINADO",""))</f>
        <v/>
      </c>
      <c r="H137" s="6" t="inlineStr"/>
      <c r="I137" s="7">
        <f>IF(B137="", G137, IF(G137="", LEFT(B137,45), IF(45-LEN(G137)-2&lt;=0, G137, LEFT(B137,45-LEN(G137)-2)&amp;", "&amp;G137)))</f>
        <v/>
      </c>
      <c r="J137" s="8">
        <f>IF(H137="MI","NO REALIZADO " &amp; B137 &amp; " EN " &amp; C137 &amp; IF(K137&lt;&gt;""," " &amp; K137,""),IF(H137="TT","SE REALIZA " &amp; B137 &amp; " EN " &amp; C137 &amp; IF(K137&lt;&gt;""," " &amp; K137,""),""))</f>
        <v/>
      </c>
      <c r="K137" s="4" t="n"/>
      <c r="L137" s="4" t="inlineStr">
        <is>
          <t>NF</t>
        </is>
      </c>
    </row>
    <row r="138">
      <c r="A138" s="4" t="inlineStr">
        <is>
          <t>03620235</t>
        </is>
      </c>
      <c r="B138" s="4" t="inlineStr">
        <is>
          <t>INSPECCION DE EXTINTOR SALIMAX</t>
        </is>
      </c>
      <c r="C138" s="4" t="inlineStr"/>
      <c r="D138" s="4" t="inlineStr">
        <is>
          <t>2026-03-01</t>
        </is>
      </c>
      <c r="E138" s="4" t="inlineStr">
        <is>
          <t>2026-03-07</t>
        </is>
      </c>
      <c r="F138" s="4" t="inlineStr">
        <is>
          <t>SIGEXT</t>
        </is>
      </c>
      <c r="G138" s="5">
        <f>IF(H138="TT","TRABAJO TERMINADO",IF(H138="MI","TRABAJO NO TERMINADO",""))</f>
        <v/>
      </c>
      <c r="H138" s="6" t="inlineStr"/>
      <c r="I138" s="7">
        <f>IF(B138="", G138, IF(G138="", LEFT(B138,45), IF(45-LEN(G138)-2&lt;=0, G138, LEFT(B138,45-LEN(G138)-2)&amp;", "&amp;G138)))</f>
        <v/>
      </c>
      <c r="J138" s="8">
        <f>IF(H138="MI","NO REALIZADO " &amp; B138 &amp; " EN " &amp; C138 &amp; IF(K138&lt;&gt;""," " &amp; K138,""),IF(H138="TT","SE REALIZA " &amp; B138 &amp; " EN " &amp; C138 &amp; IF(K138&lt;&gt;""," " &amp; K138,""),""))</f>
        <v/>
      </c>
      <c r="K138" s="4" t="n"/>
      <c r="L138" s="4" t="inlineStr"/>
    </row>
    <row r="139">
      <c r="A139" s="4" t="inlineStr">
        <is>
          <t>03620236</t>
        </is>
      </c>
      <c r="B139" s="4" t="inlineStr">
        <is>
          <t>INSPECCIÓN EXTINTOR CALIDAD AIRE COPOSA</t>
        </is>
      </c>
      <c r="C139" s="4" t="inlineStr"/>
      <c r="D139" s="4" t="inlineStr">
        <is>
          <t>2026-03-01</t>
        </is>
      </c>
      <c r="E139" s="4" t="inlineStr">
        <is>
          <t>2026-03-07</t>
        </is>
      </c>
      <c r="F139" s="4" t="inlineStr">
        <is>
          <t>SIGEXT</t>
        </is>
      </c>
      <c r="G139" s="5">
        <f>IF(H139="TT","TRABAJO TERMINADO",IF(H139="MI","TRABAJO NO TERMINADO",""))</f>
        <v/>
      </c>
      <c r="H139" s="6" t="inlineStr"/>
      <c r="I139" s="7">
        <f>IF(B139="", G139, IF(G139="", LEFT(B139,45), IF(45-LEN(G139)-2&lt;=0, G139, LEFT(B139,45-LEN(G139)-2)&amp;", "&amp;G139)))</f>
        <v/>
      </c>
      <c r="J139" s="8">
        <f>IF(H139="MI","NO REALIZADO " &amp; B139 &amp; " EN " &amp; C139 &amp; IF(K139&lt;&gt;""," " &amp; K139,""),IF(H139="TT","SE REALIZA " &amp; B139 &amp; " EN " &amp; C139 &amp; IF(K139&lt;&gt;""," " &amp; K139,""),""))</f>
        <v/>
      </c>
      <c r="K139" s="4" t="n"/>
      <c r="L139" s="4" t="inlineStr"/>
    </row>
    <row r="140">
      <c r="A140" s="4" t="inlineStr">
        <is>
          <t>03620237</t>
        </is>
      </c>
      <c r="B140" s="4" t="inlineStr">
        <is>
          <t>INSPECCIÓN EXTINTOR ALS UJINA</t>
        </is>
      </c>
      <c r="C140" s="4" t="inlineStr"/>
      <c r="D140" s="4" t="inlineStr">
        <is>
          <t>2026-03-01</t>
        </is>
      </c>
      <c r="E140" s="4" t="inlineStr">
        <is>
          <t>2026-03-07</t>
        </is>
      </c>
      <c r="F140" s="4" t="inlineStr">
        <is>
          <t>SIGEXT</t>
        </is>
      </c>
      <c r="G140" s="5">
        <f>IF(H140="TT","TRABAJO TERMINADO",IF(H140="MI","TRABAJO NO TERMINADO",""))</f>
        <v/>
      </c>
      <c r="H140" s="6" t="inlineStr"/>
      <c r="I140" s="7">
        <f>IF(B140="", G140, IF(G140="", LEFT(B140,45), IF(45-LEN(G140)-2&lt;=0, G140, LEFT(B140,45-LEN(G140)-2)&amp;", "&amp;G140)))</f>
        <v/>
      </c>
      <c r="J140" s="8">
        <f>IF(H140="MI","NO REALIZADO " &amp; B140 &amp; " EN " &amp; C140 &amp; IF(K140&lt;&gt;""," " &amp; K140,""),IF(H140="TT","SE REALIZA " &amp; B140 &amp; " EN " &amp; C140 &amp; IF(K140&lt;&gt;""," " &amp; K140,""),""))</f>
        <v/>
      </c>
      <c r="K140" s="4" t="n"/>
      <c r="L140" s="4" t="inlineStr"/>
    </row>
  </sheetData>
  <autoFilter ref="A1:L1"/>
  <conditionalFormatting sqref="I2:I140">
    <cfRule type="expression" priority="1" dxfId="0">
      <formula>AND(I2&lt;&gt;"", LEN(I2)&gt;50)</formula>
    </cfRule>
  </conditionalFormatting>
  <dataValidations count="1">
    <dataValidation sqref="I1:I140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03613864</t>
        </is>
      </c>
      <c r="B2" s="4" t="inlineStr">
        <is>
          <t>Limpieza narices elect</t>
        </is>
      </c>
      <c r="C2" s="4" t="inlineStr">
        <is>
          <t>Sensor NE Piscina 4</t>
        </is>
      </c>
      <c r="D2" s="4" t="inlineStr">
        <is>
          <t>2026-03-01</t>
        </is>
      </c>
      <c r="E2" s="4" t="inlineStr">
        <is>
          <t>2026-03-10</t>
        </is>
      </c>
      <c r="F2" s="4" t="inlineStr">
        <is>
          <t>SIGNAR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03613867</t>
        </is>
      </c>
      <c r="B3" s="4" t="inlineStr">
        <is>
          <t>Limpieza narices elect</t>
        </is>
      </c>
      <c r="C3" s="4" t="inlineStr">
        <is>
          <t>Sensor NE Piscina 2A</t>
        </is>
      </c>
      <c r="D3" s="4" t="inlineStr">
        <is>
          <t>2026-03-01</t>
        </is>
      </c>
      <c r="E3" s="4" t="inlineStr">
        <is>
          <t>2026-03-10</t>
        </is>
      </c>
      <c r="F3" s="4" t="inlineStr">
        <is>
          <t>SIGNAR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/>
    </row>
    <row r="4">
      <c r="A4" s="4" t="inlineStr">
        <is>
          <t>03613869</t>
        </is>
      </c>
      <c r="B4" s="4" t="inlineStr">
        <is>
          <t>Limpieza narices elect</t>
        </is>
      </c>
      <c r="C4" s="4" t="inlineStr">
        <is>
          <t>Sensor NE TK-33</t>
        </is>
      </c>
      <c r="D4" s="4" t="inlineStr">
        <is>
          <t>2026-03-01</t>
        </is>
      </c>
      <c r="E4" s="4" t="inlineStr">
        <is>
          <t>2026-03-10</t>
        </is>
      </c>
      <c r="F4" s="4" t="inlineStr">
        <is>
          <t>SIGNAR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/>
    </row>
    <row r="5">
      <c r="A5" s="4" t="inlineStr">
        <is>
          <t>03613874</t>
        </is>
      </c>
      <c r="B5" s="4" t="inlineStr">
        <is>
          <t>Limpieza narices elect</t>
        </is>
      </c>
      <c r="C5" s="4" t="inlineStr">
        <is>
          <t>Sensor NE Piscina 3B</t>
        </is>
      </c>
      <c r="D5" s="4" t="inlineStr">
        <is>
          <t>2026-03-01</t>
        </is>
      </c>
      <c r="E5" s="4" t="inlineStr">
        <is>
          <t>2026-03-10</t>
        </is>
      </c>
      <c r="F5" s="4" t="inlineStr">
        <is>
          <t>SIGNAR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/>
    </row>
    <row r="6">
      <c r="A6" s="4" t="inlineStr">
        <is>
          <t>03613876</t>
        </is>
      </c>
      <c r="B6" s="4" t="inlineStr">
        <is>
          <t>Limpieza narices elect</t>
        </is>
      </c>
      <c r="C6" s="4" t="inlineStr">
        <is>
          <t>Sensor NE Piscina 10</t>
        </is>
      </c>
      <c r="D6" s="4" t="inlineStr">
        <is>
          <t>2026-03-01</t>
        </is>
      </c>
      <c r="E6" s="4" t="inlineStr">
        <is>
          <t>2026-03-10</t>
        </is>
      </c>
      <c r="F6" s="4" t="inlineStr">
        <is>
          <t>SIGNAR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/>
    </row>
  </sheetData>
  <autoFilter ref="A1:L1"/>
  <conditionalFormatting sqref="I2:I6">
    <cfRule type="expression" priority="1" dxfId="0">
      <formula>AND(I2&lt;&gt;"", LEN(I2)&gt;50)</formula>
    </cfRule>
  </conditionalFormatting>
  <dataValidations count="1">
    <dataValidation sqref="I1:I6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03626610</t>
        </is>
      </c>
      <c r="B2" s="4" t="inlineStr">
        <is>
          <t>HOUSEKEEPING</t>
        </is>
      </c>
      <c r="C2" s="4" t="inlineStr">
        <is>
          <t>OFICINAS  SI ENERGIA</t>
        </is>
      </c>
      <c r="D2" s="4" t="inlineStr">
        <is>
          <t>2026-03-05</t>
        </is>
      </c>
      <c r="E2" s="4" t="inlineStr">
        <is>
          <t>2026-03-11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HK</t>
        </is>
      </c>
    </row>
    <row r="3">
      <c r="A3" s="4" t="inlineStr">
        <is>
          <t>03626611</t>
        </is>
      </c>
      <c r="B3" s="4" t="inlineStr">
        <is>
          <t>MONITOREO DE BAÑOS Y CASINOS</t>
        </is>
      </c>
      <c r="C3" s="4" t="inlineStr">
        <is>
          <t>BCON UJINA</t>
        </is>
      </c>
      <c r="D3" s="4" t="inlineStr">
        <is>
          <t>2026-03-05</t>
        </is>
      </c>
      <c r="E3" s="4" t="inlineStr">
        <is>
          <t>2026-03-11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03626612</t>
        </is>
      </c>
      <c r="B4" s="4" t="inlineStr">
        <is>
          <t>MM DE AGUAS SUPERFICIALES</t>
        </is>
      </c>
      <c r="C4" s="4" t="inlineStr">
        <is>
          <t>BCON UJINA</t>
        </is>
      </c>
      <c r="D4" s="4" t="inlineStr">
        <is>
          <t>2026-03-05</t>
        </is>
      </c>
      <c r="E4" s="4" t="inlineStr">
        <is>
          <t>2026-03-11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ASUP</t>
        </is>
      </c>
    </row>
    <row r="5">
      <c r="A5" s="4" t="inlineStr">
        <is>
          <t>03626613</t>
        </is>
      </c>
      <c r="B5" s="4" t="inlineStr">
        <is>
          <t>MONITOREO DE BAÑOS Y CASINOS</t>
        </is>
      </c>
      <c r="C5" s="4" t="inlineStr">
        <is>
          <t>BGSO UJINA</t>
        </is>
      </c>
      <c r="D5" s="4" t="inlineStr">
        <is>
          <t>2026-03-05</t>
        </is>
      </c>
      <c r="E5" s="4" t="inlineStr">
        <is>
          <t>2026-03-11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AP</t>
        </is>
      </c>
    </row>
    <row r="6">
      <c r="A6" s="4" t="inlineStr">
        <is>
          <t>03626614</t>
        </is>
      </c>
      <c r="B6" s="4" t="inlineStr">
        <is>
          <t>MM DE AGUAS SUPERFICIALES</t>
        </is>
      </c>
      <c r="C6" s="4" t="inlineStr">
        <is>
          <t>BGSO UJINA</t>
        </is>
      </c>
      <c r="D6" s="4" t="inlineStr">
        <is>
          <t>2026-03-05</t>
        </is>
      </c>
      <c r="E6" s="4" t="inlineStr">
        <is>
          <t>2026-03-11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ASUP</t>
        </is>
      </c>
    </row>
    <row r="7">
      <c r="A7" s="4" t="inlineStr">
        <is>
          <t>03626615</t>
        </is>
      </c>
      <c r="B7" s="4" t="inlineStr">
        <is>
          <t>MEDICIÓN NIVELES FREÁTICOS</t>
        </is>
      </c>
      <c r="C7" s="4" t="inlineStr">
        <is>
          <t>ZANJA NORTE 2 PUERTO COLLAHUASI</t>
        </is>
      </c>
      <c r="D7" s="4" t="inlineStr">
        <is>
          <t>2026-03-05</t>
        </is>
      </c>
      <c r="E7" s="4" t="inlineStr">
        <is>
          <t>2026-03-11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03626616</t>
        </is>
      </c>
      <c r="B8" s="4" t="inlineStr">
        <is>
          <t>MONITOREO AGUAS SERVIDAS</t>
        </is>
      </c>
      <c r="C8" s="4" t="inlineStr">
        <is>
          <t>PTAS PUERTO COLLAHUASI PUERTO COLLAHUASI</t>
        </is>
      </c>
      <c r="D8" s="4" t="inlineStr">
        <is>
          <t>2026-03-05</t>
        </is>
      </c>
      <c r="E8" s="4" t="inlineStr">
        <is>
          <t>2026-03-11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AR</t>
        </is>
      </c>
    </row>
    <row r="9">
      <c r="A9" s="4" t="inlineStr">
        <is>
          <t>03626617</t>
        </is>
      </c>
      <c r="B9" s="4" t="inlineStr">
        <is>
          <t>MEDICIÓN NIVELES FREÁTICOS</t>
        </is>
      </c>
      <c r="C9" s="4" t="inlineStr">
        <is>
          <t>ZANJA NORTE 1 PUERTO COLLAHUASI</t>
        </is>
      </c>
      <c r="D9" s="4" t="inlineStr">
        <is>
          <t>2026-03-05</t>
        </is>
      </c>
      <c r="E9" s="4" t="inlineStr">
        <is>
          <t>2026-03-11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NF</t>
        </is>
      </c>
    </row>
    <row r="10">
      <c r="A10" s="4" t="inlineStr">
        <is>
          <t>03626618</t>
        </is>
      </c>
      <c r="B10" s="4" t="inlineStr">
        <is>
          <t>MUESTREO PUNTUAL DE RIL AS</t>
        </is>
      </c>
      <c r="C10" s="4" t="inlineStr">
        <is>
          <t>PTAS-C FALLA PABELLON</t>
        </is>
      </c>
      <c r="D10" s="4" t="inlineStr">
        <is>
          <t>2026-03-05</t>
        </is>
      </c>
      <c r="E10" s="4" t="inlineStr">
        <is>
          <t>2026-03-11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AR</t>
        </is>
      </c>
    </row>
    <row r="11">
      <c r="A11" s="4" t="inlineStr">
        <is>
          <t>03626619</t>
        </is>
      </c>
      <c r="B11" s="4" t="inlineStr">
        <is>
          <t>MONIT EN SALAS DE ESTACION Y TK</t>
        </is>
      </c>
      <c r="C11" s="4" t="inlineStr">
        <is>
          <t>TK-505 FALLA PABELLON</t>
        </is>
      </c>
      <c r="D11" s="4" t="inlineStr">
        <is>
          <t>2026-03-05</t>
        </is>
      </c>
      <c r="E11" s="4" t="inlineStr">
        <is>
          <t>2026-03-11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03626620</t>
        </is>
      </c>
      <c r="B12" s="4" t="inlineStr">
        <is>
          <t>MM DE AGUAS SUPERFICIALES</t>
        </is>
      </c>
      <c r="C12" s="4" t="inlineStr">
        <is>
          <t>TK-505 FALLA PABELLON</t>
        </is>
      </c>
      <c r="D12" s="4" t="inlineStr">
        <is>
          <t>2026-03-05</t>
        </is>
      </c>
      <c r="E12" s="4" t="inlineStr">
        <is>
          <t>2026-03-11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ASUP</t>
        </is>
      </c>
    </row>
    <row r="13">
      <c r="A13" s="4" t="inlineStr">
        <is>
          <t>03626621</t>
        </is>
      </c>
      <c r="B13" s="4" t="inlineStr">
        <is>
          <t>MEDICIÓN CAUDALES</t>
        </is>
      </c>
      <c r="C13" s="4" t="inlineStr">
        <is>
          <t>CSW-02 JACHUCOPOSA</t>
        </is>
      </c>
      <c r="D13" s="4" t="inlineStr">
        <is>
          <t>2026-03-05</t>
        </is>
      </c>
      <c r="E13" s="4" t="inlineStr">
        <is>
          <t>2026-03-11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CAUDAL</t>
        </is>
      </c>
    </row>
    <row r="14">
      <c r="A14" s="4" t="inlineStr">
        <is>
          <t>03626622</t>
        </is>
      </c>
      <c r="B14" s="4" t="inlineStr">
        <is>
          <t>MONITOREO DE BAÑOS Y CASINOS</t>
        </is>
      </c>
      <c r="C14" s="4" t="inlineStr">
        <is>
          <t>BPCR ROSARIO</t>
        </is>
      </c>
      <c r="D14" s="4" t="inlineStr">
        <is>
          <t>2026-03-05</t>
        </is>
      </c>
      <c r="E14" s="4" t="inlineStr">
        <is>
          <t>2026-03-11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AP</t>
        </is>
      </c>
    </row>
    <row r="15">
      <c r="A15" s="4" t="inlineStr">
        <is>
          <t>03626623</t>
        </is>
      </c>
      <c r="B15" s="4" t="inlineStr">
        <is>
          <t>MM DE AGUAS SUPERFICIALES</t>
        </is>
      </c>
      <c r="C15" s="4" t="inlineStr">
        <is>
          <t>BPCR ROSARIO</t>
        </is>
      </c>
      <c r="D15" s="4" t="inlineStr">
        <is>
          <t>2026-03-05</t>
        </is>
      </c>
      <c r="E15" s="4" t="inlineStr">
        <is>
          <t>2026-03-11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ASUP</t>
        </is>
      </c>
    </row>
    <row r="16">
      <c r="A16" s="4" t="inlineStr">
        <is>
          <t>03626624</t>
        </is>
      </c>
      <c r="B16" s="4" t="inlineStr">
        <is>
          <t>MUESTREO M. AGUAS SUPERF (FOTOMETRO)</t>
        </is>
      </c>
      <c r="C16" s="4" t="inlineStr">
        <is>
          <t>QDH-1E PISC. HUINQUIN. (INT. RAJO ROSA )</t>
        </is>
      </c>
      <c r="D16" s="4" t="inlineStr">
        <is>
          <t>2026-03-05</t>
        </is>
      </c>
      <c r="E16" s="4" t="inlineStr">
        <is>
          <t>2026-03-11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FOTOMETRO</t>
        </is>
      </c>
    </row>
    <row r="17">
      <c r="A17" s="4" t="inlineStr">
        <is>
          <t>03626625</t>
        </is>
      </c>
      <c r="B17" s="4" t="inlineStr">
        <is>
          <t>MEDICIÓN CAUDALES</t>
        </is>
      </c>
      <c r="C17" s="4" t="inlineStr">
        <is>
          <t>QDH-2 HUINQUINTIPA</t>
        </is>
      </c>
      <c r="D17" s="4" t="inlineStr">
        <is>
          <t>2026-03-05</t>
        </is>
      </c>
      <c r="E17" s="4" t="inlineStr">
        <is>
          <t>2026-03-11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CAUDAL</t>
        </is>
      </c>
    </row>
    <row r="18">
      <c r="A18" s="4" t="inlineStr">
        <is>
          <t>03626626</t>
        </is>
      </c>
      <c r="B18" s="4" t="inlineStr">
        <is>
          <t>MM. AGUAS  SUPERF. (FOTOMETRO)</t>
        </is>
      </c>
      <c r="C18" s="4" t="inlineStr">
        <is>
          <t>QSD-1 PISC. HUINQUIN. (INT. RAJO ROSA )</t>
        </is>
      </c>
      <c r="D18" s="4" t="inlineStr">
        <is>
          <t>2026-03-05</t>
        </is>
      </c>
      <c r="E18" s="4" t="inlineStr">
        <is>
          <t>2026-03-11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FOTOMETRO</t>
        </is>
      </c>
    </row>
    <row r="19">
      <c r="A19" s="4" t="inlineStr">
        <is>
          <t>03626627</t>
        </is>
      </c>
      <c r="B19" s="4" t="inlineStr">
        <is>
          <t>MEDICIÓN CAUDALES</t>
        </is>
      </c>
      <c r="C19" s="4" t="inlineStr">
        <is>
          <t>QSN-1 SAN NICOLAS</t>
        </is>
      </c>
      <c r="D19" s="4" t="inlineStr">
        <is>
          <t>2026-03-05</t>
        </is>
      </c>
      <c r="E19" s="4" t="inlineStr">
        <is>
          <t>2026-03-11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CAUDAL</t>
        </is>
      </c>
    </row>
    <row r="20">
      <c r="A20" s="4" t="inlineStr">
        <is>
          <t>03626628</t>
        </is>
      </c>
      <c r="B20" s="4" t="inlineStr">
        <is>
          <t>MEDICIÓN NIVELES FREÁTICOS</t>
        </is>
      </c>
      <c r="C20" s="4" t="inlineStr">
        <is>
          <t>SH-02B PUERTO COLLAHUASI</t>
        </is>
      </c>
      <c r="D20" s="4" t="inlineStr">
        <is>
          <t>2026-03-05</t>
        </is>
      </c>
      <c r="E20" s="4" t="inlineStr">
        <is>
          <t>2026-03-11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03626629</t>
        </is>
      </c>
      <c r="B21" s="4" t="inlineStr">
        <is>
          <t>MEDICIÓN NIVELES FREÁTICOS</t>
        </is>
      </c>
      <c r="C21" s="4" t="inlineStr">
        <is>
          <t>SH-06 PUERTO COLLAHUASI</t>
        </is>
      </c>
      <c r="D21" s="4" t="inlineStr">
        <is>
          <t>2026-03-05</t>
        </is>
      </c>
      <c r="E21" s="4" t="inlineStr">
        <is>
          <t>2026-03-11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03626630</t>
        </is>
      </c>
      <c r="B22" s="4" t="inlineStr">
        <is>
          <t>MEDICIÓN NIVELES FREÁTICOS</t>
        </is>
      </c>
      <c r="C22" s="4" t="inlineStr">
        <is>
          <t>SH-07 PUERTO COLLAHUASI</t>
        </is>
      </c>
      <c r="D22" s="4" t="inlineStr">
        <is>
          <t>2026-03-05</t>
        </is>
      </c>
      <c r="E22" s="4" t="inlineStr">
        <is>
          <t>2026-03-11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03626631</t>
        </is>
      </c>
      <c r="B23" s="4" t="inlineStr">
        <is>
          <t>MEDICIÓN NIVELES FREÁTICOS</t>
        </is>
      </c>
      <c r="C23" s="4" t="inlineStr">
        <is>
          <t>SH-08 PUERTO COLLAHUASI</t>
        </is>
      </c>
      <c r="D23" s="4" t="inlineStr">
        <is>
          <t>2026-03-05</t>
        </is>
      </c>
      <c r="E23" s="4" t="inlineStr">
        <is>
          <t>2026-03-11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NF</t>
        </is>
      </c>
    </row>
    <row r="24">
      <c r="A24" s="4" t="inlineStr">
        <is>
          <t>03626632</t>
        </is>
      </c>
      <c r="B24" s="4" t="inlineStr">
        <is>
          <t>MEDICIÓN NIVELES FREÁTICOS</t>
        </is>
      </c>
      <c r="C24" s="4" t="inlineStr">
        <is>
          <t>SH-19 PUERTO COLLAHUASI</t>
        </is>
      </c>
      <c r="D24" s="4" t="inlineStr">
        <is>
          <t>2026-03-05</t>
        </is>
      </c>
      <c r="E24" s="4" t="inlineStr">
        <is>
          <t>2026-03-11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03626633</t>
        </is>
      </c>
      <c r="B25" s="4" t="inlineStr">
        <is>
          <t>MONITOREO DE BAÑOS Y CASINOS</t>
        </is>
      </c>
      <c r="C25" s="4" t="inlineStr">
        <is>
          <t>CPC FALLA PABELLON</t>
        </is>
      </c>
      <c r="D25" s="4" t="inlineStr">
        <is>
          <t>2026-03-05</t>
        </is>
      </c>
      <c r="E25" s="4" t="inlineStr">
        <is>
          <t>2026-03-11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03626634</t>
        </is>
      </c>
      <c r="B26" s="4" t="inlineStr">
        <is>
          <t>MM DE AGUAS SUPERFICIALES</t>
        </is>
      </c>
      <c r="C26" s="4" t="inlineStr">
        <is>
          <t>CPC FALLA PABELLON</t>
        </is>
      </c>
      <c r="D26" s="4" t="inlineStr">
        <is>
          <t>2026-03-05</t>
        </is>
      </c>
      <c r="E26" s="4" t="inlineStr">
        <is>
          <t>2026-03-11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ASUP</t>
        </is>
      </c>
    </row>
    <row r="27">
      <c r="A27" s="4" t="inlineStr">
        <is>
          <t>03626635</t>
        </is>
      </c>
      <c r="B27" s="4" t="inlineStr">
        <is>
          <t>MONITOREO DE BAÑOS Y CASINOS</t>
        </is>
      </c>
      <c r="C27" s="4" t="inlineStr">
        <is>
          <t>C-1000 UJINA</t>
        </is>
      </c>
      <c r="D27" s="4" t="inlineStr">
        <is>
          <t>2026-03-05</t>
        </is>
      </c>
      <c r="E27" s="4" t="inlineStr">
        <is>
          <t>2026-03-11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03626636</t>
        </is>
      </c>
      <c r="B28" s="4" t="inlineStr">
        <is>
          <t>MM DE AGUAS SUPERFICIALES</t>
        </is>
      </c>
      <c r="C28" s="4" t="inlineStr">
        <is>
          <t>C-1000 UJINA</t>
        </is>
      </c>
      <c r="D28" s="4" t="inlineStr">
        <is>
          <t>2026-03-05</t>
        </is>
      </c>
      <c r="E28" s="4" t="inlineStr">
        <is>
          <t>2026-03-11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ASUP</t>
        </is>
      </c>
    </row>
    <row r="29">
      <c r="A29" s="4" t="inlineStr">
        <is>
          <t>03626637</t>
        </is>
      </c>
      <c r="B29" s="4" t="inlineStr">
        <is>
          <t>MONITOREO DE BAÑOS Y CASINOS</t>
        </is>
      </c>
      <c r="C29" s="4" t="inlineStr">
        <is>
          <t>MONITOREO DE BAÑOS Y CASINOS BCC</t>
        </is>
      </c>
      <c r="D29" s="4" t="inlineStr">
        <is>
          <t>2026-03-05</t>
        </is>
      </c>
      <c r="E29" s="4" t="inlineStr">
        <is>
          <t>2026-03-11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03626638</t>
        </is>
      </c>
      <c r="B30" s="4" t="inlineStr">
        <is>
          <t>MM DE AGUAS SUPERFICIALES</t>
        </is>
      </c>
      <c r="C30" s="4" t="inlineStr">
        <is>
          <t>MONITOREO DE BAÑOS Y CASINOS BCC</t>
        </is>
      </c>
      <c r="D30" s="4" t="inlineStr">
        <is>
          <t>2026-03-05</t>
        </is>
      </c>
      <c r="E30" s="4" t="inlineStr">
        <is>
          <t>2026-03-11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ASUP</t>
        </is>
      </c>
    </row>
    <row r="31">
      <c r="A31" s="4" t="inlineStr">
        <is>
          <t>03626639</t>
        </is>
      </c>
      <c r="B31" s="4" t="inlineStr">
        <is>
          <t>MONITOREO DE BAÑOS Y CASINOS</t>
        </is>
      </c>
      <c r="C31" s="4" t="inlineStr">
        <is>
          <t>C-460 ROSARIO</t>
        </is>
      </c>
      <c r="D31" s="4" t="inlineStr">
        <is>
          <t>2026-03-05</t>
        </is>
      </c>
      <c r="E31" s="4" t="inlineStr">
        <is>
          <t>2026-03-11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AP</t>
        </is>
      </c>
    </row>
    <row r="32">
      <c r="A32" s="4" t="inlineStr">
        <is>
          <t>03626640</t>
        </is>
      </c>
      <c r="B32" s="4" t="inlineStr">
        <is>
          <t>MM DE AGUAS SUPERFICIALES</t>
        </is>
      </c>
      <c r="C32" s="4" t="inlineStr">
        <is>
          <t>C-460 ROSARIO</t>
        </is>
      </c>
      <c r="D32" s="4" t="inlineStr">
        <is>
          <t>2026-03-05</t>
        </is>
      </c>
      <c r="E32" s="4" t="inlineStr">
        <is>
          <t>2026-03-11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ASUP</t>
        </is>
      </c>
    </row>
    <row r="33">
      <c r="A33" s="4" t="inlineStr">
        <is>
          <t>03626641</t>
        </is>
      </c>
      <c r="B33" s="4" t="inlineStr">
        <is>
          <t>MONITOREO DE BAÑOS Y CASINOS</t>
        </is>
      </c>
      <c r="C33" s="4" t="inlineStr">
        <is>
          <t>CCD</t>
        </is>
      </c>
      <c r="D33" s="4" t="inlineStr">
        <is>
          <t>2026-03-05</t>
        </is>
      </c>
      <c r="E33" s="4" t="inlineStr">
        <is>
          <t>2026-03-11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AP</t>
        </is>
      </c>
    </row>
    <row r="34">
      <c r="A34" s="4" t="inlineStr">
        <is>
          <t>03626642</t>
        </is>
      </c>
      <c r="B34" s="4" t="inlineStr">
        <is>
          <t>MM DE AGUAS SUPERFICIALES</t>
        </is>
      </c>
      <c r="C34" s="4" t="inlineStr">
        <is>
          <t>CCD</t>
        </is>
      </c>
      <c r="D34" s="4" t="inlineStr">
        <is>
          <t>2026-03-05</t>
        </is>
      </c>
      <c r="E34" s="4" t="inlineStr">
        <is>
          <t>2026-03-11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ASUP</t>
        </is>
      </c>
    </row>
    <row r="35">
      <c r="A35" s="4" t="inlineStr">
        <is>
          <t>03626643</t>
        </is>
      </c>
      <c r="B35" s="4" t="inlineStr">
        <is>
          <t>MONIT EN SALAS DE ESTACION Y TK</t>
        </is>
      </c>
      <c r="C35" s="4" t="inlineStr">
        <is>
          <t>TK-1004 ROSARIO</t>
        </is>
      </c>
      <c r="D35" s="4" t="inlineStr">
        <is>
          <t>2026-03-05</t>
        </is>
      </c>
      <c r="E35" s="4" t="inlineStr">
        <is>
          <t>2026-03-11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AP</t>
        </is>
      </c>
    </row>
    <row r="36">
      <c r="A36" s="4" t="inlineStr">
        <is>
          <t>03626644</t>
        </is>
      </c>
      <c r="B36" s="4" t="inlineStr">
        <is>
          <t>MM DE AGUAS SUPERFICIALES</t>
        </is>
      </c>
      <c r="C36" s="4" t="inlineStr">
        <is>
          <t>TK-1004 ROSARIO</t>
        </is>
      </c>
      <c r="D36" s="4" t="inlineStr">
        <is>
          <t>2026-03-05</t>
        </is>
      </c>
      <c r="E36" s="4" t="inlineStr">
        <is>
          <t>2026-03-11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ASUP</t>
        </is>
      </c>
    </row>
    <row r="37">
      <c r="A37" s="4" t="inlineStr">
        <is>
          <t>03626645</t>
        </is>
      </c>
      <c r="B37" s="4" t="inlineStr">
        <is>
          <t>MONIT EN SALAS DE ESTACION Y TK</t>
        </is>
      </c>
      <c r="C37" s="4" t="inlineStr">
        <is>
          <t>TK-517 UJINA</t>
        </is>
      </c>
      <c r="D37" s="4" t="inlineStr">
        <is>
          <t>2026-03-05</t>
        </is>
      </c>
      <c r="E37" s="4" t="inlineStr">
        <is>
          <t>2026-03-11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AP</t>
        </is>
      </c>
    </row>
    <row r="38">
      <c r="A38" s="4" t="inlineStr">
        <is>
          <t>03626646</t>
        </is>
      </c>
      <c r="B38" s="4" t="inlineStr">
        <is>
          <t>MM DE AGUAS SUPERFICIALES</t>
        </is>
      </c>
      <c r="C38" s="4" t="inlineStr">
        <is>
          <t>TK-517 UJINA</t>
        </is>
      </c>
      <c r="D38" s="4" t="inlineStr">
        <is>
          <t>2026-03-05</t>
        </is>
      </c>
      <c r="E38" s="4" t="inlineStr">
        <is>
          <t>2026-03-11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ASUP</t>
        </is>
      </c>
    </row>
    <row r="39">
      <c r="A39" s="4" t="inlineStr">
        <is>
          <t>03626647</t>
        </is>
      </c>
      <c r="B39" s="4" t="inlineStr">
        <is>
          <t>MUESTREO PUNTUAL DE RIL-AS</t>
        </is>
      </c>
      <c r="C39" s="4" t="inlineStr">
        <is>
          <t>PTAS-M ROSARIO</t>
        </is>
      </c>
      <c r="D39" s="4" t="inlineStr">
        <is>
          <t>2026-03-05</t>
        </is>
      </c>
      <c r="E39" s="4" t="inlineStr">
        <is>
          <t>2026-03-11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AR</t>
        </is>
      </c>
    </row>
    <row r="40">
      <c r="A40" s="4" t="inlineStr">
        <is>
          <t>03626648</t>
        </is>
      </c>
      <c r="B40" s="4" t="inlineStr">
        <is>
          <t>MONITOREO DE BAÑOS Y CASINOS</t>
        </is>
      </c>
      <c r="C40" s="4" t="inlineStr">
        <is>
          <t>BOR ROSARIO</t>
        </is>
      </c>
      <c r="D40" s="4" t="inlineStr">
        <is>
          <t>2026-03-05</t>
        </is>
      </c>
      <c r="E40" s="4" t="inlineStr">
        <is>
          <t>2026-03-11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AP</t>
        </is>
      </c>
    </row>
    <row r="41">
      <c r="A41" s="4" t="inlineStr">
        <is>
          <t>03626649</t>
        </is>
      </c>
      <c r="B41" s="4" t="inlineStr">
        <is>
          <t>MM DE AGUAS SUPERFICIALES</t>
        </is>
      </c>
      <c r="C41" s="4" t="inlineStr">
        <is>
          <t>BOR ROSARIO</t>
        </is>
      </c>
      <c r="D41" s="4" t="inlineStr">
        <is>
          <t>2026-03-05</t>
        </is>
      </c>
      <c r="E41" s="4" t="inlineStr">
        <is>
          <t>2026-03-11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ASUP</t>
        </is>
      </c>
    </row>
    <row r="42">
      <c r="A42" s="4" t="inlineStr">
        <is>
          <t>03626650</t>
        </is>
      </c>
      <c r="B42" s="4" t="inlineStr">
        <is>
          <t>MUESTREO M. AGUAS SUPERF (FOTOMETRO)</t>
        </is>
      </c>
      <c r="C42" s="4" t="inlineStr">
        <is>
          <t>PISCINA  DIQUE HUINQUINTIPA</t>
        </is>
      </c>
      <c r="D42" s="4" t="inlineStr">
        <is>
          <t>2026-03-05</t>
        </is>
      </c>
      <c r="E42" s="4" t="inlineStr">
        <is>
          <t>2026-03-11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FOTOMETRO</t>
        </is>
      </c>
    </row>
    <row r="43">
      <c r="A43" s="4" t="inlineStr">
        <is>
          <t>03626769</t>
        </is>
      </c>
      <c r="B43" s="4" t="inlineStr">
        <is>
          <t>TRAS PERS. Y CAM. TURNO CONTRAT</t>
        </is>
      </c>
      <c r="C43" s="4" t="inlineStr">
        <is>
          <t>IQUIQUE - CMDIC Y VICE VERSA</t>
        </is>
      </c>
      <c r="D43" s="4" t="inlineStr">
        <is>
          <t>2026-03-05</t>
        </is>
      </c>
      <c r="E43" s="4" t="inlineStr">
        <is>
          <t>2026-03-11</t>
        </is>
      </c>
      <c r="F43" s="4" t="inlineStr">
        <is>
          <t>SIGADM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/>
    </row>
    <row r="44">
      <c r="A44" s="4" t="inlineStr">
        <is>
          <t>03626770</t>
        </is>
      </c>
      <c r="B44" s="4" t="inlineStr">
        <is>
          <t>TRAS MUESTRAS Y MATERIAL MUEST</t>
        </is>
      </c>
      <c r="C44" s="4" t="inlineStr">
        <is>
          <t>IQUIQUE - CMDIC Y VICE VERSA</t>
        </is>
      </c>
      <c r="D44" s="4" t="inlineStr">
        <is>
          <t>2026-03-05</t>
        </is>
      </c>
      <c r="E44" s="4" t="inlineStr">
        <is>
          <t>2026-03-11</t>
        </is>
      </c>
      <c r="F44" s="4" t="inlineStr">
        <is>
          <t>SIGADM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/>
    </row>
    <row r="45">
      <c r="A45" s="4" t="inlineStr">
        <is>
          <t>03626772</t>
        </is>
      </c>
      <c r="B45" s="4" t="inlineStr">
        <is>
          <t>OP DE ESTACIONES CONTINUAS</t>
        </is>
      </c>
      <c r="C45" s="4" t="inlineStr">
        <is>
          <t>Ujina</t>
        </is>
      </c>
      <c r="D45" s="4" t="inlineStr">
        <is>
          <t>2026-03-05</t>
        </is>
      </c>
      <c r="E45" s="4" t="inlineStr">
        <is>
          <t>2026-03-11</t>
        </is>
      </c>
      <c r="F45" s="4" t="inlineStr">
        <is>
          <t>SIGAIR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/>
    </row>
    <row r="46">
      <c r="A46" s="4" t="inlineStr">
        <is>
          <t>03626773</t>
        </is>
      </c>
      <c r="B46" s="4" t="inlineStr">
        <is>
          <t>OPERACIÓN DE ESTACIONES DISCRETAS</t>
        </is>
      </c>
      <c r="C46" s="4" t="inlineStr">
        <is>
          <t>Ujina</t>
        </is>
      </c>
      <c r="D46" s="4" t="inlineStr">
        <is>
          <t>2026-03-05</t>
        </is>
      </c>
      <c r="E46" s="4" t="inlineStr">
        <is>
          <t>2026-03-11</t>
        </is>
      </c>
      <c r="F46" s="4" t="inlineStr">
        <is>
          <t>SIGAIR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/>
    </row>
    <row r="47">
      <c r="A47" s="4" t="inlineStr">
        <is>
          <t>03626774</t>
        </is>
      </c>
      <c r="B47" s="4" t="inlineStr">
        <is>
          <t>OP DE ESTACIONES CONTINUAS</t>
        </is>
      </c>
      <c r="C47" s="4" t="inlineStr">
        <is>
          <t>Coposa Continuo</t>
        </is>
      </c>
      <c r="D47" s="4" t="inlineStr">
        <is>
          <t>2026-03-05</t>
        </is>
      </c>
      <c r="E47" s="4" t="inlineStr">
        <is>
          <t>2026-03-11</t>
        </is>
      </c>
      <c r="F47" s="4" t="inlineStr">
        <is>
          <t>SIGAIR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/>
    </row>
    <row r="48">
      <c r="A48" s="4" t="inlineStr">
        <is>
          <t>03626775</t>
        </is>
      </c>
      <c r="B48" s="4" t="inlineStr">
        <is>
          <t>OPERACIÓN DE ESTACIONES DISCRETAS</t>
        </is>
      </c>
      <c r="C48" s="4" t="inlineStr">
        <is>
          <t>Coposa EMRP Discreto</t>
        </is>
      </c>
      <c r="D48" s="4" t="inlineStr">
        <is>
          <t>2026-03-05</t>
        </is>
      </c>
      <c r="E48" s="4" t="inlineStr">
        <is>
          <t>2026-03-11</t>
        </is>
      </c>
      <c r="F48" s="4" t="inlineStr">
        <is>
          <t>SIGAIR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/>
    </row>
    <row r="49">
      <c r="A49" s="4" t="inlineStr">
        <is>
          <t>03626776</t>
        </is>
      </c>
      <c r="B49" s="4" t="inlineStr">
        <is>
          <t>OP DE ESTACIONES CONTINUAS</t>
        </is>
      </c>
      <c r="C49" s="4" t="inlineStr">
        <is>
          <t>Casino 460</t>
        </is>
      </c>
      <c r="D49" s="4" t="inlineStr">
        <is>
          <t>2026-03-05</t>
        </is>
      </c>
      <c r="E49" s="4" t="inlineStr">
        <is>
          <t>2026-03-11</t>
        </is>
      </c>
      <c r="F49" s="4" t="inlineStr">
        <is>
          <t>SIGAIR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/>
    </row>
    <row r="50">
      <c r="A50" s="4" t="inlineStr">
        <is>
          <t>03635939</t>
        </is>
      </c>
      <c r="B50" s="4" t="inlineStr">
        <is>
          <t>HOUSEKEEPING</t>
        </is>
      </c>
      <c r="C50" s="4" t="inlineStr"/>
      <c r="D50" s="4" t="inlineStr">
        <is>
          <t>2026-03-05</t>
        </is>
      </c>
      <c r="E50" s="4" t="inlineStr">
        <is>
          <t>2026-03-11</t>
        </is>
      </c>
      <c r="F50" s="4" t="inlineStr">
        <is>
          <t>SIGADM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/>
    </row>
    <row r="51">
      <c r="A51" s="4" t="inlineStr">
        <is>
          <t>03635942</t>
        </is>
      </c>
      <c r="B51" s="4" t="inlineStr">
        <is>
          <t>GESTION DE RESIDUOS</t>
        </is>
      </c>
      <c r="C51" s="4" t="inlineStr">
        <is>
          <t>BODEGA SIGA-B02</t>
        </is>
      </c>
      <c r="D51" s="4" t="inlineStr">
        <is>
          <t>2026-03-05</t>
        </is>
      </c>
      <c r="E51" s="4" t="inlineStr">
        <is>
          <t>2026-03-11</t>
        </is>
      </c>
      <c r="F51" s="4" t="inlineStr">
        <is>
          <t>SIGAIR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/>
    </row>
    <row r="52">
      <c r="A52" s="4" t="inlineStr">
        <is>
          <t>03635951</t>
        </is>
      </c>
      <c r="B52" s="4" t="inlineStr">
        <is>
          <t>MM. AGUAS  SUPERF. (FOTOMETRO)</t>
        </is>
      </c>
      <c r="C52" s="4" t="inlineStr">
        <is>
          <t>PISCINA DIQUE SAN DANIEL</t>
        </is>
      </c>
      <c r="D52" s="4" t="inlineStr">
        <is>
          <t>2026-03-05</t>
        </is>
      </c>
      <c r="E52" s="4" t="inlineStr">
        <is>
          <t>2026-03-11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FOTOMETRO</t>
        </is>
      </c>
    </row>
  </sheetData>
  <autoFilter ref="A1:L1"/>
  <conditionalFormatting sqref="I2:I52">
    <cfRule type="expression" priority="1" dxfId="0">
      <formula>AND(I2&lt;&gt;"", LEN(I2)&gt;50)</formula>
    </cfRule>
  </conditionalFormatting>
  <dataValidations count="1">
    <dataValidation sqref="I1:I52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16" customWidth="1" min="4" max="4"/>
    <col width="20" customWidth="1" min="5" max="5"/>
    <col width="14" customWidth="1" min="6" max="6"/>
    <col width="14" customWidth="1" min="7" max="7"/>
    <col width="35" customWidth="1" min="8" max="8"/>
    <col width="60" customWidth="1" min="9" max="9"/>
    <col width="28" customWidth="1" min="10" max="10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CODIGO DE CIERRE</t>
        </is>
      </c>
      <c r="H1" s="2" t="inlineStr">
        <is>
          <t>Descripción, obs</t>
        </is>
      </c>
      <c r="I1" s="1" t="inlineStr">
        <is>
          <t>Descripción Descripción de tarea programada 2</t>
        </is>
      </c>
      <c r="J1" s="3" t="inlineStr">
        <is>
          <t>Comentario adiciona</t>
        </is>
      </c>
    </row>
    <row r="2">
      <c r="A2" s="9" t="inlineStr">
        <is>
          <t>03631666</t>
        </is>
      </c>
      <c r="B2" s="9" t="inlineStr">
        <is>
          <t>REPORTE INFORMES PDR</t>
        </is>
      </c>
      <c r="C2" s="9" t="inlineStr"/>
      <c r="D2" s="9" t="inlineStr">
        <is>
          <t>2026-03-05</t>
        </is>
      </c>
      <c r="E2" s="9" t="inlineStr">
        <is>
          <t>2026-03-06</t>
        </is>
      </c>
      <c r="F2" s="9" t="inlineStr">
        <is>
          <t>SIGRPMO</t>
        </is>
      </c>
      <c r="G2" s="5" t="inlineStr"/>
      <c r="H2" s="10">
        <f>IF(G2="TT", B2 &amp; " EMITIDO", IF(G2="MI", B2 &amp; " NO EMITIDO", ""))</f>
        <v/>
      </c>
      <c r="I2" s="7">
        <f>IF(G2="TT", B2 &amp;" EMITIDO dentro de plazo, según planificación ", IF(G2="MI", B2 &amp; "NO SE RECIBE REPORTE EN LA FECHA SOLICITADA", ""))</f>
        <v/>
      </c>
      <c r="J2" s="5" t="n"/>
    </row>
    <row r="3">
      <c r="A3" s="9" t="inlineStr">
        <is>
          <t>03631667</t>
        </is>
      </c>
      <c r="B3" s="9" t="inlineStr">
        <is>
          <t>REPORTE PLANILLA NIVELES</t>
        </is>
      </c>
      <c r="C3" s="9" t="inlineStr"/>
      <c r="D3" s="9" t="inlineStr">
        <is>
          <t>2026-03-05</t>
        </is>
      </c>
      <c r="E3" s="9" t="inlineStr">
        <is>
          <t>2026-03-06</t>
        </is>
      </c>
      <c r="F3" s="9" t="inlineStr">
        <is>
          <t>SIGRPMO</t>
        </is>
      </c>
      <c r="G3" s="5" t="inlineStr"/>
      <c r="H3" s="10">
        <f>IF(G3="TT", B3 &amp; " EMITIDO", IF(G3="MI", B3 &amp; " NO EMITIDO", ""))</f>
        <v/>
      </c>
      <c r="I3" s="7">
        <f>IF(G3="TT", B3 &amp;" EMITIDO dentro de plazo, según planificación ", IF(G3="MI", B3 &amp; "NO SE RECIBE REPORTE EN LA FECHA SOLICITADA", ""))</f>
        <v/>
      </c>
      <c r="J3" s="5" t="n"/>
    </row>
    <row r="4">
      <c r="A4" s="9" t="inlineStr">
        <is>
          <t>03631668</t>
        </is>
      </c>
      <c r="B4" s="9" t="inlineStr">
        <is>
          <t>REPORTE PLANILLA CAUDALES</t>
        </is>
      </c>
      <c r="C4" s="9" t="inlineStr"/>
      <c r="D4" s="9" t="inlineStr">
        <is>
          <t>2026-03-05</t>
        </is>
      </c>
      <c r="E4" s="9" t="inlineStr">
        <is>
          <t>2026-03-06</t>
        </is>
      </c>
      <c r="F4" s="9" t="inlineStr">
        <is>
          <t>SIGRPMO</t>
        </is>
      </c>
      <c r="G4" s="5" t="inlineStr"/>
      <c r="H4" s="10">
        <f>IF(G4="TT", B4 &amp; " EMITIDO", IF(G4="MI", B4 &amp; " NO EMITIDO", ""))</f>
        <v/>
      </c>
      <c r="I4" s="7">
        <f>IF(G4="TT", B4 &amp;" EMITIDO dentro de plazo, según planificación ", IF(G4="MI", B4 &amp; "NO SE RECIBE REPORTE EN LA FECHA SOLICITADA", ""))</f>
        <v/>
      </c>
      <c r="J4" s="5" t="n"/>
    </row>
    <row r="5">
      <c r="A5" s="9" t="inlineStr">
        <is>
          <t>03631669</t>
        </is>
      </c>
      <c r="B5" s="9" t="inlineStr">
        <is>
          <t>REPORTE MANTENCION SENSORES CONTINUOS JA</t>
        </is>
      </c>
      <c r="C5" s="9" t="inlineStr">
        <is>
          <t>REPORTE MANTENCION SENSORES CONTINUOS JACHUCO</t>
        </is>
      </c>
      <c r="D5" s="9" t="inlineStr">
        <is>
          <t>2026-03-07</t>
        </is>
      </c>
      <c r="E5" s="9" t="inlineStr">
        <is>
          <t>2026-03-08</t>
        </is>
      </c>
      <c r="F5" s="9" t="inlineStr">
        <is>
          <t>SIGRPMO</t>
        </is>
      </c>
      <c r="G5" s="5" t="inlineStr"/>
      <c r="H5" s="10">
        <f>IF(G5="TT", B5 &amp; " EMITIDO", IF(G5="MI", B5 &amp; " NO EMITIDO", ""))</f>
        <v/>
      </c>
      <c r="I5" s="7">
        <f>IF(G5="TT", B5 &amp;" EMITIDO dentro de plazo, según planificación ", IF(G5="MI", B5 &amp; "NO SE RECIBE REPORTE EN LA FECHA SOLICITADA", ""))</f>
        <v/>
      </c>
      <c r="J5" s="5" t="n"/>
    </row>
    <row r="6">
      <c r="A6" s="9" t="inlineStr">
        <is>
          <t>03631670</t>
        </is>
      </c>
      <c r="B6" s="9" t="inlineStr">
        <is>
          <t>REPORTE PLANILLA NIVELES</t>
        </is>
      </c>
      <c r="C6" s="9" t="inlineStr"/>
      <c r="D6" s="9" t="inlineStr">
        <is>
          <t>2026-03-09</t>
        </is>
      </c>
      <c r="E6" s="9" t="inlineStr">
        <is>
          <t>2026-03-10</t>
        </is>
      </c>
      <c r="F6" s="9" t="inlineStr">
        <is>
          <t>SIGRPMO</t>
        </is>
      </c>
      <c r="G6" s="5" t="inlineStr"/>
      <c r="H6" s="10">
        <f>IF(G6="TT", B6 &amp; " EMITIDO", IF(G6="MI", B6 &amp; " NO EMITIDO", ""))</f>
        <v/>
      </c>
      <c r="I6" s="7">
        <f>IF(G6="TT", B6 &amp;" EMITIDO dentro de plazo, según planificación ", IF(G6="MI", B6 &amp; "NO SE RECIBE REPORTE EN LA FECHA SOLICITADA", ""))</f>
        <v/>
      </c>
      <c r="J6" s="5" t="n"/>
    </row>
    <row r="7">
      <c r="A7" s="9" t="inlineStr">
        <is>
          <t>03631671</t>
        </is>
      </c>
      <c r="B7" s="9" t="inlineStr">
        <is>
          <t>REPORTE PLANILLA CAUDALES</t>
        </is>
      </c>
      <c r="C7" s="9" t="inlineStr"/>
      <c r="D7" s="9" t="inlineStr">
        <is>
          <t>2026-03-09</t>
        </is>
      </c>
      <c r="E7" s="9" t="inlineStr">
        <is>
          <t>2026-03-10</t>
        </is>
      </c>
      <c r="F7" s="9" t="inlineStr">
        <is>
          <t>SIGRPMO</t>
        </is>
      </c>
      <c r="G7" s="5" t="inlineStr"/>
      <c r="H7" s="10">
        <f>IF(G7="TT", B7 &amp; " EMITIDO", IF(G7="MI", B7 &amp; " NO EMITIDO", ""))</f>
        <v/>
      </c>
      <c r="I7" s="7">
        <f>IF(G7="TT", B7 &amp;" EMITIDO dentro de plazo, según planificación ", IF(G7="MI", B7 &amp; "NO SE RECIBE REPORTE EN LA FECHA SOLICITADA", ""))</f>
        <v/>
      </c>
      <c r="J7" s="5" t="n"/>
    </row>
    <row r="8">
      <c r="A8" s="9" t="inlineStr">
        <is>
          <t>03631672</t>
        </is>
      </c>
      <c r="B8" s="9" t="inlineStr">
        <is>
          <t>RESUMEN MENSUAL REGISTROS NARICES ELECTR</t>
        </is>
      </c>
      <c r="C8" s="9" t="inlineStr"/>
      <c r="D8" s="9" t="inlineStr">
        <is>
          <t>2026-03-10</t>
        </is>
      </c>
      <c r="E8" s="9" t="inlineStr">
        <is>
          <t>2026-03-11</t>
        </is>
      </c>
      <c r="F8" s="9" t="inlineStr">
        <is>
          <t>SIGRPMO</t>
        </is>
      </c>
      <c r="G8" s="5" t="inlineStr"/>
      <c r="H8" s="10">
        <f>IF(G8="TT", B8 &amp; " EMITIDO", IF(G8="MI", B8 &amp; " NO EMITIDO", ""))</f>
        <v/>
      </c>
      <c r="I8" s="7">
        <f>IF(G8="TT", B8 &amp;" EMITIDO dentro de plazo, según planificación ", IF(G8="MI", B8 &amp; "NO SE RECIBE REPORTE EN LA FECHA SOLICITADA", ""))</f>
        <v/>
      </c>
      <c r="J8" s="5" t="n"/>
    </row>
    <row r="9">
      <c r="A9" s="9" t="inlineStr">
        <is>
          <t>03631673</t>
        </is>
      </c>
      <c r="B9" s="9" t="inlineStr">
        <is>
          <t>REPORTE PAT BARRERA HIDRÁULICA</t>
        </is>
      </c>
      <c r="C9" s="9" t="inlineStr"/>
      <c r="D9" s="9" t="inlineStr">
        <is>
          <t>2026-03-10</t>
        </is>
      </c>
      <c r="E9" s="9" t="inlineStr">
        <is>
          <t>2026-03-11</t>
        </is>
      </c>
      <c r="F9" s="9" t="inlineStr">
        <is>
          <t>SIGRPMO</t>
        </is>
      </c>
      <c r="G9" s="5" t="inlineStr"/>
      <c r="H9" s="10">
        <f>IF(G9="TT", B9 &amp; " EMITIDO", IF(G9="MI", B9 &amp; " NO EMITIDO", ""))</f>
        <v/>
      </c>
      <c r="I9" s="7">
        <f>IF(G9="TT", B9 &amp;" EMITIDO dentro de plazo, según planificación ", IF(G9="MI", B9 &amp; "NO SE RECIBE REPORTE EN LA FECHA SOLICITADA", ""))</f>
        <v/>
      </c>
      <c r="J9" s="5" t="n"/>
    </row>
    <row r="10">
      <c r="A10" s="9" t="inlineStr">
        <is>
          <t>03631674</t>
        </is>
      </c>
      <c r="B10" s="9" t="inlineStr">
        <is>
          <t>CARGA DATA WEB DIFROL</t>
        </is>
      </c>
      <c r="C10" s="9" t="inlineStr"/>
      <c r="D10" s="9" t="inlineStr">
        <is>
          <t>2026-03-10</t>
        </is>
      </c>
      <c r="E10" s="9" t="inlineStr">
        <is>
          <t>2026-03-11</t>
        </is>
      </c>
      <c r="F10" s="9" t="inlineStr">
        <is>
          <t>SIGRPMO</t>
        </is>
      </c>
      <c r="G10" s="5" t="inlineStr"/>
      <c r="H10" s="10">
        <f>IF(G10="TT", B10 &amp; " EMITIDO", IF(G10="MI", B10 &amp; " NO EMITIDO", ""))</f>
        <v/>
      </c>
      <c r="I10" s="7">
        <f>IF(G10="TT", B10 &amp;" EMITIDO dentro de plazo, según planificación ", IF(G10="MI", B10 &amp; "NO SE RECIBE REPORTE EN LA FECHA SOLICITADA", ""))</f>
        <v/>
      </c>
      <c r="J10" s="5" t="n"/>
    </row>
    <row r="11">
      <c r="A11" s="9" t="inlineStr">
        <is>
          <t>03631675</t>
        </is>
      </c>
      <c r="B11" s="9" t="inlineStr">
        <is>
          <t>REPORTE PAT JACHUCOPOSA-COPOSITO</t>
        </is>
      </c>
      <c r="C11" s="9" t="inlineStr">
        <is>
          <t>REPORTE PAT JACHUCOPOSA-COPOSITO</t>
        </is>
      </c>
      <c r="D11" s="9" t="inlineStr">
        <is>
          <t>2026-03-10</t>
        </is>
      </c>
      <c r="E11" s="9" t="inlineStr">
        <is>
          <t>2026-03-11</t>
        </is>
      </c>
      <c r="F11" s="9" t="inlineStr">
        <is>
          <t>SIGRPMO</t>
        </is>
      </c>
      <c r="G11" s="5" t="inlineStr"/>
      <c r="H11" s="10">
        <f>IF(G11="TT", B11 &amp; " EMITIDO", IF(G11="MI", B11 &amp; " NO EMITIDO", ""))</f>
        <v/>
      </c>
      <c r="I11" s="7">
        <f>IF(G11="TT", B11 &amp;" EMITIDO dentro de plazo, según planificación ", IF(G11="MI", B11 &amp; "NO SE RECIBE REPORTE EN LA FECHA SOLICITADA", ""))</f>
        <v/>
      </c>
      <c r="J11" s="5" t="n"/>
    </row>
    <row r="12">
      <c r="A12" s="9" t="inlineStr">
        <is>
          <t>03631676</t>
        </is>
      </c>
      <c r="B12" s="9" t="inlineStr">
        <is>
          <t>REPORTE PAT TRANQUE</t>
        </is>
      </c>
      <c r="C12" s="9" t="inlineStr">
        <is>
          <t>REPORTE PAT TRANQUE</t>
        </is>
      </c>
      <c r="D12" s="9" t="inlineStr">
        <is>
          <t>2026-03-10</t>
        </is>
      </c>
      <c r="E12" s="9" t="inlineStr">
        <is>
          <t>2026-03-11</t>
        </is>
      </c>
      <c r="F12" s="9" t="inlineStr">
        <is>
          <t>SIGRPMO</t>
        </is>
      </c>
      <c r="G12" s="5" t="inlineStr"/>
      <c r="H12" s="10">
        <f>IF(G12="TT", B12 &amp; " EMITIDO", IF(G12="MI", B12 &amp; " NO EMITIDO", ""))</f>
        <v/>
      </c>
      <c r="I12" s="7">
        <f>IF(G12="TT", B12 &amp;" EMITIDO dentro de plazo, según planificación ", IF(G12="MI", B12 &amp; "NO SE RECIBE REPORTE EN LA FECHA SOLICITADA", ""))</f>
        <v/>
      </c>
      <c r="J12" s="5" t="n"/>
    </row>
    <row r="13">
      <c r="A13" s="9" t="inlineStr">
        <is>
          <t>03631677</t>
        </is>
      </c>
      <c r="B13" s="9" t="inlineStr">
        <is>
          <t>REPORTE DGA</t>
        </is>
      </c>
      <c r="C13" s="9" t="inlineStr">
        <is>
          <t>REPORTE DGA</t>
        </is>
      </c>
      <c r="D13" s="9" t="inlineStr">
        <is>
          <t>2026-03-10</t>
        </is>
      </c>
      <c r="E13" s="9" t="inlineStr">
        <is>
          <t>2026-03-11</t>
        </is>
      </c>
      <c r="F13" s="9" t="inlineStr">
        <is>
          <t>SIGRPMO</t>
        </is>
      </c>
      <c r="G13" s="5" t="inlineStr"/>
      <c r="H13" s="10">
        <f>IF(G13="TT", B13 &amp; " EMITIDO", IF(G13="MI", B13 &amp; " NO EMITIDO", ""))</f>
        <v/>
      </c>
      <c r="I13" s="7">
        <f>IF(G13="TT", B13 &amp;" EMITIDO dentro de plazo, según planificación ", IF(G13="MI", B13 &amp; "NO SE RECIBE REPORTE EN LA FECHA SOLICITADA", ""))</f>
        <v/>
      </c>
      <c r="J13" s="5" t="n"/>
    </row>
    <row r="14">
      <c r="A14" s="9" t="inlineStr">
        <is>
          <t>03631678</t>
        </is>
      </c>
      <c r="B14" s="9" t="inlineStr">
        <is>
          <t>REPORTE PLIX-LPDC</t>
        </is>
      </c>
      <c r="C14" s="9" t="inlineStr">
        <is>
          <t>REPORTE PLIX-LPDC</t>
        </is>
      </c>
      <c r="D14" s="9" t="inlineStr">
        <is>
          <t>2026-03-10</t>
        </is>
      </c>
      <c r="E14" s="9" t="inlineStr">
        <is>
          <t>2026-03-11</t>
        </is>
      </c>
      <c r="F14" s="9" t="inlineStr">
        <is>
          <t>SIGRPMO</t>
        </is>
      </c>
      <c r="G14" s="5" t="inlineStr"/>
      <c r="H14" s="10">
        <f>IF(G14="TT", B14 &amp; " EMITIDO", IF(G14="MI", B14 &amp; " NO EMITIDO", ""))</f>
        <v/>
      </c>
      <c r="I14" s="7">
        <f>IF(G14="TT", B14 &amp;" EMITIDO dentro de plazo, según planificación ", IF(G14="MI", B14 &amp; "NO SE RECIBE REPORTE EN LA FECHA SOLICITADA", ""))</f>
        <v/>
      </c>
      <c r="J14" s="5" t="n"/>
    </row>
    <row r="15">
      <c r="A15" s="9" t="inlineStr">
        <is>
          <t>03631679</t>
        </is>
      </c>
      <c r="B15" s="9" t="inlineStr">
        <is>
          <t>REPORTE EXTRACCION COPOSA NORTE</t>
        </is>
      </c>
      <c r="C15" s="9" t="inlineStr">
        <is>
          <t>REPORTE EXTRACCION COPOSA NORTE</t>
        </is>
      </c>
      <c r="D15" s="9" t="inlineStr">
        <is>
          <t>2026-03-10</t>
        </is>
      </c>
      <c r="E15" s="9" t="inlineStr">
        <is>
          <t>2026-03-11</t>
        </is>
      </c>
      <c r="F15" s="9" t="inlineStr">
        <is>
          <t>SIGRPMO</t>
        </is>
      </c>
      <c r="G15" s="5" t="inlineStr"/>
      <c r="H15" s="10">
        <f>IF(G15="TT", B15 &amp; " EMITIDO", IF(G15="MI", B15 &amp; " NO EMITIDO", ""))</f>
        <v/>
      </c>
      <c r="I15" s="7">
        <f>IF(G15="TT", B15 &amp;" EMITIDO dentro de plazo, según planificación ", IF(G15="MI", B15 &amp; "NO SE RECIBE REPORTE EN LA FECHA SOLICITADA", ""))</f>
        <v/>
      </c>
      <c r="J15" s="5" t="n"/>
    </row>
    <row r="16">
      <c r="A16" s="9" t="inlineStr">
        <is>
          <t>03631680</t>
        </is>
      </c>
      <c r="B16" s="9" t="inlineStr">
        <is>
          <t>CARGA DATA WEB COMUNIDADES</t>
        </is>
      </c>
      <c r="C16" s="9" t="inlineStr"/>
      <c r="D16" s="9" t="inlineStr">
        <is>
          <t>2026-03-10</t>
        </is>
      </c>
      <c r="E16" s="9" t="inlineStr">
        <is>
          <t>2026-03-11</t>
        </is>
      </c>
      <c r="F16" s="9" t="inlineStr">
        <is>
          <t>SIGRPMO</t>
        </is>
      </c>
      <c r="G16" s="5" t="inlineStr"/>
      <c r="H16" s="10">
        <f>IF(G16="TT", B16 &amp; " EMITIDO", IF(G16="MI", B16 &amp; " NO EMITIDO", ""))</f>
        <v/>
      </c>
      <c r="I16" s="7">
        <f>IF(G16="TT", B16 &amp;" EMITIDO dentro de plazo, según planificación ", IF(G16="MI", B16 &amp; "NO SE RECIBE REPORTE EN LA FECHA SOLICITADA", ""))</f>
        <v/>
      </c>
      <c r="J16" s="5" t="n"/>
    </row>
    <row r="17">
      <c r="A17" s="9" t="inlineStr">
        <is>
          <t>ES532MACWE          0001</t>
        </is>
      </c>
      <c r="B17" s="9" t="inlineStr">
        <is>
          <t>REPORTE BALANCE IONICO</t>
        </is>
      </c>
      <c r="C17" s="9" t="inlineStr">
        <is>
          <t>REPORTE BALANCE IONICO</t>
        </is>
      </c>
      <c r="D17" s="9" t="inlineStr">
        <is>
          <t>2026-03-10</t>
        </is>
      </c>
      <c r="E17" s="9" t="inlineStr">
        <is>
          <t>2026-03-11</t>
        </is>
      </c>
      <c r="F17" s="9" t="inlineStr">
        <is>
          <t>SIGRPMO</t>
        </is>
      </c>
      <c r="G17" s="5" t="inlineStr"/>
      <c r="H17" s="10">
        <f>IF(G17="TT", B17 &amp; " EMITIDO", IF(G17="MI", B17 &amp; " NO EMITIDO", ""))</f>
        <v/>
      </c>
      <c r="I17" s="7">
        <f>IF(G17="TT", B17 &amp;" EMITIDO dentro de plazo, según planificación ", IF(G17="MI", B17 &amp; "NO SE RECIBE REPORTE EN LA FECHA SOLICITADA", ""))</f>
        <v/>
      </c>
      <c r="J17" s="5" t="n"/>
    </row>
  </sheetData>
  <autoFilter ref="A1:J1"/>
  <conditionalFormatting sqref="I2:I17">
    <cfRule type="expression" priority="1" dxfId="0">
      <formula>AND(I2&lt;&gt;"", LEN(I2)&gt;50)</formula>
    </cfRule>
  </conditionalFormatting>
  <dataValidations count="1">
    <dataValidation sqref="I1:I17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2026-03-05T22:25:53Z</dcterms:created>
  <dcterms:modified xsi:type="dcterms:W3CDTF">2026-03-05T22:25:53Z</dcterms:modified>
</cp:coreProperties>
</file>