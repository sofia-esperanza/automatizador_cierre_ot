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9" fullCalcOnLoad="1" refMode="R1C1"/>
  <pivotCaches>
    <pivotCache cacheId="0" r:id="rId9"/>
  </pivotCaches>
</workbook>
</file>

<file path=xl/styles.xml><?xml version="1.0" encoding="utf-8"?>
<styleSheet xmlns="http://schemas.openxmlformats.org/spreadsheetml/2006/main">
  <numFmts count="0"/>
  <fonts count="43">
    <font>
      <name val="Century Gothic"/>
      <family val="2"/>
      <color theme="1"/>
      <sz val="9"/>
    </font>
    <font>
      <name val="Century Gothic"/>
      <family val="2"/>
      <color rgb="FF000000"/>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right/>
      <top style="thin">
        <color theme="0" tint="-0.499984740745262"/>
      </top>
      <bottom/>
      <diagonal/>
    </border>
    <border>
      <left/>
      <right style="thin">
        <color theme="0" tint="-0.499984740745262"/>
      </right>
      <top style="thin">
        <color theme="0" tint="-0.499984740745262"/>
      </top>
      <bottom/>
      <diagonal/>
    </border>
  </borders>
  <cellStyleXfs count="2">
    <xf numFmtId="0" fontId="0" fillId="0" borderId="0"/>
    <xf numFmtId="0" fontId="14" fillId="0" borderId="0"/>
  </cellStyleXfs>
  <cellXfs count="332">
    <xf numFmtId="0" fontId="0" fillId="0" borderId="0" pivotButton="0" quotePrefix="0" xfId="0"/>
    <xf numFmtId="0" fontId="0" fillId="0" borderId="0" applyAlignment="1" pivotButton="0" quotePrefix="0" xfId="0">
      <alignment vertical="center"/>
    </xf>
    <xf numFmtId="0" fontId="5" fillId="5" borderId="6" applyAlignment="1" pivotButton="0" quotePrefix="0" xfId="0">
      <alignment horizontal="justify" vertical="top" wrapText="1"/>
    </xf>
    <xf numFmtId="0" fontId="2" fillId="0" borderId="6" applyAlignment="1" pivotButton="0" quotePrefix="0" xfId="0">
      <alignment horizontal="justify" vertical="top"/>
    </xf>
    <xf numFmtId="0" fontId="2" fillId="0" borderId="6" applyAlignment="1" pivotButton="0" quotePrefix="0" xfId="0">
      <alignment horizontal="justify" vertical="top" wrapText="1"/>
    </xf>
    <xf numFmtId="3" fontId="2" fillId="0" borderId="6" applyAlignment="1" pivotButton="0" quotePrefix="0" xfId="0">
      <alignment horizontal="justify" vertical="top" wrapText="1"/>
    </xf>
    <xf numFmtId="0" fontId="2"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7" fillId="0" borderId="0" applyAlignment="1" pivotButton="0" quotePrefix="0" xfId="0">
      <alignment horizontal="left" vertical="top"/>
    </xf>
    <xf numFmtId="0" fontId="8" fillId="0" borderId="0" applyAlignment="1" pivotButton="0" quotePrefix="0" xfId="0">
      <alignment horizontal="left" vertical="top"/>
    </xf>
    <xf numFmtId="0" fontId="7" fillId="0" borderId="0" applyAlignment="1" pivotButton="0" quotePrefix="0" xfId="0">
      <alignment vertical="center" wrapText="1"/>
    </xf>
    <xf numFmtId="0" fontId="7" fillId="0" borderId="11" applyAlignment="1" pivotButton="0" quotePrefix="0" xfId="0">
      <alignment horizontal="left" vertical="top"/>
    </xf>
    <xf numFmtId="0" fontId="7" fillId="0" borderId="12" applyAlignment="1" pivotButton="0" quotePrefix="0" xfId="0">
      <alignment horizontal="left" vertical="top"/>
    </xf>
    <xf numFmtId="0" fontId="7" fillId="0" borderId="13" applyAlignment="1" pivotButton="0" quotePrefix="0" xfId="0">
      <alignment horizontal="left" vertical="top"/>
    </xf>
    <xf numFmtId="0" fontId="9" fillId="0" borderId="14" applyAlignment="1" pivotButton="0" quotePrefix="0" xfId="0">
      <alignment horizontal="left" vertical="top"/>
    </xf>
    <xf numFmtId="0" fontId="9" fillId="0" borderId="0" applyAlignment="1" pivotButton="0" quotePrefix="0" xfId="0">
      <alignment horizontal="left" vertical="top"/>
    </xf>
    <xf numFmtId="0" fontId="7" fillId="0" borderId="1" applyAlignment="1" pivotButton="0" quotePrefix="0" xfId="0">
      <alignment vertical="center" wrapText="1"/>
    </xf>
    <xf numFmtId="0" fontId="7" fillId="0" borderId="15" applyAlignment="1" pivotButton="0" quotePrefix="0" xfId="0">
      <alignment horizontal="left" vertical="top"/>
    </xf>
    <xf numFmtId="0" fontId="7" fillId="0" borderId="16" applyAlignment="1" pivotButton="0" quotePrefix="0" xfId="0">
      <alignment horizontal="left" vertical="top"/>
    </xf>
    <xf numFmtId="0" fontId="8" fillId="0" borderId="17" applyAlignment="1" pivotButton="0" quotePrefix="0" xfId="0">
      <alignment horizontal="left" vertical="top"/>
    </xf>
    <xf numFmtId="0" fontId="10" fillId="0" borderId="17" applyAlignment="1" pivotButton="0" quotePrefix="0" xfId="0">
      <alignment horizontal="justify" vertical="center"/>
    </xf>
    <xf numFmtId="0" fontId="10" fillId="0" borderId="0" applyAlignment="1" pivotButton="0" quotePrefix="0" xfId="0">
      <alignment horizontal="justify" vertical="center"/>
    </xf>
    <xf numFmtId="0" fontId="9" fillId="0" borderId="17" applyAlignment="1" pivotButton="0" quotePrefix="0" xfId="0">
      <alignment horizontal="left" vertical="top"/>
    </xf>
    <xf numFmtId="0" fontId="7" fillId="0" borderId="18" applyAlignment="1" pivotButton="0" quotePrefix="0" xfId="0">
      <alignment horizontal="left" vertical="top"/>
    </xf>
    <xf numFmtId="0" fontId="7" fillId="0" borderId="19" applyAlignment="1" pivotButton="0" quotePrefix="0" xfId="0">
      <alignment horizontal="left" vertical="top"/>
    </xf>
    <xf numFmtId="0" fontId="12" fillId="0" borderId="20" applyAlignment="1" pivotButton="0" quotePrefix="0" xfId="0">
      <alignment horizontal="left" vertical="top"/>
    </xf>
    <xf numFmtId="0" fontId="12" fillId="0" borderId="21" applyAlignment="1" pivotButton="0" quotePrefix="0" xfId="0">
      <alignment horizontal="left" vertical="top"/>
    </xf>
    <xf numFmtId="0" fontId="12" fillId="0" borderId="0" applyAlignment="1" pivotButton="0" quotePrefix="0" xfId="0">
      <alignment horizontal="left" vertical="top"/>
    </xf>
    <xf numFmtId="0" fontId="13" fillId="6" borderId="1" applyAlignment="1" pivotButton="0" quotePrefix="0" xfId="0">
      <alignment horizontal="center" vertical="center" wrapText="1"/>
    </xf>
    <xf numFmtId="0" fontId="14"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16"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16"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17" fillId="0" borderId="1" pivotButton="0" quotePrefix="0" xfId="0"/>
    <xf numFmtId="0" fontId="16" fillId="0"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vertical="center"/>
    </xf>
    <xf numFmtId="0" fontId="16"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16" fillId="0" borderId="29" applyAlignment="1" pivotButton="0" quotePrefix="0" xfId="0">
      <alignment horizontal="center" vertical="center" wrapText="1"/>
    </xf>
    <xf numFmtId="0" fontId="16" fillId="0" borderId="29" applyAlignment="1" pivotButton="0" quotePrefix="0" xfId="0">
      <alignment vertical="center" wrapText="1"/>
    </xf>
    <xf numFmtId="0" fontId="16" fillId="0" borderId="29" applyAlignment="1" pivotButton="0" quotePrefix="0" xfId="0">
      <alignment vertical="center"/>
    </xf>
    <xf numFmtId="0" fontId="16" fillId="0" borderId="30" applyAlignment="1" pivotButton="0" quotePrefix="0" xfId="0">
      <alignment vertical="center"/>
    </xf>
    <xf numFmtId="0" fontId="18"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0"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6"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19"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1" fillId="5" borderId="9" applyAlignment="1" pivotButton="0" quotePrefix="0" xfId="0">
      <alignment horizontal="center" vertical="center" wrapText="1"/>
    </xf>
    <xf numFmtId="0" fontId="21" fillId="5" borderId="1" applyAlignment="1" pivotButton="0" quotePrefix="0" xfId="0">
      <alignment horizontal="center" vertical="center" wrapText="1"/>
    </xf>
    <xf numFmtId="0" fontId="21" fillId="5" borderId="1" applyAlignment="1" pivotButton="0" quotePrefix="0" xfId="0">
      <alignment horizontal="center" vertical="center"/>
    </xf>
    <xf numFmtId="0" fontId="21"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2"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6" fillId="18" borderId="30" applyAlignment="1" pivotButton="0" quotePrefix="0" xfId="0">
      <alignment horizontal="center"/>
    </xf>
    <xf numFmtId="1" fontId="6" fillId="18" borderId="27" applyAlignment="1" pivotButton="0" quotePrefix="0" xfId="0">
      <alignment horizontal="center"/>
    </xf>
    <xf numFmtId="1" fontId="6" fillId="18" borderId="25" applyAlignment="1" pivotButton="0" quotePrefix="0" xfId="0">
      <alignment horizontal="center"/>
    </xf>
    <xf numFmtId="1" fontId="6" fillId="18" borderId="29" applyAlignment="1" pivotButton="0" quotePrefix="0" xfId="0">
      <alignment horizontal="center"/>
    </xf>
    <xf numFmtId="1" fontId="6" fillId="18" borderId="1" applyAlignment="1" pivotButton="0" quotePrefix="0" xfId="0">
      <alignment horizontal="center"/>
    </xf>
    <xf numFmtId="1" fontId="6" fillId="18" borderId="24" applyAlignment="1" pivotButton="0" quotePrefix="0" xfId="0">
      <alignment horizontal="center"/>
    </xf>
    <xf numFmtId="0" fontId="6" fillId="18" borderId="29" applyAlignment="1" pivotButton="0" quotePrefix="0" xfId="0">
      <alignment horizontal="center"/>
    </xf>
    <xf numFmtId="0" fontId="6" fillId="18" borderId="1" applyAlignment="1" pivotButton="0" quotePrefix="0" xfId="0">
      <alignment horizontal="center"/>
    </xf>
    <xf numFmtId="0" fontId="6"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3"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25" fillId="0" borderId="0" pivotButton="0" quotePrefix="0" xfId="0"/>
    <xf numFmtId="0" fontId="0" fillId="0" borderId="34" pivotButton="0" quotePrefix="0" xfId="0"/>
    <xf numFmtId="0" fontId="21" fillId="4" borderId="34" pivotButton="0" quotePrefix="0" xfId="0"/>
    <xf numFmtId="0" fontId="26" fillId="0" borderId="34"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4"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29" fillId="27" borderId="8" applyAlignment="1" pivotButton="0" quotePrefix="0" xfId="0">
      <alignment horizontal="center" wrapText="1"/>
    </xf>
    <xf numFmtId="14" fontId="29" fillId="27" borderId="8" applyAlignment="1" pivotButton="0" quotePrefix="0" xfId="0">
      <alignment horizontal="right" wrapText="1"/>
    </xf>
    <xf numFmtId="0" fontId="29" fillId="27" borderId="8" applyAlignment="1" pivotButton="0" quotePrefix="0" xfId="0">
      <alignment horizontal="right" wrapText="1"/>
    </xf>
    <xf numFmtId="0" fontId="29" fillId="9" borderId="8" applyAlignment="1" pivotButton="0" quotePrefix="0" xfId="0">
      <alignment wrapText="1"/>
    </xf>
    <xf numFmtId="0" fontId="29" fillId="15" borderId="1" applyAlignment="1" pivotButton="0" quotePrefix="0" xfId="0">
      <alignment horizontal="center" wrapText="1"/>
    </xf>
    <xf numFmtId="0" fontId="29" fillId="15" borderId="1" applyAlignment="1" pivotButton="0" quotePrefix="0" xfId="0">
      <alignment horizontal="center" vertical="center" wrapText="1"/>
    </xf>
    <xf numFmtId="0" fontId="29" fillId="15" borderId="3" applyAlignment="1" pivotButton="0" quotePrefix="0" xfId="0">
      <alignment horizontal="center" vertical="center" wrapText="1"/>
    </xf>
    <xf numFmtId="0" fontId="29" fillId="15" borderId="3" applyAlignment="1" pivotButton="0" quotePrefix="0" xfId="0">
      <alignment vertical="center" wrapText="1"/>
    </xf>
    <xf numFmtId="0" fontId="27" fillId="4" borderId="34" pivotButton="0" quotePrefix="0" xfId="0"/>
    <xf numFmtId="0" fontId="0" fillId="0" borderId="3" applyAlignment="1" pivotButton="0" quotePrefix="0" xfId="0">
      <alignment horizontal="center"/>
    </xf>
    <xf numFmtId="0" fontId="0" fillId="9" borderId="1" pivotButton="0" quotePrefix="0" xfId="0"/>
    <xf numFmtId="0" fontId="20" fillId="9" borderId="1" applyAlignment="1" pivotButton="0" quotePrefix="0" xfId="0">
      <alignment horizontal="center" vertical="center"/>
    </xf>
    <xf numFmtId="0" fontId="31"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2"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25"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26" fillId="0" borderId="1" applyAlignment="1" pivotButton="0" quotePrefix="0" xfId="0">
      <alignment horizontal="center"/>
    </xf>
    <xf numFmtId="0" fontId="26" fillId="0" borderId="1" applyAlignment="1" pivotButton="0" quotePrefix="0" xfId="0">
      <alignment horizontal="left"/>
    </xf>
    <xf numFmtId="0" fontId="26" fillId="0" borderId="27" applyAlignment="1" pivotButton="0" quotePrefix="0" xfId="0">
      <alignment horizontal="left" vertical="center"/>
    </xf>
    <xf numFmtId="0" fontId="26" fillId="0" borderId="3" pivotButton="0" quotePrefix="0" xfId="0"/>
    <xf numFmtId="0" fontId="0" fillId="0" borderId="27" applyAlignment="1" pivotButton="0" quotePrefix="0" xfId="0">
      <alignment horizontal="left" vertical="center"/>
    </xf>
    <xf numFmtId="0" fontId="6" fillId="0" borderId="1" applyAlignment="1" pivotButton="0" quotePrefix="0" xfId="0">
      <alignment horizontal="center"/>
    </xf>
    <xf numFmtId="0" fontId="0" fillId="9" borderId="1" applyAlignment="1" pivotButton="0" quotePrefix="0" xfId="0">
      <alignment horizontal="left" vertical="center"/>
    </xf>
    <xf numFmtId="0" fontId="25"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26" fillId="0" borderId="3" applyAlignment="1" pivotButton="0" quotePrefix="0" xfId="0">
      <alignment vertical="center"/>
    </xf>
    <xf numFmtId="0" fontId="0" fillId="0" borderId="1" applyAlignment="1" pivotButton="0" quotePrefix="0" xfId="0">
      <alignment horizontal="left" vertical="center"/>
    </xf>
    <xf numFmtId="0" fontId="26"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1" fillId="30" borderId="1" pivotButton="0" quotePrefix="0" xfId="0"/>
    <xf numFmtId="0" fontId="0" fillId="0" borderId="34" applyAlignment="1" pivotButton="0" quotePrefix="0" xfId="0">
      <alignment horizontal="center"/>
    </xf>
    <xf numFmtId="0" fontId="26" fillId="0" borderId="34"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4" fillId="0" borderId="1" applyAlignment="1" pivotButton="0" quotePrefix="0" xfId="0">
      <alignment horizontal="center" vertical="center"/>
    </xf>
    <xf numFmtId="0" fontId="0" fillId="9" borderId="34"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1" fillId="0" borderId="1" applyAlignment="1" pivotButton="0" quotePrefix="0" xfId="0">
      <alignment horizontal="center"/>
    </xf>
    <xf numFmtId="0" fontId="21" fillId="0" borderId="1" applyAlignment="1" pivotButton="0" quotePrefix="0" xfId="0">
      <alignment horizontal="center"/>
    </xf>
    <xf numFmtId="0" fontId="0" fillId="0" borderId="38" pivotButton="0" quotePrefix="0" xfId="0"/>
    <xf numFmtId="0" fontId="0" fillId="26" borderId="5" applyAlignment="1" pivotButton="0" quotePrefix="0" xfId="0">
      <alignment horizontal="center" vertical="center"/>
    </xf>
    <xf numFmtId="0" fontId="2" fillId="26" borderId="5" applyAlignment="1" pivotButton="0" quotePrefix="0" xfId="0">
      <alignment horizontal="center" vertical="center"/>
    </xf>
    <xf numFmtId="0" fontId="0" fillId="15" borderId="0" pivotButton="0" quotePrefix="0" xfId="0"/>
    <xf numFmtId="0" fontId="0" fillId="32" borderId="0" pivotButton="0" quotePrefix="0" xfId="0"/>
    <xf numFmtId="0" fontId="34"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2" fillId="0" borderId="34" pivotButton="0" quotePrefix="0" xfId="0"/>
    <xf numFmtId="0" fontId="2" fillId="8" borderId="34" pivotButton="0" quotePrefix="0" xfId="0"/>
    <xf numFmtId="0" fontId="0" fillId="9" borderId="34" applyAlignment="1" pivotButton="0" quotePrefix="0" xfId="0">
      <alignment horizontal="center"/>
    </xf>
    <xf numFmtId="0" fontId="0" fillId="9" borderId="34" pivotButton="0" quotePrefix="0" xfId="0"/>
    <xf numFmtId="0" fontId="27" fillId="0" borderId="34" pivotButton="0" quotePrefix="0" xfId="0"/>
    <xf numFmtId="0" fontId="0" fillId="0" borderId="34" applyAlignment="1" pivotButton="0" quotePrefix="0" xfId="0">
      <alignment wrapText="1"/>
    </xf>
    <xf numFmtId="0" fontId="0" fillId="21" borderId="34" pivotButton="0" quotePrefix="0" xfId="0"/>
    <xf numFmtId="0" fontId="0" fillId="8" borderId="34" pivotButton="0" quotePrefix="0" xfId="0"/>
    <xf numFmtId="0" fontId="0" fillId="0" borderId="34" applyAlignment="1" pivotButton="0" quotePrefix="0" xfId="0">
      <alignment horizontal="center" wrapText="1"/>
    </xf>
    <xf numFmtId="0" fontId="0" fillId="0" borderId="34"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36" fillId="0" borderId="1" pivotButton="0" quotePrefix="0" xfId="0"/>
    <xf numFmtId="3" fontId="0" fillId="0" borderId="1" pivotButton="0" quotePrefix="0" xfId="0"/>
    <xf numFmtId="16" fontId="0" fillId="0" borderId="1" applyAlignment="1" pivotButton="0" quotePrefix="0" xfId="0">
      <alignment horizontal="center"/>
    </xf>
    <xf numFmtId="0" fontId="38" fillId="0" borderId="0" applyAlignment="1" pivotButton="0" quotePrefix="0" xfId="0">
      <alignment vertical="center" wrapText="1"/>
    </xf>
    <xf numFmtId="0" fontId="38" fillId="27" borderId="1" applyAlignment="1" pivotButton="0" quotePrefix="0" xfId="0">
      <alignment vertical="center" wrapText="1"/>
    </xf>
    <xf numFmtId="14" fontId="38"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6"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35"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2" fillId="10" borderId="37" applyAlignment="1" pivotButton="0" quotePrefix="0" xfId="0">
      <alignment horizontal="center" vertical="center" textRotation="90" wrapText="1"/>
    </xf>
    <xf numFmtId="0" fontId="30" fillId="15" borderId="37" applyAlignment="1" pivotButton="0" quotePrefix="0" xfId="0">
      <alignment horizontal="center" vertical="center" textRotation="90" wrapText="1"/>
    </xf>
    <xf numFmtId="0" fontId="23" fillId="0" borderId="29" applyAlignment="1" pivotButton="0" quotePrefix="0" xfId="0">
      <alignment horizontal="center" vertical="center"/>
    </xf>
    <xf numFmtId="0" fontId="37" fillId="0" borderId="29" applyAlignment="1" pivotButton="0" quotePrefix="0" xfId="0">
      <alignment horizontal="center" vertical="center"/>
    </xf>
    <xf numFmtId="0" fontId="23" fillId="9" borderId="29" applyAlignment="1" pivotButton="0" quotePrefix="0" xfId="0">
      <alignment horizontal="center" vertical="center"/>
    </xf>
    <xf numFmtId="49" fontId="0" fillId="0" borderId="1" applyAlignment="1" pivotButton="0" quotePrefix="0" xfId="0">
      <alignment horizontal="center"/>
    </xf>
    <xf numFmtId="0" fontId="21" fillId="9" borderId="34" pivotButton="0" quotePrefix="0" xfId="0"/>
    <xf numFmtId="0" fontId="29" fillId="15" borderId="31" applyAlignment="1" pivotButton="0" quotePrefix="0" xfId="0">
      <alignment horizontal="center" wrapText="1"/>
    </xf>
    <xf numFmtId="0" fontId="29" fillId="9" borderId="38" applyAlignment="1" pivotButton="0" quotePrefix="0" xfId="0">
      <alignment wrapText="1"/>
    </xf>
    <xf numFmtId="0" fontId="0" fillId="36" borderId="1" applyAlignment="1" pivotButton="0" quotePrefix="0" xfId="0">
      <alignment horizontal="center"/>
    </xf>
    <xf numFmtId="0" fontId="39" fillId="9" borderId="1" applyAlignment="1" pivotButton="0" quotePrefix="0" xfId="0">
      <alignment horizontal="center"/>
    </xf>
    <xf numFmtId="0" fontId="7" fillId="0" borderId="41" applyAlignment="1" pivotButton="0" quotePrefix="0" xfId="0">
      <alignment horizontal="left"/>
    </xf>
    <xf numFmtId="0" fontId="7"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0" fillId="27" borderId="1" applyAlignment="1" pivotButton="0" quotePrefix="0" xfId="0">
      <alignment horizontal="center" vertical="center" wrapText="1"/>
    </xf>
    <xf numFmtId="14" fontId="38" fillId="27" borderId="1" applyAlignment="1" pivotButton="0" quotePrefix="0" xfId="0">
      <alignment horizontal="center" vertical="center" wrapText="1"/>
    </xf>
    <xf numFmtId="0" fontId="6" fillId="9" borderId="1" pivotButton="0" quotePrefix="0" xfId="0"/>
    <xf numFmtId="0" fontId="41" fillId="0" borderId="5" applyAlignment="1" pivotButton="0" quotePrefix="0" xfId="0">
      <alignment horizontal="left"/>
    </xf>
    <xf numFmtId="0" fontId="0" fillId="9" borderId="5" applyAlignment="1" pivotButton="0" quotePrefix="0" xfId="0">
      <alignment horizontal="center"/>
    </xf>
    <xf numFmtId="0" fontId="23" fillId="12" borderId="1" applyAlignment="1" pivotButton="0" quotePrefix="0" xfId="0">
      <alignment horizontal="center" vertical="center"/>
    </xf>
    <xf numFmtId="0" fontId="23" fillId="9" borderId="1" applyAlignment="1" pivotButton="0" quotePrefix="0" xfId="0">
      <alignment horizontal="center"/>
    </xf>
    <xf numFmtId="0" fontId="42" fillId="0" borderId="1" pivotButton="0" quotePrefix="0" xfId="0"/>
    <xf numFmtId="0" fontId="6" fillId="19" borderId="1" applyAlignment="1" pivotButton="0" quotePrefix="0" xfId="0">
      <alignment horizontal="center" vertical="center"/>
    </xf>
    <xf numFmtId="0" fontId="6" fillId="9" borderId="1" applyAlignment="1" pivotButton="0" quotePrefix="0" xfId="0">
      <alignment horizontal="center"/>
    </xf>
    <xf numFmtId="0" fontId="6" fillId="12" borderId="1" applyAlignment="1" pivotButton="0" quotePrefix="0" xfId="0">
      <alignment horizontal="center" vertical="center"/>
    </xf>
    <xf numFmtId="0" fontId="6"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34" applyAlignment="1" pivotButton="0" quotePrefix="0" xfId="0">
      <alignment horizontal="center"/>
    </xf>
    <xf numFmtId="0" fontId="0" fillId="0" borderId="7" pivotButton="0" quotePrefix="0" xfId="0"/>
    <xf numFmtId="0" fontId="0" fillId="9" borderId="34" applyAlignment="1" pivotButton="0" quotePrefix="0" xfId="0">
      <alignment horizontal="center" vertical="center"/>
    </xf>
    <xf numFmtId="0" fontId="0" fillId="0" borderId="1" applyAlignment="1" pivotButton="0" quotePrefix="0" xfId="0">
      <alignment horizontal="center"/>
    </xf>
    <xf numFmtId="0" fontId="0" fillId="0" borderId="9" pivotButton="0" quotePrefix="0" xfId="0"/>
    <xf numFmtId="0" fontId="32" fillId="5" borderId="29" applyAlignment="1" pivotButton="0" quotePrefix="0" xfId="0">
      <alignment horizontal="center" vertical="center" wrapText="1"/>
    </xf>
    <xf numFmtId="0" fontId="0" fillId="0" borderId="31" pivotButton="0" quotePrefix="0" xfId="0"/>
    <xf numFmtId="0" fontId="32" fillId="3" borderId="29"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vertical="center"/>
    </xf>
    <xf numFmtId="0" fontId="0" fillId="9" borderId="1" applyAlignment="1" pivotButton="0" quotePrefix="0" xfId="0">
      <alignment horizontal="left" vertical="center"/>
    </xf>
    <xf numFmtId="0" fontId="23" fillId="14" borderId="37" applyAlignment="1" pivotButton="0" quotePrefix="0" xfId="0">
      <alignment horizontal="center" vertical="center" textRotation="90" wrapText="1"/>
    </xf>
    <xf numFmtId="0" fontId="23" fillId="14" borderId="39" applyAlignment="1" pivotButton="0" quotePrefix="0" xfId="0">
      <alignment horizontal="center" vertical="center" textRotation="90" wrapText="1"/>
    </xf>
    <xf numFmtId="0" fontId="0" fillId="0" borderId="35" pivotButton="0" quotePrefix="0" xfId="0"/>
    <xf numFmtId="0" fontId="32" fillId="2" borderId="29" applyAlignment="1" pivotButton="0" quotePrefix="0" xfId="0">
      <alignment horizontal="center" vertical="center" wrapText="1"/>
    </xf>
    <xf numFmtId="0" fontId="0" fillId="0" borderId="1" applyAlignment="1" pivotButton="0" quotePrefix="0" xfId="0">
      <alignment horizontal="center" vertical="center"/>
    </xf>
    <xf numFmtId="0" fontId="0" fillId="0" borderId="34" applyAlignment="1" pivotButton="0" quotePrefix="0" xfId="0">
      <alignment horizontal="center" wrapText="1"/>
    </xf>
    <xf numFmtId="0" fontId="6" fillId="20" borderId="29" applyAlignment="1" pivotButton="0" quotePrefix="0" xfId="0">
      <alignment horizontal="center" vertical="center" textRotation="90"/>
    </xf>
    <xf numFmtId="0" fontId="6" fillId="22" borderId="29" applyAlignment="1" pivotButton="0" quotePrefix="0" xfId="0">
      <alignment horizontal="center" vertical="center" textRotation="90"/>
    </xf>
    <xf numFmtId="0" fontId="22" fillId="5" borderId="30" applyAlignment="1" pivotButton="0" quotePrefix="0" xfId="0">
      <alignment horizontal="center" vertical="center" wrapText="1"/>
    </xf>
    <xf numFmtId="0" fontId="0" fillId="0" borderId="45" pivotButton="0" quotePrefix="0" xfId="0"/>
    <xf numFmtId="0" fontId="0" fillId="0" borderId="46" pivotButton="0" quotePrefix="0" xfId="0"/>
    <xf numFmtId="0" fontId="0" fillId="8" borderId="34" applyAlignment="1" pivotButton="0" quotePrefix="0" xfId="0">
      <alignment horizontal="center"/>
    </xf>
    <xf numFmtId="1" fontId="0" fillId="17" borderId="47" applyAlignment="1" pivotButton="0" quotePrefix="0" xfId="0">
      <alignment horizontal="center"/>
    </xf>
    <xf numFmtId="0" fontId="0" fillId="0" borderId="32" pivotButton="0" quotePrefix="0" xfId="0"/>
    <xf numFmtId="0" fontId="0" fillId="0" borderId="33" pivotButton="0" quotePrefix="0" xfId="0"/>
    <xf numFmtId="1" fontId="24" fillId="9" borderId="29" applyAlignment="1" pivotButton="0" quotePrefix="0" xfId="0">
      <alignment horizontal="center" vertical="center" textRotation="90" wrapText="1"/>
    </xf>
    <xf numFmtId="0" fontId="3" fillId="11" borderId="29" applyAlignment="1" pivotButton="0" quotePrefix="0" xfId="0">
      <alignment horizontal="center" vertical="center" textRotation="90" wrapText="1"/>
    </xf>
    <xf numFmtId="1" fontId="3" fillId="11" borderId="28" applyAlignment="1" pivotButton="0" quotePrefix="0" xfId="0">
      <alignment horizontal="center" vertical="center" textRotation="90" wrapText="1"/>
    </xf>
    <xf numFmtId="0" fontId="0" fillId="0" borderId="43" pivotButton="0" quotePrefix="0" xfId="0"/>
    <xf numFmtId="0" fontId="0" fillId="0" borderId="44" pivotButton="0" quotePrefix="0" xfId="0"/>
    <xf numFmtId="1" fontId="24" fillId="0" borderId="29" applyAlignment="1" pivotButton="0" quotePrefix="0" xfId="0">
      <alignment horizontal="center" vertical="center" textRotation="90" wrapText="1"/>
    </xf>
    <xf numFmtId="1" fontId="3" fillId="11" borderId="29" applyAlignment="1" pivotButton="0" quotePrefix="0" xfId="0">
      <alignment horizontal="center" vertical="center" textRotation="90" wrapText="1"/>
    </xf>
    <xf numFmtId="0" fontId="23" fillId="10" borderId="36" applyAlignment="1" pivotButton="0" quotePrefix="0" xfId="0">
      <alignment horizontal="center" vertical="center" textRotation="90" wrapText="1"/>
    </xf>
    <xf numFmtId="0" fontId="0" fillId="0" borderId="38" pivotButton="0" quotePrefix="0" xfId="0"/>
    <xf numFmtId="0" fontId="0" fillId="0" borderId="8" pivotButton="0" quotePrefix="0" xfId="0"/>
    <xf numFmtId="0" fontId="0" fillId="8" borderId="34" applyAlignment="1" pivotButton="0" quotePrefix="0" xfId="0">
      <alignment horizontal="center" wrapText="1"/>
    </xf>
    <xf numFmtId="0" fontId="6" fillId="21" borderId="29" applyAlignment="1" pivotButton="0" quotePrefix="0" xfId="0">
      <alignment horizontal="center" vertical="center" textRotation="90"/>
    </xf>
    <xf numFmtId="0" fontId="6" fillId="23" borderId="29" applyAlignment="1" pivotButton="0" quotePrefix="0" xfId="0">
      <alignment horizontal="center" vertical="center" textRotation="90"/>
    </xf>
    <xf numFmtId="0" fontId="23" fillId="14" borderId="29" applyAlignment="1" pivotButton="0" quotePrefix="0" xfId="0">
      <alignment horizontal="center" vertical="center" textRotation="90" wrapText="1"/>
    </xf>
    <xf numFmtId="0" fontId="6" fillId="12" borderId="40" applyAlignment="1" pivotButton="0" quotePrefix="0" xfId="0">
      <alignment horizontal="center" vertical="center" textRotation="90"/>
    </xf>
    <xf numFmtId="0" fontId="0" fillId="0" borderId="34" applyAlignment="1" pivotButton="0" quotePrefix="0" xfId="0">
      <alignment horizontal="left"/>
    </xf>
    <xf numFmtId="0" fontId="23" fillId="17" borderId="37" applyAlignment="1" pivotButton="0" quotePrefix="0" xfId="0">
      <alignment horizontal="center" vertical="center" textRotation="90" wrapText="1"/>
    </xf>
    <xf numFmtId="0" fontId="33" fillId="13" borderId="36" applyAlignment="1" pivotButton="0" quotePrefix="0" xfId="0">
      <alignment horizontal="center" vertical="center" textRotation="90" wrapText="1"/>
    </xf>
    <xf numFmtId="0" fontId="6" fillId="18" borderId="29" applyAlignment="1" pivotButton="0" quotePrefix="0" xfId="0">
      <alignment horizontal="center" vertical="center" textRotation="90"/>
    </xf>
    <xf numFmtId="0" fontId="0" fillId="26" borderId="1" applyAlignment="1" pivotButton="0" quotePrefix="0" xfId="0">
      <alignment horizontal="center" vertical="center"/>
    </xf>
    <xf numFmtId="0" fontId="0" fillId="0" borderId="42" pivotButton="0" quotePrefix="0" xfId="0"/>
    <xf numFmtId="0" fontId="0" fillId="0" borderId="3" pivotButton="0" quotePrefix="0" xfId="0"/>
    <xf numFmtId="0" fontId="6" fillId="34" borderId="29" applyAlignment="1" pivotButton="0" quotePrefix="0" xfId="0">
      <alignment horizontal="center" vertical="center" textRotation="90"/>
    </xf>
    <xf numFmtId="0" fontId="0" fillId="0" borderId="34" applyAlignment="1" pivotButton="0" quotePrefix="0" xfId="0">
      <alignment horizontal="center" vertical="center"/>
    </xf>
    <xf numFmtId="0" fontId="36" fillId="0" borderId="1" applyAlignment="1" pivotButton="0" quotePrefix="0" xfId="0">
      <alignment horizontal="center" vertical="center"/>
    </xf>
    <xf numFmtId="0" fontId="24" fillId="9" borderId="29" applyAlignment="1" pivotButton="0" quotePrefix="0" xfId="0">
      <alignment horizontal="center" vertical="center" textRotation="90" wrapText="1"/>
    </xf>
    <xf numFmtId="0" fontId="6" fillId="24" borderId="29" applyAlignment="1" pivotButton="0" quotePrefix="0" xfId="0">
      <alignment horizontal="center" vertical="center" textRotation="90"/>
    </xf>
    <xf numFmtId="0" fontId="28" fillId="25" borderId="29" applyAlignment="1" pivotButton="0" quotePrefix="0" xfId="0">
      <alignment horizontal="center" vertical="center" textRotation="90"/>
    </xf>
    <xf numFmtId="0" fontId="32" fillId="0" borderId="37" applyAlignment="1" pivotButton="0" quotePrefix="0" xfId="0">
      <alignment horizontal="center" vertical="center" wrapText="1"/>
    </xf>
    <xf numFmtId="0" fontId="1" fillId="0" borderId="1" applyAlignment="1" pivotButton="0" quotePrefix="0" xfId="0">
      <alignment horizontal="center" vertical="center" wrapText="1"/>
    </xf>
    <xf numFmtId="0" fontId="6" fillId="0" borderId="22" applyAlignment="1" pivotButton="0" quotePrefix="0" xfId="0">
      <alignment horizontal="center"/>
    </xf>
    <xf numFmtId="0" fontId="0" fillId="0" borderId="22" pivotButton="0" quotePrefix="0" xfId="0"/>
    <xf numFmtId="0" fontId="22" fillId="5" borderId="1" applyAlignment="1" pivotButton="0" quotePrefix="0" xfId="0">
      <alignment horizontal="center"/>
    </xf>
    <xf numFmtId="0" fontId="18" fillId="5" borderId="1" applyAlignment="1" pivotButton="0" quotePrefix="0" xfId="0">
      <alignment horizontal="center" vertical="center" wrapText="1"/>
    </xf>
    <xf numFmtId="0" fontId="19" fillId="0" borderId="1" applyAlignment="1" pivotButton="0" quotePrefix="0" xfId="0">
      <alignment horizontal="justify" vertical="center" wrapText="1"/>
    </xf>
    <xf numFmtId="0" fontId="0" fillId="0" borderId="10" pivotButton="0" quotePrefix="0" xfId="0"/>
    <xf numFmtId="0" fontId="0" fillId="0" borderId="4" pivotButton="0" quotePrefix="0" xfId="0"/>
    <xf numFmtId="0" fontId="22" fillId="5" borderId="22" applyAlignment="1" pivotButton="0" quotePrefix="0" xfId="0">
      <alignment horizontal="center"/>
    </xf>
    <xf numFmtId="0" fontId="21" fillId="5" borderId="1" applyAlignment="1" pivotButton="0" quotePrefix="0" xfId="0">
      <alignment horizontal="center"/>
    </xf>
    <xf numFmtId="0" fontId="40" fillId="27" borderId="1" applyAlignment="1" pivotButton="0" quotePrefix="0" xfId="0">
      <alignment horizontal="center" vertical="center" wrapText="1"/>
    </xf>
    <xf numFmtId="0" fontId="15" fillId="7" borderId="1" applyAlignment="1" pivotButton="0" quotePrefix="0" xfId="1">
      <alignment horizontal="center" vertical="center" wrapText="1"/>
    </xf>
    <xf numFmtId="0" fontId="14" fillId="0" borderId="1" applyAlignment="1" pivotButton="0" quotePrefix="0" xfId="1">
      <alignment horizontal="center" vertical="center" wrapText="1"/>
    </xf>
    <xf numFmtId="0" fontId="15" fillId="7" borderId="7" applyAlignment="1" pivotButton="0" quotePrefix="0" xfId="1">
      <alignment horizontal="center" vertical="center" wrapText="1"/>
    </xf>
    <xf numFmtId="0" fontId="15" fillId="7" borderId="2" applyAlignment="1" pivotButton="0" quotePrefix="0" xfId="1">
      <alignment horizontal="center" vertical="center"/>
    </xf>
    <xf numFmtId="0" fontId="15" fillId="7" borderId="1" applyAlignment="1" pivotButton="0" quotePrefix="0" xfId="1">
      <alignment horizontal="center" vertical="center"/>
    </xf>
    <xf numFmtId="0" fontId="14" fillId="7" borderId="7" applyAlignment="1" pivotButton="0" quotePrefix="0" xfId="1">
      <alignment horizontal="center" vertical="center" wrapText="1"/>
    </xf>
    <xf numFmtId="0" fontId="0" fillId="0" borderId="1" applyAlignment="1" pivotButton="0" quotePrefix="0" xfId="0">
      <alignment horizontal="center" vertical="center" wrapText="1"/>
    </xf>
    <xf numFmtId="0" fontId="5" fillId="5" borderId="6" applyAlignment="1" pivotButton="0" quotePrefix="0" xfId="0">
      <alignment horizontal="justify" vertical="top" wrapText="1"/>
    </xf>
    <xf numFmtId="0" fontId="0" fillId="0" borderId="49" pivotButton="0" quotePrefix="0" xfId="0"/>
    <xf numFmtId="0" fontId="0" fillId="0" borderId="48" pivotButton="0" quotePrefix="0" xfId="0"/>
    <xf numFmtId="0" fontId="0" fillId="0" borderId="50" pivotButton="0" quotePrefix="0" xfId="0"/>
    <xf numFmtId="0" fontId="11" fillId="0" borderId="17" applyAlignment="1" pivotButton="0" quotePrefix="0" xfId="0">
      <alignment horizontal="justify" vertical="top" wrapText="1"/>
    </xf>
    <xf numFmtId="0" fontId="7" fillId="0" borderId="0" applyAlignment="1" pivotButton="0" quotePrefix="0" xfId="0">
      <alignment horizontal="left" vertical="top"/>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user</author>
    <author>Nathalie Duarte</author>
    <author>automatizador_cierre_ot</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3"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4" shapeId="0">
      <text>
        <t xml:space="preserve">Nathalie Duarte:
sacar instrumentación </t>
      </text>
    </comment>
    <comment ref="CC451" authorId="0" shapeId="0">
      <text>
        <t>Nathalie Duarte 2:
INSTRUMENTADO</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BL638" authorId="0" shapeId="0">
      <text>
        <t>Nathalie Duarte 2:
sólo NF y sería GTAM</t>
      </text>
    </comment>
    <comment ref="BW652" authorId="5" shapeId="0">
      <text>
        <t>POZO DETENIDO POR MANTENCIÓN</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microsoft.com/office/2006/relationships/xlExternalLinkPath/xlPathMissing" Target="V&#237;nculoExternoRecuperado1" TargetMode="External" Id="rId1" /></Relationships>
</file>

<file path=xl/externalLinks/_rels/externalLink2.xml.rels><Relationships xmlns="http://schemas.openxmlformats.org/package/2006/relationships"><Relationship Type="http://schemas.microsoft.com/office/2006/relationships/xlExternalLinkPath/xlPathMissing" Target="V&#237;nculoExternoRecuperado2"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6"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702">
      <pivotArea type="all" dataOnly="0" outline="0" fieldPosition="0"/>
    </format>
    <format action="formatting" dxfId="701">
      <pivotArea field="44" type="button" dataOnly="0" labelOnly="1" outline="0"/>
    </format>
    <format action="formatting" dxfId="700">
      <pivotArea type="all" dataOnly="0" outline="0" fieldPosition="0"/>
    </format>
    <format action="formatting" dxfId="699">
      <pivotArea field="0" type="button" dataOnly="0" labelOnly="1" outline="0" axis="axisRow" fieldPosition="0"/>
    </format>
    <format action="formatting" dxfId="698">
      <pivotArea field="44" type="button" dataOnly="0" labelOnly="1" outline="0"/>
    </format>
    <format action="formatting" dxfId="69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69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69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69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69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69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691">
      <pivotArea type="normal" dataOnly="0" labelOnly="1" outline="0" fieldPosition="0">
        <references count="1">
          <reference field="0">
            <x v="789"/>
            <x v="790"/>
            <x v="791"/>
            <x v="792"/>
            <x v="793"/>
            <x v="794"/>
            <x v="804"/>
            <x v="805"/>
            <x v="806"/>
            <x v="807"/>
          </reference>
        </references>
      </pivotArea>
    </format>
    <format action="formatting" dxfId="690">
      <pivotArea type="normal" dataOnly="0" labelOnly="1" outline="0" fieldPosition="0">
        <references count="2">
          <reference field="0" selected="0">
            <x v="347"/>
          </reference>
          <reference field="54">
            <x v="2"/>
          </reference>
        </references>
      </pivotArea>
    </format>
    <format action="formatting" dxfId="689">
      <pivotArea type="normal" dataOnly="0" labelOnly="1" outline="0" fieldPosition="0">
        <references count="2">
          <reference field="0" selected="0">
            <x v="348"/>
          </reference>
          <reference field="54">
            <x v="2"/>
          </reference>
        </references>
      </pivotArea>
    </format>
    <format action="formatting" dxfId="688">
      <pivotArea type="normal" dataOnly="0" labelOnly="1" outline="0" fieldPosition="0">
        <references count="2">
          <reference field="0" selected="0">
            <x v="347"/>
          </reference>
          <reference field="53">
            <x v="3"/>
          </reference>
        </references>
      </pivotArea>
    </format>
    <format action="formatting" dxfId="687">
      <pivotArea type="normal" dataOnly="0" labelOnly="1" outline="0" fieldPosition="0">
        <references count="1">
          <reference field="0">
            <x v="54"/>
          </reference>
        </references>
      </pivotArea>
    </format>
    <format action="formatting" dxfId="686">
      <pivotArea type="normal" dataOnly="0" labelOnly="1" outline="0" fieldPosition="0">
        <references count="2">
          <reference field="0" selected="0">
            <x v="54"/>
          </reference>
          <reference field="53">
            <x v="0"/>
          </reference>
        </references>
      </pivotArea>
    </format>
    <format action="formatting" dxfId="685">
      <pivotArea type="normal" dataOnly="0" labelOnly="1" outline="0" fieldPosition="0">
        <references count="3">
          <reference field="0" selected="0">
            <x v="54"/>
          </reference>
          <reference field="53" selected="0">
            <x v="0"/>
          </reference>
          <reference field="54">
            <x v="3"/>
          </reference>
        </references>
      </pivotArea>
    </format>
    <format action="formatting" dxfId="684">
      <pivotArea type="normal" dataOnly="0" labelOnly="1" outline="0" fieldPosition="0">
        <references count="1">
          <reference field="0">
            <x v="54"/>
          </reference>
        </references>
      </pivotArea>
    </format>
    <format action="formatting" dxfId="683">
      <pivotArea type="normal" dataOnly="0" labelOnly="1" outline="0" fieldPosition="0">
        <references count="2">
          <reference field="0" selected="0">
            <x v="54"/>
          </reference>
          <reference field="53">
            <x v="0"/>
          </reference>
        </references>
      </pivotArea>
    </format>
    <format action="formatting" dxfId="682">
      <pivotArea type="normal" dataOnly="0" labelOnly="1" outline="0" fieldPosition="0">
        <references count="3">
          <reference field="0" selected="0">
            <x v="54"/>
          </reference>
          <reference field="53" selected="0">
            <x v="0"/>
          </reference>
          <reference field="54">
            <x v="3"/>
          </reference>
        </references>
      </pivotArea>
    </format>
    <format action="formatting" dxfId="681">
      <pivotArea field="53" type="button" dataOnly="0" labelOnly="1" outline="0" axis="axisRow" fieldPosition="2"/>
    </format>
    <format action="formatting" dxfId="68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9">
      <pivotArea type="all" dataOnly="0" outline="0" fieldPosition="0"/>
    </format>
    <format action="formatting" dxfId="678">
      <pivotArea field="0" type="button" dataOnly="0" labelOnly="1" outline="0" axis="axisRow" fieldPosition="0"/>
    </format>
    <format action="formatting" dxfId="677">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76">
      <pivotArea type="all" dataOnly="0" outline="0" fieldPosition="0"/>
    </format>
    <format action="formatting" dxfId="675">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74">
      <pivotArea type="normal" dataOnly="0" labelOnly="1" outline="0" fieldPosition="0">
        <references count="2">
          <reference field="0" selected="0">
            <x v="254"/>
          </reference>
          <reference field="26">
            <x v="2"/>
          </reference>
        </references>
      </pivotArea>
    </format>
    <format action="formatting" dxfId="673">
      <pivotArea type="normal" dataOnly="0" labelOnly="1" outline="0" fieldPosition="0">
        <references count="2">
          <reference field="0" selected="0">
            <x v="269"/>
          </reference>
          <reference field="26">
            <x v="2"/>
          </reference>
        </references>
      </pivotArea>
    </format>
    <format action="formatting" dxfId="672">
      <pivotArea type="normal" dataOnly="0" labelOnly="1" outline="0" fieldPosition="0">
        <references count="2">
          <reference field="0" selected="0">
            <x v="318"/>
          </reference>
          <reference field="26">
            <x v="1"/>
          </reference>
        </references>
      </pivotArea>
    </format>
    <format action="formatting" dxfId="671">
      <pivotArea type="normal" dataOnly="0" labelOnly="1" outline="0" fieldPosition="0">
        <references count="2">
          <reference field="0" selected="0">
            <x v="461"/>
          </reference>
          <reference field="26">
            <x v="2"/>
          </reference>
        </references>
      </pivotArea>
    </format>
    <format action="formatting" dxfId="670">
      <pivotArea type="normal" dataOnly="0" labelOnly="1" outline="0" fieldPosition="0">
        <references count="2">
          <reference field="0" selected="0">
            <x v="462"/>
          </reference>
          <reference field="26">
            <x v="2"/>
          </reference>
        </references>
      </pivotArea>
    </format>
    <format action="formatting" dxfId="669">
      <pivotArea type="normal" dataOnly="0" labelOnly="1" outline="0" fieldPosition="0">
        <references count="2">
          <reference field="0" selected="0">
            <x v="463"/>
          </reference>
          <reference field="26">
            <x v="2"/>
          </reference>
        </references>
      </pivotArea>
    </format>
    <format action="formatting" dxfId="668">
      <pivotArea type="normal" dataOnly="0" labelOnly="1" outline="0" fieldPosition="0">
        <references count="2">
          <reference field="0" selected="0">
            <x v="464"/>
          </reference>
          <reference field="26">
            <x v="2"/>
          </reference>
        </references>
      </pivotArea>
    </format>
    <format action="formatting" dxfId="667">
      <pivotArea type="normal" dataOnly="0" labelOnly="1" outline="0" fieldPosition="0">
        <references count="2">
          <reference field="0" selected="0">
            <x v="465"/>
          </reference>
          <reference field="26">
            <x v="2"/>
          </reference>
        </references>
      </pivotArea>
    </format>
    <format action="formatting" dxfId="666">
      <pivotArea type="normal" dataOnly="0" labelOnly="1" outline="0" fieldPosition="0">
        <references count="2">
          <reference field="0" selected="0">
            <x v="467"/>
          </reference>
          <reference field="26">
            <x v="2"/>
          </reference>
        </references>
      </pivotArea>
    </format>
    <format action="formatting" dxfId="665">
      <pivotArea type="normal" dataOnly="0" labelOnly="1" outline="0" fieldPosition="0">
        <references count="2">
          <reference field="0" selected="0">
            <x v="471"/>
          </reference>
          <reference field="26">
            <x v="1"/>
          </reference>
        </references>
      </pivotArea>
    </format>
    <format action="formatting" dxfId="664">
      <pivotArea type="normal" dataOnly="0" labelOnly="1" outline="0" fieldPosition="0">
        <references count="2">
          <reference field="0" selected="0">
            <x v="474"/>
          </reference>
          <reference field="26">
            <x v="2"/>
          </reference>
        </references>
      </pivotArea>
    </format>
    <format action="formatting" dxfId="663">
      <pivotArea type="normal" dataOnly="0" labelOnly="1" outline="0" fieldPosition="0">
        <references count="2">
          <reference field="0" selected="0">
            <x v="534"/>
          </reference>
          <reference field="26">
            <x v="2"/>
          </reference>
        </references>
      </pivotArea>
    </format>
    <format action="formatting" dxfId="662">
      <pivotArea type="normal" dataOnly="0" labelOnly="1" outline="0" fieldPosition="0">
        <references count="2">
          <reference field="0" selected="0">
            <x v="536"/>
          </reference>
          <reference field="26">
            <x v="2"/>
          </reference>
        </references>
      </pivotArea>
    </format>
    <format action="formatting" dxfId="661">
      <pivotArea type="normal" dataOnly="0" labelOnly="1" outline="0" fieldPosition="0">
        <references count="2">
          <reference field="0" selected="0">
            <x v="537"/>
          </reference>
          <reference field="26">
            <x v="2"/>
          </reference>
        </references>
      </pivotArea>
    </format>
    <format action="formatting" dxfId="660">
      <pivotArea type="normal" dataOnly="0" labelOnly="1" outline="0" fieldPosition="0">
        <references count="2">
          <reference field="0" selected="0">
            <x v="595"/>
          </reference>
          <reference field="26">
            <x v="2"/>
          </reference>
        </references>
      </pivotArea>
    </format>
    <format action="formatting" dxfId="659">
      <pivotArea type="normal" dataOnly="0" labelOnly="1" outline="0" fieldPosition="0">
        <references count="2">
          <reference field="0" selected="0">
            <x v="625"/>
          </reference>
          <reference field="26">
            <x v="1"/>
          </reference>
        </references>
      </pivotArea>
    </format>
    <format action="formatting" dxfId="658">
      <pivotArea type="normal" dataOnly="0" labelOnly="1" outline="0" fieldPosition="0">
        <references count="2">
          <reference field="0" selected="0">
            <x v="628"/>
          </reference>
          <reference field="26">
            <x v="2"/>
          </reference>
        </references>
      </pivotArea>
    </format>
    <format action="formatting" dxfId="657">
      <pivotArea type="normal" dataOnly="0" labelOnly="1" outline="0" fieldPosition="0">
        <references count="2">
          <reference field="0" selected="0">
            <x v="629"/>
          </reference>
          <reference field="26">
            <x v="2"/>
          </reference>
        </references>
      </pivotArea>
    </format>
    <format action="formatting" dxfId="656">
      <pivotArea type="normal" dataOnly="0" labelOnly="1" outline="0" fieldPosition="0">
        <references count="2">
          <reference field="0" selected="0">
            <x v="631"/>
          </reference>
          <reference field="26">
            <x v="2"/>
          </reference>
        </references>
      </pivotArea>
    </format>
    <format action="formatting" dxfId="655">
      <pivotArea type="normal" dataOnly="0" labelOnly="1" outline="0" fieldPosition="0">
        <references count="2">
          <reference field="0" selected="0">
            <x v="633"/>
          </reference>
          <reference field="26">
            <x v="2"/>
          </reference>
        </references>
      </pivotArea>
    </format>
    <format action="formatting" dxfId="654">
      <pivotArea type="normal" dataOnly="0" labelOnly="1" outline="0" fieldPosition="0">
        <references count="2">
          <reference field="0" selected="0">
            <x v="634"/>
          </reference>
          <reference field="26">
            <x v="2"/>
          </reference>
        </references>
      </pivotArea>
    </format>
    <format action="formatting" dxfId="653">
      <pivotArea type="normal" dataOnly="0" labelOnly="1" outline="0" fieldPosition="0">
        <references count="2">
          <reference field="0" selected="0">
            <x v="635"/>
          </reference>
          <reference field="26">
            <x v="2"/>
          </reference>
        </references>
      </pivotArea>
    </format>
    <format action="formatting" dxfId="652">
      <pivotArea type="normal" dataOnly="0" labelOnly="1" outline="0" fieldPosition="0">
        <references count="2">
          <reference field="0" selected="0">
            <x v="636"/>
          </reference>
          <reference field="26">
            <x v="2"/>
          </reference>
        </references>
      </pivotArea>
    </format>
    <format action="formatting" dxfId="651">
      <pivotArea type="normal" dataOnly="0" labelOnly="1" outline="0" fieldPosition="0">
        <references count="2">
          <reference field="0" selected="0">
            <x v="638"/>
          </reference>
          <reference field="26">
            <x v="2"/>
          </reference>
        </references>
      </pivotArea>
    </format>
    <format action="formatting" dxfId="650">
      <pivotArea type="normal" dataOnly="0" labelOnly="1" outline="0" fieldPosition="0">
        <references count="2">
          <reference field="0" selected="0">
            <x v="640"/>
          </reference>
          <reference field="26">
            <x v="2"/>
          </reference>
        </references>
      </pivotArea>
    </format>
    <format action="formatting" dxfId="649">
      <pivotArea type="normal" dataOnly="0" labelOnly="1" outline="0" fieldPosition="0">
        <references count="2">
          <reference field="0" selected="0">
            <x v="641"/>
          </reference>
          <reference field="26">
            <x v="2"/>
          </reference>
        </references>
      </pivotArea>
    </format>
    <format action="formatting" dxfId="648">
      <pivotArea type="normal" dataOnly="0" labelOnly="1" outline="0" fieldPosition="0">
        <references count="2">
          <reference field="0" selected="0">
            <x v="642"/>
          </reference>
          <reference field="26">
            <x v="2"/>
          </reference>
        </references>
      </pivotArea>
    </format>
    <format action="formatting" dxfId="647">
      <pivotArea type="normal" dataOnly="0" labelOnly="1" outline="0" fieldPosition="0">
        <references count="2">
          <reference field="0" selected="0">
            <x v="643"/>
          </reference>
          <reference field="26">
            <x v="2"/>
          </reference>
        </references>
      </pivotArea>
    </format>
    <format action="formatting" dxfId="646">
      <pivotArea type="normal" dataOnly="0" labelOnly="1" outline="0" fieldPosition="0">
        <references count="2">
          <reference field="0" selected="0">
            <x v="644"/>
          </reference>
          <reference field="26">
            <x v="2"/>
          </reference>
        </references>
      </pivotArea>
    </format>
    <format action="formatting" dxfId="645">
      <pivotArea type="normal" dataOnly="0" labelOnly="1" outline="0" fieldPosition="0">
        <references count="2">
          <reference field="0" selected="0">
            <x v="709"/>
          </reference>
          <reference field="26">
            <x v="2"/>
          </reference>
        </references>
      </pivotArea>
    </format>
    <format action="formatting" dxfId="644">
      <pivotArea type="normal" dataOnly="0" labelOnly="1" outline="0" fieldPosition="0">
        <references count="2">
          <reference field="0" selected="0">
            <x v="711"/>
          </reference>
          <reference field="26">
            <x v="2"/>
          </reference>
        </references>
      </pivotArea>
    </format>
    <format action="formatting" dxfId="643">
      <pivotArea type="normal" dataOnly="0" labelOnly="1" outline="0" fieldPosition="0">
        <references count="2">
          <reference field="0" selected="0">
            <x v="712"/>
          </reference>
          <reference field="26">
            <x v="2"/>
          </reference>
        </references>
      </pivotArea>
    </format>
    <format action="formatting" dxfId="642">
      <pivotArea type="normal" dataOnly="0" labelOnly="1" outline="0" fieldPosition="0">
        <references count="2">
          <reference field="0" selected="0">
            <x v="713"/>
          </reference>
          <reference field="26">
            <x v="2"/>
          </reference>
        </references>
      </pivotArea>
    </format>
    <format action="formatting" dxfId="641">
      <pivotArea type="normal" dataOnly="0" labelOnly="1" outline="0" fieldPosition="0">
        <references count="2">
          <reference field="0" selected="0">
            <x v="806"/>
          </reference>
          <reference field="26">
            <x v="2"/>
          </reference>
        </references>
      </pivotArea>
    </format>
    <format action="formatting" dxfId="640">
      <pivotArea field="0" type="button" dataOnly="0" labelOnly="1" outline="0" axis="axisRow" fieldPosition="0"/>
    </format>
    <format action="formatting" dxfId="639">
      <pivotArea field="26" type="button" dataOnly="0" labelOnly="1" outline="0" axis="axisRow" fieldPosition="1"/>
    </format>
    <format action="formatting" dxfId="638">
      <pivotArea field="0" type="button" dataOnly="0" labelOnly="1" outline="0" axis="axisRow" fieldPosition="0"/>
    </format>
    <format action="formatting" dxfId="637">
      <pivotArea field="26" type="button" dataOnly="0" labelOnly="1" outline="0" axis="axisRow" fieldPosition="1"/>
    </format>
    <format action="formatting" dxfId="636">
      <pivotArea type="normal" dataOnly="0" labelOnly="1" outline="0" fieldPosition="0">
        <references count="1">
          <reference field="26"/>
        </references>
      </pivotArea>
    </format>
    <format action="formatting" dxfId="635">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5"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634">
      <pivotArea type="all" dataOnly="0" outline="0" fieldPosition="0"/>
    </format>
    <format action="formatting" dxfId="633">
      <pivotArea field="44" type="button" dataOnly="0" labelOnly="1" outline="0" axis="axisRow" fieldPosition="1"/>
    </format>
    <format action="formatting" dxfId="632">
      <pivotArea type="normal" dataOnly="0" labelOnly="1" outline="0" fieldPosition="0">
        <references count="2">
          <reference field="0" selected="0">
            <x v="31"/>
          </reference>
          <reference field="44">
            <x v="4"/>
          </reference>
        </references>
      </pivotArea>
    </format>
    <format action="formatting" dxfId="631">
      <pivotArea type="normal" dataOnly="0" labelOnly="1" outline="0" fieldPosition="0">
        <references count="2">
          <reference field="0" selected="0">
            <x v="41"/>
          </reference>
          <reference field="44">
            <x v="10"/>
          </reference>
        </references>
      </pivotArea>
    </format>
    <format action="formatting" dxfId="630">
      <pivotArea type="normal" dataOnly="0" labelOnly="1" outline="0" fieldPosition="0">
        <references count="2">
          <reference field="0" selected="0">
            <x v="45"/>
          </reference>
          <reference field="44">
            <x v="6"/>
          </reference>
        </references>
      </pivotArea>
    </format>
    <format action="formatting" dxfId="629">
      <pivotArea type="normal" dataOnly="0" labelOnly="1" outline="0" fieldPosition="0">
        <references count="2">
          <reference field="0" selected="0">
            <x v="46"/>
          </reference>
          <reference field="44">
            <x v="6"/>
          </reference>
        </references>
      </pivotArea>
    </format>
    <format action="formatting" dxfId="628">
      <pivotArea type="normal" dataOnly="0" labelOnly="1" outline="0" fieldPosition="0">
        <references count="2">
          <reference field="0" selected="0">
            <x v="47"/>
          </reference>
          <reference field="44">
            <x v="6"/>
          </reference>
        </references>
      </pivotArea>
    </format>
    <format action="formatting" dxfId="627">
      <pivotArea type="normal" dataOnly="0" labelOnly="1" outline="0" fieldPosition="0">
        <references count="2">
          <reference field="0" selected="0">
            <x v="48"/>
          </reference>
          <reference field="44">
            <x v="6"/>
          </reference>
        </references>
      </pivotArea>
    </format>
    <format action="formatting" dxfId="626">
      <pivotArea type="normal" dataOnly="0" labelOnly="1" outline="0" fieldPosition="0">
        <references count="2">
          <reference field="0" selected="0">
            <x v="49"/>
          </reference>
          <reference field="44">
            <x v="10"/>
          </reference>
        </references>
      </pivotArea>
    </format>
    <format action="formatting" dxfId="625">
      <pivotArea type="normal" dataOnly="0" labelOnly="1" outline="0" fieldPosition="0">
        <references count="2">
          <reference field="0" selected="0">
            <x v="50"/>
          </reference>
          <reference field="44">
            <x v="6"/>
          </reference>
        </references>
      </pivotArea>
    </format>
    <format action="formatting" dxfId="624">
      <pivotArea type="normal" dataOnly="0" labelOnly="1" outline="0" fieldPosition="0">
        <references count="2">
          <reference field="0" selected="0">
            <x v="51"/>
          </reference>
          <reference field="44">
            <x v="6"/>
          </reference>
        </references>
      </pivotArea>
    </format>
    <format action="formatting" dxfId="623">
      <pivotArea type="normal" dataOnly="0" labelOnly="1" outline="0" fieldPosition="0">
        <references count="2">
          <reference field="0" selected="0">
            <x v="53"/>
          </reference>
          <reference field="44">
            <x v="6"/>
          </reference>
        </references>
      </pivotArea>
    </format>
    <format action="formatting" dxfId="622">
      <pivotArea type="normal" dataOnly="0" labelOnly="1" outline="0" fieldPosition="0">
        <references count="2">
          <reference field="0" selected="0">
            <x v="54"/>
          </reference>
          <reference field="44">
            <x v="9"/>
          </reference>
        </references>
      </pivotArea>
    </format>
    <format action="formatting" dxfId="621">
      <pivotArea type="normal" dataOnly="0" labelOnly="1" outline="0" fieldPosition="0">
        <references count="2">
          <reference field="0" selected="0">
            <x v="55"/>
          </reference>
          <reference field="44">
            <x v="1"/>
          </reference>
        </references>
      </pivotArea>
    </format>
    <format action="formatting" dxfId="620">
      <pivotArea type="normal" dataOnly="0" labelOnly="1" outline="0" fieldPosition="0">
        <references count="2">
          <reference field="0" selected="0">
            <x v="56"/>
          </reference>
          <reference field="44">
            <x v="6"/>
          </reference>
        </references>
      </pivotArea>
    </format>
    <format action="formatting" dxfId="619">
      <pivotArea type="normal" dataOnly="0" labelOnly="1" outline="0" fieldPosition="0">
        <references count="2">
          <reference field="0" selected="0">
            <x v="58"/>
          </reference>
          <reference field="44">
            <x v="5"/>
          </reference>
        </references>
      </pivotArea>
    </format>
    <format action="formatting" dxfId="618">
      <pivotArea type="normal" dataOnly="0" labelOnly="1" outline="0" fieldPosition="0">
        <references count="2">
          <reference field="0" selected="0">
            <x v="60"/>
          </reference>
          <reference field="44">
            <x v="10"/>
          </reference>
        </references>
      </pivotArea>
    </format>
    <format action="formatting" dxfId="617">
      <pivotArea type="normal" dataOnly="0" labelOnly="1" outline="0" fieldPosition="0">
        <references count="2">
          <reference field="0" selected="0">
            <x v="61"/>
          </reference>
          <reference field="44">
            <x v="10"/>
          </reference>
        </references>
      </pivotArea>
    </format>
    <format action="formatting" dxfId="616">
      <pivotArea type="normal" dataOnly="0" labelOnly="1" outline="0" fieldPosition="0">
        <references count="2">
          <reference field="0" selected="0">
            <x v="62"/>
          </reference>
          <reference field="44">
            <x v="10"/>
          </reference>
        </references>
      </pivotArea>
    </format>
    <format action="formatting" dxfId="615">
      <pivotArea type="normal" dataOnly="0" labelOnly="1" outline="0" fieldPosition="0">
        <references count="2">
          <reference field="0" selected="0">
            <x v="63"/>
          </reference>
          <reference field="44">
            <x v="10"/>
          </reference>
        </references>
      </pivotArea>
    </format>
    <format action="formatting" dxfId="614">
      <pivotArea type="normal" dataOnly="0" labelOnly="1" outline="0" fieldPosition="0">
        <references count="2">
          <reference field="0" selected="0">
            <x v="64"/>
          </reference>
          <reference field="44">
            <x v="10"/>
          </reference>
        </references>
      </pivotArea>
    </format>
    <format action="formatting" dxfId="613">
      <pivotArea type="normal" dataOnly="0" labelOnly="1" outline="0" fieldPosition="0">
        <references count="2">
          <reference field="0" selected="0">
            <x v="65"/>
          </reference>
          <reference field="44">
            <x v="10"/>
          </reference>
        </references>
      </pivotArea>
    </format>
    <format action="formatting" dxfId="612">
      <pivotArea type="normal" dataOnly="0" labelOnly="1" outline="0" fieldPosition="0">
        <references count="2">
          <reference field="0" selected="0">
            <x v="66"/>
          </reference>
          <reference field="44">
            <x v="10"/>
          </reference>
        </references>
      </pivotArea>
    </format>
    <format action="formatting" dxfId="611">
      <pivotArea type="normal" dataOnly="0" labelOnly="1" outline="0" fieldPosition="0">
        <references count="2">
          <reference field="0" selected="0">
            <x v="67"/>
          </reference>
          <reference field="44">
            <x v="10"/>
          </reference>
        </references>
      </pivotArea>
    </format>
    <format action="formatting" dxfId="610">
      <pivotArea type="normal" dataOnly="0" labelOnly="1" outline="0" fieldPosition="0">
        <references count="2">
          <reference field="0" selected="0">
            <x v="68"/>
          </reference>
          <reference field="44">
            <x v="10"/>
          </reference>
        </references>
      </pivotArea>
    </format>
    <format action="formatting" dxfId="609">
      <pivotArea type="normal" dataOnly="0" labelOnly="1" outline="0" fieldPosition="0">
        <references count="2">
          <reference field="0" selected="0">
            <x v="69"/>
          </reference>
          <reference field="44">
            <x v="10"/>
          </reference>
        </references>
      </pivotArea>
    </format>
    <format action="formatting" dxfId="608">
      <pivotArea type="normal" dataOnly="0" labelOnly="1" outline="0" fieldPosition="0">
        <references count="2">
          <reference field="0" selected="0">
            <x v="70"/>
          </reference>
          <reference field="44">
            <x v="10"/>
          </reference>
        </references>
      </pivotArea>
    </format>
    <format action="formatting" dxfId="607">
      <pivotArea type="normal" dataOnly="0" labelOnly="1" outline="0" fieldPosition="0">
        <references count="2">
          <reference field="0" selected="0">
            <x v="71"/>
          </reference>
          <reference field="44">
            <x v="10"/>
          </reference>
        </references>
      </pivotArea>
    </format>
    <format action="formatting" dxfId="606">
      <pivotArea type="normal" dataOnly="0" labelOnly="1" outline="0" fieldPosition="0">
        <references count="2">
          <reference field="0" selected="0">
            <x v="72"/>
          </reference>
          <reference field="44">
            <x v="10"/>
          </reference>
        </references>
      </pivotArea>
    </format>
    <format action="formatting" dxfId="605">
      <pivotArea type="normal" dataOnly="0" labelOnly="1" outline="0" fieldPosition="0">
        <references count="2">
          <reference field="0" selected="0">
            <x v="73"/>
          </reference>
          <reference field="44">
            <x v="10"/>
          </reference>
        </references>
      </pivotArea>
    </format>
    <format action="formatting" dxfId="604">
      <pivotArea type="normal" dataOnly="0" labelOnly="1" outline="0" fieldPosition="0">
        <references count="2">
          <reference field="0" selected="0">
            <x v="74"/>
          </reference>
          <reference field="44">
            <x v="10"/>
          </reference>
        </references>
      </pivotArea>
    </format>
    <format action="formatting" dxfId="603">
      <pivotArea type="normal" dataOnly="0" labelOnly="1" outline="0" fieldPosition="0">
        <references count="2">
          <reference field="0" selected="0">
            <x v="75"/>
          </reference>
          <reference field="44">
            <x v="10"/>
          </reference>
        </references>
      </pivotArea>
    </format>
    <format action="formatting" dxfId="602">
      <pivotArea type="normal" dataOnly="0" labelOnly="1" outline="0" fieldPosition="0">
        <references count="2">
          <reference field="0" selected="0">
            <x v="76"/>
          </reference>
          <reference field="44">
            <x v="10"/>
          </reference>
        </references>
      </pivotArea>
    </format>
    <format action="formatting" dxfId="601">
      <pivotArea type="normal" dataOnly="0" labelOnly="1" outline="0" fieldPosition="0">
        <references count="2">
          <reference field="0" selected="0">
            <x v="77"/>
          </reference>
          <reference field="44">
            <x v="10"/>
          </reference>
        </references>
      </pivotArea>
    </format>
    <format action="formatting" dxfId="600">
      <pivotArea type="normal" dataOnly="0" labelOnly="1" outline="0" fieldPosition="0">
        <references count="2">
          <reference field="0" selected="0">
            <x v="78"/>
          </reference>
          <reference field="44">
            <x v="10"/>
          </reference>
        </references>
      </pivotArea>
    </format>
    <format action="formatting" dxfId="599">
      <pivotArea type="normal" dataOnly="0" labelOnly="1" outline="0" fieldPosition="0">
        <references count="2">
          <reference field="0" selected="0">
            <x v="79"/>
          </reference>
          <reference field="44">
            <x v="10"/>
          </reference>
        </references>
      </pivotArea>
    </format>
    <format action="formatting" dxfId="598">
      <pivotArea type="normal" dataOnly="0" labelOnly="1" outline="0" fieldPosition="0">
        <references count="2">
          <reference field="0" selected="0">
            <x v="80"/>
          </reference>
          <reference field="44">
            <x v="10"/>
          </reference>
        </references>
      </pivotArea>
    </format>
    <format action="formatting" dxfId="597">
      <pivotArea type="normal" dataOnly="0" labelOnly="1" outline="0" fieldPosition="0">
        <references count="2">
          <reference field="0" selected="0">
            <x v="81"/>
          </reference>
          <reference field="44">
            <x v="10"/>
          </reference>
        </references>
      </pivotArea>
    </format>
    <format action="formatting" dxfId="596">
      <pivotArea type="normal" dataOnly="0" labelOnly="1" outline="0" fieldPosition="0">
        <references count="2">
          <reference field="0" selected="0">
            <x v="82"/>
          </reference>
          <reference field="44">
            <x v="10"/>
          </reference>
        </references>
      </pivotArea>
    </format>
    <format action="formatting" dxfId="595">
      <pivotArea type="normal" dataOnly="0" labelOnly="1" outline="0" fieldPosition="0">
        <references count="2">
          <reference field="0" selected="0">
            <x v="83"/>
          </reference>
          <reference field="44">
            <x v="10"/>
          </reference>
        </references>
      </pivotArea>
    </format>
    <format action="formatting" dxfId="594">
      <pivotArea type="normal" dataOnly="0" labelOnly="1" outline="0" fieldPosition="0">
        <references count="2">
          <reference field="0" selected="0">
            <x v="84"/>
          </reference>
          <reference field="44">
            <x v="10"/>
          </reference>
        </references>
      </pivotArea>
    </format>
    <format action="formatting" dxfId="593">
      <pivotArea type="normal" dataOnly="0" labelOnly="1" outline="0" fieldPosition="0">
        <references count="2">
          <reference field="0" selected="0">
            <x v="85"/>
          </reference>
          <reference field="44">
            <x v="10"/>
          </reference>
        </references>
      </pivotArea>
    </format>
    <format action="formatting" dxfId="592">
      <pivotArea type="normal" dataOnly="0" labelOnly="1" outline="0" fieldPosition="0">
        <references count="2">
          <reference field="0" selected="0">
            <x v="86"/>
          </reference>
          <reference field="44">
            <x v="10"/>
          </reference>
        </references>
      </pivotArea>
    </format>
    <format action="formatting" dxfId="591">
      <pivotArea type="normal" dataOnly="0" labelOnly="1" outline="0" fieldPosition="0">
        <references count="2">
          <reference field="0" selected="0">
            <x v="87"/>
          </reference>
          <reference field="44">
            <x v="10"/>
          </reference>
        </references>
      </pivotArea>
    </format>
    <format action="formatting" dxfId="590">
      <pivotArea type="normal" dataOnly="0" labelOnly="1" outline="0" fieldPosition="0">
        <references count="2">
          <reference field="0" selected="0">
            <x v="88"/>
          </reference>
          <reference field="44">
            <x v="10"/>
          </reference>
        </references>
      </pivotArea>
    </format>
    <format action="formatting" dxfId="589">
      <pivotArea type="normal" dataOnly="0" labelOnly="1" outline="0" fieldPosition="0">
        <references count="2">
          <reference field="0" selected="0">
            <x v="126"/>
          </reference>
          <reference field="44">
            <x v="9"/>
          </reference>
        </references>
      </pivotArea>
    </format>
    <format action="formatting" dxfId="588">
      <pivotArea type="normal" dataOnly="0" labelOnly="1" outline="0" fieldPosition="0">
        <references count="2">
          <reference field="0" selected="0">
            <x v="134"/>
          </reference>
          <reference field="44">
            <x v="9"/>
          </reference>
        </references>
      </pivotArea>
    </format>
    <format action="formatting" dxfId="587">
      <pivotArea type="normal" dataOnly="0" labelOnly="1" outline="0" fieldPosition="0">
        <references count="2">
          <reference field="0" selected="0">
            <x v="137"/>
          </reference>
          <reference field="44">
            <x v="9"/>
          </reference>
        </references>
      </pivotArea>
    </format>
    <format action="formatting" dxfId="586">
      <pivotArea type="normal" dataOnly="0" labelOnly="1" outline="0" fieldPosition="0">
        <references count="2">
          <reference field="0" selected="0">
            <x v="138"/>
          </reference>
          <reference field="44">
            <x v="6"/>
          </reference>
        </references>
      </pivotArea>
    </format>
    <format action="formatting" dxfId="585">
      <pivotArea type="normal" dataOnly="0" labelOnly="1" outline="0" fieldPosition="0">
        <references count="2">
          <reference field="0" selected="0">
            <x v="139"/>
          </reference>
          <reference field="44">
            <x v="4"/>
          </reference>
        </references>
      </pivotArea>
    </format>
    <format action="formatting" dxfId="584">
      <pivotArea type="normal" dataOnly="0" labelOnly="1" outline="0" fieldPosition="0">
        <references count="2">
          <reference field="0" selected="0">
            <x v="140"/>
          </reference>
          <reference field="44">
            <x v="4"/>
          </reference>
        </references>
      </pivotArea>
    </format>
    <format action="formatting" dxfId="583">
      <pivotArea type="normal" dataOnly="0" labelOnly="1" outline="0" fieldPosition="0">
        <references count="2">
          <reference field="0" selected="0">
            <x v="141"/>
          </reference>
          <reference field="44">
            <x v="5"/>
          </reference>
        </references>
      </pivotArea>
    </format>
    <format action="formatting" dxfId="582">
      <pivotArea type="normal" dataOnly="0" labelOnly="1" outline="0" fieldPosition="0">
        <references count="2">
          <reference field="0" selected="0">
            <x v="207"/>
          </reference>
          <reference field="44">
            <x v="4"/>
          </reference>
        </references>
      </pivotArea>
    </format>
    <format action="formatting" dxfId="581">
      <pivotArea type="normal" dataOnly="0" labelOnly="1" outline="0" fieldPosition="0">
        <references count="2">
          <reference field="0" selected="0">
            <x v="208"/>
          </reference>
          <reference field="44">
            <x v="4"/>
          </reference>
        </references>
      </pivotArea>
    </format>
    <format action="formatting" dxfId="580">
      <pivotArea type="normal" dataOnly="0" labelOnly="1" outline="0" fieldPosition="0">
        <references count="2">
          <reference field="0" selected="0">
            <x v="211"/>
          </reference>
          <reference field="44">
            <x v="10"/>
          </reference>
        </references>
      </pivotArea>
    </format>
    <format action="formatting" dxfId="579">
      <pivotArea type="normal" dataOnly="0" labelOnly="1" outline="0" fieldPosition="0">
        <references count="2">
          <reference field="0" selected="0">
            <x v="212"/>
          </reference>
          <reference field="44">
            <x v="10"/>
          </reference>
        </references>
      </pivotArea>
    </format>
    <format action="formatting" dxfId="578">
      <pivotArea type="normal" dataOnly="0" labelOnly="1" outline="0" fieldPosition="0">
        <references count="2">
          <reference field="0" selected="0">
            <x v="216"/>
          </reference>
          <reference field="44">
            <x v="10"/>
          </reference>
        </references>
      </pivotArea>
    </format>
    <format action="formatting" dxfId="577">
      <pivotArea type="normal" dataOnly="0" labelOnly="1" outline="0" fieldPosition="0">
        <references count="2">
          <reference field="0" selected="0">
            <x v="217"/>
          </reference>
          <reference field="44">
            <x v="10"/>
          </reference>
        </references>
      </pivotArea>
    </format>
    <format action="formatting" dxfId="576">
      <pivotArea type="normal" dataOnly="0" labelOnly="1" outline="0" fieldPosition="0">
        <references count="2">
          <reference field="0" selected="0">
            <x v="218"/>
          </reference>
          <reference field="44">
            <x v="10"/>
          </reference>
        </references>
      </pivotArea>
    </format>
    <format action="formatting" dxfId="575">
      <pivotArea type="normal" dataOnly="0" labelOnly="1" outline="0" fieldPosition="0">
        <references count="2">
          <reference field="0" selected="0">
            <x v="219"/>
          </reference>
          <reference field="44">
            <x v="10"/>
          </reference>
        </references>
      </pivotArea>
    </format>
    <format action="formatting" dxfId="574">
      <pivotArea type="normal" dataOnly="0" labelOnly="1" outline="0" fieldPosition="0">
        <references count="2">
          <reference field="0" selected="0">
            <x v="222"/>
          </reference>
          <reference field="44">
            <x v="10"/>
          </reference>
        </references>
      </pivotArea>
    </format>
    <format action="formatting" dxfId="573">
      <pivotArea type="normal" dataOnly="0" labelOnly="1" outline="0" fieldPosition="0">
        <references count="2">
          <reference field="0" selected="0">
            <x v="227"/>
          </reference>
          <reference field="44">
            <x v="10"/>
          </reference>
        </references>
      </pivotArea>
    </format>
    <format action="formatting" dxfId="572">
      <pivotArea type="normal" dataOnly="0" labelOnly="1" outline="0" fieldPosition="0">
        <references count="2">
          <reference field="0" selected="0">
            <x v="253"/>
          </reference>
          <reference field="44">
            <x v="10"/>
          </reference>
        </references>
      </pivotArea>
    </format>
    <format action="formatting" dxfId="571">
      <pivotArea type="normal" dataOnly="0" labelOnly="1" outline="0" fieldPosition="0">
        <references count="2">
          <reference field="0" selected="0">
            <x v="254"/>
          </reference>
          <reference field="44">
            <x v="10"/>
          </reference>
        </references>
      </pivotArea>
    </format>
    <format action="formatting" dxfId="570">
      <pivotArea type="normal" dataOnly="0" labelOnly="1" outline="0" fieldPosition="0">
        <references count="2">
          <reference field="0" selected="0">
            <x v="255"/>
          </reference>
          <reference field="44">
            <x v="10"/>
          </reference>
        </references>
      </pivotArea>
    </format>
    <format action="formatting" dxfId="569">
      <pivotArea type="normal" dataOnly="0" labelOnly="1" outline="0" fieldPosition="0">
        <references count="2">
          <reference field="0" selected="0">
            <x v="269"/>
          </reference>
          <reference field="44">
            <x v="10"/>
          </reference>
        </references>
      </pivotArea>
    </format>
    <format action="formatting" dxfId="568">
      <pivotArea type="normal" dataOnly="0" labelOnly="1" outline="0" fieldPosition="0">
        <references count="2">
          <reference field="0" selected="0">
            <x v="301"/>
          </reference>
          <reference field="44">
            <x v="8"/>
          </reference>
        </references>
      </pivotArea>
    </format>
    <format action="formatting" dxfId="567">
      <pivotArea type="normal" dataOnly="0" labelOnly="1" outline="0" fieldPosition="0">
        <references count="2">
          <reference field="0" selected="0">
            <x v="302"/>
          </reference>
          <reference field="44">
            <x v="8"/>
          </reference>
        </references>
      </pivotArea>
    </format>
    <format action="formatting" dxfId="566">
      <pivotArea type="normal" dataOnly="0" labelOnly="1" outline="0" fieldPosition="0">
        <references count="2">
          <reference field="0" selected="0">
            <x v="308"/>
          </reference>
          <reference field="44">
            <x v="10"/>
          </reference>
        </references>
      </pivotArea>
    </format>
    <format action="formatting" dxfId="565">
      <pivotArea type="normal" dataOnly="0" labelOnly="1" outline="0" fieldPosition="0">
        <references count="2">
          <reference field="0" selected="0">
            <x v="312"/>
          </reference>
          <reference field="44">
            <x v="8"/>
          </reference>
        </references>
      </pivotArea>
    </format>
    <format action="formatting" dxfId="564">
      <pivotArea type="normal" dataOnly="0" labelOnly="1" outline="0" fieldPosition="0">
        <references count="2">
          <reference field="0" selected="0">
            <x v="314"/>
          </reference>
          <reference field="44">
            <x v="4"/>
          </reference>
        </references>
      </pivotArea>
    </format>
    <format action="formatting" dxfId="563">
      <pivotArea type="normal" dataOnly="0" labelOnly="1" outline="0" fieldPosition="0">
        <references count="2">
          <reference field="0" selected="0">
            <x v="315"/>
          </reference>
          <reference field="44">
            <x v="4"/>
          </reference>
        </references>
      </pivotArea>
    </format>
    <format action="formatting" dxfId="562">
      <pivotArea type="normal" dataOnly="0" labelOnly="1" outline="0" fieldPosition="0">
        <references count="2">
          <reference field="0" selected="0">
            <x v="316"/>
          </reference>
          <reference field="44">
            <x v="10"/>
          </reference>
        </references>
      </pivotArea>
    </format>
    <format action="formatting" dxfId="561">
      <pivotArea type="normal" dataOnly="0" labelOnly="1" outline="0" fieldPosition="0">
        <references count="2">
          <reference field="0" selected="0">
            <x v="317"/>
          </reference>
          <reference field="44">
            <x v="4"/>
          </reference>
        </references>
      </pivotArea>
    </format>
    <format action="formatting" dxfId="560">
      <pivotArea type="normal" dataOnly="0" labelOnly="1" outline="0" fieldPosition="0">
        <references count="2">
          <reference field="0" selected="0">
            <x v="319"/>
          </reference>
          <reference field="44">
            <x v="4"/>
          </reference>
        </references>
      </pivotArea>
    </format>
    <format action="formatting" dxfId="559">
      <pivotArea type="normal" dataOnly="0" labelOnly="1" outline="0" fieldPosition="0">
        <references count="2">
          <reference field="0" selected="0">
            <x v="338"/>
          </reference>
          <reference field="44">
            <x v="10"/>
          </reference>
        </references>
      </pivotArea>
    </format>
    <format action="formatting" dxfId="558">
      <pivotArea type="normal" dataOnly="0" labelOnly="1" outline="0" fieldPosition="0">
        <references count="2">
          <reference field="0" selected="0">
            <x v="339"/>
          </reference>
          <reference field="44">
            <x v="10"/>
          </reference>
        </references>
      </pivotArea>
    </format>
    <format action="formatting" dxfId="557">
      <pivotArea type="normal" dataOnly="0" labelOnly="1" outline="0" fieldPosition="0">
        <references count="2">
          <reference field="0" selected="0">
            <x v="340"/>
          </reference>
          <reference field="44">
            <x v="10"/>
          </reference>
        </references>
      </pivotArea>
    </format>
    <format action="formatting" dxfId="556">
      <pivotArea type="normal" dataOnly="0" labelOnly="1" outline="0" fieldPosition="0">
        <references count="2">
          <reference field="0" selected="0">
            <x v="343"/>
          </reference>
          <reference field="44">
            <x v="4"/>
          </reference>
        </references>
      </pivotArea>
    </format>
    <format action="formatting" dxfId="555">
      <pivotArea type="normal" dataOnly="0" labelOnly="1" outline="0" fieldPosition="0">
        <references count="2">
          <reference field="0" selected="0">
            <x v="344"/>
          </reference>
          <reference field="44">
            <x v="4"/>
          </reference>
        </references>
      </pivotArea>
    </format>
    <format action="formatting" dxfId="554">
      <pivotArea type="normal" dataOnly="0" labelOnly="1" outline="0" fieldPosition="0">
        <references count="2">
          <reference field="0" selected="0">
            <x v="349"/>
          </reference>
          <reference field="44">
            <x v="4"/>
          </reference>
        </references>
      </pivotArea>
    </format>
    <format action="formatting" dxfId="553">
      <pivotArea type="normal" dataOnly="0" labelOnly="1" outline="0" fieldPosition="0">
        <references count="2">
          <reference field="0" selected="0">
            <x v="350"/>
          </reference>
          <reference field="44">
            <x v="4"/>
          </reference>
        </references>
      </pivotArea>
    </format>
    <format action="formatting" dxfId="552">
      <pivotArea type="normal" dataOnly="0" labelOnly="1" outline="0" fieldPosition="0">
        <references count="2">
          <reference field="0" selected="0">
            <x v="351"/>
          </reference>
          <reference field="44">
            <x v="4"/>
          </reference>
        </references>
      </pivotArea>
    </format>
    <format action="formatting" dxfId="551">
      <pivotArea type="normal" dataOnly="0" labelOnly="1" outline="0" fieldPosition="0">
        <references count="2">
          <reference field="0" selected="0">
            <x v="352"/>
          </reference>
          <reference field="44">
            <x v="4"/>
          </reference>
        </references>
      </pivotArea>
    </format>
    <format action="formatting" dxfId="550">
      <pivotArea type="normal" dataOnly="0" labelOnly="1" outline="0" fieldPosition="0">
        <references count="2">
          <reference field="0" selected="0">
            <x v="353"/>
          </reference>
          <reference field="44">
            <x v="4"/>
          </reference>
        </references>
      </pivotArea>
    </format>
    <format action="formatting" dxfId="549">
      <pivotArea type="normal" dataOnly="0" labelOnly="1" outline="0" fieldPosition="0">
        <references count="2">
          <reference field="0" selected="0">
            <x v="354"/>
          </reference>
          <reference field="44">
            <x v="4"/>
          </reference>
        </references>
      </pivotArea>
    </format>
    <format action="formatting" dxfId="548">
      <pivotArea type="normal" dataOnly="0" labelOnly="1" outline="0" fieldPosition="0">
        <references count="2">
          <reference field="0" selected="0">
            <x v="355"/>
          </reference>
          <reference field="44">
            <x v="4"/>
          </reference>
        </references>
      </pivotArea>
    </format>
    <format action="formatting" dxfId="547">
      <pivotArea type="normal" dataOnly="0" labelOnly="1" outline="0" fieldPosition="0">
        <references count="2">
          <reference field="0" selected="0">
            <x v="356"/>
          </reference>
          <reference field="44">
            <x v="4"/>
          </reference>
        </references>
      </pivotArea>
    </format>
    <format action="formatting" dxfId="546">
      <pivotArea type="normal" dataOnly="0" labelOnly="1" outline="0" fieldPosition="0">
        <references count="2">
          <reference field="0" selected="0">
            <x v="357"/>
          </reference>
          <reference field="44">
            <x v="4"/>
          </reference>
        </references>
      </pivotArea>
    </format>
    <format action="formatting" dxfId="545">
      <pivotArea type="normal" dataOnly="0" labelOnly="1" outline="0" fieldPosition="0">
        <references count="2">
          <reference field="0" selected="0">
            <x v="358"/>
          </reference>
          <reference field="44">
            <x v="4"/>
          </reference>
        </references>
      </pivotArea>
    </format>
    <format action="formatting" dxfId="544">
      <pivotArea type="normal" dataOnly="0" labelOnly="1" outline="0" fieldPosition="0">
        <references count="2">
          <reference field="0" selected="0">
            <x v="359"/>
          </reference>
          <reference field="44">
            <x v="4"/>
          </reference>
        </references>
      </pivotArea>
    </format>
    <format action="formatting" dxfId="543">
      <pivotArea type="normal" dataOnly="0" labelOnly="1" outline="0" fieldPosition="0">
        <references count="2">
          <reference field="0" selected="0">
            <x v="360"/>
          </reference>
          <reference field="44">
            <x v="4"/>
          </reference>
        </references>
      </pivotArea>
    </format>
    <format action="formatting" dxfId="542">
      <pivotArea type="normal" dataOnly="0" labelOnly="1" outline="0" fieldPosition="0">
        <references count="2">
          <reference field="0" selected="0">
            <x v="361"/>
          </reference>
          <reference field="44">
            <x v="4"/>
          </reference>
        </references>
      </pivotArea>
    </format>
    <format action="formatting" dxfId="541">
      <pivotArea type="normal" dataOnly="0" labelOnly="1" outline="0" fieldPosition="0">
        <references count="2">
          <reference field="0" selected="0">
            <x v="364"/>
          </reference>
          <reference field="44">
            <x v="10"/>
          </reference>
        </references>
      </pivotArea>
    </format>
    <format action="formatting" dxfId="540">
      <pivotArea type="normal" dataOnly="0" labelOnly="1" outline="0" fieldPosition="0">
        <references count="2">
          <reference field="0" selected="0">
            <x v="365"/>
          </reference>
          <reference field="44">
            <x v="4"/>
          </reference>
        </references>
      </pivotArea>
    </format>
    <format action="formatting" dxfId="539">
      <pivotArea type="normal" dataOnly="0" labelOnly="1" outline="0" fieldPosition="0">
        <references count="2">
          <reference field="0" selected="0">
            <x v="368"/>
          </reference>
          <reference field="44">
            <x v="10"/>
          </reference>
        </references>
      </pivotArea>
    </format>
    <format action="formatting" dxfId="538">
      <pivotArea type="normal" dataOnly="0" labelOnly="1" outline="0" fieldPosition="0">
        <references count="2">
          <reference field="0" selected="0">
            <x v="369"/>
          </reference>
          <reference field="44">
            <x v="10"/>
          </reference>
        </references>
      </pivotArea>
    </format>
    <format action="formatting" dxfId="537">
      <pivotArea type="normal" dataOnly="0" labelOnly="1" outline="0" fieldPosition="0">
        <references count="2">
          <reference field="0" selected="0">
            <x v="370"/>
          </reference>
          <reference field="44">
            <x v="4"/>
          </reference>
        </references>
      </pivotArea>
    </format>
    <format action="formatting" dxfId="536">
      <pivotArea type="normal" dataOnly="0" labelOnly="1" outline="0" fieldPosition="0">
        <references count="2">
          <reference field="0" selected="0">
            <x v="376"/>
          </reference>
          <reference field="44">
            <x v="4"/>
          </reference>
        </references>
      </pivotArea>
    </format>
    <format action="formatting" dxfId="535">
      <pivotArea type="normal" dataOnly="0" labelOnly="1" outline="0" fieldPosition="0">
        <references count="2">
          <reference field="0" selected="0">
            <x v="378"/>
          </reference>
          <reference field="44">
            <x v="10"/>
          </reference>
        </references>
      </pivotArea>
    </format>
    <format action="formatting" dxfId="534">
      <pivotArea type="normal" dataOnly="0" labelOnly="1" outline="0" fieldPosition="0">
        <references count="2">
          <reference field="0" selected="0">
            <x v="379"/>
          </reference>
          <reference field="44">
            <x v="3"/>
          </reference>
        </references>
      </pivotArea>
    </format>
    <format action="formatting" dxfId="533">
      <pivotArea type="normal" dataOnly="0" labelOnly="1" outline="0" fieldPosition="0">
        <references count="2">
          <reference field="0" selected="0">
            <x v="380"/>
          </reference>
          <reference field="44">
            <x v="10"/>
          </reference>
        </references>
      </pivotArea>
    </format>
    <format action="formatting" dxfId="532">
      <pivotArea type="normal" dataOnly="0" labelOnly="1" outline="0" fieldPosition="0">
        <references count="2">
          <reference field="0" selected="0">
            <x v="381"/>
          </reference>
          <reference field="44">
            <x v="10"/>
          </reference>
        </references>
      </pivotArea>
    </format>
    <format action="formatting" dxfId="531">
      <pivotArea type="normal" dataOnly="0" labelOnly="1" outline="0" fieldPosition="0">
        <references count="2">
          <reference field="0" selected="0">
            <x v="382"/>
          </reference>
          <reference field="44">
            <x v="10"/>
          </reference>
        </references>
      </pivotArea>
    </format>
    <format action="formatting" dxfId="530">
      <pivotArea type="normal" dataOnly="0" labelOnly="1" outline="0" fieldPosition="0">
        <references count="2">
          <reference field="0" selected="0">
            <x v="383"/>
          </reference>
          <reference field="44">
            <x v="10"/>
          </reference>
        </references>
      </pivotArea>
    </format>
    <format action="formatting" dxfId="529">
      <pivotArea type="normal" dataOnly="0" labelOnly="1" outline="0" fieldPosition="0">
        <references count="2">
          <reference field="0" selected="0">
            <x v="385"/>
          </reference>
          <reference field="44">
            <x v="10"/>
          </reference>
        </references>
      </pivotArea>
    </format>
    <format action="formatting" dxfId="528">
      <pivotArea type="normal" dataOnly="0" labelOnly="1" outline="0" fieldPosition="0">
        <references count="2">
          <reference field="0" selected="0">
            <x v="386"/>
          </reference>
          <reference field="44">
            <x v="10"/>
          </reference>
        </references>
      </pivotArea>
    </format>
    <format action="formatting" dxfId="527">
      <pivotArea type="normal" dataOnly="0" labelOnly="1" outline="0" fieldPosition="0">
        <references count="2">
          <reference field="0" selected="0">
            <x v="387"/>
          </reference>
          <reference field="44">
            <x v="4"/>
          </reference>
        </references>
      </pivotArea>
    </format>
    <format action="formatting" dxfId="526">
      <pivotArea type="normal" dataOnly="0" labelOnly="1" outline="0" fieldPosition="0">
        <references count="2">
          <reference field="0" selected="0">
            <x v="389"/>
          </reference>
          <reference field="44">
            <x v="4"/>
          </reference>
        </references>
      </pivotArea>
    </format>
    <format action="formatting" dxfId="525">
      <pivotArea type="normal" dataOnly="0" labelOnly="1" outline="0" fieldPosition="0">
        <references count="2">
          <reference field="0" selected="0">
            <x v="392"/>
          </reference>
          <reference field="44">
            <x v="4"/>
          </reference>
        </references>
      </pivotArea>
    </format>
    <format action="formatting" dxfId="524">
      <pivotArea type="normal" dataOnly="0" labelOnly="1" outline="0" fieldPosition="0">
        <references count="2">
          <reference field="0" selected="0">
            <x v="394"/>
          </reference>
          <reference field="44">
            <x v="4"/>
          </reference>
        </references>
      </pivotArea>
    </format>
    <format action="formatting" dxfId="523">
      <pivotArea type="normal" dataOnly="0" labelOnly="1" outline="0" fieldPosition="0">
        <references count="2">
          <reference field="0" selected="0">
            <x v="396"/>
          </reference>
          <reference field="44">
            <x v="4"/>
          </reference>
        </references>
      </pivotArea>
    </format>
    <format action="formatting" dxfId="522">
      <pivotArea type="normal" dataOnly="0" labelOnly="1" outline="0" fieldPosition="0">
        <references count="2">
          <reference field="0" selected="0">
            <x v="398"/>
          </reference>
          <reference field="44">
            <x v="4"/>
          </reference>
        </references>
      </pivotArea>
    </format>
    <format action="formatting" dxfId="521">
      <pivotArea type="normal" dataOnly="0" labelOnly="1" outline="0" fieldPosition="0">
        <references count="2">
          <reference field="0" selected="0">
            <x v="399"/>
          </reference>
          <reference field="44">
            <x v="4"/>
          </reference>
        </references>
      </pivotArea>
    </format>
    <format action="formatting" dxfId="520">
      <pivotArea type="normal" dataOnly="0" labelOnly="1" outline="0" fieldPosition="0">
        <references count="2">
          <reference field="0" selected="0">
            <x v="400"/>
          </reference>
          <reference field="44">
            <x v="4"/>
          </reference>
        </references>
      </pivotArea>
    </format>
    <format action="formatting" dxfId="519">
      <pivotArea type="normal" dataOnly="0" labelOnly="1" outline="0" fieldPosition="0">
        <references count="2">
          <reference field="0" selected="0">
            <x v="401"/>
          </reference>
          <reference field="44">
            <x v="4"/>
          </reference>
        </references>
      </pivotArea>
    </format>
    <format action="formatting" dxfId="518">
      <pivotArea type="normal" dataOnly="0" labelOnly="1" outline="0" fieldPosition="0">
        <references count="2">
          <reference field="0" selected="0">
            <x v="402"/>
          </reference>
          <reference field="44">
            <x v="4"/>
          </reference>
        </references>
      </pivotArea>
    </format>
    <format action="formatting" dxfId="517">
      <pivotArea type="normal" dataOnly="0" labelOnly="1" outline="0" fieldPosition="0">
        <references count="2">
          <reference field="0" selected="0">
            <x v="403"/>
          </reference>
          <reference field="44">
            <x v="4"/>
          </reference>
        </references>
      </pivotArea>
    </format>
    <format action="formatting" dxfId="516">
      <pivotArea type="normal" dataOnly="0" labelOnly="1" outline="0" fieldPosition="0">
        <references count="2">
          <reference field="0" selected="0">
            <x v="404"/>
          </reference>
          <reference field="44">
            <x v="4"/>
          </reference>
        </references>
      </pivotArea>
    </format>
    <format action="formatting" dxfId="515">
      <pivotArea type="normal" dataOnly="0" labelOnly="1" outline="0" fieldPosition="0">
        <references count="2">
          <reference field="0" selected="0">
            <x v="405"/>
          </reference>
          <reference field="44">
            <x v="4"/>
          </reference>
        </references>
      </pivotArea>
    </format>
    <format action="formatting" dxfId="514">
      <pivotArea type="normal" dataOnly="0" labelOnly="1" outline="0" fieldPosition="0">
        <references count="2">
          <reference field="0" selected="0">
            <x v="406"/>
          </reference>
          <reference field="44">
            <x v="4"/>
          </reference>
        </references>
      </pivotArea>
    </format>
    <format action="formatting" dxfId="513">
      <pivotArea type="normal" dataOnly="0" labelOnly="1" outline="0" fieldPosition="0">
        <references count="2">
          <reference field="0" selected="0">
            <x v="408"/>
          </reference>
          <reference field="44">
            <x v="4"/>
          </reference>
        </references>
      </pivotArea>
    </format>
    <format action="formatting" dxfId="512">
      <pivotArea type="normal" dataOnly="0" labelOnly="1" outline="0" fieldPosition="0">
        <references count="2">
          <reference field="0" selected="0">
            <x v="409"/>
          </reference>
          <reference field="44">
            <x v="4"/>
          </reference>
        </references>
      </pivotArea>
    </format>
    <format action="formatting" dxfId="511">
      <pivotArea type="normal" dataOnly="0" labelOnly="1" outline="0" fieldPosition="0">
        <references count="2">
          <reference field="0" selected="0">
            <x v="410"/>
          </reference>
          <reference field="44">
            <x v="4"/>
          </reference>
        </references>
      </pivotArea>
    </format>
    <format action="formatting" dxfId="510">
      <pivotArea type="normal" dataOnly="0" labelOnly="1" outline="0" fieldPosition="0">
        <references count="2">
          <reference field="0" selected="0">
            <x v="411"/>
          </reference>
          <reference field="44">
            <x v="4"/>
          </reference>
        </references>
      </pivotArea>
    </format>
    <format action="formatting" dxfId="509">
      <pivotArea type="normal" dataOnly="0" labelOnly="1" outline="0" fieldPosition="0">
        <references count="2">
          <reference field="0" selected="0">
            <x v="412"/>
          </reference>
          <reference field="44">
            <x v="4"/>
          </reference>
        </references>
      </pivotArea>
    </format>
    <format action="formatting" dxfId="508">
      <pivotArea type="normal" dataOnly="0" labelOnly="1" outline="0" fieldPosition="0">
        <references count="2">
          <reference field="0" selected="0">
            <x v="413"/>
          </reference>
          <reference field="44">
            <x v="4"/>
          </reference>
        </references>
      </pivotArea>
    </format>
    <format action="formatting" dxfId="507">
      <pivotArea type="normal" dataOnly="0" labelOnly="1" outline="0" fieldPosition="0">
        <references count="2">
          <reference field="0" selected="0">
            <x v="414"/>
          </reference>
          <reference field="44">
            <x v="4"/>
          </reference>
        </references>
      </pivotArea>
    </format>
    <format action="formatting" dxfId="506">
      <pivotArea type="normal" dataOnly="0" labelOnly="1" outline="0" fieldPosition="0">
        <references count="2">
          <reference field="0" selected="0">
            <x v="415"/>
          </reference>
          <reference field="44">
            <x v="4"/>
          </reference>
        </references>
      </pivotArea>
    </format>
    <format action="formatting" dxfId="505">
      <pivotArea type="normal" dataOnly="0" labelOnly="1" outline="0" fieldPosition="0">
        <references count="2">
          <reference field="0" selected="0">
            <x v="416"/>
          </reference>
          <reference field="44">
            <x v="4"/>
          </reference>
        </references>
      </pivotArea>
    </format>
    <format action="formatting" dxfId="504">
      <pivotArea type="normal" dataOnly="0" labelOnly="1" outline="0" fieldPosition="0">
        <references count="2">
          <reference field="0" selected="0">
            <x v="417"/>
          </reference>
          <reference field="44">
            <x v="4"/>
          </reference>
        </references>
      </pivotArea>
    </format>
    <format action="formatting" dxfId="503">
      <pivotArea type="normal" dataOnly="0" labelOnly="1" outline="0" fieldPosition="0">
        <references count="2">
          <reference field="0" selected="0">
            <x v="418"/>
          </reference>
          <reference field="44">
            <x v="4"/>
          </reference>
        </references>
      </pivotArea>
    </format>
    <format action="formatting" dxfId="502">
      <pivotArea type="normal" dataOnly="0" labelOnly="1" outline="0" fieldPosition="0">
        <references count="2">
          <reference field="0" selected="0">
            <x v="419"/>
          </reference>
          <reference field="44">
            <x v="4"/>
          </reference>
        </references>
      </pivotArea>
    </format>
    <format action="formatting" dxfId="501">
      <pivotArea type="normal" dataOnly="0" labelOnly="1" outline="0" fieldPosition="0">
        <references count="2">
          <reference field="0" selected="0">
            <x v="420"/>
          </reference>
          <reference field="44">
            <x v="4"/>
          </reference>
        </references>
      </pivotArea>
    </format>
    <format action="formatting" dxfId="500">
      <pivotArea type="normal" dataOnly="0" labelOnly="1" outline="0" fieldPosition="0">
        <references count="2">
          <reference field="0" selected="0">
            <x v="421"/>
          </reference>
          <reference field="44">
            <x v="4"/>
          </reference>
        </references>
      </pivotArea>
    </format>
    <format action="formatting" dxfId="499">
      <pivotArea type="normal" dataOnly="0" labelOnly="1" outline="0" fieldPosition="0">
        <references count="2">
          <reference field="0" selected="0">
            <x v="422"/>
          </reference>
          <reference field="44">
            <x v="10"/>
          </reference>
        </references>
      </pivotArea>
    </format>
    <format action="formatting" dxfId="498">
      <pivotArea type="normal" dataOnly="0" labelOnly="1" outline="0" fieldPosition="0">
        <references count="2">
          <reference field="0" selected="0">
            <x v="423"/>
          </reference>
          <reference field="44">
            <x v="10"/>
          </reference>
        </references>
      </pivotArea>
    </format>
    <format action="formatting" dxfId="497">
      <pivotArea type="normal" dataOnly="0" labelOnly="1" outline="0" fieldPosition="0">
        <references count="2">
          <reference field="0" selected="0">
            <x v="424"/>
          </reference>
          <reference field="44">
            <x v="10"/>
          </reference>
        </references>
      </pivotArea>
    </format>
    <format action="formatting" dxfId="496">
      <pivotArea type="normal" dataOnly="0" labelOnly="1" outline="0" fieldPosition="0">
        <references count="2">
          <reference field="0" selected="0">
            <x v="425"/>
          </reference>
          <reference field="44">
            <x v="10"/>
          </reference>
        </references>
      </pivotArea>
    </format>
    <format action="formatting" dxfId="495">
      <pivotArea type="normal" dataOnly="0" labelOnly="1" outline="0" fieldPosition="0">
        <references count="2">
          <reference field="0" selected="0">
            <x v="426"/>
          </reference>
          <reference field="44">
            <x v="10"/>
          </reference>
        </references>
      </pivotArea>
    </format>
    <format action="formatting" dxfId="494">
      <pivotArea type="normal" dataOnly="0" labelOnly="1" outline="0" fieldPosition="0">
        <references count="2">
          <reference field="0" selected="0">
            <x v="427"/>
          </reference>
          <reference field="44">
            <x v="10"/>
          </reference>
        </references>
      </pivotArea>
    </format>
    <format action="formatting" dxfId="493">
      <pivotArea type="normal" dataOnly="0" labelOnly="1" outline="0" fieldPosition="0">
        <references count="2">
          <reference field="0" selected="0">
            <x v="428"/>
          </reference>
          <reference field="44">
            <x v="10"/>
          </reference>
        </references>
      </pivotArea>
    </format>
    <format action="formatting" dxfId="492">
      <pivotArea type="normal" dataOnly="0" labelOnly="1" outline="0" fieldPosition="0">
        <references count="2">
          <reference field="0" selected="0">
            <x v="429"/>
          </reference>
          <reference field="44">
            <x v="10"/>
          </reference>
        </references>
      </pivotArea>
    </format>
    <format action="formatting" dxfId="491">
      <pivotArea type="normal" dataOnly="0" labelOnly="1" outline="0" fieldPosition="0">
        <references count="2">
          <reference field="0" selected="0">
            <x v="430"/>
          </reference>
          <reference field="44">
            <x v="10"/>
          </reference>
        </references>
      </pivotArea>
    </format>
    <format action="formatting" dxfId="490">
      <pivotArea type="normal" dataOnly="0" labelOnly="1" outline="0" fieldPosition="0">
        <references count="2">
          <reference field="0" selected="0">
            <x v="431"/>
          </reference>
          <reference field="44">
            <x v="2"/>
          </reference>
        </references>
      </pivotArea>
    </format>
    <format action="formatting" dxfId="489">
      <pivotArea type="normal" dataOnly="0" labelOnly="1" outline="0" fieldPosition="0">
        <references count="2">
          <reference field="0" selected="0">
            <x v="432"/>
          </reference>
          <reference field="44">
            <x v="2"/>
          </reference>
        </references>
      </pivotArea>
    </format>
    <format action="formatting" dxfId="488">
      <pivotArea type="normal" dataOnly="0" labelOnly="1" outline="0" fieldPosition="0">
        <references count="2">
          <reference field="0" selected="0">
            <x v="433"/>
          </reference>
          <reference field="44">
            <x v="2"/>
          </reference>
        </references>
      </pivotArea>
    </format>
    <format action="formatting" dxfId="487">
      <pivotArea type="normal" dataOnly="0" labelOnly="1" outline="0" fieldPosition="0">
        <references count="2">
          <reference field="0" selected="0">
            <x v="434"/>
          </reference>
          <reference field="44">
            <x v="2"/>
          </reference>
        </references>
      </pivotArea>
    </format>
    <format action="formatting" dxfId="486">
      <pivotArea type="normal" dataOnly="0" labelOnly="1" outline="0" fieldPosition="0">
        <references count="2">
          <reference field="0" selected="0">
            <x v="435"/>
          </reference>
          <reference field="44">
            <x v="2"/>
          </reference>
        </references>
      </pivotArea>
    </format>
    <format action="formatting" dxfId="485">
      <pivotArea type="normal" dataOnly="0" labelOnly="1" outline="0" fieldPosition="0">
        <references count="2">
          <reference field="0" selected="0">
            <x v="436"/>
          </reference>
          <reference field="44">
            <x v="2"/>
          </reference>
        </references>
      </pivotArea>
    </format>
    <format action="formatting" dxfId="484">
      <pivotArea type="normal" dataOnly="0" labelOnly="1" outline="0" fieldPosition="0">
        <references count="2">
          <reference field="0" selected="0">
            <x v="437"/>
          </reference>
          <reference field="44">
            <x v="2"/>
          </reference>
        </references>
      </pivotArea>
    </format>
    <format action="formatting" dxfId="483">
      <pivotArea type="normal" dataOnly="0" labelOnly="1" outline="0" fieldPosition="0">
        <references count="2">
          <reference field="0" selected="0">
            <x v="438"/>
          </reference>
          <reference field="44">
            <x v="2"/>
          </reference>
        </references>
      </pivotArea>
    </format>
    <format action="formatting" dxfId="482">
      <pivotArea type="normal" dataOnly="0" labelOnly="1" outline="0" fieldPosition="0">
        <references count="2">
          <reference field="0" selected="0">
            <x v="446"/>
          </reference>
          <reference field="44">
            <x v="10"/>
          </reference>
        </references>
      </pivotArea>
    </format>
    <format action="formatting" dxfId="481">
      <pivotArea type="normal" dataOnly="0" labelOnly="1" outline="0" fieldPosition="0">
        <references count="2">
          <reference field="0" selected="0">
            <x v="447"/>
          </reference>
          <reference field="44">
            <x v="4"/>
          </reference>
        </references>
      </pivotArea>
    </format>
    <format action="formatting" dxfId="480">
      <pivotArea type="normal" dataOnly="0" labelOnly="1" outline="0" fieldPosition="0">
        <references count="2">
          <reference field="0" selected="0">
            <x v="448"/>
          </reference>
          <reference field="44">
            <x v="4"/>
          </reference>
        </references>
      </pivotArea>
    </format>
    <format action="formatting" dxfId="479">
      <pivotArea type="normal" dataOnly="0" labelOnly="1" outline="0" fieldPosition="0">
        <references count="2">
          <reference field="0" selected="0">
            <x v="449"/>
          </reference>
          <reference field="44">
            <x v="10"/>
          </reference>
        </references>
      </pivotArea>
    </format>
    <format action="formatting" dxfId="478">
      <pivotArea type="normal" dataOnly="0" labelOnly="1" outline="0" fieldPosition="0">
        <references count="2">
          <reference field="0" selected="0">
            <x v="451"/>
          </reference>
          <reference field="44">
            <x v="10"/>
          </reference>
        </references>
      </pivotArea>
    </format>
    <format action="formatting" dxfId="477">
      <pivotArea type="normal" dataOnly="0" labelOnly="1" outline="0" fieldPosition="0">
        <references count="2">
          <reference field="0" selected="0">
            <x v="454"/>
          </reference>
          <reference field="44">
            <x v="4"/>
          </reference>
        </references>
      </pivotArea>
    </format>
    <format action="formatting" dxfId="476">
      <pivotArea type="normal" dataOnly="0" labelOnly="1" outline="0" fieldPosition="0">
        <references count="2">
          <reference field="0" selected="0">
            <x v="455"/>
          </reference>
          <reference field="44">
            <x v="10"/>
          </reference>
        </references>
      </pivotArea>
    </format>
    <format action="formatting" dxfId="475">
      <pivotArea type="normal" dataOnly="0" labelOnly="1" outline="0" fieldPosition="0">
        <references count="2">
          <reference field="0" selected="0">
            <x v="456"/>
          </reference>
          <reference field="44">
            <x v="4"/>
          </reference>
        </references>
      </pivotArea>
    </format>
    <format action="formatting" dxfId="474">
      <pivotArea type="normal" dataOnly="0" labelOnly="1" outline="0" fieldPosition="0">
        <references count="2">
          <reference field="0" selected="0">
            <x v="457"/>
          </reference>
          <reference field="44">
            <x v="10"/>
          </reference>
        </references>
      </pivotArea>
    </format>
    <format action="formatting" dxfId="473">
      <pivotArea type="normal" dataOnly="0" labelOnly="1" outline="0" fieldPosition="0">
        <references count="2">
          <reference field="0" selected="0">
            <x v="461"/>
          </reference>
          <reference field="44">
            <x v="10"/>
          </reference>
        </references>
      </pivotArea>
    </format>
    <format action="formatting" dxfId="472">
      <pivotArea type="normal" dataOnly="0" labelOnly="1" outline="0" fieldPosition="0">
        <references count="2">
          <reference field="0" selected="0">
            <x v="462"/>
          </reference>
          <reference field="44">
            <x v="10"/>
          </reference>
        </references>
      </pivotArea>
    </format>
    <format action="formatting" dxfId="471">
      <pivotArea type="normal" dataOnly="0" labelOnly="1" outline="0" fieldPosition="0">
        <references count="2">
          <reference field="0" selected="0">
            <x v="463"/>
          </reference>
          <reference field="44">
            <x v="10"/>
          </reference>
        </references>
      </pivotArea>
    </format>
    <format action="formatting" dxfId="470">
      <pivotArea type="normal" dataOnly="0" labelOnly="1" outline="0" fieldPosition="0">
        <references count="2">
          <reference field="0" selected="0">
            <x v="464"/>
          </reference>
          <reference field="44">
            <x v="10"/>
          </reference>
        </references>
      </pivotArea>
    </format>
    <format action="formatting" dxfId="469">
      <pivotArea type="normal" dataOnly="0" labelOnly="1" outline="0" fieldPosition="0">
        <references count="2">
          <reference field="0" selected="0">
            <x v="465"/>
          </reference>
          <reference field="44">
            <x v="10"/>
          </reference>
        </references>
      </pivotArea>
    </format>
    <format action="formatting" dxfId="468">
      <pivotArea type="normal" dataOnly="0" labelOnly="1" outline="0" fieldPosition="0">
        <references count="2">
          <reference field="0" selected="0">
            <x v="467"/>
          </reference>
          <reference field="44">
            <x v="10"/>
          </reference>
        </references>
      </pivotArea>
    </format>
    <format action="formatting" dxfId="467">
      <pivotArea type="normal" dataOnly="0" labelOnly="1" outline="0" fieldPosition="0">
        <references count="2">
          <reference field="0" selected="0">
            <x v="471"/>
          </reference>
          <reference field="44">
            <x v="10"/>
          </reference>
        </references>
      </pivotArea>
    </format>
    <format action="formatting" dxfId="466">
      <pivotArea type="normal" dataOnly="0" labelOnly="1" outline="0" fieldPosition="0">
        <references count="2">
          <reference field="0" selected="0">
            <x v="472"/>
          </reference>
          <reference field="44">
            <x v="2"/>
          </reference>
        </references>
      </pivotArea>
    </format>
    <format action="formatting" dxfId="465">
      <pivotArea type="normal" dataOnly="0" labelOnly="1" outline="0" fieldPosition="0">
        <references count="2">
          <reference field="0" selected="0">
            <x v="474"/>
          </reference>
          <reference field="44">
            <x v="10"/>
          </reference>
        </references>
      </pivotArea>
    </format>
    <format action="formatting" dxfId="464">
      <pivotArea type="normal" dataOnly="0" labelOnly="1" outline="0" fieldPosition="0">
        <references count="2">
          <reference field="0" selected="0">
            <x v="475"/>
          </reference>
          <reference field="44">
            <x v="10"/>
          </reference>
        </references>
      </pivotArea>
    </format>
    <format action="formatting" dxfId="463">
      <pivotArea type="normal" dataOnly="0" labelOnly="1" outline="0" fieldPosition="0">
        <references count="2">
          <reference field="0" selected="0">
            <x v="488"/>
          </reference>
          <reference field="44">
            <x v="10"/>
          </reference>
        </references>
      </pivotArea>
    </format>
    <format action="formatting" dxfId="462">
      <pivotArea type="normal" dataOnly="0" labelOnly="1" outline="0" fieldPosition="0">
        <references count="2">
          <reference field="0" selected="0">
            <x v="489"/>
          </reference>
          <reference field="44">
            <x v="10"/>
          </reference>
        </references>
      </pivotArea>
    </format>
    <format action="formatting" dxfId="461">
      <pivotArea type="normal" dataOnly="0" labelOnly="1" outline="0" fieldPosition="0">
        <references count="2">
          <reference field="0" selected="0">
            <x v="498"/>
          </reference>
          <reference field="44">
            <x v="10"/>
          </reference>
        </references>
      </pivotArea>
    </format>
    <format action="formatting" dxfId="460">
      <pivotArea type="normal" dataOnly="0" labelOnly="1" outline="0" fieldPosition="0">
        <references count="2">
          <reference field="0" selected="0">
            <x v="501"/>
          </reference>
          <reference field="44">
            <x v="4"/>
          </reference>
        </references>
      </pivotArea>
    </format>
    <format action="formatting" dxfId="459">
      <pivotArea type="normal" dataOnly="0" labelOnly="1" outline="0" fieldPosition="0">
        <references count="2">
          <reference field="0" selected="0">
            <x v="503"/>
          </reference>
          <reference field="44">
            <x v="10"/>
          </reference>
        </references>
      </pivotArea>
    </format>
    <format action="formatting" dxfId="458">
      <pivotArea type="normal" dataOnly="0" labelOnly="1" outline="0" fieldPosition="0">
        <references count="2">
          <reference field="0" selected="0">
            <x v="527"/>
          </reference>
          <reference field="44">
            <x v="4"/>
          </reference>
        </references>
      </pivotArea>
    </format>
    <format action="formatting" dxfId="457">
      <pivotArea type="normal" dataOnly="0" labelOnly="1" outline="0" fieldPosition="0">
        <references count="2">
          <reference field="0" selected="0">
            <x v="528"/>
          </reference>
          <reference field="44">
            <x v="10"/>
          </reference>
        </references>
      </pivotArea>
    </format>
    <format action="formatting" dxfId="456">
      <pivotArea type="normal" dataOnly="0" labelOnly="1" outline="0" fieldPosition="0">
        <references count="2">
          <reference field="0" selected="0">
            <x v="529"/>
          </reference>
          <reference field="44">
            <x v="10"/>
          </reference>
        </references>
      </pivotArea>
    </format>
    <format action="formatting" dxfId="455">
      <pivotArea type="normal" dataOnly="0" labelOnly="1" outline="0" fieldPosition="0">
        <references count="2">
          <reference field="0" selected="0">
            <x v="534"/>
          </reference>
          <reference field="44">
            <x v="4"/>
          </reference>
        </references>
      </pivotArea>
    </format>
    <format action="formatting" dxfId="454">
      <pivotArea type="normal" dataOnly="0" labelOnly="1" outline="0" fieldPosition="0">
        <references count="2">
          <reference field="0" selected="0">
            <x v="536"/>
          </reference>
          <reference field="44">
            <x v="4"/>
          </reference>
        </references>
      </pivotArea>
    </format>
    <format action="formatting" dxfId="453">
      <pivotArea type="normal" dataOnly="0" labelOnly="1" outline="0" fieldPosition="0">
        <references count="2">
          <reference field="0" selected="0">
            <x v="537"/>
          </reference>
          <reference field="44">
            <x v="4"/>
          </reference>
        </references>
      </pivotArea>
    </format>
    <format action="formatting" dxfId="452">
      <pivotArea type="normal" dataOnly="0" labelOnly="1" outline="0" fieldPosition="0">
        <references count="2">
          <reference field="0" selected="0">
            <x v="541"/>
          </reference>
          <reference field="44">
            <x v="4"/>
          </reference>
        </references>
      </pivotArea>
    </format>
    <format action="formatting" dxfId="451">
      <pivotArea type="normal" dataOnly="0" labelOnly="1" outline="0" fieldPosition="0">
        <references count="2">
          <reference field="0" selected="0">
            <x v="552"/>
          </reference>
          <reference field="44">
            <x v="10"/>
          </reference>
        </references>
      </pivotArea>
    </format>
    <format action="formatting" dxfId="450">
      <pivotArea type="normal" dataOnly="0" labelOnly="1" outline="0" fieldPosition="0">
        <references count="2">
          <reference field="0" selected="0">
            <x v="555"/>
          </reference>
          <reference field="44">
            <x v="4"/>
          </reference>
        </references>
      </pivotArea>
    </format>
    <format action="formatting" dxfId="449">
      <pivotArea type="normal" dataOnly="0" labelOnly="1" outline="0" fieldPosition="0">
        <references count="2">
          <reference field="0" selected="0">
            <x v="556"/>
          </reference>
          <reference field="44">
            <x v="4"/>
          </reference>
        </references>
      </pivotArea>
    </format>
    <format action="formatting" dxfId="448">
      <pivotArea type="normal" dataOnly="0" labelOnly="1" outline="0" fieldPosition="0">
        <references count="2">
          <reference field="0" selected="0">
            <x v="557"/>
          </reference>
          <reference field="44">
            <x v="4"/>
          </reference>
        </references>
      </pivotArea>
    </format>
    <format action="formatting" dxfId="447">
      <pivotArea type="normal" dataOnly="0" labelOnly="1" outline="0" fieldPosition="0">
        <references count="2">
          <reference field="0" selected="0">
            <x v="558"/>
          </reference>
          <reference field="44">
            <x v="4"/>
          </reference>
        </references>
      </pivotArea>
    </format>
    <format action="formatting" dxfId="446">
      <pivotArea type="normal" dataOnly="0" labelOnly="1" outline="0" fieldPosition="0">
        <references count="2">
          <reference field="0" selected="0">
            <x v="559"/>
          </reference>
          <reference field="44">
            <x v="4"/>
          </reference>
        </references>
      </pivotArea>
    </format>
    <format action="formatting" dxfId="445">
      <pivotArea type="normal" dataOnly="0" labelOnly="1" outline="0" fieldPosition="0">
        <references count="2">
          <reference field="0" selected="0">
            <x v="560"/>
          </reference>
          <reference field="44">
            <x v="4"/>
          </reference>
        </references>
      </pivotArea>
    </format>
    <format action="formatting" dxfId="444">
      <pivotArea type="normal" dataOnly="0" labelOnly="1" outline="0" fieldPosition="0">
        <references count="2">
          <reference field="0" selected="0">
            <x v="561"/>
          </reference>
          <reference field="44">
            <x v="4"/>
          </reference>
        </references>
      </pivotArea>
    </format>
    <format action="formatting" dxfId="443">
      <pivotArea type="normal" dataOnly="0" labelOnly="1" outline="0" fieldPosition="0">
        <references count="2">
          <reference field="0" selected="0">
            <x v="562"/>
          </reference>
          <reference field="44">
            <x v="4"/>
          </reference>
        </references>
      </pivotArea>
    </format>
    <format action="formatting" dxfId="442">
      <pivotArea type="normal" dataOnly="0" labelOnly="1" outline="0" fieldPosition="0">
        <references count="2">
          <reference field="0" selected="0">
            <x v="563"/>
          </reference>
          <reference field="44">
            <x v="4"/>
          </reference>
        </references>
      </pivotArea>
    </format>
    <format action="formatting" dxfId="441">
      <pivotArea type="normal" dataOnly="0" labelOnly="1" outline="0" fieldPosition="0">
        <references count="2">
          <reference field="0" selected="0">
            <x v="564"/>
          </reference>
          <reference field="44">
            <x v="4"/>
          </reference>
        </references>
      </pivotArea>
    </format>
    <format action="formatting" dxfId="440">
      <pivotArea type="normal" dataOnly="0" labelOnly="1" outline="0" fieldPosition="0">
        <references count="2">
          <reference field="0" selected="0">
            <x v="565"/>
          </reference>
          <reference field="44">
            <x v="4"/>
          </reference>
        </references>
      </pivotArea>
    </format>
    <format action="formatting" dxfId="439">
      <pivotArea type="normal" dataOnly="0" labelOnly="1" outline="0" fieldPosition="0">
        <references count="2">
          <reference field="0" selected="0">
            <x v="566"/>
          </reference>
          <reference field="44">
            <x v="4"/>
          </reference>
        </references>
      </pivotArea>
    </format>
    <format action="formatting" dxfId="438">
      <pivotArea type="normal" dataOnly="0" labelOnly="1" outline="0" fieldPosition="0">
        <references count="2">
          <reference field="0" selected="0">
            <x v="567"/>
          </reference>
          <reference field="44">
            <x v="4"/>
          </reference>
        </references>
      </pivotArea>
    </format>
    <format action="formatting" dxfId="437">
      <pivotArea type="normal" dataOnly="0" labelOnly="1" outline="0" fieldPosition="0">
        <references count="2">
          <reference field="0" selected="0">
            <x v="568"/>
          </reference>
          <reference field="44">
            <x v="4"/>
          </reference>
        </references>
      </pivotArea>
    </format>
    <format action="formatting" dxfId="436">
      <pivotArea type="normal" dataOnly="0" labelOnly="1" outline="0" fieldPosition="0">
        <references count="2">
          <reference field="0" selected="0">
            <x v="569"/>
          </reference>
          <reference field="44">
            <x v="4"/>
          </reference>
        </references>
      </pivotArea>
    </format>
    <format action="formatting" dxfId="435">
      <pivotArea type="normal" dataOnly="0" labelOnly="1" outline="0" fieldPosition="0">
        <references count="2">
          <reference field="0" selected="0">
            <x v="570"/>
          </reference>
          <reference field="44">
            <x v="4"/>
          </reference>
        </references>
      </pivotArea>
    </format>
    <format action="formatting" dxfId="434">
      <pivotArea type="normal" dataOnly="0" labelOnly="1" outline="0" fieldPosition="0">
        <references count="2">
          <reference field="0" selected="0">
            <x v="571"/>
          </reference>
          <reference field="44">
            <x v="4"/>
          </reference>
        </references>
      </pivotArea>
    </format>
    <format action="formatting" dxfId="433">
      <pivotArea type="normal" dataOnly="0" labelOnly="1" outline="0" fieldPosition="0">
        <references count="2">
          <reference field="0" selected="0">
            <x v="572"/>
          </reference>
          <reference field="44">
            <x v="4"/>
          </reference>
        </references>
      </pivotArea>
    </format>
    <format action="formatting" dxfId="432">
      <pivotArea type="normal" dataOnly="0" labelOnly="1" outline="0" fieldPosition="0">
        <references count="2">
          <reference field="0" selected="0">
            <x v="573"/>
          </reference>
          <reference field="44">
            <x v="4"/>
          </reference>
        </references>
      </pivotArea>
    </format>
    <format action="formatting" dxfId="431">
      <pivotArea type="normal" dataOnly="0" labelOnly="1" outline="0" fieldPosition="0">
        <references count="2">
          <reference field="0" selected="0">
            <x v="574"/>
          </reference>
          <reference field="44">
            <x v="4"/>
          </reference>
        </references>
      </pivotArea>
    </format>
    <format action="formatting" dxfId="430">
      <pivotArea type="normal" dataOnly="0" labelOnly="1" outline="0" fieldPosition="0">
        <references count="2">
          <reference field="0" selected="0">
            <x v="575"/>
          </reference>
          <reference field="44">
            <x v="4"/>
          </reference>
        </references>
      </pivotArea>
    </format>
    <format action="formatting" dxfId="429">
      <pivotArea type="normal" dataOnly="0" labelOnly="1" outline="0" fieldPosition="0">
        <references count="2">
          <reference field="0" selected="0">
            <x v="576"/>
          </reference>
          <reference field="44">
            <x v="4"/>
          </reference>
        </references>
      </pivotArea>
    </format>
    <format action="formatting" dxfId="428">
      <pivotArea type="normal" dataOnly="0" labelOnly="1" outline="0" fieldPosition="0">
        <references count="2">
          <reference field="0" selected="0">
            <x v="577"/>
          </reference>
          <reference field="44">
            <x v="4"/>
          </reference>
        </references>
      </pivotArea>
    </format>
    <format action="formatting" dxfId="427">
      <pivotArea type="normal" dataOnly="0" labelOnly="1" outline="0" fieldPosition="0">
        <references count="2">
          <reference field="0" selected="0">
            <x v="580"/>
          </reference>
          <reference field="44">
            <x v="4"/>
          </reference>
        </references>
      </pivotArea>
    </format>
    <format action="formatting" dxfId="426">
      <pivotArea type="normal" dataOnly="0" labelOnly="1" outline="0" fieldPosition="0">
        <references count="2">
          <reference field="0" selected="0">
            <x v="581"/>
          </reference>
          <reference field="44">
            <x v="4"/>
          </reference>
        </references>
      </pivotArea>
    </format>
    <format action="formatting" dxfId="425">
      <pivotArea type="normal" dataOnly="0" labelOnly="1" outline="0" fieldPosition="0">
        <references count="2">
          <reference field="0" selected="0">
            <x v="584"/>
          </reference>
          <reference field="44">
            <x v="4"/>
          </reference>
        </references>
      </pivotArea>
    </format>
    <format action="formatting" dxfId="424">
      <pivotArea type="normal" dataOnly="0" labelOnly="1" outline="0" fieldPosition="0">
        <references count="2">
          <reference field="0" selected="0">
            <x v="585"/>
          </reference>
          <reference field="44">
            <x v="4"/>
          </reference>
        </references>
      </pivotArea>
    </format>
    <format action="formatting" dxfId="423">
      <pivotArea type="normal" dataOnly="0" labelOnly="1" outline="0" fieldPosition="0">
        <references count="2">
          <reference field="0" selected="0">
            <x v="595"/>
          </reference>
          <reference field="44">
            <x v="10"/>
          </reference>
        </references>
      </pivotArea>
    </format>
    <format action="formatting" dxfId="422">
      <pivotArea type="normal" dataOnly="0" labelOnly="1" outline="0" fieldPosition="0">
        <references count="2">
          <reference field="0" selected="0">
            <x v="599"/>
          </reference>
          <reference field="44">
            <x v="10"/>
          </reference>
        </references>
      </pivotArea>
    </format>
    <format action="formatting" dxfId="421">
      <pivotArea type="normal" dataOnly="0" labelOnly="1" outline="0" fieldPosition="0">
        <references count="2">
          <reference field="0" selected="0">
            <x v="600"/>
          </reference>
          <reference field="44">
            <x v="10"/>
          </reference>
        </references>
      </pivotArea>
    </format>
    <format action="formatting" dxfId="420">
      <pivotArea type="normal" dataOnly="0" labelOnly="1" outline="0" fieldPosition="0">
        <references count="2">
          <reference field="0" selected="0">
            <x v="601"/>
          </reference>
          <reference field="44">
            <x v="10"/>
          </reference>
        </references>
      </pivotArea>
    </format>
    <format action="formatting" dxfId="419">
      <pivotArea type="normal" dataOnly="0" labelOnly="1" outline="0" fieldPosition="0">
        <references count="2">
          <reference field="0" selected="0">
            <x v="602"/>
          </reference>
          <reference field="44">
            <x v="3"/>
          </reference>
        </references>
      </pivotArea>
    </format>
    <format action="formatting" dxfId="418">
      <pivotArea type="normal" dataOnly="0" labelOnly="1" outline="0" fieldPosition="0">
        <references count="2">
          <reference field="0" selected="0">
            <x v="603"/>
          </reference>
          <reference field="44">
            <x v="10"/>
          </reference>
        </references>
      </pivotArea>
    </format>
    <format action="formatting" dxfId="417">
      <pivotArea type="normal" dataOnly="0" labelOnly="1" outline="0" fieldPosition="0">
        <references count="2">
          <reference field="0" selected="0">
            <x v="610"/>
          </reference>
          <reference field="44">
            <x v="10"/>
          </reference>
        </references>
      </pivotArea>
    </format>
    <format action="formatting" dxfId="416">
      <pivotArea type="normal" dataOnly="0" labelOnly="1" outline="0" fieldPosition="0">
        <references count="2">
          <reference field="0" selected="0">
            <x v="611"/>
          </reference>
          <reference field="44">
            <x v="10"/>
          </reference>
        </references>
      </pivotArea>
    </format>
    <format action="formatting" dxfId="415">
      <pivotArea type="normal" dataOnly="0" labelOnly="1" outline="0" fieldPosition="0">
        <references count="2">
          <reference field="0" selected="0">
            <x v="612"/>
          </reference>
          <reference field="44">
            <x v="10"/>
          </reference>
        </references>
      </pivotArea>
    </format>
    <format action="formatting" dxfId="414">
      <pivotArea type="normal" dataOnly="0" labelOnly="1" outline="0" fieldPosition="0">
        <references count="2">
          <reference field="0" selected="0">
            <x v="613"/>
          </reference>
          <reference field="44">
            <x v="10"/>
          </reference>
        </references>
      </pivotArea>
    </format>
    <format action="formatting" dxfId="413">
      <pivotArea type="normal" dataOnly="0" labelOnly="1" outline="0" fieldPosition="0">
        <references count="2">
          <reference field="0" selected="0">
            <x v="614"/>
          </reference>
          <reference field="44">
            <x v="10"/>
          </reference>
        </references>
      </pivotArea>
    </format>
    <format action="formatting" dxfId="412">
      <pivotArea type="normal" dataOnly="0" labelOnly="1" outline="0" fieldPosition="0">
        <references count="2">
          <reference field="0" selected="0">
            <x v="615"/>
          </reference>
          <reference field="44">
            <x v="10"/>
          </reference>
        </references>
      </pivotArea>
    </format>
    <format action="formatting" dxfId="411">
      <pivotArea type="normal" dataOnly="0" labelOnly="1" outline="0" fieldPosition="0">
        <references count="2">
          <reference field="0" selected="0">
            <x v="616"/>
          </reference>
          <reference field="44">
            <x v="10"/>
          </reference>
        </references>
      </pivotArea>
    </format>
    <format action="formatting" dxfId="410">
      <pivotArea type="normal" dataOnly="0" labelOnly="1" outline="0" fieldPosition="0">
        <references count="2">
          <reference field="0" selected="0">
            <x v="617"/>
          </reference>
          <reference field="44">
            <x v="10"/>
          </reference>
        </references>
      </pivotArea>
    </format>
    <format action="formatting" dxfId="409">
      <pivotArea type="normal" dataOnly="0" labelOnly="1" outline="0" fieldPosition="0">
        <references count="2">
          <reference field="0" selected="0">
            <x v="618"/>
          </reference>
          <reference field="44">
            <x v="10"/>
          </reference>
        </references>
      </pivotArea>
    </format>
    <format action="formatting" dxfId="408">
      <pivotArea type="normal" dataOnly="0" labelOnly="1" outline="0" fieldPosition="0">
        <references count="2">
          <reference field="0" selected="0">
            <x v="619"/>
          </reference>
          <reference field="44">
            <x v="10"/>
          </reference>
        </references>
      </pivotArea>
    </format>
    <format action="formatting" dxfId="407">
      <pivotArea type="normal" dataOnly="0" labelOnly="1" outline="0" fieldPosition="0">
        <references count="2">
          <reference field="0" selected="0">
            <x v="620"/>
          </reference>
          <reference field="44">
            <x v="10"/>
          </reference>
        </references>
      </pivotArea>
    </format>
    <format action="formatting" dxfId="406">
      <pivotArea type="normal" dataOnly="0" labelOnly="1" outline="0" fieldPosition="0">
        <references count="2">
          <reference field="0" selected="0">
            <x v="621"/>
          </reference>
          <reference field="44">
            <x v="4"/>
          </reference>
        </references>
      </pivotArea>
    </format>
    <format action="formatting" dxfId="405">
      <pivotArea type="normal" dataOnly="0" labelOnly="1" outline="0" fieldPosition="0">
        <references count="2">
          <reference field="0" selected="0">
            <x v="622"/>
          </reference>
          <reference field="44">
            <x v="10"/>
          </reference>
        </references>
      </pivotArea>
    </format>
    <format action="formatting" dxfId="404">
      <pivotArea type="normal" dataOnly="0" labelOnly="1" outline="0" fieldPosition="0">
        <references count="2">
          <reference field="0" selected="0">
            <x v="623"/>
          </reference>
          <reference field="44">
            <x v="4"/>
          </reference>
        </references>
      </pivotArea>
    </format>
    <format action="formatting" dxfId="403">
      <pivotArea type="normal" dataOnly="0" labelOnly="1" outline="0" fieldPosition="0">
        <references count="2">
          <reference field="0" selected="0">
            <x v="624"/>
          </reference>
          <reference field="44">
            <x v="4"/>
          </reference>
        </references>
      </pivotArea>
    </format>
    <format action="formatting" dxfId="402">
      <pivotArea type="normal" dataOnly="0" labelOnly="1" outline="0" fieldPosition="0">
        <references count="2">
          <reference field="0" selected="0">
            <x v="625"/>
          </reference>
          <reference field="44">
            <x v="10"/>
          </reference>
        </references>
      </pivotArea>
    </format>
    <format action="formatting" dxfId="401">
      <pivotArea type="normal" dataOnly="0" labelOnly="1" outline="0" fieldPosition="0">
        <references count="2">
          <reference field="0" selected="0">
            <x v="628"/>
          </reference>
          <reference field="44">
            <x v="10"/>
          </reference>
        </references>
      </pivotArea>
    </format>
    <format action="formatting" dxfId="400">
      <pivotArea type="normal" dataOnly="0" labelOnly="1" outline="0" fieldPosition="0">
        <references count="2">
          <reference field="0" selected="0">
            <x v="629"/>
          </reference>
          <reference field="44">
            <x v="4"/>
          </reference>
        </references>
      </pivotArea>
    </format>
    <format action="formatting" dxfId="399">
      <pivotArea type="normal" dataOnly="0" labelOnly="1" outline="0" fieldPosition="0">
        <references count="2">
          <reference field="0" selected="0">
            <x v="631"/>
          </reference>
          <reference field="44">
            <x v="10"/>
          </reference>
        </references>
      </pivotArea>
    </format>
    <format action="formatting" dxfId="398">
      <pivotArea type="normal" dataOnly="0" labelOnly="1" outline="0" fieldPosition="0">
        <references count="2">
          <reference field="0" selected="0">
            <x v="633"/>
          </reference>
          <reference field="44">
            <x v="10"/>
          </reference>
        </references>
      </pivotArea>
    </format>
    <format action="formatting" dxfId="397">
      <pivotArea type="normal" dataOnly="0" labelOnly="1" outline="0" fieldPosition="0">
        <references count="2">
          <reference field="0" selected="0">
            <x v="634"/>
          </reference>
          <reference field="44">
            <x v="10"/>
          </reference>
        </references>
      </pivotArea>
    </format>
    <format action="formatting" dxfId="396">
      <pivotArea type="normal" dataOnly="0" labelOnly="1" outline="0" fieldPosition="0">
        <references count="2">
          <reference field="0" selected="0">
            <x v="635"/>
          </reference>
          <reference field="44">
            <x v="10"/>
          </reference>
        </references>
      </pivotArea>
    </format>
    <format action="formatting" dxfId="395">
      <pivotArea type="normal" dataOnly="0" labelOnly="1" outline="0" fieldPosition="0">
        <references count="2">
          <reference field="0" selected="0">
            <x v="636"/>
          </reference>
          <reference field="44">
            <x v="10"/>
          </reference>
        </references>
      </pivotArea>
    </format>
    <format action="formatting" dxfId="394">
      <pivotArea type="normal" dataOnly="0" labelOnly="1" outline="0" fieldPosition="0">
        <references count="2">
          <reference field="0" selected="0">
            <x v="638"/>
          </reference>
          <reference field="44">
            <x v="4"/>
          </reference>
        </references>
      </pivotArea>
    </format>
    <format action="formatting" dxfId="393">
      <pivotArea type="normal" dataOnly="0" labelOnly="1" outline="0" fieldPosition="0">
        <references count="2">
          <reference field="0" selected="0">
            <x v="640"/>
          </reference>
          <reference field="44">
            <x v="10"/>
          </reference>
        </references>
      </pivotArea>
    </format>
    <format action="formatting" dxfId="392">
      <pivotArea type="normal" dataOnly="0" labelOnly="1" outline="0" fieldPosition="0">
        <references count="2">
          <reference field="0" selected="0">
            <x v="641"/>
          </reference>
          <reference field="44">
            <x v="10"/>
          </reference>
        </references>
      </pivotArea>
    </format>
    <format action="formatting" dxfId="391">
      <pivotArea type="normal" dataOnly="0" labelOnly="1" outline="0" fieldPosition="0">
        <references count="2">
          <reference field="0" selected="0">
            <x v="642"/>
          </reference>
          <reference field="44">
            <x v="4"/>
          </reference>
        </references>
      </pivotArea>
    </format>
    <format action="formatting" dxfId="390">
      <pivotArea type="normal" dataOnly="0" labelOnly="1" outline="0" fieldPosition="0">
        <references count="2">
          <reference field="0" selected="0">
            <x v="643"/>
          </reference>
          <reference field="44">
            <x v="4"/>
          </reference>
        </references>
      </pivotArea>
    </format>
    <format action="formatting" dxfId="389">
      <pivotArea type="normal" dataOnly="0" labelOnly="1" outline="0" fieldPosition="0">
        <references count="2">
          <reference field="0" selected="0">
            <x v="644"/>
          </reference>
          <reference field="44">
            <x v="4"/>
          </reference>
        </references>
      </pivotArea>
    </format>
    <format action="formatting" dxfId="388">
      <pivotArea type="normal" dataOnly="0" labelOnly="1" outline="0" fieldPosition="0">
        <references count="2">
          <reference field="0" selected="0">
            <x v="657"/>
          </reference>
          <reference field="44">
            <x v="4"/>
          </reference>
        </references>
      </pivotArea>
    </format>
    <format action="formatting" dxfId="387">
      <pivotArea type="normal" dataOnly="0" labelOnly="1" outline="0" fieldPosition="0">
        <references count="2">
          <reference field="0" selected="0">
            <x v="658"/>
          </reference>
          <reference field="44">
            <x v="8"/>
          </reference>
        </references>
      </pivotArea>
    </format>
    <format action="formatting" dxfId="386">
      <pivotArea type="normal" dataOnly="0" labelOnly="1" outline="0" fieldPosition="0">
        <references count="2">
          <reference field="0" selected="0">
            <x v="659"/>
          </reference>
          <reference field="44">
            <x v="4"/>
          </reference>
        </references>
      </pivotArea>
    </format>
    <format action="formatting" dxfId="385">
      <pivotArea type="normal" dataOnly="0" labelOnly="1" outline="0" fieldPosition="0">
        <references count="2">
          <reference field="0" selected="0">
            <x v="660"/>
          </reference>
          <reference field="44">
            <x v="8"/>
          </reference>
        </references>
      </pivotArea>
    </format>
    <format action="formatting" dxfId="384">
      <pivotArea type="normal" dataOnly="0" labelOnly="1" outline="0" fieldPosition="0">
        <references count="2">
          <reference field="0" selected="0">
            <x v="661"/>
          </reference>
          <reference field="44">
            <x v="4"/>
          </reference>
        </references>
      </pivotArea>
    </format>
    <format action="formatting" dxfId="383">
      <pivotArea type="normal" dataOnly="0" labelOnly="1" outline="0" fieldPosition="0">
        <references count="2">
          <reference field="0" selected="0">
            <x v="662"/>
          </reference>
          <reference field="44">
            <x v="4"/>
          </reference>
        </references>
      </pivotArea>
    </format>
    <format action="formatting" dxfId="382">
      <pivotArea type="normal" dataOnly="0" labelOnly="1" outline="0" fieldPosition="0">
        <references count="2">
          <reference field="0" selected="0">
            <x v="663"/>
          </reference>
          <reference field="44">
            <x v="4"/>
          </reference>
        </references>
      </pivotArea>
    </format>
    <format action="formatting" dxfId="381">
      <pivotArea type="normal" dataOnly="0" labelOnly="1" outline="0" fieldPosition="0">
        <references count="2">
          <reference field="0" selected="0">
            <x v="664"/>
          </reference>
          <reference field="44">
            <x v="4"/>
          </reference>
        </references>
      </pivotArea>
    </format>
    <format action="formatting" dxfId="380">
      <pivotArea type="normal" dataOnly="0" labelOnly="1" outline="0" fieldPosition="0">
        <references count="2">
          <reference field="0" selected="0">
            <x v="665"/>
          </reference>
          <reference field="44">
            <x v="4"/>
          </reference>
        </references>
      </pivotArea>
    </format>
    <format action="formatting" dxfId="379">
      <pivotArea type="normal" dataOnly="0" labelOnly="1" outline="0" fieldPosition="0">
        <references count="2">
          <reference field="0" selected="0">
            <x v="666"/>
          </reference>
          <reference field="44">
            <x v="4"/>
          </reference>
        </references>
      </pivotArea>
    </format>
    <format action="formatting" dxfId="378">
      <pivotArea type="normal" dataOnly="0" labelOnly="1" outline="0" fieldPosition="0">
        <references count="2">
          <reference field="0" selected="0">
            <x v="667"/>
          </reference>
          <reference field="44">
            <x v="4"/>
          </reference>
        </references>
      </pivotArea>
    </format>
    <format action="formatting" dxfId="377">
      <pivotArea type="normal" dataOnly="0" labelOnly="1" outline="0" fieldPosition="0">
        <references count="2">
          <reference field="0" selected="0">
            <x v="670"/>
          </reference>
          <reference field="44">
            <x v="4"/>
            <x v="10"/>
          </reference>
        </references>
      </pivotArea>
    </format>
    <format action="formatting" dxfId="376">
      <pivotArea type="normal" dataOnly="0" labelOnly="1" outline="0" fieldPosition="0">
        <references count="2">
          <reference field="0" selected="0">
            <x v="671"/>
          </reference>
          <reference field="44">
            <x v="4"/>
            <x v="10"/>
          </reference>
        </references>
      </pivotArea>
    </format>
    <format action="formatting" dxfId="375">
      <pivotArea type="normal" dataOnly="0" labelOnly="1" outline="0" fieldPosition="0">
        <references count="2">
          <reference field="0" selected="0">
            <x v="672"/>
          </reference>
          <reference field="44">
            <x v="10"/>
          </reference>
        </references>
      </pivotArea>
    </format>
    <format action="formatting" dxfId="374">
      <pivotArea type="normal" dataOnly="0" labelOnly="1" outline="0" fieldPosition="0">
        <references count="2">
          <reference field="0" selected="0">
            <x v="673"/>
          </reference>
          <reference field="44">
            <x v="10"/>
          </reference>
        </references>
      </pivotArea>
    </format>
    <format action="formatting" dxfId="373">
      <pivotArea type="normal" dataOnly="0" labelOnly="1" outline="0" fieldPosition="0">
        <references count="2">
          <reference field="0" selected="0">
            <x v="680"/>
          </reference>
          <reference field="44">
            <x v="4"/>
          </reference>
        </references>
      </pivotArea>
    </format>
    <format action="formatting" dxfId="372">
      <pivotArea type="normal" dataOnly="0" labelOnly="1" outline="0" fieldPosition="0">
        <references count="2">
          <reference field="0" selected="0">
            <x v="681"/>
          </reference>
          <reference field="44">
            <x v="10"/>
          </reference>
        </references>
      </pivotArea>
    </format>
    <format action="formatting" dxfId="371">
      <pivotArea type="normal" dataOnly="0" labelOnly="1" outline="0" fieldPosition="0">
        <references count="2">
          <reference field="0" selected="0">
            <x v="682"/>
          </reference>
          <reference field="44">
            <x v="10"/>
          </reference>
        </references>
      </pivotArea>
    </format>
    <format action="formatting" dxfId="370">
      <pivotArea type="normal" dataOnly="0" labelOnly="1" outline="0" fieldPosition="0">
        <references count="2">
          <reference field="0" selected="0">
            <x v="683"/>
          </reference>
          <reference field="44">
            <x v="10"/>
          </reference>
        </references>
      </pivotArea>
    </format>
    <format action="formatting" dxfId="369">
      <pivotArea type="normal" dataOnly="0" labelOnly="1" outline="0" fieldPosition="0">
        <references count="2">
          <reference field="0" selected="0">
            <x v="684"/>
          </reference>
          <reference field="44">
            <x v="4"/>
          </reference>
        </references>
      </pivotArea>
    </format>
    <format action="formatting" dxfId="368">
      <pivotArea type="normal" dataOnly="0" labelOnly="1" outline="0" fieldPosition="0">
        <references count="2">
          <reference field="0" selected="0">
            <x v="685"/>
          </reference>
          <reference field="44">
            <x v="4"/>
          </reference>
        </references>
      </pivotArea>
    </format>
    <format action="formatting" dxfId="367">
      <pivotArea type="normal" dataOnly="0" labelOnly="1" outline="0" fieldPosition="0">
        <references count="2">
          <reference field="0" selected="0">
            <x v="686"/>
          </reference>
          <reference field="44">
            <x v="4"/>
          </reference>
        </references>
      </pivotArea>
    </format>
    <format action="formatting" dxfId="366">
      <pivotArea type="normal" dataOnly="0" labelOnly="1" outline="0" fieldPosition="0">
        <references count="2">
          <reference field="0" selected="0">
            <x v="687"/>
          </reference>
          <reference field="44">
            <x v="8"/>
          </reference>
        </references>
      </pivotArea>
    </format>
    <format action="formatting" dxfId="365">
      <pivotArea type="normal" dataOnly="0" labelOnly="1" outline="0" fieldPosition="0">
        <references count="2">
          <reference field="0" selected="0">
            <x v="688"/>
          </reference>
          <reference field="44">
            <x v="4"/>
          </reference>
        </references>
      </pivotArea>
    </format>
    <format action="formatting" dxfId="364">
      <pivotArea type="normal" dataOnly="0" labelOnly="1" outline="0" fieldPosition="0">
        <references count="2">
          <reference field="0" selected="0">
            <x v="689"/>
          </reference>
          <reference field="44">
            <x v="8"/>
          </reference>
        </references>
      </pivotArea>
    </format>
    <format action="formatting" dxfId="363">
      <pivotArea type="normal" dataOnly="0" labelOnly="1" outline="0" fieldPosition="0">
        <references count="2">
          <reference field="0" selected="0">
            <x v="690"/>
          </reference>
          <reference field="44">
            <x v="7"/>
          </reference>
        </references>
      </pivotArea>
    </format>
    <format action="formatting" dxfId="362">
      <pivotArea type="normal" dataOnly="0" labelOnly="1" outline="0" fieldPosition="0">
        <references count="2">
          <reference field="0" selected="0">
            <x v="691"/>
          </reference>
          <reference field="44">
            <x v="10"/>
          </reference>
        </references>
      </pivotArea>
    </format>
    <format action="formatting" dxfId="361">
      <pivotArea type="normal" dataOnly="0" labelOnly="1" outline="0" fieldPosition="0">
        <references count="2">
          <reference field="0" selected="0">
            <x v="703"/>
          </reference>
          <reference field="44">
            <x v="4"/>
          </reference>
        </references>
      </pivotArea>
    </format>
    <format action="formatting" dxfId="360">
      <pivotArea type="normal" dataOnly="0" labelOnly="1" outline="0" fieldPosition="0">
        <references count="2">
          <reference field="0" selected="0">
            <x v="704"/>
          </reference>
          <reference field="44">
            <x v="4"/>
          </reference>
        </references>
      </pivotArea>
    </format>
    <format action="formatting" dxfId="359">
      <pivotArea type="normal" dataOnly="0" labelOnly="1" outline="0" fieldPosition="0">
        <references count="2">
          <reference field="0" selected="0">
            <x v="705"/>
          </reference>
          <reference field="44">
            <x v="4"/>
          </reference>
        </references>
      </pivotArea>
    </format>
    <format action="formatting" dxfId="358">
      <pivotArea type="normal" dataOnly="0" labelOnly="1" outline="0" fieldPosition="0">
        <references count="2">
          <reference field="0" selected="0">
            <x v="706"/>
          </reference>
          <reference field="44">
            <x v="4"/>
          </reference>
        </references>
      </pivotArea>
    </format>
    <format action="formatting" dxfId="357">
      <pivotArea type="normal" dataOnly="0" labelOnly="1" outline="0" fieldPosition="0">
        <references count="2">
          <reference field="0" selected="0">
            <x v="707"/>
          </reference>
          <reference field="44">
            <x v="4"/>
          </reference>
        </references>
      </pivotArea>
    </format>
    <format action="formatting" dxfId="356">
      <pivotArea type="normal" dataOnly="0" labelOnly="1" outline="0" fieldPosition="0">
        <references count="2">
          <reference field="0" selected="0">
            <x v="709"/>
          </reference>
          <reference field="44">
            <x v="4"/>
          </reference>
        </references>
      </pivotArea>
    </format>
    <format action="formatting" dxfId="355">
      <pivotArea type="normal" dataOnly="0" labelOnly="1" outline="0" fieldPosition="0">
        <references count="2">
          <reference field="0" selected="0">
            <x v="711"/>
          </reference>
          <reference field="44">
            <x v="10"/>
          </reference>
        </references>
      </pivotArea>
    </format>
    <format action="formatting" dxfId="354">
      <pivotArea type="normal" dataOnly="0" labelOnly="1" outline="0" fieldPosition="0">
        <references count="2">
          <reference field="0" selected="0">
            <x v="712"/>
          </reference>
          <reference field="44">
            <x v="10"/>
          </reference>
        </references>
      </pivotArea>
    </format>
    <format action="formatting" dxfId="353">
      <pivotArea type="normal" dataOnly="0" labelOnly="1" outline="0" fieldPosition="0">
        <references count="2">
          <reference field="0" selected="0">
            <x v="713"/>
          </reference>
          <reference field="44">
            <x v="10"/>
          </reference>
        </references>
      </pivotArea>
    </format>
    <format action="formatting" dxfId="352">
      <pivotArea type="normal" dataOnly="0" labelOnly="1" outline="0" fieldPosition="0">
        <references count="2">
          <reference field="0" selected="0">
            <x v="719"/>
          </reference>
          <reference field="44">
            <x v="5"/>
          </reference>
        </references>
      </pivotArea>
    </format>
    <format action="formatting" dxfId="351">
      <pivotArea type="normal" dataOnly="0" labelOnly="1" outline="0" fieldPosition="0">
        <references count="2">
          <reference field="0" selected="0">
            <x v="728"/>
          </reference>
          <reference field="44">
            <x v="10"/>
          </reference>
        </references>
      </pivotArea>
    </format>
    <format action="formatting" dxfId="350">
      <pivotArea type="normal" dataOnly="0" labelOnly="1" outline="0" fieldPosition="0">
        <references count="2">
          <reference field="0" selected="0">
            <x v="729"/>
          </reference>
          <reference field="44">
            <x v="10"/>
          </reference>
        </references>
      </pivotArea>
    </format>
    <format action="formatting" dxfId="349">
      <pivotArea type="normal" dataOnly="0" labelOnly="1" outline="0" fieldPosition="0">
        <references count="2">
          <reference field="0" selected="0">
            <x v="730"/>
          </reference>
          <reference field="44">
            <x v="10"/>
          </reference>
        </references>
      </pivotArea>
    </format>
    <format action="formatting" dxfId="348">
      <pivotArea type="normal" dataOnly="0" labelOnly="1" outline="0" fieldPosition="0">
        <references count="2">
          <reference field="0" selected="0">
            <x v="731"/>
          </reference>
          <reference field="44">
            <x v="10"/>
          </reference>
        </references>
      </pivotArea>
    </format>
    <format action="formatting" dxfId="347">
      <pivotArea type="normal" dataOnly="0" labelOnly="1" outline="0" fieldPosition="0">
        <references count="2">
          <reference field="0" selected="0">
            <x v="732"/>
          </reference>
          <reference field="44">
            <x v="10"/>
          </reference>
        </references>
      </pivotArea>
    </format>
    <format action="formatting" dxfId="346">
      <pivotArea type="normal" dataOnly="0" labelOnly="1" outline="0" fieldPosition="0">
        <references count="2">
          <reference field="0" selected="0">
            <x v="733"/>
          </reference>
          <reference field="44">
            <x v="10"/>
          </reference>
        </references>
      </pivotArea>
    </format>
    <format action="formatting" dxfId="345">
      <pivotArea type="normal" dataOnly="0" labelOnly="1" outline="0" fieldPosition="0">
        <references count="2">
          <reference field="0" selected="0">
            <x v="734"/>
          </reference>
          <reference field="44">
            <x v="10"/>
          </reference>
        </references>
      </pivotArea>
    </format>
    <format action="formatting" dxfId="344">
      <pivotArea type="normal" dataOnly="0" labelOnly="1" outline="0" fieldPosition="0">
        <references count="2">
          <reference field="0" selected="0">
            <x v="735"/>
          </reference>
          <reference field="44">
            <x v="10"/>
          </reference>
        </references>
      </pivotArea>
    </format>
    <format action="formatting" dxfId="343">
      <pivotArea type="normal" dataOnly="0" labelOnly="1" outline="0" fieldPosition="0">
        <references count="2">
          <reference field="0" selected="0">
            <x v="736"/>
          </reference>
          <reference field="44">
            <x v="10"/>
          </reference>
        </references>
      </pivotArea>
    </format>
    <format action="formatting" dxfId="342">
      <pivotArea type="normal" dataOnly="0" labelOnly="1" outline="0" fieldPosition="0">
        <references count="2">
          <reference field="0" selected="0">
            <x v="737"/>
          </reference>
          <reference field="44">
            <x v="10"/>
          </reference>
        </references>
      </pivotArea>
    </format>
    <format action="formatting" dxfId="341">
      <pivotArea type="normal" dataOnly="0" labelOnly="1" outline="0" fieldPosition="0">
        <references count="2">
          <reference field="0" selected="0">
            <x v="738"/>
          </reference>
          <reference field="44">
            <x v="10"/>
          </reference>
        </references>
      </pivotArea>
    </format>
    <format action="formatting" dxfId="340">
      <pivotArea type="normal" dataOnly="0" labelOnly="1" outline="0" fieldPosition="0">
        <references count="2">
          <reference field="0" selected="0">
            <x v="739"/>
          </reference>
          <reference field="44">
            <x v="10"/>
          </reference>
        </references>
      </pivotArea>
    </format>
    <format action="formatting" dxfId="339">
      <pivotArea type="normal" dataOnly="0" labelOnly="1" outline="0" fieldPosition="0">
        <references count="2">
          <reference field="0" selected="0">
            <x v="740"/>
          </reference>
          <reference field="44">
            <x v="4"/>
          </reference>
        </references>
      </pivotArea>
    </format>
    <format action="formatting" dxfId="338">
      <pivotArea type="normal" dataOnly="0" labelOnly="1" outline="0" fieldPosition="0">
        <references count="2">
          <reference field="0" selected="0">
            <x v="741"/>
          </reference>
          <reference field="44">
            <x v="4"/>
          </reference>
        </references>
      </pivotArea>
    </format>
    <format action="formatting" dxfId="337">
      <pivotArea type="normal" dataOnly="0" labelOnly="1" outline="0" fieldPosition="0">
        <references count="2">
          <reference field="0" selected="0">
            <x v="742"/>
          </reference>
          <reference field="44">
            <x v="4"/>
          </reference>
        </references>
      </pivotArea>
    </format>
    <format action="formatting" dxfId="336">
      <pivotArea type="normal" dataOnly="0" labelOnly="1" outline="0" fieldPosition="0">
        <references count="2">
          <reference field="0" selected="0">
            <x v="743"/>
          </reference>
          <reference field="44">
            <x v="4"/>
          </reference>
        </references>
      </pivotArea>
    </format>
    <format action="formatting" dxfId="335">
      <pivotArea type="normal" dataOnly="0" labelOnly="1" outline="0" fieldPosition="0">
        <references count="2">
          <reference field="0" selected="0">
            <x v="744"/>
          </reference>
          <reference field="44">
            <x v="4"/>
          </reference>
        </references>
      </pivotArea>
    </format>
    <format action="formatting" dxfId="334">
      <pivotArea type="normal" dataOnly="0" labelOnly="1" outline="0" fieldPosition="0">
        <references count="2">
          <reference field="0" selected="0">
            <x v="788"/>
          </reference>
          <reference field="44">
            <x v="4"/>
          </reference>
        </references>
      </pivotArea>
    </format>
    <format action="formatting" dxfId="333">
      <pivotArea type="normal" dataOnly="0" labelOnly="1" outline="0" fieldPosition="0">
        <references count="2">
          <reference field="0" selected="0">
            <x v="789"/>
          </reference>
          <reference field="44">
            <x v="5"/>
          </reference>
        </references>
      </pivotArea>
    </format>
    <format action="formatting" dxfId="332">
      <pivotArea type="normal" dataOnly="0" labelOnly="1" outline="0" fieldPosition="0">
        <references count="2">
          <reference field="0" selected="0">
            <x v="790"/>
          </reference>
          <reference field="44">
            <x v="6"/>
          </reference>
        </references>
      </pivotArea>
    </format>
    <format action="formatting" dxfId="331">
      <pivotArea type="normal" dataOnly="0" labelOnly="1" outline="0" fieldPosition="0">
        <references count="2">
          <reference field="0" selected="0">
            <x v="791"/>
          </reference>
          <reference field="44">
            <x v="6"/>
          </reference>
        </references>
      </pivotArea>
    </format>
    <format action="formatting" dxfId="330">
      <pivotArea type="normal" dataOnly="0" labelOnly="1" outline="0" fieldPosition="0">
        <references count="2">
          <reference field="0" selected="0">
            <x v="792"/>
          </reference>
          <reference field="44">
            <x v="6"/>
          </reference>
        </references>
      </pivotArea>
    </format>
    <format action="formatting" dxfId="329">
      <pivotArea type="normal" dataOnly="0" labelOnly="1" outline="0" fieldPosition="0">
        <references count="2">
          <reference field="0" selected="0">
            <x v="793"/>
          </reference>
          <reference field="44">
            <x v="4"/>
          </reference>
        </references>
      </pivotArea>
    </format>
    <format action="formatting" dxfId="328">
      <pivotArea type="normal" dataOnly="0" labelOnly="1" outline="0" fieldPosition="0">
        <references count="2">
          <reference field="0" selected="0">
            <x v="794"/>
          </reference>
          <reference field="44">
            <x v="4"/>
          </reference>
        </references>
      </pivotArea>
    </format>
    <format action="formatting" dxfId="327">
      <pivotArea type="normal" dataOnly="0" labelOnly="1" outline="0" fieldPosition="0">
        <references count="2">
          <reference field="0" selected="0">
            <x v="804"/>
          </reference>
          <reference field="44">
            <x v="4"/>
          </reference>
        </references>
      </pivotArea>
    </format>
    <format action="formatting" dxfId="326">
      <pivotArea type="normal" dataOnly="0" labelOnly="1" outline="0" fieldPosition="0">
        <references count="2">
          <reference field="0" selected="0">
            <x v="805"/>
          </reference>
          <reference field="44">
            <x v="4"/>
          </reference>
        </references>
      </pivotArea>
    </format>
    <format action="formatting" dxfId="325">
      <pivotArea type="normal" dataOnly="0" labelOnly="1" outline="0" fieldPosition="0">
        <references count="2">
          <reference field="0" selected="0">
            <x v="806"/>
          </reference>
          <reference field="44">
            <x v="10"/>
          </reference>
        </references>
      </pivotArea>
    </format>
    <format action="formatting" dxfId="324">
      <pivotArea type="normal" dataOnly="0" labelOnly="1" outline="0" fieldPosition="0">
        <references count="2">
          <reference field="0" selected="0">
            <x v="807"/>
          </reference>
          <reference field="44">
            <x v="8"/>
          </reference>
        </references>
      </pivotArea>
    </format>
    <format action="formatting" dxfId="323">
      <pivotArea type="all" dataOnly="0" outline="0" fieldPosition="0"/>
    </format>
    <format action="formatting" dxfId="322">
      <pivotArea field="0" type="button" dataOnly="0" labelOnly="1" outline="0" axis="axisRow" fieldPosition="0"/>
    </format>
    <format action="formatting" dxfId="321">
      <pivotArea field="44" type="button" dataOnly="0" labelOnly="1" outline="0" axis="axisRow" fieldPosition="1"/>
    </format>
    <format action="formatting" dxfId="320">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19">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18">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17">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16">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15">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14">
      <pivotArea type="normal" dataOnly="0" labelOnly="1" outline="0" fieldPosition="0">
        <references count="1">
          <reference field="0">
            <x v="789"/>
            <x v="790"/>
            <x v="791"/>
            <x v="792"/>
            <x v="793"/>
            <x v="794"/>
            <x v="804"/>
            <x v="805"/>
            <x v="806"/>
            <x v="807"/>
          </reference>
        </references>
      </pivotArea>
    </format>
    <format action="formatting" dxfId="313">
      <pivotArea type="normal" dataOnly="0" labelOnly="1" outline="0" fieldPosition="0">
        <references count="2">
          <reference field="0" selected="0">
            <x v="31"/>
          </reference>
          <reference field="44">
            <x v="4"/>
          </reference>
        </references>
      </pivotArea>
    </format>
    <format action="formatting" dxfId="312">
      <pivotArea type="normal" dataOnly="0" labelOnly="1" outline="0" fieldPosition="0">
        <references count="2">
          <reference field="0" selected="0">
            <x v="41"/>
          </reference>
          <reference field="44">
            <x v="10"/>
          </reference>
        </references>
      </pivotArea>
    </format>
    <format action="formatting" dxfId="311">
      <pivotArea type="normal" dataOnly="0" labelOnly="1" outline="0" fieldPosition="0">
        <references count="2">
          <reference field="0" selected="0">
            <x v="45"/>
          </reference>
          <reference field="44">
            <x v="6"/>
          </reference>
        </references>
      </pivotArea>
    </format>
    <format action="formatting" dxfId="310">
      <pivotArea type="normal" dataOnly="0" labelOnly="1" outline="0" fieldPosition="0">
        <references count="2">
          <reference field="0" selected="0">
            <x v="46"/>
          </reference>
          <reference field="44">
            <x v="6"/>
          </reference>
        </references>
      </pivotArea>
    </format>
    <format action="formatting" dxfId="309">
      <pivotArea type="normal" dataOnly="0" labelOnly="1" outline="0" fieldPosition="0">
        <references count="2">
          <reference field="0" selected="0">
            <x v="47"/>
          </reference>
          <reference field="44">
            <x v="6"/>
          </reference>
        </references>
      </pivotArea>
    </format>
    <format action="formatting" dxfId="308">
      <pivotArea type="normal" dataOnly="0" labelOnly="1" outline="0" fieldPosition="0">
        <references count="2">
          <reference field="0" selected="0">
            <x v="48"/>
          </reference>
          <reference field="44">
            <x v="6"/>
          </reference>
        </references>
      </pivotArea>
    </format>
    <format action="formatting" dxfId="307">
      <pivotArea type="normal" dataOnly="0" labelOnly="1" outline="0" fieldPosition="0">
        <references count="2">
          <reference field="0" selected="0">
            <x v="49"/>
          </reference>
          <reference field="44">
            <x v="10"/>
          </reference>
        </references>
      </pivotArea>
    </format>
    <format action="formatting" dxfId="306">
      <pivotArea type="normal" dataOnly="0" labelOnly="1" outline="0" fieldPosition="0">
        <references count="2">
          <reference field="0" selected="0">
            <x v="50"/>
          </reference>
          <reference field="44">
            <x v="6"/>
          </reference>
        </references>
      </pivotArea>
    </format>
    <format action="formatting" dxfId="305">
      <pivotArea type="normal" dataOnly="0" labelOnly="1" outline="0" fieldPosition="0">
        <references count="2">
          <reference field="0" selected="0">
            <x v="51"/>
          </reference>
          <reference field="44">
            <x v="6"/>
          </reference>
        </references>
      </pivotArea>
    </format>
    <format action="formatting" dxfId="304">
      <pivotArea type="normal" dataOnly="0" labelOnly="1" outline="0" fieldPosition="0">
        <references count="2">
          <reference field="0" selected="0">
            <x v="53"/>
          </reference>
          <reference field="44">
            <x v="6"/>
          </reference>
        </references>
      </pivotArea>
    </format>
    <format action="formatting" dxfId="303">
      <pivotArea type="normal" dataOnly="0" labelOnly="1" outline="0" fieldPosition="0">
        <references count="2">
          <reference field="0" selected="0">
            <x v="54"/>
          </reference>
          <reference field="44">
            <x v="9"/>
          </reference>
        </references>
      </pivotArea>
    </format>
    <format action="formatting" dxfId="302">
      <pivotArea type="normal" dataOnly="0" labelOnly="1" outline="0" fieldPosition="0">
        <references count="2">
          <reference field="0" selected="0">
            <x v="55"/>
          </reference>
          <reference field="44">
            <x v="1"/>
          </reference>
        </references>
      </pivotArea>
    </format>
    <format action="formatting" dxfId="301">
      <pivotArea type="normal" dataOnly="0" labelOnly="1" outline="0" fieldPosition="0">
        <references count="2">
          <reference field="0" selected="0">
            <x v="56"/>
          </reference>
          <reference field="44">
            <x v="6"/>
          </reference>
        </references>
      </pivotArea>
    </format>
    <format action="formatting" dxfId="300">
      <pivotArea type="normal" dataOnly="0" labelOnly="1" outline="0" fieldPosition="0">
        <references count="2">
          <reference field="0" selected="0">
            <x v="58"/>
          </reference>
          <reference field="44">
            <x v="5"/>
          </reference>
        </references>
      </pivotArea>
    </format>
    <format action="formatting" dxfId="299">
      <pivotArea type="normal" dataOnly="0" labelOnly="1" outline="0" fieldPosition="0">
        <references count="2">
          <reference field="0" selected="0">
            <x v="60"/>
          </reference>
          <reference field="44">
            <x v="10"/>
          </reference>
        </references>
      </pivotArea>
    </format>
    <format action="formatting" dxfId="298">
      <pivotArea type="normal" dataOnly="0" labelOnly="1" outline="0" fieldPosition="0">
        <references count="2">
          <reference field="0" selected="0">
            <x v="61"/>
          </reference>
          <reference field="44">
            <x v="10"/>
          </reference>
        </references>
      </pivotArea>
    </format>
    <format action="formatting" dxfId="297">
      <pivotArea type="normal" dataOnly="0" labelOnly="1" outline="0" fieldPosition="0">
        <references count="2">
          <reference field="0" selected="0">
            <x v="62"/>
          </reference>
          <reference field="44">
            <x v="10"/>
          </reference>
        </references>
      </pivotArea>
    </format>
    <format action="formatting" dxfId="296">
      <pivotArea type="normal" dataOnly="0" labelOnly="1" outline="0" fieldPosition="0">
        <references count="2">
          <reference field="0" selected="0">
            <x v="63"/>
          </reference>
          <reference field="44">
            <x v="10"/>
          </reference>
        </references>
      </pivotArea>
    </format>
    <format action="formatting" dxfId="295">
      <pivotArea type="normal" dataOnly="0" labelOnly="1" outline="0" fieldPosition="0">
        <references count="2">
          <reference field="0" selected="0">
            <x v="64"/>
          </reference>
          <reference field="44">
            <x v="10"/>
          </reference>
        </references>
      </pivotArea>
    </format>
    <format action="formatting" dxfId="294">
      <pivotArea type="normal" dataOnly="0" labelOnly="1" outline="0" fieldPosition="0">
        <references count="2">
          <reference field="0" selected="0">
            <x v="65"/>
          </reference>
          <reference field="44">
            <x v="10"/>
          </reference>
        </references>
      </pivotArea>
    </format>
    <format action="formatting" dxfId="293">
      <pivotArea type="normal" dataOnly="0" labelOnly="1" outline="0" fieldPosition="0">
        <references count="2">
          <reference field="0" selected="0">
            <x v="66"/>
          </reference>
          <reference field="44">
            <x v="10"/>
          </reference>
        </references>
      </pivotArea>
    </format>
    <format action="formatting" dxfId="292">
      <pivotArea type="normal" dataOnly="0" labelOnly="1" outline="0" fieldPosition="0">
        <references count="2">
          <reference field="0" selected="0">
            <x v="67"/>
          </reference>
          <reference field="44">
            <x v="10"/>
          </reference>
        </references>
      </pivotArea>
    </format>
    <format action="formatting" dxfId="291">
      <pivotArea type="normal" dataOnly="0" labelOnly="1" outline="0" fieldPosition="0">
        <references count="2">
          <reference field="0" selected="0">
            <x v="68"/>
          </reference>
          <reference field="44">
            <x v="10"/>
          </reference>
        </references>
      </pivotArea>
    </format>
    <format action="formatting" dxfId="290">
      <pivotArea type="normal" dataOnly="0" labelOnly="1" outline="0" fieldPosition="0">
        <references count="2">
          <reference field="0" selected="0">
            <x v="69"/>
          </reference>
          <reference field="44">
            <x v="10"/>
          </reference>
        </references>
      </pivotArea>
    </format>
    <format action="formatting" dxfId="289">
      <pivotArea type="normal" dataOnly="0" labelOnly="1" outline="0" fieldPosition="0">
        <references count="2">
          <reference field="0" selected="0">
            <x v="70"/>
          </reference>
          <reference field="44">
            <x v="10"/>
          </reference>
        </references>
      </pivotArea>
    </format>
    <format action="formatting" dxfId="288">
      <pivotArea type="normal" dataOnly="0" labelOnly="1" outline="0" fieldPosition="0">
        <references count="2">
          <reference field="0" selected="0">
            <x v="71"/>
          </reference>
          <reference field="44">
            <x v="10"/>
          </reference>
        </references>
      </pivotArea>
    </format>
    <format action="formatting" dxfId="287">
      <pivotArea type="normal" dataOnly="0" labelOnly="1" outline="0" fieldPosition="0">
        <references count="2">
          <reference field="0" selected="0">
            <x v="72"/>
          </reference>
          <reference field="44">
            <x v="10"/>
          </reference>
        </references>
      </pivotArea>
    </format>
    <format action="formatting" dxfId="286">
      <pivotArea type="normal" dataOnly="0" labelOnly="1" outline="0" fieldPosition="0">
        <references count="2">
          <reference field="0" selected="0">
            <x v="73"/>
          </reference>
          <reference field="44">
            <x v="10"/>
          </reference>
        </references>
      </pivotArea>
    </format>
    <format action="formatting" dxfId="285">
      <pivotArea type="normal" dataOnly="0" labelOnly="1" outline="0" fieldPosition="0">
        <references count="2">
          <reference field="0" selected="0">
            <x v="74"/>
          </reference>
          <reference field="44">
            <x v="10"/>
          </reference>
        </references>
      </pivotArea>
    </format>
    <format action="formatting" dxfId="284">
      <pivotArea type="normal" dataOnly="0" labelOnly="1" outline="0" fieldPosition="0">
        <references count="2">
          <reference field="0" selected="0">
            <x v="75"/>
          </reference>
          <reference field="44">
            <x v="10"/>
          </reference>
        </references>
      </pivotArea>
    </format>
    <format action="formatting" dxfId="283">
      <pivotArea type="normal" dataOnly="0" labelOnly="1" outline="0" fieldPosition="0">
        <references count="2">
          <reference field="0" selected="0">
            <x v="76"/>
          </reference>
          <reference field="44">
            <x v="10"/>
          </reference>
        </references>
      </pivotArea>
    </format>
    <format action="formatting" dxfId="282">
      <pivotArea type="normal" dataOnly="0" labelOnly="1" outline="0" fieldPosition="0">
        <references count="2">
          <reference field="0" selected="0">
            <x v="77"/>
          </reference>
          <reference field="44">
            <x v="10"/>
          </reference>
        </references>
      </pivotArea>
    </format>
    <format action="formatting" dxfId="281">
      <pivotArea type="normal" dataOnly="0" labelOnly="1" outline="0" fieldPosition="0">
        <references count="2">
          <reference field="0" selected="0">
            <x v="78"/>
          </reference>
          <reference field="44">
            <x v="10"/>
          </reference>
        </references>
      </pivotArea>
    </format>
    <format action="formatting" dxfId="280">
      <pivotArea type="normal" dataOnly="0" labelOnly="1" outline="0" fieldPosition="0">
        <references count="2">
          <reference field="0" selected="0">
            <x v="79"/>
          </reference>
          <reference field="44">
            <x v="10"/>
          </reference>
        </references>
      </pivotArea>
    </format>
    <format action="formatting" dxfId="279">
      <pivotArea type="normal" dataOnly="0" labelOnly="1" outline="0" fieldPosition="0">
        <references count="2">
          <reference field="0" selected="0">
            <x v="80"/>
          </reference>
          <reference field="44">
            <x v="10"/>
          </reference>
        </references>
      </pivotArea>
    </format>
    <format action="formatting" dxfId="278">
      <pivotArea type="normal" dataOnly="0" labelOnly="1" outline="0" fieldPosition="0">
        <references count="2">
          <reference field="0" selected="0">
            <x v="81"/>
          </reference>
          <reference field="44">
            <x v="10"/>
          </reference>
        </references>
      </pivotArea>
    </format>
    <format action="formatting" dxfId="277">
      <pivotArea type="normal" dataOnly="0" labelOnly="1" outline="0" fieldPosition="0">
        <references count="2">
          <reference field="0" selected="0">
            <x v="82"/>
          </reference>
          <reference field="44">
            <x v="10"/>
          </reference>
        </references>
      </pivotArea>
    </format>
    <format action="formatting" dxfId="276">
      <pivotArea type="normal" dataOnly="0" labelOnly="1" outline="0" fieldPosition="0">
        <references count="2">
          <reference field="0" selected="0">
            <x v="83"/>
          </reference>
          <reference field="44">
            <x v="10"/>
          </reference>
        </references>
      </pivotArea>
    </format>
    <format action="formatting" dxfId="275">
      <pivotArea type="normal" dataOnly="0" labelOnly="1" outline="0" fieldPosition="0">
        <references count="2">
          <reference field="0" selected="0">
            <x v="84"/>
          </reference>
          <reference field="44">
            <x v="10"/>
          </reference>
        </references>
      </pivotArea>
    </format>
    <format action="formatting" dxfId="274">
      <pivotArea type="normal" dataOnly="0" labelOnly="1" outline="0" fieldPosition="0">
        <references count="2">
          <reference field="0" selected="0">
            <x v="85"/>
          </reference>
          <reference field="44">
            <x v="10"/>
          </reference>
        </references>
      </pivotArea>
    </format>
    <format action="formatting" dxfId="273">
      <pivotArea type="normal" dataOnly="0" labelOnly="1" outline="0" fieldPosition="0">
        <references count="2">
          <reference field="0" selected="0">
            <x v="86"/>
          </reference>
          <reference field="44">
            <x v="10"/>
          </reference>
        </references>
      </pivotArea>
    </format>
    <format action="formatting" dxfId="272">
      <pivotArea type="normal" dataOnly="0" labelOnly="1" outline="0" fieldPosition="0">
        <references count="2">
          <reference field="0" selected="0">
            <x v="87"/>
          </reference>
          <reference field="44">
            <x v="10"/>
          </reference>
        </references>
      </pivotArea>
    </format>
    <format action="formatting" dxfId="271">
      <pivotArea type="normal" dataOnly="0" labelOnly="1" outline="0" fieldPosition="0">
        <references count="2">
          <reference field="0" selected="0">
            <x v="88"/>
          </reference>
          <reference field="44">
            <x v="10"/>
          </reference>
        </references>
      </pivotArea>
    </format>
    <format action="formatting" dxfId="270">
      <pivotArea type="normal" dataOnly="0" labelOnly="1" outline="0" fieldPosition="0">
        <references count="2">
          <reference field="0" selected="0">
            <x v="126"/>
          </reference>
          <reference field="44">
            <x v="9"/>
          </reference>
        </references>
      </pivotArea>
    </format>
    <format action="formatting" dxfId="269">
      <pivotArea type="normal" dataOnly="0" labelOnly="1" outline="0" fieldPosition="0">
        <references count="2">
          <reference field="0" selected="0">
            <x v="134"/>
          </reference>
          <reference field="44">
            <x v="9"/>
          </reference>
        </references>
      </pivotArea>
    </format>
    <format action="formatting" dxfId="268">
      <pivotArea type="normal" dataOnly="0" labelOnly="1" outline="0" fieldPosition="0">
        <references count="2">
          <reference field="0" selected="0">
            <x v="137"/>
          </reference>
          <reference field="44">
            <x v="9"/>
          </reference>
        </references>
      </pivotArea>
    </format>
    <format action="formatting" dxfId="267">
      <pivotArea type="normal" dataOnly="0" labelOnly="1" outline="0" fieldPosition="0">
        <references count="2">
          <reference field="0" selected="0">
            <x v="138"/>
          </reference>
          <reference field="44">
            <x v="6"/>
          </reference>
        </references>
      </pivotArea>
    </format>
    <format action="formatting" dxfId="266">
      <pivotArea type="normal" dataOnly="0" labelOnly="1" outline="0" fieldPosition="0">
        <references count="2">
          <reference field="0" selected="0">
            <x v="139"/>
          </reference>
          <reference field="44">
            <x v="4"/>
          </reference>
        </references>
      </pivotArea>
    </format>
    <format action="formatting" dxfId="265">
      <pivotArea type="normal" dataOnly="0" labelOnly="1" outline="0" fieldPosition="0">
        <references count="2">
          <reference field="0" selected="0">
            <x v="140"/>
          </reference>
          <reference field="44">
            <x v="4"/>
          </reference>
        </references>
      </pivotArea>
    </format>
    <format action="formatting" dxfId="264">
      <pivotArea type="normal" dataOnly="0" labelOnly="1" outline="0" fieldPosition="0">
        <references count="2">
          <reference field="0" selected="0">
            <x v="141"/>
          </reference>
          <reference field="44">
            <x v="5"/>
          </reference>
        </references>
      </pivotArea>
    </format>
    <format action="formatting" dxfId="263">
      <pivotArea type="normal" dataOnly="0" labelOnly="1" outline="0" fieldPosition="0">
        <references count="2">
          <reference field="0" selected="0">
            <x v="207"/>
          </reference>
          <reference field="44">
            <x v="4"/>
          </reference>
        </references>
      </pivotArea>
    </format>
    <format action="formatting" dxfId="262">
      <pivotArea type="normal" dataOnly="0" labelOnly="1" outline="0" fieldPosition="0">
        <references count="2">
          <reference field="0" selected="0">
            <x v="208"/>
          </reference>
          <reference field="44">
            <x v="4"/>
          </reference>
        </references>
      </pivotArea>
    </format>
    <format action="formatting" dxfId="261">
      <pivotArea type="normal" dataOnly="0" labelOnly="1" outline="0" fieldPosition="0">
        <references count="2">
          <reference field="0" selected="0">
            <x v="211"/>
          </reference>
          <reference field="44">
            <x v="10"/>
          </reference>
        </references>
      </pivotArea>
    </format>
    <format action="formatting" dxfId="260">
      <pivotArea type="normal" dataOnly="0" labelOnly="1" outline="0" fieldPosition="0">
        <references count="2">
          <reference field="0" selected="0">
            <x v="212"/>
          </reference>
          <reference field="44">
            <x v="10"/>
          </reference>
        </references>
      </pivotArea>
    </format>
    <format action="formatting" dxfId="259">
      <pivotArea type="normal" dataOnly="0" labelOnly="1" outline="0" fieldPosition="0">
        <references count="2">
          <reference field="0" selected="0">
            <x v="216"/>
          </reference>
          <reference field="44">
            <x v="10"/>
          </reference>
        </references>
      </pivotArea>
    </format>
    <format action="formatting" dxfId="258">
      <pivotArea type="normal" dataOnly="0" labelOnly="1" outline="0" fieldPosition="0">
        <references count="2">
          <reference field="0" selected="0">
            <x v="217"/>
          </reference>
          <reference field="44">
            <x v="10"/>
          </reference>
        </references>
      </pivotArea>
    </format>
    <format action="formatting" dxfId="257">
      <pivotArea type="normal" dataOnly="0" labelOnly="1" outline="0" fieldPosition="0">
        <references count="2">
          <reference field="0" selected="0">
            <x v="218"/>
          </reference>
          <reference field="44">
            <x v="10"/>
          </reference>
        </references>
      </pivotArea>
    </format>
    <format action="formatting" dxfId="256">
      <pivotArea type="normal" dataOnly="0" labelOnly="1" outline="0" fieldPosition="0">
        <references count="2">
          <reference field="0" selected="0">
            <x v="219"/>
          </reference>
          <reference field="44">
            <x v="10"/>
          </reference>
        </references>
      </pivotArea>
    </format>
    <format action="formatting" dxfId="255">
      <pivotArea type="normal" dataOnly="0" labelOnly="1" outline="0" fieldPosition="0">
        <references count="2">
          <reference field="0" selected="0">
            <x v="222"/>
          </reference>
          <reference field="44">
            <x v="10"/>
          </reference>
        </references>
      </pivotArea>
    </format>
    <format action="formatting" dxfId="254">
      <pivotArea type="normal" dataOnly="0" labelOnly="1" outline="0" fieldPosition="0">
        <references count="2">
          <reference field="0" selected="0">
            <x v="227"/>
          </reference>
          <reference field="44">
            <x v="10"/>
          </reference>
        </references>
      </pivotArea>
    </format>
    <format action="formatting" dxfId="253">
      <pivotArea type="normal" dataOnly="0" labelOnly="1" outline="0" fieldPosition="0">
        <references count="2">
          <reference field="0" selected="0">
            <x v="253"/>
          </reference>
          <reference field="44">
            <x v="10"/>
          </reference>
        </references>
      </pivotArea>
    </format>
    <format action="formatting" dxfId="252">
      <pivotArea type="normal" dataOnly="0" labelOnly="1" outline="0" fieldPosition="0">
        <references count="2">
          <reference field="0" selected="0">
            <x v="254"/>
          </reference>
          <reference field="44">
            <x v="10"/>
          </reference>
        </references>
      </pivotArea>
    </format>
    <format action="formatting" dxfId="251">
      <pivotArea type="normal" dataOnly="0" labelOnly="1" outline="0" fieldPosition="0">
        <references count="2">
          <reference field="0" selected="0">
            <x v="255"/>
          </reference>
          <reference field="44">
            <x v="10"/>
          </reference>
        </references>
      </pivotArea>
    </format>
    <format action="formatting" dxfId="250">
      <pivotArea type="normal" dataOnly="0" labelOnly="1" outline="0" fieldPosition="0">
        <references count="2">
          <reference field="0" selected="0">
            <x v="269"/>
          </reference>
          <reference field="44">
            <x v="10"/>
          </reference>
        </references>
      </pivotArea>
    </format>
    <format action="formatting" dxfId="249">
      <pivotArea type="normal" dataOnly="0" labelOnly="1" outline="0" fieldPosition="0">
        <references count="2">
          <reference field="0" selected="0">
            <x v="301"/>
          </reference>
          <reference field="44">
            <x v="8"/>
          </reference>
        </references>
      </pivotArea>
    </format>
    <format action="formatting" dxfId="248">
      <pivotArea type="normal" dataOnly="0" labelOnly="1" outline="0" fieldPosition="0">
        <references count="2">
          <reference field="0" selected="0">
            <x v="302"/>
          </reference>
          <reference field="44">
            <x v="8"/>
          </reference>
        </references>
      </pivotArea>
    </format>
    <format action="formatting" dxfId="247">
      <pivotArea type="normal" dataOnly="0" labelOnly="1" outline="0" fieldPosition="0">
        <references count="2">
          <reference field="0" selected="0">
            <x v="308"/>
          </reference>
          <reference field="44">
            <x v="10"/>
          </reference>
        </references>
      </pivotArea>
    </format>
    <format action="formatting" dxfId="246">
      <pivotArea type="normal" dataOnly="0" labelOnly="1" outline="0" fieldPosition="0">
        <references count="2">
          <reference field="0" selected="0">
            <x v="312"/>
          </reference>
          <reference field="44">
            <x v="8"/>
          </reference>
        </references>
      </pivotArea>
    </format>
    <format action="formatting" dxfId="245">
      <pivotArea type="normal" dataOnly="0" labelOnly="1" outline="0" fieldPosition="0">
        <references count="2">
          <reference field="0" selected="0">
            <x v="314"/>
          </reference>
          <reference field="44">
            <x v="4"/>
          </reference>
        </references>
      </pivotArea>
    </format>
    <format action="formatting" dxfId="244">
      <pivotArea type="normal" dataOnly="0" labelOnly="1" outline="0" fieldPosition="0">
        <references count="2">
          <reference field="0" selected="0">
            <x v="315"/>
          </reference>
          <reference field="44">
            <x v="4"/>
          </reference>
        </references>
      </pivotArea>
    </format>
    <format action="formatting" dxfId="243">
      <pivotArea type="normal" dataOnly="0" labelOnly="1" outline="0" fieldPosition="0">
        <references count="2">
          <reference field="0" selected="0">
            <x v="316"/>
          </reference>
          <reference field="44">
            <x v="10"/>
          </reference>
        </references>
      </pivotArea>
    </format>
    <format action="formatting" dxfId="242">
      <pivotArea type="normal" dataOnly="0" labelOnly="1" outline="0" fieldPosition="0">
        <references count="2">
          <reference field="0" selected="0">
            <x v="317"/>
          </reference>
          <reference field="44">
            <x v="4"/>
          </reference>
        </references>
      </pivotArea>
    </format>
    <format action="formatting" dxfId="241">
      <pivotArea type="normal" dataOnly="0" labelOnly="1" outline="0" fieldPosition="0">
        <references count="2">
          <reference field="0" selected="0">
            <x v="319"/>
          </reference>
          <reference field="44">
            <x v="4"/>
          </reference>
        </references>
      </pivotArea>
    </format>
    <format action="formatting" dxfId="240">
      <pivotArea type="normal" dataOnly="0" labelOnly="1" outline="0" fieldPosition="0">
        <references count="2">
          <reference field="0" selected="0">
            <x v="338"/>
          </reference>
          <reference field="44">
            <x v="10"/>
          </reference>
        </references>
      </pivotArea>
    </format>
    <format action="formatting" dxfId="239">
      <pivotArea type="normal" dataOnly="0" labelOnly="1" outline="0" fieldPosition="0">
        <references count="2">
          <reference field="0" selected="0">
            <x v="339"/>
          </reference>
          <reference field="44">
            <x v="10"/>
          </reference>
        </references>
      </pivotArea>
    </format>
    <format action="formatting" dxfId="238">
      <pivotArea type="normal" dataOnly="0" labelOnly="1" outline="0" fieldPosition="0">
        <references count="2">
          <reference field="0" selected="0">
            <x v="340"/>
          </reference>
          <reference field="44">
            <x v="10"/>
          </reference>
        </references>
      </pivotArea>
    </format>
    <format action="formatting" dxfId="237">
      <pivotArea type="normal" dataOnly="0" labelOnly="1" outline="0" fieldPosition="0">
        <references count="2">
          <reference field="0" selected="0">
            <x v="343"/>
          </reference>
          <reference field="44">
            <x v="4"/>
          </reference>
        </references>
      </pivotArea>
    </format>
    <format action="formatting" dxfId="236">
      <pivotArea type="normal" dataOnly="0" labelOnly="1" outline="0" fieldPosition="0">
        <references count="2">
          <reference field="0" selected="0">
            <x v="344"/>
          </reference>
          <reference field="44">
            <x v="4"/>
          </reference>
        </references>
      </pivotArea>
    </format>
    <format action="formatting" dxfId="235">
      <pivotArea type="normal" dataOnly="0" labelOnly="1" outline="0" fieldPosition="0">
        <references count="2">
          <reference field="0" selected="0">
            <x v="349"/>
          </reference>
          <reference field="44">
            <x v="4"/>
          </reference>
        </references>
      </pivotArea>
    </format>
    <format action="formatting" dxfId="234">
      <pivotArea type="normal" dataOnly="0" labelOnly="1" outline="0" fieldPosition="0">
        <references count="2">
          <reference field="0" selected="0">
            <x v="350"/>
          </reference>
          <reference field="44">
            <x v="4"/>
          </reference>
        </references>
      </pivotArea>
    </format>
    <format action="formatting" dxfId="233">
      <pivotArea type="normal" dataOnly="0" labelOnly="1" outline="0" fieldPosition="0">
        <references count="2">
          <reference field="0" selected="0">
            <x v="351"/>
          </reference>
          <reference field="44">
            <x v="4"/>
          </reference>
        </references>
      </pivotArea>
    </format>
    <format action="formatting" dxfId="232">
      <pivotArea type="normal" dataOnly="0" labelOnly="1" outline="0" fieldPosition="0">
        <references count="2">
          <reference field="0" selected="0">
            <x v="352"/>
          </reference>
          <reference field="44">
            <x v="4"/>
          </reference>
        </references>
      </pivotArea>
    </format>
    <format action="formatting" dxfId="231">
      <pivotArea type="normal" dataOnly="0" labelOnly="1" outline="0" fieldPosition="0">
        <references count="2">
          <reference field="0" selected="0">
            <x v="353"/>
          </reference>
          <reference field="44">
            <x v="4"/>
          </reference>
        </references>
      </pivotArea>
    </format>
    <format action="formatting" dxfId="230">
      <pivotArea type="normal" dataOnly="0" labelOnly="1" outline="0" fieldPosition="0">
        <references count="2">
          <reference field="0" selected="0">
            <x v="354"/>
          </reference>
          <reference field="44">
            <x v="4"/>
          </reference>
        </references>
      </pivotArea>
    </format>
    <format action="formatting" dxfId="229">
      <pivotArea type="normal" dataOnly="0" labelOnly="1" outline="0" fieldPosition="0">
        <references count="2">
          <reference field="0" selected="0">
            <x v="355"/>
          </reference>
          <reference field="44">
            <x v="4"/>
          </reference>
        </references>
      </pivotArea>
    </format>
    <format action="formatting" dxfId="228">
      <pivotArea type="normal" dataOnly="0" labelOnly="1" outline="0" fieldPosition="0">
        <references count="2">
          <reference field="0" selected="0">
            <x v="356"/>
          </reference>
          <reference field="44">
            <x v="4"/>
          </reference>
        </references>
      </pivotArea>
    </format>
    <format action="formatting" dxfId="227">
      <pivotArea type="normal" dataOnly="0" labelOnly="1" outline="0" fieldPosition="0">
        <references count="2">
          <reference field="0" selected="0">
            <x v="357"/>
          </reference>
          <reference field="44">
            <x v="4"/>
          </reference>
        </references>
      </pivotArea>
    </format>
    <format action="formatting" dxfId="226">
      <pivotArea type="normal" dataOnly="0" labelOnly="1" outline="0" fieldPosition="0">
        <references count="2">
          <reference field="0" selected="0">
            <x v="358"/>
          </reference>
          <reference field="44">
            <x v="4"/>
          </reference>
        </references>
      </pivotArea>
    </format>
    <format action="formatting" dxfId="225">
      <pivotArea type="normal" dataOnly="0" labelOnly="1" outline="0" fieldPosition="0">
        <references count="2">
          <reference field="0" selected="0">
            <x v="359"/>
          </reference>
          <reference field="44">
            <x v="4"/>
          </reference>
        </references>
      </pivotArea>
    </format>
    <format action="formatting" dxfId="224">
      <pivotArea type="normal" dataOnly="0" labelOnly="1" outline="0" fieldPosition="0">
        <references count="2">
          <reference field="0" selected="0">
            <x v="360"/>
          </reference>
          <reference field="44">
            <x v="4"/>
          </reference>
        </references>
      </pivotArea>
    </format>
    <format action="formatting" dxfId="223">
      <pivotArea type="normal" dataOnly="0" labelOnly="1" outline="0" fieldPosition="0">
        <references count="2">
          <reference field="0" selected="0">
            <x v="361"/>
          </reference>
          <reference field="44">
            <x v="4"/>
          </reference>
        </references>
      </pivotArea>
    </format>
    <format action="formatting" dxfId="222">
      <pivotArea type="normal" dataOnly="0" labelOnly="1" outline="0" fieldPosition="0">
        <references count="2">
          <reference field="0" selected="0">
            <x v="364"/>
          </reference>
          <reference field="44">
            <x v="10"/>
          </reference>
        </references>
      </pivotArea>
    </format>
    <format action="formatting" dxfId="221">
      <pivotArea type="normal" dataOnly="0" labelOnly="1" outline="0" fieldPosition="0">
        <references count="2">
          <reference field="0" selected="0">
            <x v="365"/>
          </reference>
          <reference field="44">
            <x v="4"/>
          </reference>
        </references>
      </pivotArea>
    </format>
    <format action="formatting" dxfId="220">
      <pivotArea type="normal" dataOnly="0" labelOnly="1" outline="0" fieldPosition="0">
        <references count="2">
          <reference field="0" selected="0">
            <x v="368"/>
          </reference>
          <reference field="44">
            <x v="10"/>
          </reference>
        </references>
      </pivotArea>
    </format>
    <format action="formatting" dxfId="219">
      <pivotArea type="normal" dataOnly="0" labelOnly="1" outline="0" fieldPosition="0">
        <references count="2">
          <reference field="0" selected="0">
            <x v="369"/>
          </reference>
          <reference field="44">
            <x v="10"/>
          </reference>
        </references>
      </pivotArea>
    </format>
    <format action="formatting" dxfId="218">
      <pivotArea type="normal" dataOnly="0" labelOnly="1" outline="0" fieldPosition="0">
        <references count="2">
          <reference field="0" selected="0">
            <x v="370"/>
          </reference>
          <reference field="44">
            <x v="4"/>
          </reference>
        </references>
      </pivotArea>
    </format>
    <format action="formatting" dxfId="217">
      <pivotArea type="normal" dataOnly="0" labelOnly="1" outline="0" fieldPosition="0">
        <references count="2">
          <reference field="0" selected="0">
            <x v="376"/>
          </reference>
          <reference field="44">
            <x v="4"/>
          </reference>
        </references>
      </pivotArea>
    </format>
    <format action="formatting" dxfId="216">
      <pivotArea type="normal" dataOnly="0" labelOnly="1" outline="0" fieldPosition="0">
        <references count="2">
          <reference field="0" selected="0">
            <x v="378"/>
          </reference>
          <reference field="44">
            <x v="10"/>
          </reference>
        </references>
      </pivotArea>
    </format>
    <format action="formatting" dxfId="215">
      <pivotArea type="normal" dataOnly="0" labelOnly="1" outline="0" fieldPosition="0">
        <references count="2">
          <reference field="0" selected="0">
            <x v="379"/>
          </reference>
          <reference field="44">
            <x v="3"/>
          </reference>
        </references>
      </pivotArea>
    </format>
    <format action="formatting" dxfId="214">
      <pivotArea type="normal" dataOnly="0" labelOnly="1" outline="0" fieldPosition="0">
        <references count="2">
          <reference field="0" selected="0">
            <x v="380"/>
          </reference>
          <reference field="44">
            <x v="10"/>
          </reference>
        </references>
      </pivotArea>
    </format>
    <format action="formatting" dxfId="213">
      <pivotArea type="normal" dataOnly="0" labelOnly="1" outline="0" fieldPosition="0">
        <references count="2">
          <reference field="0" selected="0">
            <x v="381"/>
          </reference>
          <reference field="44">
            <x v="10"/>
          </reference>
        </references>
      </pivotArea>
    </format>
    <format action="formatting" dxfId="212">
      <pivotArea type="normal" dataOnly="0" labelOnly="1" outline="0" fieldPosition="0">
        <references count="2">
          <reference field="0" selected="0">
            <x v="382"/>
          </reference>
          <reference field="44">
            <x v="10"/>
          </reference>
        </references>
      </pivotArea>
    </format>
    <format action="formatting" dxfId="211">
      <pivotArea type="normal" dataOnly="0" labelOnly="1" outline="0" fieldPosition="0">
        <references count="2">
          <reference field="0" selected="0">
            <x v="383"/>
          </reference>
          <reference field="44">
            <x v="10"/>
          </reference>
        </references>
      </pivotArea>
    </format>
    <format action="formatting" dxfId="210">
      <pivotArea type="normal" dataOnly="0" labelOnly="1" outline="0" fieldPosition="0">
        <references count="2">
          <reference field="0" selected="0">
            <x v="385"/>
          </reference>
          <reference field="44">
            <x v="10"/>
          </reference>
        </references>
      </pivotArea>
    </format>
    <format action="formatting" dxfId="209">
      <pivotArea type="normal" dataOnly="0" labelOnly="1" outline="0" fieldPosition="0">
        <references count="2">
          <reference field="0" selected="0">
            <x v="386"/>
          </reference>
          <reference field="44">
            <x v="10"/>
          </reference>
        </references>
      </pivotArea>
    </format>
    <format action="formatting" dxfId="208">
      <pivotArea type="normal" dataOnly="0" labelOnly="1" outline="0" fieldPosition="0">
        <references count="2">
          <reference field="0" selected="0">
            <x v="387"/>
          </reference>
          <reference field="44">
            <x v="4"/>
          </reference>
        </references>
      </pivotArea>
    </format>
    <format action="formatting" dxfId="207">
      <pivotArea type="normal" dataOnly="0" labelOnly="1" outline="0" fieldPosition="0">
        <references count="2">
          <reference field="0" selected="0">
            <x v="389"/>
          </reference>
          <reference field="44">
            <x v="4"/>
          </reference>
        </references>
      </pivotArea>
    </format>
    <format action="formatting" dxfId="206">
      <pivotArea type="normal" dataOnly="0" labelOnly="1" outline="0" fieldPosition="0">
        <references count="2">
          <reference field="0" selected="0">
            <x v="392"/>
          </reference>
          <reference field="44">
            <x v="4"/>
          </reference>
        </references>
      </pivotArea>
    </format>
    <format action="formatting" dxfId="205">
      <pivotArea type="normal" dataOnly="0" labelOnly="1" outline="0" fieldPosition="0">
        <references count="2">
          <reference field="0" selected="0">
            <x v="394"/>
          </reference>
          <reference field="44">
            <x v="4"/>
          </reference>
        </references>
      </pivotArea>
    </format>
    <format action="formatting" dxfId="204">
      <pivotArea type="normal" dataOnly="0" labelOnly="1" outline="0" fieldPosition="0">
        <references count="2">
          <reference field="0" selected="0">
            <x v="396"/>
          </reference>
          <reference field="44">
            <x v="4"/>
          </reference>
        </references>
      </pivotArea>
    </format>
    <format action="formatting" dxfId="203">
      <pivotArea type="normal" dataOnly="0" labelOnly="1" outline="0" fieldPosition="0">
        <references count="2">
          <reference field="0" selected="0">
            <x v="398"/>
          </reference>
          <reference field="44">
            <x v="4"/>
          </reference>
        </references>
      </pivotArea>
    </format>
    <format action="formatting" dxfId="202">
      <pivotArea type="normal" dataOnly="0" labelOnly="1" outline="0" fieldPosition="0">
        <references count="2">
          <reference field="0" selected="0">
            <x v="399"/>
          </reference>
          <reference field="44">
            <x v="4"/>
          </reference>
        </references>
      </pivotArea>
    </format>
    <format action="formatting" dxfId="201">
      <pivotArea type="normal" dataOnly="0" labelOnly="1" outline="0" fieldPosition="0">
        <references count="2">
          <reference field="0" selected="0">
            <x v="400"/>
          </reference>
          <reference field="44">
            <x v="4"/>
          </reference>
        </references>
      </pivotArea>
    </format>
    <format action="formatting" dxfId="200">
      <pivotArea type="normal" dataOnly="0" labelOnly="1" outline="0" fieldPosition="0">
        <references count="2">
          <reference field="0" selected="0">
            <x v="401"/>
          </reference>
          <reference field="44">
            <x v="4"/>
          </reference>
        </references>
      </pivotArea>
    </format>
    <format action="formatting" dxfId="199">
      <pivotArea type="normal" dataOnly="0" labelOnly="1" outline="0" fieldPosition="0">
        <references count="2">
          <reference field="0" selected="0">
            <x v="402"/>
          </reference>
          <reference field="44">
            <x v="4"/>
          </reference>
        </references>
      </pivotArea>
    </format>
    <format action="formatting" dxfId="198">
      <pivotArea type="normal" dataOnly="0" labelOnly="1" outline="0" fieldPosition="0">
        <references count="2">
          <reference field="0" selected="0">
            <x v="403"/>
          </reference>
          <reference field="44">
            <x v="4"/>
          </reference>
        </references>
      </pivotArea>
    </format>
    <format action="formatting" dxfId="197">
      <pivotArea type="normal" dataOnly="0" labelOnly="1" outline="0" fieldPosition="0">
        <references count="2">
          <reference field="0" selected="0">
            <x v="404"/>
          </reference>
          <reference field="44">
            <x v="4"/>
          </reference>
        </references>
      </pivotArea>
    </format>
    <format action="formatting" dxfId="196">
      <pivotArea type="normal" dataOnly="0" labelOnly="1" outline="0" fieldPosition="0">
        <references count="2">
          <reference field="0" selected="0">
            <x v="405"/>
          </reference>
          <reference field="44">
            <x v="4"/>
          </reference>
        </references>
      </pivotArea>
    </format>
    <format action="formatting" dxfId="195">
      <pivotArea type="normal" dataOnly="0" labelOnly="1" outline="0" fieldPosition="0">
        <references count="2">
          <reference field="0" selected="0">
            <x v="406"/>
          </reference>
          <reference field="44">
            <x v="4"/>
          </reference>
        </references>
      </pivotArea>
    </format>
    <format action="formatting" dxfId="194">
      <pivotArea type="normal" dataOnly="0" labelOnly="1" outline="0" fieldPosition="0">
        <references count="2">
          <reference field="0" selected="0">
            <x v="408"/>
          </reference>
          <reference field="44">
            <x v="4"/>
          </reference>
        </references>
      </pivotArea>
    </format>
    <format action="formatting" dxfId="193">
      <pivotArea type="normal" dataOnly="0" labelOnly="1" outline="0" fieldPosition="0">
        <references count="2">
          <reference field="0" selected="0">
            <x v="409"/>
          </reference>
          <reference field="44">
            <x v="4"/>
          </reference>
        </references>
      </pivotArea>
    </format>
    <format action="formatting" dxfId="192">
      <pivotArea type="normal" dataOnly="0" labelOnly="1" outline="0" fieldPosition="0">
        <references count="2">
          <reference field="0" selected="0">
            <x v="410"/>
          </reference>
          <reference field="44">
            <x v="4"/>
          </reference>
        </references>
      </pivotArea>
    </format>
    <format action="formatting" dxfId="191">
      <pivotArea type="normal" dataOnly="0" labelOnly="1" outline="0" fieldPosition="0">
        <references count="2">
          <reference field="0" selected="0">
            <x v="411"/>
          </reference>
          <reference field="44">
            <x v="4"/>
          </reference>
        </references>
      </pivotArea>
    </format>
    <format action="formatting" dxfId="190">
      <pivotArea type="normal" dataOnly="0" labelOnly="1" outline="0" fieldPosition="0">
        <references count="2">
          <reference field="0" selected="0">
            <x v="412"/>
          </reference>
          <reference field="44">
            <x v="4"/>
          </reference>
        </references>
      </pivotArea>
    </format>
    <format action="formatting" dxfId="189">
      <pivotArea type="normal" dataOnly="0" labelOnly="1" outline="0" fieldPosition="0">
        <references count="2">
          <reference field="0" selected="0">
            <x v="413"/>
          </reference>
          <reference field="44">
            <x v="4"/>
          </reference>
        </references>
      </pivotArea>
    </format>
    <format action="formatting" dxfId="188">
      <pivotArea type="normal" dataOnly="0" labelOnly="1" outline="0" fieldPosition="0">
        <references count="2">
          <reference field="0" selected="0">
            <x v="414"/>
          </reference>
          <reference field="44">
            <x v="4"/>
          </reference>
        </references>
      </pivotArea>
    </format>
    <format action="formatting" dxfId="187">
      <pivotArea type="normal" dataOnly="0" labelOnly="1" outline="0" fieldPosition="0">
        <references count="2">
          <reference field="0" selected="0">
            <x v="415"/>
          </reference>
          <reference field="44">
            <x v="4"/>
          </reference>
        </references>
      </pivotArea>
    </format>
    <format action="formatting" dxfId="186">
      <pivotArea type="normal" dataOnly="0" labelOnly="1" outline="0" fieldPosition="0">
        <references count="2">
          <reference field="0" selected="0">
            <x v="416"/>
          </reference>
          <reference field="44">
            <x v="4"/>
          </reference>
        </references>
      </pivotArea>
    </format>
    <format action="formatting" dxfId="185">
      <pivotArea type="normal" dataOnly="0" labelOnly="1" outline="0" fieldPosition="0">
        <references count="2">
          <reference field="0" selected="0">
            <x v="417"/>
          </reference>
          <reference field="44">
            <x v="4"/>
          </reference>
        </references>
      </pivotArea>
    </format>
    <format action="formatting" dxfId="184">
      <pivotArea type="normal" dataOnly="0" labelOnly="1" outline="0" fieldPosition="0">
        <references count="2">
          <reference field="0" selected="0">
            <x v="418"/>
          </reference>
          <reference field="44">
            <x v="4"/>
          </reference>
        </references>
      </pivotArea>
    </format>
    <format action="formatting" dxfId="183">
      <pivotArea type="normal" dataOnly="0" labelOnly="1" outline="0" fieldPosition="0">
        <references count="2">
          <reference field="0" selected="0">
            <x v="419"/>
          </reference>
          <reference field="44">
            <x v="4"/>
          </reference>
        </references>
      </pivotArea>
    </format>
    <format action="formatting" dxfId="182">
      <pivotArea type="normal" dataOnly="0" labelOnly="1" outline="0" fieldPosition="0">
        <references count="2">
          <reference field="0" selected="0">
            <x v="420"/>
          </reference>
          <reference field="44">
            <x v="4"/>
          </reference>
        </references>
      </pivotArea>
    </format>
    <format action="formatting" dxfId="181">
      <pivotArea type="normal" dataOnly="0" labelOnly="1" outline="0" fieldPosition="0">
        <references count="2">
          <reference field="0" selected="0">
            <x v="421"/>
          </reference>
          <reference field="44">
            <x v="4"/>
          </reference>
        </references>
      </pivotArea>
    </format>
    <format action="formatting" dxfId="180">
      <pivotArea type="normal" dataOnly="0" labelOnly="1" outline="0" fieldPosition="0">
        <references count="2">
          <reference field="0" selected="0">
            <x v="422"/>
          </reference>
          <reference field="44">
            <x v="10"/>
          </reference>
        </references>
      </pivotArea>
    </format>
    <format action="formatting" dxfId="179">
      <pivotArea type="normal" dataOnly="0" labelOnly="1" outline="0" fieldPosition="0">
        <references count="2">
          <reference field="0" selected="0">
            <x v="423"/>
          </reference>
          <reference field="44">
            <x v="10"/>
          </reference>
        </references>
      </pivotArea>
    </format>
    <format action="formatting" dxfId="178">
      <pivotArea type="normal" dataOnly="0" labelOnly="1" outline="0" fieldPosition="0">
        <references count="2">
          <reference field="0" selected="0">
            <x v="424"/>
          </reference>
          <reference field="44">
            <x v="10"/>
          </reference>
        </references>
      </pivotArea>
    </format>
    <format action="formatting" dxfId="177">
      <pivotArea type="normal" dataOnly="0" labelOnly="1" outline="0" fieldPosition="0">
        <references count="2">
          <reference field="0" selected="0">
            <x v="425"/>
          </reference>
          <reference field="44">
            <x v="10"/>
          </reference>
        </references>
      </pivotArea>
    </format>
    <format action="formatting" dxfId="176">
      <pivotArea type="normal" dataOnly="0" labelOnly="1" outline="0" fieldPosition="0">
        <references count="2">
          <reference field="0" selected="0">
            <x v="426"/>
          </reference>
          <reference field="44">
            <x v="10"/>
          </reference>
        </references>
      </pivotArea>
    </format>
    <format action="formatting" dxfId="175">
      <pivotArea type="normal" dataOnly="0" labelOnly="1" outline="0" fieldPosition="0">
        <references count="2">
          <reference field="0" selected="0">
            <x v="427"/>
          </reference>
          <reference field="44">
            <x v="10"/>
          </reference>
        </references>
      </pivotArea>
    </format>
    <format action="formatting" dxfId="174">
      <pivotArea type="normal" dataOnly="0" labelOnly="1" outline="0" fieldPosition="0">
        <references count="2">
          <reference field="0" selected="0">
            <x v="428"/>
          </reference>
          <reference field="44">
            <x v="10"/>
          </reference>
        </references>
      </pivotArea>
    </format>
    <format action="formatting" dxfId="173">
      <pivotArea type="normal" dataOnly="0" labelOnly="1" outline="0" fieldPosition="0">
        <references count="2">
          <reference field="0" selected="0">
            <x v="429"/>
          </reference>
          <reference field="44">
            <x v="10"/>
          </reference>
        </references>
      </pivotArea>
    </format>
    <format action="formatting" dxfId="172">
      <pivotArea type="normal" dataOnly="0" labelOnly="1" outline="0" fieldPosition="0">
        <references count="2">
          <reference field="0" selected="0">
            <x v="430"/>
          </reference>
          <reference field="44">
            <x v="10"/>
          </reference>
        </references>
      </pivotArea>
    </format>
    <format action="formatting" dxfId="171">
      <pivotArea type="normal" dataOnly="0" labelOnly="1" outline="0" fieldPosition="0">
        <references count="2">
          <reference field="0" selected="0">
            <x v="431"/>
          </reference>
          <reference field="44">
            <x v="2"/>
          </reference>
        </references>
      </pivotArea>
    </format>
    <format action="formatting" dxfId="170">
      <pivotArea type="normal" dataOnly="0" labelOnly="1" outline="0" fieldPosition="0">
        <references count="2">
          <reference field="0" selected="0">
            <x v="432"/>
          </reference>
          <reference field="44">
            <x v="2"/>
          </reference>
        </references>
      </pivotArea>
    </format>
    <format action="formatting" dxfId="169">
      <pivotArea type="normal" dataOnly="0" labelOnly="1" outline="0" fieldPosition="0">
        <references count="2">
          <reference field="0" selected="0">
            <x v="433"/>
          </reference>
          <reference field="44">
            <x v="2"/>
          </reference>
        </references>
      </pivotArea>
    </format>
    <format action="formatting" dxfId="168">
      <pivotArea type="normal" dataOnly="0" labelOnly="1" outline="0" fieldPosition="0">
        <references count="2">
          <reference field="0" selected="0">
            <x v="434"/>
          </reference>
          <reference field="44">
            <x v="2"/>
          </reference>
        </references>
      </pivotArea>
    </format>
    <format action="formatting" dxfId="167">
      <pivotArea type="normal" dataOnly="0" labelOnly="1" outline="0" fieldPosition="0">
        <references count="2">
          <reference field="0" selected="0">
            <x v="435"/>
          </reference>
          <reference field="44">
            <x v="2"/>
          </reference>
        </references>
      </pivotArea>
    </format>
    <format action="formatting" dxfId="166">
      <pivotArea type="normal" dataOnly="0" labelOnly="1" outline="0" fieldPosition="0">
        <references count="2">
          <reference field="0" selected="0">
            <x v="436"/>
          </reference>
          <reference field="44">
            <x v="2"/>
          </reference>
        </references>
      </pivotArea>
    </format>
    <format action="formatting" dxfId="165">
      <pivotArea type="normal" dataOnly="0" labelOnly="1" outline="0" fieldPosition="0">
        <references count="2">
          <reference field="0" selected="0">
            <x v="437"/>
          </reference>
          <reference field="44">
            <x v="2"/>
          </reference>
        </references>
      </pivotArea>
    </format>
    <format action="formatting" dxfId="164">
      <pivotArea type="normal" dataOnly="0" labelOnly="1" outline="0" fieldPosition="0">
        <references count="2">
          <reference field="0" selected="0">
            <x v="438"/>
          </reference>
          <reference field="44">
            <x v="2"/>
          </reference>
        </references>
      </pivotArea>
    </format>
    <format action="formatting" dxfId="163">
      <pivotArea type="normal" dataOnly="0" labelOnly="1" outline="0" fieldPosition="0">
        <references count="2">
          <reference field="0" selected="0">
            <x v="446"/>
          </reference>
          <reference field="44">
            <x v="10"/>
          </reference>
        </references>
      </pivotArea>
    </format>
    <format action="formatting" dxfId="162">
      <pivotArea type="normal" dataOnly="0" labelOnly="1" outline="0" fieldPosition="0">
        <references count="2">
          <reference field="0" selected="0">
            <x v="447"/>
          </reference>
          <reference field="44">
            <x v="4"/>
          </reference>
        </references>
      </pivotArea>
    </format>
    <format action="formatting" dxfId="161">
      <pivotArea type="normal" dataOnly="0" labelOnly="1" outline="0" fieldPosition="0">
        <references count="2">
          <reference field="0" selected="0">
            <x v="448"/>
          </reference>
          <reference field="44">
            <x v="4"/>
          </reference>
        </references>
      </pivotArea>
    </format>
    <format action="formatting" dxfId="160">
      <pivotArea type="normal" dataOnly="0" labelOnly="1" outline="0" fieldPosition="0">
        <references count="2">
          <reference field="0" selected="0">
            <x v="449"/>
          </reference>
          <reference field="44">
            <x v="10"/>
          </reference>
        </references>
      </pivotArea>
    </format>
    <format action="formatting" dxfId="159">
      <pivotArea type="normal" dataOnly="0" labelOnly="1" outline="0" fieldPosition="0">
        <references count="2">
          <reference field="0" selected="0">
            <x v="451"/>
          </reference>
          <reference field="44">
            <x v="10"/>
          </reference>
        </references>
      </pivotArea>
    </format>
    <format action="formatting" dxfId="158">
      <pivotArea type="normal" dataOnly="0" labelOnly="1" outline="0" fieldPosition="0">
        <references count="2">
          <reference field="0" selected="0">
            <x v="454"/>
          </reference>
          <reference field="44">
            <x v="4"/>
          </reference>
        </references>
      </pivotArea>
    </format>
    <format action="formatting" dxfId="157">
      <pivotArea type="normal" dataOnly="0" labelOnly="1" outline="0" fieldPosition="0">
        <references count="2">
          <reference field="0" selected="0">
            <x v="455"/>
          </reference>
          <reference field="44">
            <x v="10"/>
          </reference>
        </references>
      </pivotArea>
    </format>
    <format action="formatting" dxfId="156">
      <pivotArea type="normal" dataOnly="0" labelOnly="1" outline="0" fieldPosition="0">
        <references count="2">
          <reference field="0" selected="0">
            <x v="456"/>
          </reference>
          <reference field="44">
            <x v="4"/>
          </reference>
        </references>
      </pivotArea>
    </format>
    <format action="formatting" dxfId="155">
      <pivotArea type="normal" dataOnly="0" labelOnly="1" outline="0" fieldPosition="0">
        <references count="2">
          <reference field="0" selected="0">
            <x v="457"/>
          </reference>
          <reference field="44">
            <x v="10"/>
          </reference>
        </references>
      </pivotArea>
    </format>
    <format action="formatting" dxfId="154">
      <pivotArea type="normal" dataOnly="0" labelOnly="1" outline="0" fieldPosition="0">
        <references count="2">
          <reference field="0" selected="0">
            <x v="461"/>
          </reference>
          <reference field="44">
            <x v="10"/>
          </reference>
        </references>
      </pivotArea>
    </format>
    <format action="formatting" dxfId="153">
      <pivotArea type="normal" dataOnly="0" labelOnly="1" outline="0" fieldPosition="0">
        <references count="2">
          <reference field="0" selected="0">
            <x v="462"/>
          </reference>
          <reference field="44">
            <x v="10"/>
          </reference>
        </references>
      </pivotArea>
    </format>
    <format action="formatting" dxfId="152">
      <pivotArea type="normal" dataOnly="0" labelOnly="1" outline="0" fieldPosition="0">
        <references count="2">
          <reference field="0" selected="0">
            <x v="463"/>
          </reference>
          <reference field="44">
            <x v="10"/>
          </reference>
        </references>
      </pivotArea>
    </format>
    <format action="formatting" dxfId="151">
      <pivotArea type="normal" dataOnly="0" labelOnly="1" outline="0" fieldPosition="0">
        <references count="2">
          <reference field="0" selected="0">
            <x v="464"/>
          </reference>
          <reference field="44">
            <x v="10"/>
          </reference>
        </references>
      </pivotArea>
    </format>
    <format action="formatting" dxfId="150">
      <pivotArea type="normal" dataOnly="0" labelOnly="1" outline="0" fieldPosition="0">
        <references count="2">
          <reference field="0" selected="0">
            <x v="465"/>
          </reference>
          <reference field="44">
            <x v="10"/>
          </reference>
        </references>
      </pivotArea>
    </format>
    <format action="formatting" dxfId="149">
      <pivotArea type="normal" dataOnly="0" labelOnly="1" outline="0" fieldPosition="0">
        <references count="2">
          <reference field="0" selected="0">
            <x v="467"/>
          </reference>
          <reference field="44">
            <x v="10"/>
          </reference>
        </references>
      </pivotArea>
    </format>
    <format action="formatting" dxfId="148">
      <pivotArea type="normal" dataOnly="0" labelOnly="1" outline="0" fieldPosition="0">
        <references count="2">
          <reference field="0" selected="0">
            <x v="471"/>
          </reference>
          <reference field="44">
            <x v="10"/>
          </reference>
        </references>
      </pivotArea>
    </format>
    <format action="formatting" dxfId="147">
      <pivotArea type="normal" dataOnly="0" labelOnly="1" outline="0" fieldPosition="0">
        <references count="2">
          <reference field="0" selected="0">
            <x v="472"/>
          </reference>
          <reference field="44">
            <x v="2"/>
          </reference>
        </references>
      </pivotArea>
    </format>
    <format action="formatting" dxfId="146">
      <pivotArea type="normal" dataOnly="0" labelOnly="1" outline="0" fieldPosition="0">
        <references count="2">
          <reference field="0" selected="0">
            <x v="474"/>
          </reference>
          <reference field="44">
            <x v="10"/>
          </reference>
        </references>
      </pivotArea>
    </format>
    <format action="formatting" dxfId="145">
      <pivotArea type="normal" dataOnly="0" labelOnly="1" outline="0" fieldPosition="0">
        <references count="2">
          <reference field="0" selected="0">
            <x v="475"/>
          </reference>
          <reference field="44">
            <x v="10"/>
          </reference>
        </references>
      </pivotArea>
    </format>
    <format action="formatting" dxfId="144">
      <pivotArea type="normal" dataOnly="0" labelOnly="1" outline="0" fieldPosition="0">
        <references count="2">
          <reference field="0" selected="0">
            <x v="488"/>
          </reference>
          <reference field="44">
            <x v="10"/>
          </reference>
        </references>
      </pivotArea>
    </format>
    <format action="formatting" dxfId="143">
      <pivotArea type="normal" dataOnly="0" labelOnly="1" outline="0" fieldPosition="0">
        <references count="2">
          <reference field="0" selected="0">
            <x v="489"/>
          </reference>
          <reference field="44">
            <x v="10"/>
          </reference>
        </references>
      </pivotArea>
    </format>
    <format action="formatting" dxfId="142">
      <pivotArea type="normal" dataOnly="0" labelOnly="1" outline="0" fieldPosition="0">
        <references count="2">
          <reference field="0" selected="0">
            <x v="498"/>
          </reference>
          <reference field="44">
            <x v="10"/>
          </reference>
        </references>
      </pivotArea>
    </format>
    <format action="formatting" dxfId="141">
      <pivotArea type="normal" dataOnly="0" labelOnly="1" outline="0" fieldPosition="0">
        <references count="2">
          <reference field="0" selected="0">
            <x v="501"/>
          </reference>
          <reference field="44">
            <x v="4"/>
          </reference>
        </references>
      </pivotArea>
    </format>
    <format action="formatting" dxfId="140">
      <pivotArea type="normal" dataOnly="0" labelOnly="1" outline="0" fieldPosition="0">
        <references count="2">
          <reference field="0" selected="0">
            <x v="503"/>
          </reference>
          <reference field="44">
            <x v="10"/>
          </reference>
        </references>
      </pivotArea>
    </format>
    <format action="formatting" dxfId="139">
      <pivotArea type="normal" dataOnly="0" labelOnly="1" outline="0" fieldPosition="0">
        <references count="2">
          <reference field="0" selected="0">
            <x v="527"/>
          </reference>
          <reference field="44">
            <x v="4"/>
          </reference>
        </references>
      </pivotArea>
    </format>
    <format action="formatting" dxfId="138">
      <pivotArea type="normal" dataOnly="0" labelOnly="1" outline="0" fieldPosition="0">
        <references count="2">
          <reference field="0" selected="0">
            <x v="528"/>
          </reference>
          <reference field="44">
            <x v="10"/>
          </reference>
        </references>
      </pivotArea>
    </format>
    <format action="formatting" dxfId="137">
      <pivotArea type="normal" dataOnly="0" labelOnly="1" outline="0" fieldPosition="0">
        <references count="2">
          <reference field="0" selected="0">
            <x v="529"/>
          </reference>
          <reference field="44">
            <x v="10"/>
          </reference>
        </references>
      </pivotArea>
    </format>
    <format action="formatting" dxfId="136">
      <pivotArea type="normal" dataOnly="0" labelOnly="1" outline="0" fieldPosition="0">
        <references count="2">
          <reference field="0" selected="0">
            <x v="534"/>
          </reference>
          <reference field="44">
            <x v="4"/>
          </reference>
        </references>
      </pivotArea>
    </format>
    <format action="formatting" dxfId="135">
      <pivotArea type="normal" dataOnly="0" labelOnly="1" outline="0" fieldPosition="0">
        <references count="2">
          <reference field="0" selected="0">
            <x v="536"/>
          </reference>
          <reference field="44">
            <x v="4"/>
          </reference>
        </references>
      </pivotArea>
    </format>
    <format action="formatting" dxfId="134">
      <pivotArea type="normal" dataOnly="0" labelOnly="1" outline="0" fieldPosition="0">
        <references count="2">
          <reference field="0" selected="0">
            <x v="537"/>
          </reference>
          <reference field="44">
            <x v="4"/>
          </reference>
        </references>
      </pivotArea>
    </format>
    <format action="formatting" dxfId="133">
      <pivotArea type="normal" dataOnly="0" labelOnly="1" outline="0" fieldPosition="0">
        <references count="2">
          <reference field="0" selected="0">
            <x v="541"/>
          </reference>
          <reference field="44">
            <x v="4"/>
          </reference>
        </references>
      </pivotArea>
    </format>
    <format action="formatting" dxfId="132">
      <pivotArea type="normal" dataOnly="0" labelOnly="1" outline="0" fieldPosition="0">
        <references count="2">
          <reference field="0" selected="0">
            <x v="552"/>
          </reference>
          <reference field="44">
            <x v="10"/>
          </reference>
        </references>
      </pivotArea>
    </format>
    <format action="formatting" dxfId="131">
      <pivotArea type="normal" dataOnly="0" labelOnly="1" outline="0" fieldPosition="0">
        <references count="2">
          <reference field="0" selected="0">
            <x v="555"/>
          </reference>
          <reference field="44">
            <x v="4"/>
          </reference>
        </references>
      </pivotArea>
    </format>
    <format action="formatting" dxfId="130">
      <pivotArea type="normal" dataOnly="0" labelOnly="1" outline="0" fieldPosition="0">
        <references count="2">
          <reference field="0" selected="0">
            <x v="556"/>
          </reference>
          <reference field="44">
            <x v="4"/>
          </reference>
        </references>
      </pivotArea>
    </format>
    <format action="formatting" dxfId="129">
      <pivotArea type="normal" dataOnly="0" labelOnly="1" outline="0" fieldPosition="0">
        <references count="2">
          <reference field="0" selected="0">
            <x v="557"/>
          </reference>
          <reference field="44">
            <x v="4"/>
          </reference>
        </references>
      </pivotArea>
    </format>
    <format action="formatting" dxfId="128">
      <pivotArea type="normal" dataOnly="0" labelOnly="1" outline="0" fieldPosition="0">
        <references count="2">
          <reference field="0" selected="0">
            <x v="558"/>
          </reference>
          <reference field="44">
            <x v="4"/>
          </reference>
        </references>
      </pivotArea>
    </format>
    <format action="formatting" dxfId="127">
      <pivotArea type="normal" dataOnly="0" labelOnly="1" outline="0" fieldPosition="0">
        <references count="2">
          <reference field="0" selected="0">
            <x v="559"/>
          </reference>
          <reference field="44">
            <x v="4"/>
          </reference>
        </references>
      </pivotArea>
    </format>
    <format action="formatting" dxfId="126">
      <pivotArea type="normal" dataOnly="0" labelOnly="1" outline="0" fieldPosition="0">
        <references count="2">
          <reference field="0" selected="0">
            <x v="560"/>
          </reference>
          <reference field="44">
            <x v="4"/>
          </reference>
        </references>
      </pivotArea>
    </format>
    <format action="formatting" dxfId="125">
      <pivotArea type="normal" dataOnly="0" labelOnly="1" outline="0" fieldPosition="0">
        <references count="2">
          <reference field="0" selected="0">
            <x v="561"/>
          </reference>
          <reference field="44">
            <x v="4"/>
          </reference>
        </references>
      </pivotArea>
    </format>
    <format action="formatting" dxfId="124">
      <pivotArea type="normal" dataOnly="0" labelOnly="1" outline="0" fieldPosition="0">
        <references count="2">
          <reference field="0" selected="0">
            <x v="562"/>
          </reference>
          <reference field="44">
            <x v="4"/>
          </reference>
        </references>
      </pivotArea>
    </format>
    <format action="formatting" dxfId="123">
      <pivotArea type="normal" dataOnly="0" labelOnly="1" outline="0" fieldPosition="0">
        <references count="2">
          <reference field="0" selected="0">
            <x v="563"/>
          </reference>
          <reference field="44">
            <x v="4"/>
          </reference>
        </references>
      </pivotArea>
    </format>
    <format action="formatting" dxfId="122">
      <pivotArea type="normal" dataOnly="0" labelOnly="1" outline="0" fieldPosition="0">
        <references count="2">
          <reference field="0" selected="0">
            <x v="564"/>
          </reference>
          <reference field="44">
            <x v="4"/>
          </reference>
        </references>
      </pivotArea>
    </format>
    <format action="formatting" dxfId="121">
      <pivotArea type="normal" dataOnly="0" labelOnly="1" outline="0" fieldPosition="0">
        <references count="2">
          <reference field="0" selected="0">
            <x v="565"/>
          </reference>
          <reference field="44">
            <x v="4"/>
          </reference>
        </references>
      </pivotArea>
    </format>
    <format action="formatting" dxfId="120">
      <pivotArea type="normal" dataOnly="0" labelOnly="1" outline="0" fieldPosition="0">
        <references count="2">
          <reference field="0" selected="0">
            <x v="566"/>
          </reference>
          <reference field="44">
            <x v="4"/>
          </reference>
        </references>
      </pivotArea>
    </format>
    <format action="formatting" dxfId="119">
      <pivotArea type="normal" dataOnly="0" labelOnly="1" outline="0" fieldPosition="0">
        <references count="2">
          <reference field="0" selected="0">
            <x v="567"/>
          </reference>
          <reference field="44">
            <x v="4"/>
          </reference>
        </references>
      </pivotArea>
    </format>
    <format action="formatting" dxfId="118">
      <pivotArea type="normal" dataOnly="0" labelOnly="1" outline="0" fieldPosition="0">
        <references count="2">
          <reference field="0" selected="0">
            <x v="568"/>
          </reference>
          <reference field="44">
            <x v="4"/>
          </reference>
        </references>
      </pivotArea>
    </format>
    <format action="formatting" dxfId="117">
      <pivotArea type="normal" dataOnly="0" labelOnly="1" outline="0" fieldPosition="0">
        <references count="2">
          <reference field="0" selected="0">
            <x v="569"/>
          </reference>
          <reference field="44">
            <x v="4"/>
          </reference>
        </references>
      </pivotArea>
    </format>
    <format action="formatting" dxfId="116">
      <pivotArea type="normal" dataOnly="0" labelOnly="1" outline="0" fieldPosition="0">
        <references count="2">
          <reference field="0" selected="0">
            <x v="570"/>
          </reference>
          <reference field="44">
            <x v="4"/>
          </reference>
        </references>
      </pivotArea>
    </format>
    <format action="formatting" dxfId="115">
      <pivotArea type="normal" dataOnly="0" labelOnly="1" outline="0" fieldPosition="0">
        <references count="2">
          <reference field="0" selected="0">
            <x v="571"/>
          </reference>
          <reference field="44">
            <x v="4"/>
          </reference>
        </references>
      </pivotArea>
    </format>
    <format action="formatting" dxfId="114">
      <pivotArea type="normal" dataOnly="0" labelOnly="1" outline="0" fieldPosition="0">
        <references count="2">
          <reference field="0" selected="0">
            <x v="572"/>
          </reference>
          <reference field="44">
            <x v="4"/>
          </reference>
        </references>
      </pivotArea>
    </format>
    <format action="formatting" dxfId="113">
      <pivotArea type="normal" dataOnly="0" labelOnly="1" outline="0" fieldPosition="0">
        <references count="2">
          <reference field="0" selected="0">
            <x v="573"/>
          </reference>
          <reference field="44">
            <x v="4"/>
          </reference>
        </references>
      </pivotArea>
    </format>
    <format action="formatting" dxfId="112">
      <pivotArea type="normal" dataOnly="0" labelOnly="1" outline="0" fieldPosition="0">
        <references count="2">
          <reference field="0" selected="0">
            <x v="574"/>
          </reference>
          <reference field="44">
            <x v="4"/>
          </reference>
        </references>
      </pivotArea>
    </format>
    <format action="formatting" dxfId="111">
      <pivotArea type="normal" dataOnly="0" labelOnly="1" outline="0" fieldPosition="0">
        <references count="2">
          <reference field="0" selected="0">
            <x v="575"/>
          </reference>
          <reference field="44">
            <x v="4"/>
          </reference>
        </references>
      </pivotArea>
    </format>
    <format action="formatting" dxfId="110">
      <pivotArea type="normal" dataOnly="0" labelOnly="1" outline="0" fieldPosition="0">
        <references count="2">
          <reference field="0" selected="0">
            <x v="576"/>
          </reference>
          <reference field="44">
            <x v="4"/>
          </reference>
        </references>
      </pivotArea>
    </format>
    <format action="formatting" dxfId="109">
      <pivotArea type="normal" dataOnly="0" labelOnly="1" outline="0" fieldPosition="0">
        <references count="2">
          <reference field="0" selected="0">
            <x v="577"/>
          </reference>
          <reference field="44">
            <x v="4"/>
          </reference>
        </references>
      </pivotArea>
    </format>
    <format action="formatting" dxfId="108">
      <pivotArea type="normal" dataOnly="0" labelOnly="1" outline="0" fieldPosition="0">
        <references count="2">
          <reference field="0" selected="0">
            <x v="580"/>
          </reference>
          <reference field="44">
            <x v="4"/>
          </reference>
        </references>
      </pivotArea>
    </format>
    <format action="formatting" dxfId="107">
      <pivotArea type="normal" dataOnly="0" labelOnly="1" outline="0" fieldPosition="0">
        <references count="2">
          <reference field="0" selected="0">
            <x v="581"/>
          </reference>
          <reference field="44">
            <x v="4"/>
          </reference>
        </references>
      </pivotArea>
    </format>
    <format action="formatting" dxfId="106">
      <pivotArea type="normal" dataOnly="0" labelOnly="1" outline="0" fieldPosition="0">
        <references count="2">
          <reference field="0" selected="0">
            <x v="584"/>
          </reference>
          <reference field="44">
            <x v="4"/>
          </reference>
        </references>
      </pivotArea>
    </format>
    <format action="formatting" dxfId="105">
      <pivotArea type="normal" dataOnly="0" labelOnly="1" outline="0" fieldPosition="0">
        <references count="2">
          <reference field="0" selected="0">
            <x v="585"/>
          </reference>
          <reference field="44">
            <x v="4"/>
          </reference>
        </references>
      </pivotArea>
    </format>
    <format action="formatting" dxfId="104">
      <pivotArea type="normal" dataOnly="0" labelOnly="1" outline="0" fieldPosition="0">
        <references count="2">
          <reference field="0" selected="0">
            <x v="595"/>
          </reference>
          <reference field="44">
            <x v="10"/>
          </reference>
        </references>
      </pivotArea>
    </format>
    <format action="formatting" dxfId="103">
      <pivotArea type="normal" dataOnly="0" labelOnly="1" outline="0" fieldPosition="0">
        <references count="2">
          <reference field="0" selected="0">
            <x v="599"/>
          </reference>
          <reference field="44">
            <x v="10"/>
          </reference>
        </references>
      </pivotArea>
    </format>
    <format action="formatting" dxfId="102">
      <pivotArea type="normal" dataOnly="0" labelOnly="1" outline="0" fieldPosition="0">
        <references count="2">
          <reference field="0" selected="0">
            <x v="600"/>
          </reference>
          <reference field="44">
            <x v="10"/>
          </reference>
        </references>
      </pivotArea>
    </format>
    <format action="formatting" dxfId="101">
      <pivotArea type="normal" dataOnly="0" labelOnly="1" outline="0" fieldPosition="0">
        <references count="2">
          <reference field="0" selected="0">
            <x v="601"/>
          </reference>
          <reference field="44">
            <x v="10"/>
          </reference>
        </references>
      </pivotArea>
    </format>
    <format action="formatting" dxfId="100">
      <pivotArea type="normal" dataOnly="0" labelOnly="1" outline="0" fieldPosition="0">
        <references count="2">
          <reference field="0" selected="0">
            <x v="602"/>
          </reference>
          <reference field="44">
            <x v="3"/>
          </reference>
        </references>
      </pivotArea>
    </format>
    <format action="formatting" dxfId="99">
      <pivotArea type="normal" dataOnly="0" labelOnly="1" outline="0" fieldPosition="0">
        <references count="2">
          <reference field="0" selected="0">
            <x v="603"/>
          </reference>
          <reference field="44">
            <x v="10"/>
          </reference>
        </references>
      </pivotArea>
    </format>
    <format action="formatting" dxfId="98">
      <pivotArea type="normal" dataOnly="0" labelOnly="1" outline="0" fieldPosition="0">
        <references count="2">
          <reference field="0" selected="0">
            <x v="610"/>
          </reference>
          <reference field="44">
            <x v="10"/>
          </reference>
        </references>
      </pivotArea>
    </format>
    <format action="formatting" dxfId="97">
      <pivotArea type="normal" dataOnly="0" labelOnly="1" outline="0" fieldPosition="0">
        <references count="2">
          <reference field="0" selected="0">
            <x v="611"/>
          </reference>
          <reference field="44">
            <x v="10"/>
          </reference>
        </references>
      </pivotArea>
    </format>
    <format action="formatting" dxfId="96">
      <pivotArea type="normal" dataOnly="0" labelOnly="1" outline="0" fieldPosition="0">
        <references count="2">
          <reference field="0" selected="0">
            <x v="612"/>
          </reference>
          <reference field="44">
            <x v="10"/>
          </reference>
        </references>
      </pivotArea>
    </format>
    <format action="formatting" dxfId="95">
      <pivotArea type="normal" dataOnly="0" labelOnly="1" outline="0" fieldPosition="0">
        <references count="2">
          <reference field="0" selected="0">
            <x v="613"/>
          </reference>
          <reference field="44">
            <x v="10"/>
          </reference>
        </references>
      </pivotArea>
    </format>
    <format action="formatting" dxfId="94">
      <pivotArea type="normal" dataOnly="0" labelOnly="1" outline="0" fieldPosition="0">
        <references count="2">
          <reference field="0" selected="0">
            <x v="614"/>
          </reference>
          <reference field="44">
            <x v="10"/>
          </reference>
        </references>
      </pivotArea>
    </format>
    <format action="formatting" dxfId="93">
      <pivotArea type="normal" dataOnly="0" labelOnly="1" outline="0" fieldPosition="0">
        <references count="2">
          <reference field="0" selected="0">
            <x v="615"/>
          </reference>
          <reference field="44">
            <x v="10"/>
          </reference>
        </references>
      </pivotArea>
    </format>
    <format action="formatting" dxfId="92">
      <pivotArea type="normal" dataOnly="0" labelOnly="1" outline="0" fieldPosition="0">
        <references count="2">
          <reference field="0" selected="0">
            <x v="616"/>
          </reference>
          <reference field="44">
            <x v="10"/>
          </reference>
        </references>
      </pivotArea>
    </format>
    <format action="formatting" dxfId="91">
      <pivotArea type="normal" dataOnly="0" labelOnly="1" outline="0" fieldPosition="0">
        <references count="2">
          <reference field="0" selected="0">
            <x v="617"/>
          </reference>
          <reference field="44">
            <x v="10"/>
          </reference>
        </references>
      </pivotArea>
    </format>
    <format action="formatting" dxfId="90">
      <pivotArea type="normal" dataOnly="0" labelOnly="1" outline="0" fieldPosition="0">
        <references count="2">
          <reference field="0" selected="0">
            <x v="618"/>
          </reference>
          <reference field="44">
            <x v="10"/>
          </reference>
        </references>
      </pivotArea>
    </format>
    <format action="formatting" dxfId="89">
      <pivotArea type="normal" dataOnly="0" labelOnly="1" outline="0" fieldPosition="0">
        <references count="2">
          <reference field="0" selected="0">
            <x v="619"/>
          </reference>
          <reference field="44">
            <x v="10"/>
          </reference>
        </references>
      </pivotArea>
    </format>
    <format action="formatting" dxfId="88">
      <pivotArea type="normal" dataOnly="0" labelOnly="1" outline="0" fieldPosition="0">
        <references count="2">
          <reference field="0" selected="0">
            <x v="620"/>
          </reference>
          <reference field="44">
            <x v="10"/>
          </reference>
        </references>
      </pivotArea>
    </format>
    <format action="formatting" dxfId="87">
      <pivotArea type="normal" dataOnly="0" labelOnly="1" outline="0" fieldPosition="0">
        <references count="2">
          <reference field="0" selected="0">
            <x v="621"/>
          </reference>
          <reference field="44">
            <x v="4"/>
          </reference>
        </references>
      </pivotArea>
    </format>
    <format action="formatting" dxfId="86">
      <pivotArea type="normal" dataOnly="0" labelOnly="1" outline="0" fieldPosition="0">
        <references count="2">
          <reference field="0" selected="0">
            <x v="622"/>
          </reference>
          <reference field="44">
            <x v="10"/>
          </reference>
        </references>
      </pivotArea>
    </format>
    <format action="formatting" dxfId="85">
      <pivotArea type="normal" dataOnly="0" labelOnly="1" outline="0" fieldPosition="0">
        <references count="2">
          <reference field="0" selected="0">
            <x v="623"/>
          </reference>
          <reference field="44">
            <x v="4"/>
          </reference>
        </references>
      </pivotArea>
    </format>
    <format action="formatting" dxfId="84">
      <pivotArea type="normal" dataOnly="0" labelOnly="1" outline="0" fieldPosition="0">
        <references count="2">
          <reference field="0" selected="0">
            <x v="624"/>
          </reference>
          <reference field="44">
            <x v="4"/>
          </reference>
        </references>
      </pivotArea>
    </format>
    <format action="formatting" dxfId="83">
      <pivotArea type="normal" dataOnly="0" labelOnly="1" outline="0" fieldPosition="0">
        <references count="2">
          <reference field="0" selected="0">
            <x v="625"/>
          </reference>
          <reference field="44">
            <x v="10"/>
          </reference>
        </references>
      </pivotArea>
    </format>
    <format action="formatting" dxfId="82">
      <pivotArea type="normal" dataOnly="0" labelOnly="1" outline="0" fieldPosition="0">
        <references count="2">
          <reference field="0" selected="0">
            <x v="628"/>
          </reference>
          <reference field="44">
            <x v="10"/>
          </reference>
        </references>
      </pivotArea>
    </format>
    <format action="formatting" dxfId="81">
      <pivotArea type="normal" dataOnly="0" labelOnly="1" outline="0" fieldPosition="0">
        <references count="2">
          <reference field="0" selected="0">
            <x v="629"/>
          </reference>
          <reference field="44">
            <x v="4"/>
          </reference>
        </references>
      </pivotArea>
    </format>
    <format action="formatting" dxfId="80">
      <pivotArea type="normal" dataOnly="0" labelOnly="1" outline="0" fieldPosition="0">
        <references count="2">
          <reference field="0" selected="0">
            <x v="631"/>
          </reference>
          <reference field="44">
            <x v="10"/>
          </reference>
        </references>
      </pivotArea>
    </format>
    <format action="formatting" dxfId="79">
      <pivotArea type="normal" dataOnly="0" labelOnly="1" outline="0" fieldPosition="0">
        <references count="2">
          <reference field="0" selected="0">
            <x v="633"/>
          </reference>
          <reference field="44">
            <x v="10"/>
          </reference>
        </references>
      </pivotArea>
    </format>
    <format action="formatting" dxfId="78">
      <pivotArea type="normal" dataOnly="0" labelOnly="1" outline="0" fieldPosition="0">
        <references count="2">
          <reference field="0" selected="0">
            <x v="634"/>
          </reference>
          <reference field="44">
            <x v="10"/>
          </reference>
        </references>
      </pivotArea>
    </format>
    <format action="formatting" dxfId="77">
      <pivotArea type="normal" dataOnly="0" labelOnly="1" outline="0" fieldPosition="0">
        <references count="2">
          <reference field="0" selected="0">
            <x v="635"/>
          </reference>
          <reference field="44">
            <x v="10"/>
          </reference>
        </references>
      </pivotArea>
    </format>
    <format action="formatting" dxfId="76">
      <pivotArea type="normal" dataOnly="0" labelOnly="1" outline="0" fieldPosition="0">
        <references count="2">
          <reference field="0" selected="0">
            <x v="636"/>
          </reference>
          <reference field="44">
            <x v="10"/>
          </reference>
        </references>
      </pivotArea>
    </format>
    <format action="formatting" dxfId="75">
      <pivotArea type="normal" dataOnly="0" labelOnly="1" outline="0" fieldPosition="0">
        <references count="2">
          <reference field="0" selected="0">
            <x v="638"/>
          </reference>
          <reference field="44">
            <x v="4"/>
          </reference>
        </references>
      </pivotArea>
    </format>
    <format action="formatting" dxfId="74">
      <pivotArea type="normal" dataOnly="0" labelOnly="1" outline="0" fieldPosition="0">
        <references count="2">
          <reference field="0" selected="0">
            <x v="640"/>
          </reference>
          <reference field="44">
            <x v="10"/>
          </reference>
        </references>
      </pivotArea>
    </format>
    <format action="formatting" dxfId="73">
      <pivotArea type="normal" dataOnly="0" labelOnly="1" outline="0" fieldPosition="0">
        <references count="2">
          <reference field="0" selected="0">
            <x v="641"/>
          </reference>
          <reference field="44">
            <x v="10"/>
          </reference>
        </references>
      </pivotArea>
    </format>
    <format action="formatting" dxfId="72">
      <pivotArea type="normal" dataOnly="0" labelOnly="1" outline="0" fieldPosition="0">
        <references count="2">
          <reference field="0" selected="0">
            <x v="642"/>
          </reference>
          <reference field="44">
            <x v="4"/>
          </reference>
        </references>
      </pivotArea>
    </format>
    <format action="formatting" dxfId="71">
      <pivotArea type="normal" dataOnly="0" labelOnly="1" outline="0" fieldPosition="0">
        <references count="2">
          <reference field="0" selected="0">
            <x v="643"/>
          </reference>
          <reference field="44">
            <x v="4"/>
          </reference>
        </references>
      </pivotArea>
    </format>
    <format action="formatting" dxfId="70">
      <pivotArea type="normal" dataOnly="0" labelOnly="1" outline="0" fieldPosition="0">
        <references count="2">
          <reference field="0" selected="0">
            <x v="644"/>
          </reference>
          <reference field="44">
            <x v="4"/>
          </reference>
        </references>
      </pivotArea>
    </format>
    <format action="formatting" dxfId="69">
      <pivotArea type="normal" dataOnly="0" labelOnly="1" outline="0" fieldPosition="0">
        <references count="2">
          <reference field="0" selected="0">
            <x v="657"/>
          </reference>
          <reference field="44">
            <x v="4"/>
          </reference>
        </references>
      </pivotArea>
    </format>
    <format action="formatting" dxfId="68">
      <pivotArea type="normal" dataOnly="0" labelOnly="1" outline="0" fieldPosition="0">
        <references count="2">
          <reference field="0" selected="0">
            <x v="658"/>
          </reference>
          <reference field="44">
            <x v="8"/>
          </reference>
        </references>
      </pivotArea>
    </format>
    <format action="formatting" dxfId="67">
      <pivotArea type="normal" dataOnly="0" labelOnly="1" outline="0" fieldPosition="0">
        <references count="2">
          <reference field="0" selected="0">
            <x v="659"/>
          </reference>
          <reference field="44">
            <x v="4"/>
          </reference>
        </references>
      </pivotArea>
    </format>
    <format action="formatting" dxfId="66">
      <pivotArea type="normal" dataOnly="0" labelOnly="1" outline="0" fieldPosition="0">
        <references count="2">
          <reference field="0" selected="0">
            <x v="660"/>
          </reference>
          <reference field="44">
            <x v="8"/>
          </reference>
        </references>
      </pivotArea>
    </format>
    <format action="formatting" dxfId="65">
      <pivotArea type="normal" dataOnly="0" labelOnly="1" outline="0" fieldPosition="0">
        <references count="2">
          <reference field="0" selected="0">
            <x v="661"/>
          </reference>
          <reference field="44">
            <x v="4"/>
          </reference>
        </references>
      </pivotArea>
    </format>
    <format action="formatting" dxfId="64">
      <pivotArea type="normal" dataOnly="0" labelOnly="1" outline="0" fieldPosition="0">
        <references count="2">
          <reference field="0" selected="0">
            <x v="662"/>
          </reference>
          <reference field="44">
            <x v="4"/>
          </reference>
        </references>
      </pivotArea>
    </format>
    <format action="formatting" dxfId="63">
      <pivotArea type="normal" dataOnly="0" labelOnly="1" outline="0" fieldPosition="0">
        <references count="2">
          <reference field="0" selected="0">
            <x v="663"/>
          </reference>
          <reference field="44">
            <x v="4"/>
          </reference>
        </references>
      </pivotArea>
    </format>
    <format action="formatting" dxfId="62">
      <pivotArea type="normal" dataOnly="0" labelOnly="1" outline="0" fieldPosition="0">
        <references count="2">
          <reference field="0" selected="0">
            <x v="664"/>
          </reference>
          <reference field="44">
            <x v="4"/>
          </reference>
        </references>
      </pivotArea>
    </format>
    <format action="formatting" dxfId="61">
      <pivotArea type="normal" dataOnly="0" labelOnly="1" outline="0" fieldPosition="0">
        <references count="2">
          <reference field="0" selected="0">
            <x v="665"/>
          </reference>
          <reference field="44">
            <x v="4"/>
          </reference>
        </references>
      </pivotArea>
    </format>
    <format action="formatting" dxfId="60">
      <pivotArea type="normal" dataOnly="0" labelOnly="1" outline="0" fieldPosition="0">
        <references count="2">
          <reference field="0" selected="0">
            <x v="666"/>
          </reference>
          <reference field="44">
            <x v="4"/>
          </reference>
        </references>
      </pivotArea>
    </format>
    <format action="formatting" dxfId="59">
      <pivotArea type="normal" dataOnly="0" labelOnly="1" outline="0" fieldPosition="0">
        <references count="2">
          <reference field="0" selected="0">
            <x v="667"/>
          </reference>
          <reference field="44">
            <x v="4"/>
          </reference>
        </references>
      </pivotArea>
    </format>
    <format action="formatting" dxfId="58">
      <pivotArea type="normal" dataOnly="0" labelOnly="1" outline="0" fieldPosition="0">
        <references count="2">
          <reference field="0" selected="0">
            <x v="670"/>
          </reference>
          <reference field="44">
            <x v="4"/>
            <x v="10"/>
          </reference>
        </references>
      </pivotArea>
    </format>
    <format action="formatting" dxfId="57">
      <pivotArea type="normal" dataOnly="0" labelOnly="1" outline="0" fieldPosition="0">
        <references count="2">
          <reference field="0" selected="0">
            <x v="671"/>
          </reference>
          <reference field="44">
            <x v="4"/>
            <x v="10"/>
          </reference>
        </references>
      </pivotArea>
    </format>
    <format action="formatting" dxfId="56">
      <pivotArea type="normal" dataOnly="0" labelOnly="1" outline="0" fieldPosition="0">
        <references count="2">
          <reference field="0" selected="0">
            <x v="672"/>
          </reference>
          <reference field="44">
            <x v="10"/>
          </reference>
        </references>
      </pivotArea>
    </format>
    <format action="formatting" dxfId="55">
      <pivotArea type="normal" dataOnly="0" labelOnly="1" outline="0" fieldPosition="0">
        <references count="2">
          <reference field="0" selected="0">
            <x v="673"/>
          </reference>
          <reference field="44">
            <x v="10"/>
          </reference>
        </references>
      </pivotArea>
    </format>
    <format action="formatting" dxfId="54">
      <pivotArea type="normal" dataOnly="0" labelOnly="1" outline="0" fieldPosition="0">
        <references count="2">
          <reference field="0" selected="0">
            <x v="680"/>
          </reference>
          <reference field="44">
            <x v="4"/>
          </reference>
        </references>
      </pivotArea>
    </format>
    <format action="formatting" dxfId="53">
      <pivotArea type="normal" dataOnly="0" labelOnly="1" outline="0" fieldPosition="0">
        <references count="2">
          <reference field="0" selected="0">
            <x v="681"/>
          </reference>
          <reference field="44">
            <x v="10"/>
          </reference>
        </references>
      </pivotArea>
    </format>
    <format action="formatting" dxfId="52">
      <pivotArea type="normal" dataOnly="0" labelOnly="1" outline="0" fieldPosition="0">
        <references count="2">
          <reference field="0" selected="0">
            <x v="682"/>
          </reference>
          <reference field="44">
            <x v="10"/>
          </reference>
        </references>
      </pivotArea>
    </format>
    <format action="formatting" dxfId="51">
      <pivotArea type="normal" dataOnly="0" labelOnly="1" outline="0" fieldPosition="0">
        <references count="2">
          <reference field="0" selected="0">
            <x v="683"/>
          </reference>
          <reference field="44">
            <x v="10"/>
          </reference>
        </references>
      </pivotArea>
    </format>
    <format action="formatting" dxfId="50">
      <pivotArea type="normal" dataOnly="0" labelOnly="1" outline="0" fieldPosition="0">
        <references count="2">
          <reference field="0" selected="0">
            <x v="684"/>
          </reference>
          <reference field="44">
            <x v="4"/>
          </reference>
        </references>
      </pivotArea>
    </format>
    <format action="formatting" dxfId="49">
      <pivotArea type="normal" dataOnly="0" labelOnly="1" outline="0" fieldPosition="0">
        <references count="2">
          <reference field="0" selected="0">
            <x v="685"/>
          </reference>
          <reference field="44">
            <x v="4"/>
          </reference>
        </references>
      </pivotArea>
    </format>
    <format action="formatting" dxfId="48">
      <pivotArea type="normal" dataOnly="0" labelOnly="1" outline="0" fieldPosition="0">
        <references count="2">
          <reference field="0" selected="0">
            <x v="686"/>
          </reference>
          <reference field="44">
            <x v="4"/>
          </reference>
        </references>
      </pivotArea>
    </format>
    <format action="formatting" dxfId="47">
      <pivotArea type="normal" dataOnly="0" labelOnly="1" outline="0" fieldPosition="0">
        <references count="2">
          <reference field="0" selected="0">
            <x v="687"/>
          </reference>
          <reference field="44">
            <x v="8"/>
          </reference>
        </references>
      </pivotArea>
    </format>
    <format action="formatting" dxfId="46">
      <pivotArea type="normal" dataOnly="0" labelOnly="1" outline="0" fieldPosition="0">
        <references count="2">
          <reference field="0" selected="0">
            <x v="688"/>
          </reference>
          <reference field="44">
            <x v="4"/>
          </reference>
        </references>
      </pivotArea>
    </format>
    <format action="formatting" dxfId="45">
      <pivotArea type="normal" dataOnly="0" labelOnly="1" outline="0" fieldPosition="0">
        <references count="2">
          <reference field="0" selected="0">
            <x v="689"/>
          </reference>
          <reference field="44">
            <x v="8"/>
          </reference>
        </references>
      </pivotArea>
    </format>
    <format action="formatting" dxfId="44">
      <pivotArea type="normal" dataOnly="0" labelOnly="1" outline="0" fieldPosition="0">
        <references count="2">
          <reference field="0" selected="0">
            <x v="690"/>
          </reference>
          <reference field="44">
            <x v="7"/>
          </reference>
        </references>
      </pivotArea>
    </format>
    <format action="formatting" dxfId="43">
      <pivotArea type="normal" dataOnly="0" labelOnly="1" outline="0" fieldPosition="0">
        <references count="2">
          <reference field="0" selected="0">
            <x v="691"/>
          </reference>
          <reference field="44">
            <x v="10"/>
          </reference>
        </references>
      </pivotArea>
    </format>
    <format action="formatting" dxfId="42">
      <pivotArea type="normal" dataOnly="0" labelOnly="1" outline="0" fieldPosition="0">
        <references count="2">
          <reference field="0" selected="0">
            <x v="703"/>
          </reference>
          <reference field="44">
            <x v="4"/>
          </reference>
        </references>
      </pivotArea>
    </format>
    <format action="formatting" dxfId="41">
      <pivotArea type="normal" dataOnly="0" labelOnly="1" outline="0" fieldPosition="0">
        <references count="2">
          <reference field="0" selected="0">
            <x v="704"/>
          </reference>
          <reference field="44">
            <x v="4"/>
          </reference>
        </references>
      </pivotArea>
    </format>
    <format action="formatting" dxfId="40">
      <pivotArea type="normal" dataOnly="0" labelOnly="1" outline="0" fieldPosition="0">
        <references count="2">
          <reference field="0" selected="0">
            <x v="705"/>
          </reference>
          <reference field="44">
            <x v="4"/>
          </reference>
        </references>
      </pivotArea>
    </format>
    <format action="formatting" dxfId="39">
      <pivotArea type="normal" dataOnly="0" labelOnly="1" outline="0" fieldPosition="0">
        <references count="2">
          <reference field="0" selected="0">
            <x v="706"/>
          </reference>
          <reference field="44">
            <x v="4"/>
          </reference>
        </references>
      </pivotArea>
    </format>
    <format action="formatting" dxfId="38">
      <pivotArea type="normal" dataOnly="0" labelOnly="1" outline="0" fieldPosition="0">
        <references count="2">
          <reference field="0" selected="0">
            <x v="707"/>
          </reference>
          <reference field="44">
            <x v="4"/>
          </reference>
        </references>
      </pivotArea>
    </format>
    <format action="formatting" dxfId="37">
      <pivotArea type="normal" dataOnly="0" labelOnly="1" outline="0" fieldPosition="0">
        <references count="2">
          <reference field="0" selected="0">
            <x v="709"/>
          </reference>
          <reference field="44">
            <x v="4"/>
          </reference>
        </references>
      </pivotArea>
    </format>
    <format action="formatting" dxfId="36">
      <pivotArea type="normal" dataOnly="0" labelOnly="1" outline="0" fieldPosition="0">
        <references count="2">
          <reference field="0" selected="0">
            <x v="711"/>
          </reference>
          <reference field="44">
            <x v="10"/>
          </reference>
        </references>
      </pivotArea>
    </format>
    <format action="formatting" dxfId="35">
      <pivotArea type="normal" dataOnly="0" labelOnly="1" outline="0" fieldPosition="0">
        <references count="2">
          <reference field="0" selected="0">
            <x v="712"/>
          </reference>
          <reference field="44">
            <x v="10"/>
          </reference>
        </references>
      </pivotArea>
    </format>
    <format action="formatting" dxfId="34">
      <pivotArea type="normal" dataOnly="0" labelOnly="1" outline="0" fieldPosition="0">
        <references count="2">
          <reference field="0" selected="0">
            <x v="713"/>
          </reference>
          <reference field="44">
            <x v="10"/>
          </reference>
        </references>
      </pivotArea>
    </format>
    <format action="formatting" dxfId="33">
      <pivotArea type="normal" dataOnly="0" labelOnly="1" outline="0" fieldPosition="0">
        <references count="2">
          <reference field="0" selected="0">
            <x v="719"/>
          </reference>
          <reference field="44">
            <x v="5"/>
          </reference>
        </references>
      </pivotArea>
    </format>
    <format action="formatting" dxfId="32">
      <pivotArea type="normal" dataOnly="0" labelOnly="1" outline="0" fieldPosition="0">
        <references count="2">
          <reference field="0" selected="0">
            <x v="728"/>
          </reference>
          <reference field="44">
            <x v="10"/>
          </reference>
        </references>
      </pivotArea>
    </format>
    <format action="formatting" dxfId="31">
      <pivotArea type="normal" dataOnly="0" labelOnly="1" outline="0" fieldPosition="0">
        <references count="2">
          <reference field="0" selected="0">
            <x v="729"/>
          </reference>
          <reference field="44">
            <x v="10"/>
          </reference>
        </references>
      </pivotArea>
    </format>
    <format action="formatting" dxfId="30">
      <pivotArea type="normal" dataOnly="0" labelOnly="1" outline="0" fieldPosition="0">
        <references count="2">
          <reference field="0" selected="0">
            <x v="730"/>
          </reference>
          <reference field="44">
            <x v="10"/>
          </reference>
        </references>
      </pivotArea>
    </format>
    <format action="formatting" dxfId="29">
      <pivotArea type="normal" dataOnly="0" labelOnly="1" outline="0" fieldPosition="0">
        <references count="2">
          <reference field="0" selected="0">
            <x v="731"/>
          </reference>
          <reference field="44">
            <x v="10"/>
          </reference>
        </references>
      </pivotArea>
    </format>
    <format action="formatting" dxfId="28">
      <pivotArea type="normal" dataOnly="0" labelOnly="1" outline="0" fieldPosition="0">
        <references count="2">
          <reference field="0" selected="0">
            <x v="732"/>
          </reference>
          <reference field="44">
            <x v="10"/>
          </reference>
        </references>
      </pivotArea>
    </format>
    <format action="formatting" dxfId="27">
      <pivotArea type="normal" dataOnly="0" labelOnly="1" outline="0" fieldPosition="0">
        <references count="2">
          <reference field="0" selected="0">
            <x v="733"/>
          </reference>
          <reference field="44">
            <x v="10"/>
          </reference>
        </references>
      </pivotArea>
    </format>
    <format action="formatting" dxfId="26">
      <pivotArea type="normal" dataOnly="0" labelOnly="1" outline="0" fieldPosition="0">
        <references count="2">
          <reference field="0" selected="0">
            <x v="734"/>
          </reference>
          <reference field="44">
            <x v="10"/>
          </reference>
        </references>
      </pivotArea>
    </format>
    <format action="formatting" dxfId="25">
      <pivotArea type="normal" dataOnly="0" labelOnly="1" outline="0" fieldPosition="0">
        <references count="2">
          <reference field="0" selected="0">
            <x v="735"/>
          </reference>
          <reference field="44">
            <x v="10"/>
          </reference>
        </references>
      </pivotArea>
    </format>
    <format action="formatting" dxfId="24">
      <pivotArea type="normal" dataOnly="0" labelOnly="1" outline="0" fieldPosition="0">
        <references count="2">
          <reference field="0" selected="0">
            <x v="736"/>
          </reference>
          <reference field="44">
            <x v="10"/>
          </reference>
        </references>
      </pivotArea>
    </format>
    <format action="formatting" dxfId="23">
      <pivotArea type="normal" dataOnly="0" labelOnly="1" outline="0" fieldPosition="0">
        <references count="2">
          <reference field="0" selected="0">
            <x v="737"/>
          </reference>
          <reference field="44">
            <x v="10"/>
          </reference>
        </references>
      </pivotArea>
    </format>
    <format action="formatting" dxfId="22">
      <pivotArea type="normal" dataOnly="0" labelOnly="1" outline="0" fieldPosition="0">
        <references count="2">
          <reference field="0" selected="0">
            <x v="738"/>
          </reference>
          <reference field="44">
            <x v="10"/>
          </reference>
        </references>
      </pivotArea>
    </format>
    <format action="formatting" dxfId="21">
      <pivotArea type="normal" dataOnly="0" labelOnly="1" outline="0" fieldPosition="0">
        <references count="2">
          <reference field="0" selected="0">
            <x v="739"/>
          </reference>
          <reference field="44">
            <x v="10"/>
          </reference>
        </references>
      </pivotArea>
    </format>
    <format action="formatting" dxfId="20">
      <pivotArea type="normal" dataOnly="0" labelOnly="1" outline="0" fieldPosition="0">
        <references count="2">
          <reference field="0" selected="0">
            <x v="740"/>
          </reference>
          <reference field="44">
            <x v="4"/>
          </reference>
        </references>
      </pivotArea>
    </format>
    <format action="formatting" dxfId="19">
      <pivotArea type="normal" dataOnly="0" labelOnly="1" outline="0" fieldPosition="0">
        <references count="2">
          <reference field="0" selected="0">
            <x v="741"/>
          </reference>
          <reference field="44">
            <x v="4"/>
          </reference>
        </references>
      </pivotArea>
    </format>
    <format action="formatting" dxfId="18">
      <pivotArea type="normal" dataOnly="0" labelOnly="1" outline="0" fieldPosition="0">
        <references count="2">
          <reference field="0" selected="0">
            <x v="742"/>
          </reference>
          <reference field="44">
            <x v="4"/>
          </reference>
        </references>
      </pivotArea>
    </format>
    <format action="formatting" dxfId="17">
      <pivotArea type="normal" dataOnly="0" labelOnly="1" outline="0" fieldPosition="0">
        <references count="2">
          <reference field="0" selected="0">
            <x v="743"/>
          </reference>
          <reference field="44">
            <x v="4"/>
          </reference>
        </references>
      </pivotArea>
    </format>
    <format action="formatting" dxfId="16">
      <pivotArea type="normal" dataOnly="0" labelOnly="1" outline="0" fieldPosition="0">
        <references count="2">
          <reference field="0" selected="0">
            <x v="744"/>
          </reference>
          <reference field="44">
            <x v="4"/>
          </reference>
        </references>
      </pivotArea>
    </format>
    <format action="formatting" dxfId="15">
      <pivotArea type="normal" dataOnly="0" labelOnly="1" outline="0" fieldPosition="0">
        <references count="2">
          <reference field="0" selected="0">
            <x v="788"/>
          </reference>
          <reference field="44">
            <x v="4"/>
          </reference>
        </references>
      </pivotArea>
    </format>
    <format action="formatting" dxfId="14">
      <pivotArea type="normal" dataOnly="0" labelOnly="1" outline="0" fieldPosition="0">
        <references count="2">
          <reference field="0" selected="0">
            <x v="789"/>
          </reference>
          <reference field="44">
            <x v="5"/>
          </reference>
        </references>
      </pivotArea>
    </format>
    <format action="formatting" dxfId="13">
      <pivotArea type="normal" dataOnly="0" labelOnly="1" outline="0" fieldPosition="0">
        <references count="2">
          <reference field="0" selected="0">
            <x v="790"/>
          </reference>
          <reference field="44">
            <x v="6"/>
          </reference>
        </references>
      </pivotArea>
    </format>
    <format action="formatting" dxfId="12">
      <pivotArea type="normal" dataOnly="0" labelOnly="1" outline="0" fieldPosition="0">
        <references count="2">
          <reference field="0" selected="0">
            <x v="791"/>
          </reference>
          <reference field="44">
            <x v="6"/>
          </reference>
        </references>
      </pivotArea>
    </format>
    <format action="formatting" dxfId="11">
      <pivotArea type="normal" dataOnly="0" labelOnly="1" outline="0" fieldPosition="0">
        <references count="2">
          <reference field="0" selected="0">
            <x v="792"/>
          </reference>
          <reference field="44">
            <x v="6"/>
          </reference>
        </references>
      </pivotArea>
    </format>
    <format action="formatting" dxfId="10">
      <pivotArea type="normal" dataOnly="0" labelOnly="1" outline="0" fieldPosition="0">
        <references count="2">
          <reference field="0" selected="0">
            <x v="793"/>
          </reference>
          <reference field="44">
            <x v="4"/>
          </reference>
        </references>
      </pivotArea>
    </format>
    <format action="formatting" dxfId="9">
      <pivotArea type="normal" dataOnly="0" labelOnly="1" outline="0" fieldPosition="0">
        <references count="2">
          <reference field="0" selected="0">
            <x v="794"/>
          </reference>
          <reference field="44">
            <x v="4"/>
          </reference>
        </references>
      </pivotArea>
    </format>
    <format action="formatting" dxfId="8">
      <pivotArea type="normal" dataOnly="0" labelOnly="1" outline="0" fieldPosition="0">
        <references count="2">
          <reference field="0" selected="0">
            <x v="804"/>
          </reference>
          <reference field="44">
            <x v="4"/>
          </reference>
        </references>
      </pivotArea>
    </format>
    <format action="formatting" dxfId="7">
      <pivotArea type="normal" dataOnly="0" labelOnly="1" outline="0" fieldPosition="0">
        <references count="2">
          <reference field="0" selected="0">
            <x v="805"/>
          </reference>
          <reference field="44">
            <x v="4"/>
          </reference>
        </references>
      </pivotArea>
    </format>
    <format action="formatting" dxfId="6">
      <pivotArea type="normal" dataOnly="0" labelOnly="1" outline="0" fieldPosition="0">
        <references count="2">
          <reference field="0" selected="0">
            <x v="806"/>
          </reference>
          <reference field="44">
            <x v="10"/>
          </reference>
        </references>
      </pivotArea>
    </format>
    <format action="formatting" dxfId="5">
      <pivotArea type="normal" dataOnly="0" labelOnly="1" outline="0" fieldPosition="0">
        <references count="2">
          <reference field="0" selected="0">
            <x v="807"/>
          </reference>
          <reference field="44">
            <x v="8"/>
          </reference>
        </references>
      </pivotArea>
    </format>
    <format action="formatting" dxfId="4">
      <pivotArea type="normal" dataOnly="0" labelOnly="1" outline="0" fieldPosition="0">
        <references count="1">
          <reference field="0">
            <x v="30"/>
          </reference>
        </references>
      </pivotArea>
    </format>
    <format action="formatting" dxfId="3">
      <pivotArea type="normal" dataOnly="0" labelOnly="1" outline="0" fieldPosition="0">
        <references count="2">
          <reference field="0" selected="0">
            <x v="30"/>
          </reference>
          <reference field="44">
            <x v="4"/>
          </reference>
        </references>
      </pivotArea>
    </format>
    <format action="formatting" dxfId="2">
      <pivotArea type="normal" dataOnly="0" labelOnly="1" outline="0" fieldPosition="0">
        <references count="1">
          <reference field="0">
            <x v="30"/>
          </reference>
        </references>
      </pivotArea>
    </format>
    <format action="formatting" dxfId="1">
      <pivotArea type="normal" dataOnly="0" labelOnly="1" outline="0" fieldPosition="0">
        <references count="2">
          <reference field="0" selected="0">
            <x v="30"/>
          </reference>
          <reference field="44">
            <x v="4"/>
          </reference>
        </references>
      </pivotArea>
    </format>
    <format action="formatting" dxfId="0">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4"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1129">
      <pivotArea type="all" dataOnly="0" outline="0" fieldPosition="0"/>
    </format>
    <format action="formatting" dxfId="1128">
      <pivotArea field="0" type="button" dataOnly="0" labelOnly="1" outline="0" axis="axisRow" fieldPosition="0"/>
    </format>
    <format action="formatting" dxfId="112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1126">
      <pivotArea type="normal" dataOnly="0" labelOnly="1" outline="0" fieldPosition="0">
        <references count="1">
          <reference field="0"/>
        </references>
      </pivotArea>
    </format>
    <format action="formatting" dxfId="1125">
      <pivotArea type="normal" dataOnly="0" labelOnly="1" outline="0" fieldPosition="0">
        <references count="2">
          <reference field="0" selected="0">
            <x v="32"/>
          </reference>
          <reference field="33">
            <x v="7"/>
          </reference>
        </references>
      </pivotArea>
    </format>
    <format action="formatting" dxfId="1124">
      <pivotArea type="normal" dataOnly="0" labelOnly="1" outline="0" fieldPosition="0">
        <references count="2">
          <reference field="0" selected="0">
            <x v="33"/>
          </reference>
          <reference field="33">
            <x v="7"/>
          </reference>
        </references>
      </pivotArea>
    </format>
    <format action="formatting" dxfId="1123">
      <pivotArea type="normal" dataOnly="0" labelOnly="1" outline="0" fieldPosition="0">
        <references count="2">
          <reference field="0" selected="0">
            <x v="34"/>
          </reference>
          <reference field="33">
            <x v="7"/>
          </reference>
        </references>
      </pivotArea>
    </format>
    <format action="formatting" dxfId="1122">
      <pivotArea type="normal" dataOnly="0" labelOnly="1" outline="0" fieldPosition="0">
        <references count="2">
          <reference field="0" selected="0">
            <x v="35"/>
          </reference>
          <reference field="33">
            <x v="7"/>
          </reference>
        </references>
      </pivotArea>
    </format>
    <format action="formatting" dxfId="1121">
      <pivotArea type="normal" dataOnly="0" labelOnly="1" outline="0" fieldPosition="0">
        <references count="2">
          <reference field="0" selected="0">
            <x v="36"/>
          </reference>
          <reference field="33">
            <x v="7"/>
          </reference>
        </references>
      </pivotArea>
    </format>
    <format action="formatting" dxfId="1120">
      <pivotArea type="normal" dataOnly="0" labelOnly="1" outline="0" fieldPosition="0">
        <references count="2">
          <reference field="0" selected="0">
            <x v="37"/>
          </reference>
          <reference field="33">
            <x v="7"/>
          </reference>
        </references>
      </pivotArea>
    </format>
    <format action="formatting" dxfId="1119">
      <pivotArea type="normal" dataOnly="0" labelOnly="1" outline="0" fieldPosition="0">
        <references count="2">
          <reference field="0" selected="0">
            <x v="38"/>
          </reference>
          <reference field="33">
            <x v="7"/>
          </reference>
        </references>
      </pivotArea>
    </format>
    <format action="formatting" dxfId="1118">
      <pivotArea type="normal" dataOnly="0" labelOnly="1" outline="0" fieldPosition="0">
        <references count="2">
          <reference field="0" selected="0">
            <x v="39"/>
          </reference>
          <reference field="33">
            <x v="7"/>
          </reference>
        </references>
      </pivotArea>
    </format>
    <format action="formatting" dxfId="1117">
      <pivotArea type="normal" dataOnly="0" labelOnly="1" outline="0" fieldPosition="0">
        <references count="2">
          <reference field="0" selected="0">
            <x v="207"/>
          </reference>
          <reference field="33">
            <x v="3"/>
          </reference>
        </references>
      </pivotArea>
    </format>
    <format action="formatting" dxfId="1116">
      <pivotArea type="normal" dataOnly="0" labelOnly="1" outline="0" fieldPosition="0">
        <references count="2">
          <reference field="0" selected="0">
            <x v="208"/>
          </reference>
          <reference field="33">
            <x v="7"/>
          </reference>
        </references>
      </pivotArea>
    </format>
    <format action="formatting" dxfId="1115">
      <pivotArea type="normal" dataOnly="0" labelOnly="1" outline="0" fieldPosition="0">
        <references count="2">
          <reference field="0" selected="0">
            <x v="314"/>
          </reference>
          <reference field="33">
            <x v="7"/>
          </reference>
        </references>
      </pivotArea>
    </format>
    <format action="formatting" dxfId="1114">
      <pivotArea type="normal" dataOnly="0" labelOnly="1" outline="0" fieldPosition="0">
        <references count="2">
          <reference field="0" selected="0">
            <x v="315"/>
          </reference>
          <reference field="33">
            <x v="7"/>
          </reference>
        </references>
      </pivotArea>
    </format>
    <format action="formatting" dxfId="1113">
      <pivotArea type="normal" dataOnly="0" labelOnly="1" outline="0" fieldPosition="0">
        <references count="2">
          <reference field="0" selected="0">
            <x v="316"/>
          </reference>
          <reference field="33">
            <x v="7"/>
          </reference>
        </references>
      </pivotArea>
    </format>
    <format action="formatting" dxfId="1112">
      <pivotArea type="normal" dataOnly="0" labelOnly="1" outline="0" fieldPosition="0">
        <references count="2">
          <reference field="0" selected="0">
            <x v="439"/>
          </reference>
          <reference field="33">
            <x v="5"/>
          </reference>
        </references>
      </pivotArea>
    </format>
    <format action="formatting" dxfId="1111">
      <pivotArea type="normal" dataOnly="0" labelOnly="1" outline="0" fieldPosition="0">
        <references count="2">
          <reference field="0" selected="0">
            <x v="456"/>
          </reference>
          <reference field="33">
            <x v="7"/>
          </reference>
        </references>
      </pivotArea>
    </format>
    <format action="formatting" dxfId="1110">
      <pivotArea type="normal" dataOnly="0" labelOnly="1" outline="0" fieldPosition="0">
        <references count="2">
          <reference field="0" selected="0">
            <x v="680"/>
          </reference>
          <reference field="33">
            <x v="7"/>
          </reference>
        </references>
      </pivotArea>
    </format>
    <format action="formatting" dxfId="1109">
      <pivotArea type="normal" dataOnly="0" labelOnly="1" outline="0" fieldPosition="0">
        <references count="2">
          <reference field="0" selected="0">
            <x v="681"/>
          </reference>
          <reference field="33">
            <x v="7"/>
          </reference>
        </references>
      </pivotArea>
    </format>
    <format action="formatting" dxfId="1108">
      <pivotArea type="normal" dataOnly="0" labelOnly="1" outline="0" fieldPosition="0">
        <references count="2">
          <reference field="0" selected="0">
            <x v="686"/>
          </reference>
          <reference field="33">
            <x v="4"/>
          </reference>
        </references>
      </pivotArea>
    </format>
    <format action="formatting" dxfId="1107">
      <pivotArea type="normal" dataOnly="0" labelOnly="1" outline="0" fieldPosition="0">
        <references count="2">
          <reference field="0" selected="0">
            <x v="687"/>
          </reference>
          <reference field="33">
            <x v="8"/>
          </reference>
        </references>
      </pivotArea>
    </format>
    <format action="formatting" dxfId="1106">
      <pivotArea type="normal" dataOnly="0" labelOnly="1" outline="0" fieldPosition="0">
        <references count="2">
          <reference field="0" selected="0">
            <x v="689"/>
          </reference>
          <reference field="33">
            <x v="8"/>
          </reference>
        </references>
      </pivotArea>
    </format>
    <format action="formatting" dxfId="1105">
      <pivotArea type="normal" dataOnly="0" labelOnly="1" outline="0" fieldPosition="0">
        <references count="2">
          <reference field="0" selected="0">
            <x v="690"/>
          </reference>
          <reference field="33">
            <x v="5"/>
          </reference>
        </references>
      </pivotArea>
    </format>
    <format action="formatting" dxfId="1104">
      <pivotArea type="normal" dataOnly="0" labelOnly="1" outline="0" fieldPosition="0">
        <references count="2">
          <reference field="0" selected="0">
            <x v="691"/>
          </reference>
          <reference field="33">
            <x v="7"/>
          </reference>
        </references>
      </pivotArea>
    </format>
    <format action="formatting" dxfId="1103">
      <pivotArea type="normal" dataOnly="0" labelOnly="1" outline="0" fieldPosition="0">
        <references count="2">
          <reference field="0" selected="0">
            <x v="805"/>
          </reference>
          <reference field="33">
            <x v="1"/>
          </reference>
        </references>
      </pivotArea>
    </format>
    <format action="formatting" dxfId="1102">
      <pivotArea type="all" dataOnly="0" outline="0" fieldPosition="0"/>
    </format>
    <format action="formatting" dxfId="110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1100">
      <pivotArea type="normal" dataOnly="0" labelOnly="1" outline="0" fieldPosition="0">
        <references count="2">
          <reference field="0" selected="0">
            <x v="32"/>
          </reference>
          <reference field="33">
            <x v="7"/>
          </reference>
        </references>
      </pivotArea>
    </format>
    <format action="formatting" dxfId="1099">
      <pivotArea type="normal" dataOnly="0" labelOnly="1" outline="0" fieldPosition="0">
        <references count="2">
          <reference field="0" selected="0">
            <x v="33"/>
          </reference>
          <reference field="33">
            <x v="7"/>
          </reference>
        </references>
      </pivotArea>
    </format>
    <format action="formatting" dxfId="1098">
      <pivotArea type="normal" dataOnly="0" labelOnly="1" outline="0" fieldPosition="0">
        <references count="2">
          <reference field="0" selected="0">
            <x v="34"/>
          </reference>
          <reference field="33">
            <x v="7"/>
          </reference>
        </references>
      </pivotArea>
    </format>
    <format action="formatting" dxfId="1097">
      <pivotArea type="normal" dataOnly="0" labelOnly="1" outline="0" fieldPosition="0">
        <references count="2">
          <reference field="0" selected="0">
            <x v="35"/>
          </reference>
          <reference field="33">
            <x v="7"/>
          </reference>
        </references>
      </pivotArea>
    </format>
    <format action="formatting" dxfId="1096">
      <pivotArea type="normal" dataOnly="0" labelOnly="1" outline="0" fieldPosition="0">
        <references count="2">
          <reference field="0" selected="0">
            <x v="36"/>
          </reference>
          <reference field="33">
            <x v="7"/>
          </reference>
        </references>
      </pivotArea>
    </format>
    <format action="formatting" dxfId="1095">
      <pivotArea type="normal" dataOnly="0" labelOnly="1" outline="0" fieldPosition="0">
        <references count="2">
          <reference field="0" selected="0">
            <x v="37"/>
          </reference>
          <reference field="33">
            <x v="7"/>
          </reference>
        </references>
      </pivotArea>
    </format>
    <format action="formatting" dxfId="1094">
      <pivotArea type="normal" dataOnly="0" labelOnly="1" outline="0" fieldPosition="0">
        <references count="2">
          <reference field="0" selected="0">
            <x v="38"/>
          </reference>
          <reference field="33">
            <x v="7"/>
          </reference>
        </references>
      </pivotArea>
    </format>
    <format action="formatting" dxfId="1093">
      <pivotArea type="normal" dataOnly="0" labelOnly="1" outline="0" fieldPosition="0">
        <references count="2">
          <reference field="0" selected="0">
            <x v="39"/>
          </reference>
          <reference field="33">
            <x v="7"/>
          </reference>
        </references>
      </pivotArea>
    </format>
    <format action="formatting" dxfId="1092">
      <pivotArea type="normal" dataOnly="0" labelOnly="1" outline="0" fieldPosition="0">
        <references count="2">
          <reference field="0" selected="0">
            <x v="207"/>
          </reference>
          <reference field="33">
            <x v="3"/>
          </reference>
        </references>
      </pivotArea>
    </format>
    <format action="formatting" dxfId="1091">
      <pivotArea type="normal" dataOnly="0" labelOnly="1" outline="0" fieldPosition="0">
        <references count="2">
          <reference field="0" selected="0">
            <x v="208"/>
          </reference>
          <reference field="33">
            <x v="7"/>
          </reference>
        </references>
      </pivotArea>
    </format>
    <format action="formatting" dxfId="1090">
      <pivotArea type="normal" dataOnly="0" labelOnly="1" outline="0" fieldPosition="0">
        <references count="2">
          <reference field="0" selected="0">
            <x v="314"/>
          </reference>
          <reference field="33">
            <x v="7"/>
          </reference>
        </references>
      </pivotArea>
    </format>
    <format action="formatting" dxfId="1089">
      <pivotArea type="normal" dataOnly="0" labelOnly="1" outline="0" fieldPosition="0">
        <references count="2">
          <reference field="0" selected="0">
            <x v="315"/>
          </reference>
          <reference field="33">
            <x v="7"/>
          </reference>
        </references>
      </pivotArea>
    </format>
    <format action="formatting" dxfId="1088">
      <pivotArea type="normal" dataOnly="0" labelOnly="1" outline="0" fieldPosition="0">
        <references count="2">
          <reference field="0" selected="0">
            <x v="316"/>
          </reference>
          <reference field="33">
            <x v="7"/>
          </reference>
        </references>
      </pivotArea>
    </format>
    <format action="formatting" dxfId="1087">
      <pivotArea type="normal" dataOnly="0" labelOnly="1" outline="0" fieldPosition="0">
        <references count="2">
          <reference field="0" selected="0">
            <x v="439"/>
          </reference>
          <reference field="33">
            <x v="5"/>
          </reference>
        </references>
      </pivotArea>
    </format>
    <format action="formatting" dxfId="1086">
      <pivotArea type="normal" dataOnly="0" labelOnly="1" outline="0" fieldPosition="0">
        <references count="2">
          <reference field="0" selected="0">
            <x v="456"/>
          </reference>
          <reference field="33">
            <x v="7"/>
          </reference>
        </references>
      </pivotArea>
    </format>
    <format action="formatting" dxfId="1085">
      <pivotArea type="normal" dataOnly="0" labelOnly="1" outline="0" fieldPosition="0">
        <references count="2">
          <reference field="0" selected="0">
            <x v="680"/>
          </reference>
          <reference field="33">
            <x v="7"/>
          </reference>
        </references>
      </pivotArea>
    </format>
    <format action="formatting" dxfId="1084">
      <pivotArea type="normal" dataOnly="0" labelOnly="1" outline="0" fieldPosition="0">
        <references count="2">
          <reference field="0" selected="0">
            <x v="681"/>
          </reference>
          <reference field="33">
            <x v="7"/>
          </reference>
        </references>
      </pivotArea>
    </format>
    <format action="formatting" dxfId="1083">
      <pivotArea type="normal" dataOnly="0" labelOnly="1" outline="0" fieldPosition="0">
        <references count="2">
          <reference field="0" selected="0">
            <x v="686"/>
          </reference>
          <reference field="33">
            <x v="4"/>
          </reference>
        </references>
      </pivotArea>
    </format>
    <format action="formatting" dxfId="1082">
      <pivotArea type="normal" dataOnly="0" labelOnly="1" outline="0" fieldPosition="0">
        <references count="2">
          <reference field="0" selected="0">
            <x v="687"/>
          </reference>
          <reference field="33">
            <x v="8"/>
          </reference>
        </references>
      </pivotArea>
    </format>
    <format action="formatting" dxfId="1081">
      <pivotArea type="normal" dataOnly="0" labelOnly="1" outline="0" fieldPosition="0">
        <references count="2">
          <reference field="0" selected="0">
            <x v="689"/>
          </reference>
          <reference field="33">
            <x v="8"/>
          </reference>
        </references>
      </pivotArea>
    </format>
    <format action="formatting" dxfId="1080">
      <pivotArea type="normal" dataOnly="0" labelOnly="1" outline="0" fieldPosition="0">
        <references count="2">
          <reference field="0" selected="0">
            <x v="690"/>
          </reference>
          <reference field="33">
            <x v="5"/>
          </reference>
        </references>
      </pivotArea>
    </format>
    <format action="formatting" dxfId="1079">
      <pivotArea type="normal" dataOnly="0" labelOnly="1" outline="0" fieldPosition="0">
        <references count="2">
          <reference field="0" selected="0">
            <x v="691"/>
          </reference>
          <reference field="33">
            <x v="7"/>
          </reference>
        </references>
      </pivotArea>
    </format>
    <format action="formatting" dxfId="1078">
      <pivotArea type="normal" dataOnly="0" labelOnly="1" outline="0" fieldPosition="0">
        <references count="2">
          <reference field="0" selected="0">
            <x v="805"/>
          </reference>
          <reference field="33">
            <x v="1"/>
          </reference>
        </references>
      </pivotArea>
    </format>
    <format action="formatting" dxfId="1077">
      <pivotArea field="0" type="button" dataOnly="0" labelOnly="1" outline="0" axis="axisRow" fieldPosition="0"/>
    </format>
    <format action="formatting" dxfId="1076">
      <pivotArea field="0" type="button" dataOnly="0" labelOnly="1" outline="0" axis="axisRow" fieldPosition="0"/>
    </format>
    <format action="formatting" dxfId="1075">
      <pivotArea field="33" type="button" dataOnly="0" labelOnly="1" outline="0" axis="axisRow" fieldPosition="1"/>
    </format>
    <format action="formatting" dxfId="1074">
      <pivotArea field="33" type="button" dataOnly="0" labelOnly="1" outline="0" axis="axisRow" fieldPosition="1"/>
    </format>
    <format action="formatting" dxfId="1073">
      <pivotArea field="33"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1"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072">
      <pivotArea type="normal" dataOnly="0" labelOnly="1" outline="0" axis="axisValues" fieldPosition="0"/>
    </format>
    <format action="formatting" dxfId="1071">
      <pivotArea type="all" dataOnly="0" outline="0" fieldPosition="0"/>
    </format>
    <format action="formatting" dxfId="1070">
      <pivotArea field="0" type="button" dataOnly="0" labelOnly="1" outline="0" axis="axisRow" fieldPosition="0"/>
    </format>
    <format action="formatting" dxfId="1069">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068">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067">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066">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065">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064">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063">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062">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061">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060">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059">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058">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057">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056">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055">
      <pivotArea type="normal" dataOnly="0" labelOnly="1" outline="0" fieldPosition="0">
        <references count="1">
          <reference field="0">
            <x v="786"/>
            <x v="787"/>
            <x v="793"/>
            <x v="794"/>
            <x v="795"/>
            <x v="796"/>
            <x v="797"/>
            <x v="798"/>
          </reference>
        </references>
      </pivotArea>
    </format>
    <format action="formatting" dxfId="1054">
      <pivotArea type="normal" dataOnly="0" labelOnly="1" grandRow="1" outline="0" fieldPosition="0"/>
    </format>
    <format action="formatting" dxfId="1053">
      <pivotArea type="all" dataOnly="0" outline="0" fieldPosition="0"/>
    </format>
    <format action="formatting" dxfId="1052">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051">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050">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049">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048">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047">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046">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045">
      <pivotArea type="normal" dataOnly="0" labelOnly="1" grandRow="1" outline="0" fieldPosition="0"/>
    </format>
    <format action="formatting" dxfId="1044">
      <pivotArea type="normal" dataOnly="0" labelOnly="1" outline="0" fieldPosition="0">
        <references count="2">
          <reference field="0" selected="0">
            <x v="42"/>
          </reference>
          <reference field="20">
            <x v="3"/>
          </reference>
        </references>
      </pivotArea>
    </format>
    <format action="formatting" dxfId="1043">
      <pivotArea type="normal" dataOnly="0" labelOnly="1" outline="0" fieldPosition="0">
        <references count="2">
          <reference field="0" selected="0">
            <x v="43"/>
          </reference>
          <reference field="20">
            <x v="3"/>
          </reference>
        </references>
      </pivotArea>
    </format>
    <format action="formatting" dxfId="1042">
      <pivotArea type="normal" dataOnly="0" labelOnly="1" outline="0" fieldPosition="0">
        <references count="2">
          <reference field="0" selected="0">
            <x v="44"/>
          </reference>
          <reference field="20">
            <x v="3"/>
          </reference>
        </references>
      </pivotArea>
    </format>
    <format action="formatting" dxfId="1041">
      <pivotArea type="normal" dataOnly="0" labelOnly="1" outline="0" fieldPosition="0">
        <references count="2">
          <reference field="0" selected="0">
            <x v="60"/>
          </reference>
          <reference field="20">
            <x v="3"/>
          </reference>
        </references>
      </pivotArea>
    </format>
    <format action="formatting" dxfId="1040">
      <pivotArea type="normal" dataOnly="0" labelOnly="1" outline="0" fieldPosition="0">
        <references count="2">
          <reference field="0" selected="0">
            <x v="61"/>
          </reference>
          <reference field="20">
            <x v="3"/>
          </reference>
        </references>
      </pivotArea>
    </format>
    <format action="formatting" dxfId="1039">
      <pivotArea type="normal" dataOnly="0" labelOnly="1" outline="0" fieldPosition="0">
        <references count="2">
          <reference field="0" selected="0">
            <x v="62"/>
          </reference>
          <reference field="20">
            <x v="3"/>
          </reference>
        </references>
      </pivotArea>
    </format>
    <format action="formatting" dxfId="1038">
      <pivotArea type="normal" dataOnly="0" labelOnly="1" outline="0" fieldPosition="0">
        <references count="2">
          <reference field="0" selected="0">
            <x v="63"/>
          </reference>
          <reference field="20">
            <x v="3"/>
          </reference>
        </references>
      </pivotArea>
    </format>
    <format action="formatting" dxfId="1037">
      <pivotArea type="normal" dataOnly="0" labelOnly="1" outline="0" fieldPosition="0">
        <references count="2">
          <reference field="0" selected="0">
            <x v="64"/>
          </reference>
          <reference field="20">
            <x v="3"/>
          </reference>
        </references>
      </pivotArea>
    </format>
    <format action="formatting" dxfId="1036">
      <pivotArea type="normal" dataOnly="0" labelOnly="1" outline="0" fieldPosition="0">
        <references count="2">
          <reference field="0" selected="0">
            <x v="65"/>
          </reference>
          <reference field="20">
            <x v="3"/>
          </reference>
        </references>
      </pivotArea>
    </format>
    <format action="formatting" dxfId="1035">
      <pivotArea type="normal" dataOnly="0" labelOnly="1" outline="0" fieldPosition="0">
        <references count="2">
          <reference field="0" selected="0">
            <x v="66"/>
          </reference>
          <reference field="20">
            <x v="3"/>
          </reference>
        </references>
      </pivotArea>
    </format>
    <format action="formatting" dxfId="1034">
      <pivotArea type="normal" dataOnly="0" labelOnly="1" outline="0" fieldPosition="0">
        <references count="2">
          <reference field="0" selected="0">
            <x v="67"/>
          </reference>
          <reference field="20">
            <x v="3"/>
          </reference>
        </references>
      </pivotArea>
    </format>
    <format action="formatting" dxfId="1033">
      <pivotArea type="normal" dataOnly="0" labelOnly="1" outline="0" fieldPosition="0">
        <references count="2">
          <reference field="0" selected="0">
            <x v="68"/>
          </reference>
          <reference field="20">
            <x v="3"/>
          </reference>
        </references>
      </pivotArea>
    </format>
    <format action="formatting" dxfId="1032">
      <pivotArea type="normal" dataOnly="0" labelOnly="1" outline="0" fieldPosition="0">
        <references count="2">
          <reference field="0" selected="0">
            <x v="69"/>
          </reference>
          <reference field="20">
            <x v="3"/>
          </reference>
        </references>
      </pivotArea>
    </format>
    <format action="formatting" dxfId="1031">
      <pivotArea type="normal" dataOnly="0" labelOnly="1" outline="0" fieldPosition="0">
        <references count="2">
          <reference field="0" selected="0">
            <x v="70"/>
          </reference>
          <reference field="20">
            <x v="3"/>
          </reference>
        </references>
      </pivotArea>
    </format>
    <format action="formatting" dxfId="1030">
      <pivotArea type="normal" dataOnly="0" labelOnly="1" outline="0" fieldPosition="0">
        <references count="2">
          <reference field="0" selected="0">
            <x v="71"/>
          </reference>
          <reference field="20">
            <x v="3"/>
          </reference>
        </references>
      </pivotArea>
    </format>
    <format action="formatting" dxfId="1029">
      <pivotArea type="normal" dataOnly="0" labelOnly="1" outline="0" fieldPosition="0">
        <references count="2">
          <reference field="0" selected="0">
            <x v="72"/>
          </reference>
          <reference field="20">
            <x v="3"/>
          </reference>
        </references>
      </pivotArea>
    </format>
    <format action="formatting" dxfId="1028">
      <pivotArea type="normal" dataOnly="0" labelOnly="1" outline="0" fieldPosition="0">
        <references count="2">
          <reference field="0" selected="0">
            <x v="73"/>
          </reference>
          <reference field="20">
            <x v="3"/>
          </reference>
        </references>
      </pivotArea>
    </format>
    <format action="formatting" dxfId="1027">
      <pivotArea type="normal" dataOnly="0" labelOnly="1" outline="0" fieldPosition="0">
        <references count="2">
          <reference field="0" selected="0">
            <x v="74"/>
          </reference>
          <reference field="20">
            <x v="3"/>
          </reference>
        </references>
      </pivotArea>
    </format>
    <format action="formatting" dxfId="1026">
      <pivotArea type="normal" dataOnly="0" labelOnly="1" outline="0" fieldPosition="0">
        <references count="2">
          <reference field="0" selected="0">
            <x v="75"/>
          </reference>
          <reference field="20">
            <x v="3"/>
          </reference>
        </references>
      </pivotArea>
    </format>
    <format action="formatting" dxfId="1025">
      <pivotArea type="normal" dataOnly="0" labelOnly="1" outline="0" fieldPosition="0">
        <references count="2">
          <reference field="0" selected="0">
            <x v="76"/>
          </reference>
          <reference field="20">
            <x v="3"/>
          </reference>
        </references>
      </pivotArea>
    </format>
    <format action="formatting" dxfId="1024">
      <pivotArea type="normal" dataOnly="0" labelOnly="1" outline="0" fieldPosition="0">
        <references count="2">
          <reference field="0" selected="0">
            <x v="77"/>
          </reference>
          <reference field="20">
            <x v="3"/>
          </reference>
        </references>
      </pivotArea>
    </format>
    <format action="formatting" dxfId="1023">
      <pivotArea type="normal" dataOnly="0" labelOnly="1" outline="0" fieldPosition="0">
        <references count="2">
          <reference field="0" selected="0">
            <x v="78"/>
          </reference>
          <reference field="20">
            <x v="3"/>
          </reference>
        </references>
      </pivotArea>
    </format>
    <format action="formatting" dxfId="1022">
      <pivotArea type="normal" dataOnly="0" labelOnly="1" outline="0" fieldPosition="0">
        <references count="2">
          <reference field="0" selected="0">
            <x v="79"/>
          </reference>
          <reference field="20">
            <x v="3"/>
          </reference>
        </references>
      </pivotArea>
    </format>
    <format action="formatting" dxfId="1021">
      <pivotArea type="normal" dataOnly="0" labelOnly="1" outline="0" fieldPosition="0">
        <references count="2">
          <reference field="0" selected="0">
            <x v="80"/>
          </reference>
          <reference field="20">
            <x v="3"/>
          </reference>
        </references>
      </pivotArea>
    </format>
    <format action="formatting" dxfId="1020">
      <pivotArea type="normal" dataOnly="0" labelOnly="1" outline="0" fieldPosition="0">
        <references count="2">
          <reference field="0" selected="0">
            <x v="81"/>
          </reference>
          <reference field="20">
            <x v="3"/>
          </reference>
        </references>
      </pivotArea>
    </format>
    <format action="formatting" dxfId="1019">
      <pivotArea type="normal" dataOnly="0" labelOnly="1" outline="0" fieldPosition="0">
        <references count="2">
          <reference field="0" selected="0">
            <x v="82"/>
          </reference>
          <reference field="20">
            <x v="3"/>
          </reference>
        </references>
      </pivotArea>
    </format>
    <format action="formatting" dxfId="1018">
      <pivotArea type="normal" dataOnly="0" labelOnly="1" outline="0" fieldPosition="0">
        <references count="2">
          <reference field="0" selected="0">
            <x v="83"/>
          </reference>
          <reference field="20">
            <x v="3"/>
          </reference>
        </references>
      </pivotArea>
    </format>
    <format action="formatting" dxfId="1017">
      <pivotArea type="normal" dataOnly="0" labelOnly="1" outline="0" fieldPosition="0">
        <references count="2">
          <reference field="0" selected="0">
            <x v="84"/>
          </reference>
          <reference field="20">
            <x v="3"/>
          </reference>
        </references>
      </pivotArea>
    </format>
    <format action="formatting" dxfId="1016">
      <pivotArea type="normal" dataOnly="0" labelOnly="1" outline="0" fieldPosition="0">
        <references count="2">
          <reference field="0" selected="0">
            <x v="85"/>
          </reference>
          <reference field="20">
            <x v="3"/>
          </reference>
        </references>
      </pivotArea>
    </format>
    <format action="formatting" dxfId="1015">
      <pivotArea type="normal" dataOnly="0" labelOnly="1" outline="0" fieldPosition="0">
        <references count="2">
          <reference field="0" selected="0">
            <x v="86"/>
          </reference>
          <reference field="20">
            <x v="3"/>
          </reference>
        </references>
      </pivotArea>
    </format>
    <format action="formatting" dxfId="1014">
      <pivotArea type="normal" dataOnly="0" labelOnly="1" outline="0" fieldPosition="0">
        <references count="2">
          <reference field="0" selected="0">
            <x v="87"/>
          </reference>
          <reference field="20">
            <x v="3"/>
          </reference>
        </references>
      </pivotArea>
    </format>
    <format action="formatting" dxfId="1013">
      <pivotArea type="normal" dataOnly="0" labelOnly="1" outline="0" fieldPosition="0">
        <references count="2">
          <reference field="0" selected="0">
            <x v="88"/>
          </reference>
          <reference field="20">
            <x v="3"/>
          </reference>
        </references>
      </pivotArea>
    </format>
    <format action="formatting" dxfId="1012">
      <pivotArea type="normal" dataOnly="0" labelOnly="1" outline="0" fieldPosition="0">
        <references count="2">
          <reference field="0" selected="0">
            <x v="89"/>
          </reference>
          <reference field="20">
            <x v="3"/>
          </reference>
        </references>
      </pivotArea>
    </format>
    <format action="formatting" dxfId="1011">
      <pivotArea type="normal" dataOnly="0" labelOnly="1" outline="0" fieldPosition="0">
        <references count="2">
          <reference field="0" selected="0">
            <x v="90"/>
          </reference>
          <reference field="20">
            <x v="3"/>
          </reference>
        </references>
      </pivotArea>
    </format>
    <format action="formatting" dxfId="1010">
      <pivotArea type="normal" dataOnly="0" labelOnly="1" outline="0" fieldPosition="0">
        <references count="2">
          <reference field="0" selected="0">
            <x v="91"/>
          </reference>
          <reference field="20">
            <x v="3"/>
          </reference>
        </references>
      </pivotArea>
    </format>
    <format action="formatting" dxfId="1009">
      <pivotArea type="normal" dataOnly="0" labelOnly="1" outline="0" fieldPosition="0">
        <references count="2">
          <reference field="0" selected="0">
            <x v="92"/>
          </reference>
          <reference field="20">
            <x v="3"/>
          </reference>
        </references>
      </pivotArea>
    </format>
    <format action="formatting" dxfId="1008">
      <pivotArea type="normal" dataOnly="0" labelOnly="1" outline="0" fieldPosition="0">
        <references count="2">
          <reference field="0" selected="0">
            <x v="93"/>
          </reference>
          <reference field="20">
            <x v="3"/>
          </reference>
        </references>
      </pivotArea>
    </format>
    <format action="formatting" dxfId="1007">
      <pivotArea type="normal" dataOnly="0" labelOnly="1" outline="0" fieldPosition="0">
        <references count="2">
          <reference field="0" selected="0">
            <x v="95"/>
          </reference>
          <reference field="20">
            <x v="3"/>
          </reference>
        </references>
      </pivotArea>
    </format>
    <format action="formatting" dxfId="1006">
      <pivotArea type="normal" dataOnly="0" labelOnly="1" outline="0" fieldPosition="0">
        <references count="2">
          <reference field="0" selected="0">
            <x v="96"/>
          </reference>
          <reference field="20">
            <x v="3"/>
          </reference>
        </references>
      </pivotArea>
    </format>
    <format action="formatting" dxfId="1005">
      <pivotArea type="normal" dataOnly="0" labelOnly="1" outline="0" fieldPosition="0">
        <references count="2">
          <reference field="0" selected="0">
            <x v="97"/>
          </reference>
          <reference field="20">
            <x v="3"/>
          </reference>
        </references>
      </pivotArea>
    </format>
    <format action="formatting" dxfId="1004">
      <pivotArea type="normal" dataOnly="0" labelOnly="1" outline="0" fieldPosition="0">
        <references count="2">
          <reference field="0" selected="0">
            <x v="98"/>
          </reference>
          <reference field="20">
            <x v="3"/>
          </reference>
        </references>
      </pivotArea>
    </format>
    <format action="formatting" dxfId="1003">
      <pivotArea type="normal" dataOnly="0" labelOnly="1" outline="0" fieldPosition="0">
        <references count="2">
          <reference field="0" selected="0">
            <x v="99"/>
          </reference>
          <reference field="20">
            <x v="3"/>
          </reference>
        </references>
      </pivotArea>
    </format>
    <format action="formatting" dxfId="1002">
      <pivotArea type="normal" dataOnly="0" labelOnly="1" outline="0" fieldPosition="0">
        <references count="2">
          <reference field="0" selected="0">
            <x v="100"/>
          </reference>
          <reference field="20">
            <x v="3"/>
          </reference>
        </references>
      </pivotArea>
    </format>
    <format action="formatting" dxfId="1001">
      <pivotArea type="normal" dataOnly="0" labelOnly="1" outline="0" fieldPosition="0">
        <references count="2">
          <reference field="0" selected="0">
            <x v="101"/>
          </reference>
          <reference field="20">
            <x v="3"/>
          </reference>
        </references>
      </pivotArea>
    </format>
    <format action="formatting" dxfId="1000">
      <pivotArea type="normal" dataOnly="0" labelOnly="1" outline="0" fieldPosition="0">
        <references count="2">
          <reference field="0" selected="0">
            <x v="103"/>
          </reference>
          <reference field="20">
            <x v="3"/>
          </reference>
        </references>
      </pivotArea>
    </format>
    <format action="formatting" dxfId="999">
      <pivotArea type="normal" dataOnly="0" labelOnly="1" outline="0" fieldPosition="0">
        <references count="2">
          <reference field="0" selected="0">
            <x v="104"/>
          </reference>
          <reference field="20">
            <x v="3"/>
          </reference>
        </references>
      </pivotArea>
    </format>
    <format action="formatting" dxfId="998">
      <pivotArea type="normal" dataOnly="0" labelOnly="1" outline="0" fieldPosition="0">
        <references count="2">
          <reference field="0" selected="0">
            <x v="105"/>
          </reference>
          <reference field="20">
            <x v="3"/>
          </reference>
        </references>
      </pivotArea>
    </format>
    <format action="formatting" dxfId="997">
      <pivotArea type="normal" dataOnly="0" labelOnly="1" outline="0" fieldPosition="0">
        <references count="2">
          <reference field="0" selected="0">
            <x v="106"/>
          </reference>
          <reference field="20">
            <x v="3"/>
          </reference>
        </references>
      </pivotArea>
    </format>
    <format action="formatting" dxfId="996">
      <pivotArea type="normal" dataOnly="0" labelOnly="1" outline="0" fieldPosition="0">
        <references count="2">
          <reference field="0" selected="0">
            <x v="107"/>
          </reference>
          <reference field="20">
            <x v="3"/>
          </reference>
        </references>
      </pivotArea>
    </format>
    <format action="formatting" dxfId="995">
      <pivotArea type="normal" dataOnly="0" labelOnly="1" outline="0" fieldPosition="0">
        <references count="2">
          <reference field="0" selected="0">
            <x v="108"/>
          </reference>
          <reference field="20">
            <x v="3"/>
          </reference>
        </references>
      </pivotArea>
    </format>
    <format action="formatting" dxfId="994">
      <pivotArea type="normal" dataOnly="0" labelOnly="1" outline="0" fieldPosition="0">
        <references count="2">
          <reference field="0" selected="0">
            <x v="109"/>
          </reference>
          <reference field="20">
            <x v="3"/>
          </reference>
        </references>
      </pivotArea>
    </format>
    <format action="formatting" dxfId="993">
      <pivotArea type="normal" dataOnly="0" labelOnly="1" outline="0" fieldPosition="0">
        <references count="2">
          <reference field="0" selected="0">
            <x v="110"/>
          </reference>
          <reference field="20">
            <x v="3"/>
          </reference>
        </references>
      </pivotArea>
    </format>
    <format action="formatting" dxfId="992">
      <pivotArea type="normal" dataOnly="0" labelOnly="1" outline="0" fieldPosition="0">
        <references count="2">
          <reference field="0" selected="0">
            <x v="112"/>
          </reference>
          <reference field="20">
            <x v="3"/>
          </reference>
        </references>
      </pivotArea>
    </format>
    <format action="formatting" dxfId="991">
      <pivotArea type="normal" dataOnly="0" labelOnly="1" outline="0" fieldPosition="0">
        <references count="2">
          <reference field="0" selected="0">
            <x v="113"/>
          </reference>
          <reference field="20">
            <x v="3"/>
          </reference>
        </references>
      </pivotArea>
    </format>
    <format action="formatting" dxfId="990">
      <pivotArea type="normal" dataOnly="0" labelOnly="1" outline="0" fieldPosition="0">
        <references count="2">
          <reference field="0" selected="0">
            <x v="114"/>
          </reference>
          <reference field="20">
            <x v="3"/>
          </reference>
        </references>
      </pivotArea>
    </format>
    <format action="formatting" dxfId="989">
      <pivotArea type="normal" dataOnly="0" labelOnly="1" outline="0" fieldPosition="0">
        <references count="2">
          <reference field="0" selected="0">
            <x v="115"/>
          </reference>
          <reference field="20">
            <x v="3"/>
          </reference>
        </references>
      </pivotArea>
    </format>
    <format action="formatting" dxfId="988">
      <pivotArea type="normal" dataOnly="0" labelOnly="1" outline="0" fieldPosition="0">
        <references count="2">
          <reference field="0" selected="0">
            <x v="116"/>
          </reference>
          <reference field="20">
            <x v="3"/>
          </reference>
        </references>
      </pivotArea>
    </format>
    <format action="formatting" dxfId="987">
      <pivotArea type="normal" dataOnly="0" labelOnly="1" outline="0" fieldPosition="0">
        <references count="2">
          <reference field="0" selected="0">
            <x v="117"/>
          </reference>
          <reference field="20">
            <x v="3"/>
          </reference>
        </references>
      </pivotArea>
    </format>
    <format action="formatting" dxfId="986">
      <pivotArea type="normal" dataOnly="0" labelOnly="1" outline="0" fieldPosition="0">
        <references count="2">
          <reference field="0" selected="0">
            <x v="119"/>
          </reference>
          <reference field="20">
            <x v="3"/>
          </reference>
        </references>
      </pivotArea>
    </format>
    <format action="formatting" dxfId="985">
      <pivotArea type="normal" dataOnly="0" labelOnly="1" outline="0" fieldPosition="0">
        <references count="2">
          <reference field="0" selected="0">
            <x v="120"/>
          </reference>
          <reference field="20">
            <x v="3"/>
          </reference>
        </references>
      </pivotArea>
    </format>
    <format action="formatting" dxfId="984">
      <pivotArea type="normal" dataOnly="0" labelOnly="1" outline="0" fieldPosition="0">
        <references count="2">
          <reference field="0" selected="0">
            <x v="123"/>
          </reference>
          <reference field="20">
            <x v="3"/>
          </reference>
        </references>
      </pivotArea>
    </format>
    <format action="formatting" dxfId="983">
      <pivotArea type="normal" dataOnly="0" labelOnly="1" outline="0" fieldPosition="0">
        <references count="2">
          <reference field="0" selected="0">
            <x v="124"/>
          </reference>
          <reference field="20">
            <x v="3"/>
          </reference>
        </references>
      </pivotArea>
    </format>
    <format action="formatting" dxfId="982">
      <pivotArea type="normal" dataOnly="0" labelOnly="1" outline="0" fieldPosition="0">
        <references count="2">
          <reference field="0" selected="0">
            <x v="139"/>
          </reference>
          <reference field="20">
            <x v="3"/>
          </reference>
        </references>
      </pivotArea>
    </format>
    <format action="formatting" dxfId="981">
      <pivotArea type="normal" dataOnly="0" labelOnly="1" outline="0" fieldPosition="0">
        <references count="2">
          <reference field="0" selected="0">
            <x v="140"/>
          </reference>
          <reference field="20">
            <x v="3"/>
          </reference>
        </references>
      </pivotArea>
    </format>
    <format action="formatting" dxfId="980">
      <pivotArea type="normal" dataOnly="0" labelOnly="1" outline="0" fieldPosition="0">
        <references count="2">
          <reference field="0" selected="0">
            <x v="160"/>
          </reference>
          <reference field="20">
            <x v="3"/>
          </reference>
        </references>
      </pivotArea>
    </format>
    <format action="formatting" dxfId="979">
      <pivotArea type="normal" dataOnly="0" labelOnly="1" outline="0" fieldPosition="0">
        <references count="2">
          <reference field="0" selected="0">
            <x v="163"/>
          </reference>
          <reference field="20">
            <x v="3"/>
          </reference>
        </references>
      </pivotArea>
    </format>
    <format action="formatting" dxfId="978">
      <pivotArea type="normal" dataOnly="0" labelOnly="1" outline="0" fieldPosition="0">
        <references count="2">
          <reference field="0" selected="0">
            <x v="186"/>
          </reference>
          <reference field="20">
            <x v="3"/>
          </reference>
        </references>
      </pivotArea>
    </format>
    <format action="formatting" dxfId="977">
      <pivotArea type="normal" dataOnly="0" labelOnly="1" outline="0" fieldPosition="0">
        <references count="2">
          <reference field="0" selected="0">
            <x v="187"/>
          </reference>
          <reference field="20">
            <x v="3"/>
          </reference>
        </references>
      </pivotArea>
    </format>
    <format action="formatting" dxfId="976">
      <pivotArea type="normal" dataOnly="0" labelOnly="1" outline="0" fieldPosition="0">
        <references count="2">
          <reference field="0" selected="0">
            <x v="189"/>
          </reference>
          <reference field="20">
            <x v="3"/>
          </reference>
        </references>
      </pivotArea>
    </format>
    <format action="formatting" dxfId="975">
      <pivotArea type="normal" dataOnly="0" labelOnly="1" outline="0" fieldPosition="0">
        <references count="2">
          <reference field="0" selected="0">
            <x v="190"/>
          </reference>
          <reference field="20">
            <x v="3"/>
          </reference>
        </references>
      </pivotArea>
    </format>
    <format action="formatting" dxfId="974">
      <pivotArea type="normal" dataOnly="0" labelOnly="1" outline="0" fieldPosition="0">
        <references count="2">
          <reference field="0" selected="0">
            <x v="191"/>
          </reference>
          <reference field="20">
            <x v="3"/>
          </reference>
        </references>
      </pivotArea>
    </format>
    <format action="formatting" dxfId="973">
      <pivotArea type="normal" dataOnly="0" labelOnly="1" outline="0" fieldPosition="0">
        <references count="2">
          <reference field="0" selected="0">
            <x v="192"/>
          </reference>
          <reference field="20">
            <x v="3"/>
          </reference>
        </references>
      </pivotArea>
    </format>
    <format action="formatting" dxfId="972">
      <pivotArea type="normal" dataOnly="0" labelOnly="1" outline="0" fieldPosition="0">
        <references count="2">
          <reference field="0" selected="0">
            <x v="193"/>
          </reference>
          <reference field="20">
            <x v="3"/>
          </reference>
        </references>
      </pivotArea>
    </format>
    <format action="formatting" dxfId="971">
      <pivotArea type="normal" dataOnly="0" labelOnly="1" outline="0" fieldPosition="0">
        <references count="2">
          <reference field="0" selected="0">
            <x v="194"/>
          </reference>
          <reference field="20">
            <x v="3"/>
          </reference>
        </references>
      </pivotArea>
    </format>
    <format action="formatting" dxfId="970">
      <pivotArea type="normal" dataOnly="0" labelOnly="1" outline="0" fieldPosition="0">
        <references count="2">
          <reference field="0" selected="0">
            <x v="195"/>
          </reference>
          <reference field="20">
            <x v="3"/>
          </reference>
        </references>
      </pivotArea>
    </format>
    <format action="formatting" dxfId="969">
      <pivotArea type="normal" dataOnly="0" labelOnly="1" outline="0" fieldPosition="0">
        <references count="2">
          <reference field="0" selected="0">
            <x v="196"/>
          </reference>
          <reference field="20">
            <x v="3"/>
          </reference>
        </references>
      </pivotArea>
    </format>
    <format action="formatting" dxfId="968">
      <pivotArea type="normal" dataOnly="0" labelOnly="1" outline="0" fieldPosition="0">
        <references count="2">
          <reference field="0" selected="0">
            <x v="202"/>
          </reference>
          <reference field="20">
            <x v="3"/>
          </reference>
        </references>
      </pivotArea>
    </format>
    <format action="formatting" dxfId="967">
      <pivotArea type="normal" dataOnly="0" labelOnly="1" outline="0" fieldPosition="0">
        <references count="2">
          <reference field="0" selected="0">
            <x v="203"/>
          </reference>
          <reference field="20">
            <x v="3"/>
          </reference>
        </references>
      </pivotArea>
    </format>
    <format action="formatting" dxfId="966">
      <pivotArea type="normal" dataOnly="0" labelOnly="1" outline="0" fieldPosition="0">
        <references count="2">
          <reference field="0" selected="0">
            <x v="209"/>
          </reference>
          <reference field="20">
            <x v="3"/>
          </reference>
        </references>
      </pivotArea>
    </format>
    <format action="formatting" dxfId="965">
      <pivotArea type="normal" dataOnly="0" labelOnly="1" outline="0" fieldPosition="0">
        <references count="2">
          <reference field="0" selected="0">
            <x v="211"/>
          </reference>
          <reference field="20">
            <x v="5"/>
          </reference>
        </references>
      </pivotArea>
    </format>
    <format action="formatting" dxfId="964">
      <pivotArea type="normal" dataOnly="0" labelOnly="1" outline="0" fieldPosition="0">
        <references count="2">
          <reference field="0" selected="0">
            <x v="212"/>
          </reference>
          <reference field="20">
            <x v="5"/>
          </reference>
        </references>
      </pivotArea>
    </format>
    <format action="formatting" dxfId="963">
      <pivotArea type="normal" dataOnly="0" labelOnly="1" outline="0" fieldPosition="0">
        <references count="2">
          <reference field="0" selected="0">
            <x v="215"/>
          </reference>
          <reference field="20">
            <x v="3"/>
          </reference>
        </references>
      </pivotArea>
    </format>
    <format action="formatting" dxfId="962">
      <pivotArea type="normal" dataOnly="0" labelOnly="1" outline="0" fieldPosition="0">
        <references count="2">
          <reference field="0" selected="0">
            <x v="216"/>
          </reference>
          <reference field="20">
            <x v="5"/>
          </reference>
        </references>
      </pivotArea>
    </format>
    <format action="formatting" dxfId="961">
      <pivotArea type="normal" dataOnly="0" labelOnly="1" outline="0" fieldPosition="0">
        <references count="2">
          <reference field="0" selected="0">
            <x v="217"/>
          </reference>
          <reference field="20">
            <x v="3"/>
          </reference>
        </references>
      </pivotArea>
    </format>
    <format action="formatting" dxfId="960">
      <pivotArea type="normal" dataOnly="0" labelOnly="1" outline="0" fieldPosition="0">
        <references count="2">
          <reference field="0" selected="0">
            <x v="218"/>
          </reference>
          <reference field="20">
            <x v="3"/>
          </reference>
        </references>
      </pivotArea>
    </format>
    <format action="formatting" dxfId="959">
      <pivotArea type="normal" dataOnly="0" labelOnly="1" outline="0" fieldPosition="0">
        <references count="2">
          <reference field="0" selected="0">
            <x v="219"/>
          </reference>
          <reference field="20">
            <x v="3"/>
          </reference>
        </references>
      </pivotArea>
    </format>
    <format action="formatting" dxfId="958">
      <pivotArea type="normal" dataOnly="0" labelOnly="1" outline="0" fieldPosition="0">
        <references count="2">
          <reference field="0" selected="0">
            <x v="220"/>
          </reference>
          <reference field="20">
            <x v="3"/>
          </reference>
        </references>
      </pivotArea>
    </format>
    <format action="formatting" dxfId="957">
      <pivotArea type="normal" dataOnly="0" labelOnly="1" outline="0" fieldPosition="0">
        <references count="2">
          <reference field="0" selected="0">
            <x v="221"/>
          </reference>
          <reference field="20">
            <x v="3"/>
          </reference>
        </references>
      </pivotArea>
    </format>
    <format action="formatting" dxfId="956">
      <pivotArea type="normal" dataOnly="0" labelOnly="1" outline="0" fieldPosition="0">
        <references count="2">
          <reference field="0" selected="0">
            <x v="222"/>
          </reference>
          <reference field="20">
            <x v="5"/>
          </reference>
        </references>
      </pivotArea>
    </format>
    <format action="formatting" dxfId="955">
      <pivotArea type="normal" dataOnly="0" labelOnly="1" outline="0" fieldPosition="0">
        <references count="2">
          <reference field="0" selected="0">
            <x v="223"/>
          </reference>
          <reference field="20">
            <x v="3"/>
          </reference>
        </references>
      </pivotArea>
    </format>
    <format action="formatting" dxfId="954">
      <pivotArea type="normal" dataOnly="0" labelOnly="1" outline="0" fieldPosition="0">
        <references count="2">
          <reference field="0" selected="0">
            <x v="224"/>
          </reference>
          <reference field="20">
            <x v="3"/>
          </reference>
        </references>
      </pivotArea>
    </format>
    <format action="formatting" dxfId="953">
      <pivotArea type="normal" dataOnly="0" labelOnly="1" outline="0" fieldPosition="0">
        <references count="2">
          <reference field="0" selected="0">
            <x v="227"/>
          </reference>
          <reference field="20">
            <x v="3"/>
          </reference>
        </references>
      </pivotArea>
    </format>
    <format action="formatting" dxfId="952">
      <pivotArea type="normal" dataOnly="0" labelOnly="1" outline="0" fieldPosition="0">
        <references count="2">
          <reference field="0" selected="0">
            <x v="228"/>
          </reference>
          <reference field="20">
            <x v="3"/>
          </reference>
        </references>
      </pivotArea>
    </format>
    <format action="formatting" dxfId="951">
      <pivotArea type="normal" dataOnly="0" labelOnly="1" outline="0" fieldPosition="0">
        <references count="2">
          <reference field="0" selected="0">
            <x v="229"/>
          </reference>
          <reference field="20">
            <x v="3"/>
          </reference>
        </references>
      </pivotArea>
    </format>
    <format action="formatting" dxfId="950">
      <pivotArea type="normal" dataOnly="0" labelOnly="1" outline="0" fieldPosition="0">
        <references count="2">
          <reference field="0" selected="0">
            <x v="242"/>
          </reference>
          <reference field="20">
            <x v="3"/>
          </reference>
        </references>
      </pivotArea>
    </format>
    <format action="formatting" dxfId="949">
      <pivotArea type="normal" dataOnly="0" labelOnly="1" outline="0" fieldPosition="0">
        <references count="2">
          <reference field="0" selected="0">
            <x v="243"/>
          </reference>
          <reference field="20">
            <x v="3"/>
          </reference>
        </references>
      </pivotArea>
    </format>
    <format action="formatting" dxfId="948">
      <pivotArea type="normal" dataOnly="0" labelOnly="1" outline="0" fieldPosition="0">
        <references count="2">
          <reference field="0" selected="0">
            <x v="244"/>
          </reference>
          <reference field="20">
            <x v="3"/>
          </reference>
        </references>
      </pivotArea>
    </format>
    <format action="formatting" dxfId="947">
      <pivotArea type="normal" dataOnly="0" labelOnly="1" outline="0" fieldPosition="0">
        <references count="2">
          <reference field="0" selected="0">
            <x v="253"/>
          </reference>
          <reference field="20">
            <x v="3"/>
          </reference>
        </references>
      </pivotArea>
    </format>
    <format action="formatting" dxfId="946">
      <pivotArea type="normal" dataOnly="0" labelOnly="1" outline="0" fieldPosition="0">
        <references count="2">
          <reference field="0" selected="0">
            <x v="254"/>
          </reference>
          <reference field="20">
            <x v="5"/>
          </reference>
        </references>
      </pivotArea>
    </format>
    <format action="formatting" dxfId="945">
      <pivotArea type="normal" dataOnly="0" labelOnly="1" outline="0" fieldPosition="0">
        <references count="2">
          <reference field="0" selected="0">
            <x v="255"/>
          </reference>
          <reference field="20">
            <x v="3"/>
          </reference>
        </references>
      </pivotArea>
    </format>
    <format action="formatting" dxfId="944">
      <pivotArea type="normal" dataOnly="0" labelOnly="1" outline="0" fieldPosition="0">
        <references count="2">
          <reference field="0" selected="0">
            <x v="256"/>
          </reference>
          <reference field="20">
            <x v="3"/>
          </reference>
        </references>
      </pivotArea>
    </format>
    <format action="formatting" dxfId="943">
      <pivotArea type="normal" dataOnly="0" labelOnly="1" outline="0" fieldPosition="0">
        <references count="2">
          <reference field="0" selected="0">
            <x v="269"/>
          </reference>
          <reference field="20">
            <x v="3"/>
          </reference>
        </references>
      </pivotArea>
    </format>
    <format action="formatting" dxfId="942">
      <pivotArea type="normal" dataOnly="0" labelOnly="1" outline="0" fieldPosition="0">
        <references count="2">
          <reference field="0" selected="0">
            <x v="303"/>
          </reference>
          <reference field="20">
            <x v="3"/>
          </reference>
        </references>
      </pivotArea>
    </format>
    <format action="formatting" dxfId="941">
      <pivotArea type="normal" dataOnly="0" labelOnly="1" outline="0" fieldPosition="0">
        <references count="2">
          <reference field="0" selected="0">
            <x v="307"/>
          </reference>
          <reference field="20">
            <x v="3"/>
          </reference>
        </references>
      </pivotArea>
    </format>
    <format action="formatting" dxfId="940">
      <pivotArea type="normal" dataOnly="0" labelOnly="1" outline="0" fieldPosition="0">
        <references count="2">
          <reference field="0" selected="0">
            <x v="308"/>
          </reference>
          <reference field="20">
            <x v="3"/>
          </reference>
        </references>
      </pivotArea>
    </format>
    <format action="formatting" dxfId="939">
      <pivotArea type="normal" dataOnly="0" labelOnly="1" outline="0" fieldPosition="0">
        <references count="2">
          <reference field="0" selected="0">
            <x v="309"/>
          </reference>
          <reference field="20">
            <x v="3"/>
          </reference>
        </references>
      </pivotArea>
    </format>
    <format action="formatting" dxfId="938">
      <pivotArea type="normal" dataOnly="0" labelOnly="1" outline="0" fieldPosition="0">
        <references count="2">
          <reference field="0" selected="0">
            <x v="311"/>
          </reference>
          <reference field="20">
            <x v="3"/>
          </reference>
        </references>
      </pivotArea>
    </format>
    <format action="formatting" dxfId="937">
      <pivotArea type="normal" dataOnly="0" labelOnly="1" outline="0" fieldPosition="0">
        <references count="2">
          <reference field="0" selected="0">
            <x v="347"/>
          </reference>
          <reference field="20">
            <x v="2"/>
          </reference>
        </references>
      </pivotArea>
    </format>
    <format action="formatting" dxfId="936">
      <pivotArea type="normal" dataOnly="0" labelOnly="1" outline="0" fieldPosition="0">
        <references count="2">
          <reference field="0" selected="0">
            <x v="348"/>
          </reference>
          <reference field="20">
            <x v="2"/>
          </reference>
        </references>
      </pivotArea>
    </format>
    <format action="formatting" dxfId="935">
      <pivotArea type="normal" dataOnly="0" labelOnly="1" outline="0" fieldPosition="0">
        <references count="2">
          <reference field="0" selected="0">
            <x v="349"/>
          </reference>
          <reference field="20">
            <x v="3"/>
          </reference>
        </references>
      </pivotArea>
    </format>
    <format action="formatting" dxfId="934">
      <pivotArea type="normal" dataOnly="0" labelOnly="1" outline="0" fieldPosition="0">
        <references count="2">
          <reference field="0" selected="0">
            <x v="350"/>
          </reference>
          <reference field="20">
            <x v="3"/>
          </reference>
        </references>
      </pivotArea>
    </format>
    <format action="formatting" dxfId="933">
      <pivotArea type="normal" dataOnly="0" labelOnly="1" outline="0" fieldPosition="0">
        <references count="2">
          <reference field="0" selected="0">
            <x v="351"/>
          </reference>
          <reference field="20">
            <x v="3"/>
          </reference>
        </references>
      </pivotArea>
    </format>
    <format action="formatting" dxfId="932">
      <pivotArea type="normal" dataOnly="0" labelOnly="1" outline="0" fieldPosition="0">
        <references count="2">
          <reference field="0" selected="0">
            <x v="352"/>
          </reference>
          <reference field="20">
            <x v="3"/>
          </reference>
        </references>
      </pivotArea>
    </format>
    <format action="formatting" dxfId="931">
      <pivotArea type="normal" dataOnly="0" labelOnly="1" outline="0" fieldPosition="0">
        <references count="2">
          <reference field="0" selected="0">
            <x v="353"/>
          </reference>
          <reference field="20">
            <x v="3"/>
          </reference>
        </references>
      </pivotArea>
    </format>
    <format action="formatting" dxfId="930">
      <pivotArea type="normal" dataOnly="0" labelOnly="1" outline="0" fieldPosition="0">
        <references count="2">
          <reference field="0" selected="0">
            <x v="354"/>
          </reference>
          <reference field="20">
            <x v="3"/>
          </reference>
        </references>
      </pivotArea>
    </format>
    <format action="formatting" dxfId="929">
      <pivotArea type="normal" dataOnly="0" labelOnly="1" outline="0" fieldPosition="0">
        <references count="2">
          <reference field="0" selected="0">
            <x v="357"/>
          </reference>
          <reference field="20">
            <x v="3"/>
          </reference>
        </references>
      </pivotArea>
    </format>
    <format action="formatting" dxfId="928">
      <pivotArea type="normal" dataOnly="0" labelOnly="1" outline="0" fieldPosition="0">
        <references count="2">
          <reference field="0" selected="0">
            <x v="358"/>
          </reference>
          <reference field="20">
            <x v="3"/>
          </reference>
        </references>
      </pivotArea>
    </format>
    <format action="formatting" dxfId="927">
      <pivotArea type="normal" dataOnly="0" labelOnly="1" outline="0" fieldPosition="0">
        <references count="2">
          <reference field="0" selected="0">
            <x v="359"/>
          </reference>
          <reference field="20">
            <x v="3"/>
          </reference>
        </references>
      </pivotArea>
    </format>
    <format action="formatting" dxfId="926">
      <pivotArea type="normal" dataOnly="0" labelOnly="1" outline="0" fieldPosition="0">
        <references count="2">
          <reference field="0" selected="0">
            <x v="360"/>
          </reference>
          <reference field="20">
            <x v="3"/>
          </reference>
        </references>
      </pivotArea>
    </format>
    <format action="formatting" dxfId="925">
      <pivotArea type="normal" dataOnly="0" labelOnly="1" outline="0" fieldPosition="0">
        <references count="2">
          <reference field="0" selected="0">
            <x v="361"/>
          </reference>
          <reference field="20">
            <x v="3"/>
          </reference>
        </references>
      </pivotArea>
    </format>
    <format action="formatting" dxfId="924">
      <pivotArea type="normal" dataOnly="0" labelOnly="1" outline="0" fieldPosition="0">
        <references count="2">
          <reference field="0" selected="0">
            <x v="364"/>
          </reference>
          <reference field="20">
            <x v="3"/>
          </reference>
        </references>
      </pivotArea>
    </format>
    <format action="formatting" dxfId="923">
      <pivotArea type="normal" dataOnly="0" labelOnly="1" outline="0" fieldPosition="0">
        <references count="2">
          <reference field="0" selected="0">
            <x v="365"/>
          </reference>
          <reference field="20">
            <x v="3"/>
          </reference>
        </references>
      </pivotArea>
    </format>
    <format action="formatting" dxfId="922">
      <pivotArea type="normal" dataOnly="0" labelOnly="1" outline="0" fieldPosition="0">
        <references count="2">
          <reference field="0" selected="0">
            <x v="367"/>
          </reference>
          <reference field="20">
            <x v="3"/>
          </reference>
        </references>
      </pivotArea>
    </format>
    <format action="formatting" dxfId="921">
      <pivotArea type="normal" dataOnly="0" labelOnly="1" outline="0" fieldPosition="0">
        <references count="2">
          <reference field="0" selected="0">
            <x v="368"/>
          </reference>
          <reference field="20">
            <x v="5"/>
          </reference>
        </references>
      </pivotArea>
    </format>
    <format action="formatting" dxfId="920">
      <pivotArea type="normal" dataOnly="0" labelOnly="1" outline="0" fieldPosition="0">
        <references count="2">
          <reference field="0" selected="0">
            <x v="369"/>
          </reference>
          <reference field="20">
            <x v="5"/>
          </reference>
        </references>
      </pivotArea>
    </format>
    <format action="formatting" dxfId="919">
      <pivotArea type="normal" dataOnly="0" labelOnly="1" outline="0" fieldPosition="0">
        <references count="2">
          <reference field="0" selected="0">
            <x v="370"/>
          </reference>
          <reference field="20">
            <x v="3"/>
          </reference>
        </references>
      </pivotArea>
    </format>
    <format action="formatting" dxfId="918">
      <pivotArea type="normal" dataOnly="0" labelOnly="1" outline="0" fieldPosition="0">
        <references count="2">
          <reference field="0" selected="0">
            <x v="371"/>
          </reference>
          <reference field="20">
            <x v="3"/>
          </reference>
        </references>
      </pivotArea>
    </format>
    <format action="formatting" dxfId="917">
      <pivotArea type="normal" dataOnly="0" labelOnly="1" outline="0" fieldPosition="0">
        <references count="2">
          <reference field="0" selected="0">
            <x v="376"/>
          </reference>
          <reference field="20">
            <x v="3"/>
          </reference>
        </references>
      </pivotArea>
    </format>
    <format action="formatting" dxfId="916">
      <pivotArea type="normal" dataOnly="0" labelOnly="1" outline="0" fieldPosition="0">
        <references count="2">
          <reference field="0" selected="0">
            <x v="378"/>
          </reference>
          <reference field="20">
            <x v="3"/>
          </reference>
        </references>
      </pivotArea>
    </format>
    <format action="formatting" dxfId="915">
      <pivotArea type="normal" dataOnly="0" labelOnly="1" outline="0" fieldPosition="0">
        <references count="2">
          <reference field="0" selected="0">
            <x v="379"/>
          </reference>
          <reference field="20">
            <x v="3"/>
          </reference>
        </references>
      </pivotArea>
    </format>
    <format action="formatting" dxfId="914">
      <pivotArea type="normal" dataOnly="0" labelOnly="1" outline="0" fieldPosition="0">
        <references count="2">
          <reference field="0" selected="0">
            <x v="380"/>
          </reference>
          <reference field="20">
            <x v="3"/>
          </reference>
        </references>
      </pivotArea>
    </format>
    <format action="formatting" dxfId="913">
      <pivotArea type="normal" dataOnly="0" labelOnly="1" outline="0" fieldPosition="0">
        <references count="2">
          <reference field="0" selected="0">
            <x v="383"/>
          </reference>
          <reference field="20">
            <x v="3"/>
          </reference>
        </references>
      </pivotArea>
    </format>
    <format action="formatting" dxfId="912">
      <pivotArea type="normal" dataOnly="0" labelOnly="1" outline="0" fieldPosition="0">
        <references count="2">
          <reference field="0" selected="0">
            <x v="385"/>
          </reference>
          <reference field="20">
            <x v="5"/>
          </reference>
        </references>
      </pivotArea>
    </format>
    <format action="formatting" dxfId="911">
      <pivotArea type="normal" dataOnly="0" labelOnly="1" outline="0" fieldPosition="0">
        <references count="2">
          <reference field="0" selected="0">
            <x v="386"/>
          </reference>
          <reference field="20">
            <x v="3"/>
          </reference>
        </references>
      </pivotArea>
    </format>
    <format action="formatting" dxfId="910">
      <pivotArea type="normal" dataOnly="0" labelOnly="1" outline="0" fieldPosition="0">
        <references count="2">
          <reference field="0" selected="0">
            <x v="387"/>
          </reference>
          <reference field="20">
            <x v="3"/>
          </reference>
        </references>
      </pivotArea>
    </format>
    <format action="formatting" dxfId="909">
      <pivotArea type="normal" dataOnly="0" labelOnly="1" outline="0" fieldPosition="0">
        <references count="2">
          <reference field="0" selected="0">
            <x v="389"/>
          </reference>
          <reference field="20">
            <x v="3"/>
          </reference>
        </references>
      </pivotArea>
    </format>
    <format action="formatting" dxfId="908">
      <pivotArea type="normal" dataOnly="0" labelOnly="1" outline="0" fieldPosition="0">
        <references count="2">
          <reference field="0" selected="0">
            <x v="392"/>
          </reference>
          <reference field="20">
            <x v="3"/>
          </reference>
        </references>
      </pivotArea>
    </format>
    <format action="formatting" dxfId="907">
      <pivotArea type="normal" dataOnly="0" labelOnly="1" outline="0" fieldPosition="0">
        <references count="2">
          <reference field="0" selected="0">
            <x v="394"/>
          </reference>
          <reference field="20">
            <x v="3"/>
          </reference>
        </references>
      </pivotArea>
    </format>
    <format action="formatting" dxfId="906">
      <pivotArea type="normal" dataOnly="0" labelOnly="1" outline="0" fieldPosition="0">
        <references count="2">
          <reference field="0" selected="0">
            <x v="398"/>
          </reference>
          <reference field="20">
            <x v="3"/>
          </reference>
        </references>
      </pivotArea>
    </format>
    <format action="formatting" dxfId="905">
      <pivotArea type="normal" dataOnly="0" labelOnly="1" outline="0" fieldPosition="0">
        <references count="2">
          <reference field="0" selected="0">
            <x v="399"/>
          </reference>
          <reference field="20">
            <x v="3"/>
          </reference>
        </references>
      </pivotArea>
    </format>
    <format action="formatting" dxfId="904">
      <pivotArea type="normal" dataOnly="0" labelOnly="1" outline="0" fieldPosition="0">
        <references count="2">
          <reference field="0" selected="0">
            <x v="400"/>
          </reference>
          <reference field="20">
            <x v="3"/>
          </reference>
        </references>
      </pivotArea>
    </format>
    <format action="formatting" dxfId="903">
      <pivotArea type="normal" dataOnly="0" labelOnly="1" outline="0" fieldPosition="0">
        <references count="2">
          <reference field="0" selected="0">
            <x v="401"/>
          </reference>
          <reference field="20">
            <x v="3"/>
          </reference>
        </references>
      </pivotArea>
    </format>
    <format action="formatting" dxfId="902">
      <pivotArea type="normal" dataOnly="0" labelOnly="1" outline="0" fieldPosition="0">
        <references count="2">
          <reference field="0" selected="0">
            <x v="402"/>
          </reference>
          <reference field="20">
            <x v="3"/>
          </reference>
        </references>
      </pivotArea>
    </format>
    <format action="formatting" dxfId="901">
      <pivotArea type="normal" dataOnly="0" labelOnly="1" outline="0" fieldPosition="0">
        <references count="2">
          <reference field="0" selected="0">
            <x v="403"/>
          </reference>
          <reference field="20">
            <x v="3"/>
          </reference>
        </references>
      </pivotArea>
    </format>
    <format action="formatting" dxfId="900">
      <pivotArea type="normal" dataOnly="0" labelOnly="1" outline="0" fieldPosition="0">
        <references count="2">
          <reference field="0" selected="0">
            <x v="404"/>
          </reference>
          <reference field="20">
            <x v="3"/>
          </reference>
        </references>
      </pivotArea>
    </format>
    <format action="formatting" dxfId="899">
      <pivotArea type="normal" dataOnly="0" labelOnly="1" outline="0" fieldPosition="0">
        <references count="2">
          <reference field="0" selected="0">
            <x v="405"/>
          </reference>
          <reference field="20">
            <x v="3"/>
          </reference>
        </references>
      </pivotArea>
    </format>
    <format action="formatting" dxfId="898">
      <pivotArea type="normal" dataOnly="0" labelOnly="1" outline="0" fieldPosition="0">
        <references count="2">
          <reference field="0" selected="0">
            <x v="406"/>
          </reference>
          <reference field="20">
            <x v="3"/>
          </reference>
        </references>
      </pivotArea>
    </format>
    <format action="formatting" dxfId="897">
      <pivotArea type="normal" dataOnly="0" labelOnly="1" outline="0" fieldPosition="0">
        <references count="2">
          <reference field="0" selected="0">
            <x v="408"/>
          </reference>
          <reference field="20">
            <x v="5"/>
          </reference>
        </references>
      </pivotArea>
    </format>
    <format action="formatting" dxfId="896">
      <pivotArea type="normal" dataOnly="0" labelOnly="1" outline="0" fieldPosition="0">
        <references count="2">
          <reference field="0" selected="0">
            <x v="409"/>
          </reference>
          <reference field="20">
            <x v="5"/>
          </reference>
        </references>
      </pivotArea>
    </format>
    <format action="formatting" dxfId="895">
      <pivotArea type="normal" dataOnly="0" labelOnly="1" outline="0" fieldPosition="0">
        <references count="2">
          <reference field="0" selected="0">
            <x v="410"/>
          </reference>
          <reference field="20">
            <x v="5"/>
          </reference>
        </references>
      </pivotArea>
    </format>
    <format action="formatting" dxfId="894">
      <pivotArea type="normal" dataOnly="0" labelOnly="1" outline="0" fieldPosition="0">
        <references count="2">
          <reference field="0" selected="0">
            <x v="411"/>
          </reference>
          <reference field="20">
            <x v="3"/>
          </reference>
        </references>
      </pivotArea>
    </format>
    <format action="formatting" dxfId="893">
      <pivotArea type="normal" dataOnly="0" labelOnly="1" outline="0" fieldPosition="0">
        <references count="2">
          <reference field="0" selected="0">
            <x v="412"/>
          </reference>
          <reference field="20">
            <x v="3"/>
          </reference>
        </references>
      </pivotArea>
    </format>
    <format action="formatting" dxfId="892">
      <pivotArea type="normal" dataOnly="0" labelOnly="1" outline="0" fieldPosition="0">
        <references count="2">
          <reference field="0" selected="0">
            <x v="413"/>
          </reference>
          <reference field="20">
            <x v="3"/>
          </reference>
        </references>
      </pivotArea>
    </format>
    <format action="formatting" dxfId="891">
      <pivotArea type="normal" dataOnly="0" labelOnly="1" outline="0" fieldPosition="0">
        <references count="2">
          <reference field="0" selected="0">
            <x v="414"/>
          </reference>
          <reference field="20">
            <x v="3"/>
          </reference>
        </references>
      </pivotArea>
    </format>
    <format action="formatting" dxfId="890">
      <pivotArea type="normal" dataOnly="0" labelOnly="1" outline="0" fieldPosition="0">
        <references count="2">
          <reference field="0" selected="0">
            <x v="415"/>
          </reference>
          <reference field="20">
            <x v="3"/>
          </reference>
        </references>
      </pivotArea>
    </format>
    <format action="formatting" dxfId="889">
      <pivotArea type="normal" dataOnly="0" labelOnly="1" outline="0" fieldPosition="0">
        <references count="2">
          <reference field="0" selected="0">
            <x v="416"/>
          </reference>
          <reference field="20">
            <x v="3"/>
          </reference>
        </references>
      </pivotArea>
    </format>
    <format action="formatting" dxfId="888">
      <pivotArea type="normal" dataOnly="0" labelOnly="1" outline="0" fieldPosition="0">
        <references count="2">
          <reference field="0" selected="0">
            <x v="417"/>
          </reference>
          <reference field="20">
            <x v="3"/>
          </reference>
        </references>
      </pivotArea>
    </format>
    <format action="formatting" dxfId="887">
      <pivotArea type="normal" dataOnly="0" labelOnly="1" outline="0" fieldPosition="0">
        <references count="2">
          <reference field="0" selected="0">
            <x v="418"/>
          </reference>
          <reference field="20">
            <x v="3"/>
          </reference>
        </references>
      </pivotArea>
    </format>
    <format action="formatting" dxfId="886">
      <pivotArea type="normal" dataOnly="0" labelOnly="1" outline="0" fieldPosition="0">
        <references count="2">
          <reference field="0" selected="0">
            <x v="419"/>
          </reference>
          <reference field="20">
            <x v="3"/>
          </reference>
        </references>
      </pivotArea>
    </format>
    <format action="formatting" dxfId="885">
      <pivotArea type="normal" dataOnly="0" labelOnly="1" outline="0" fieldPosition="0">
        <references count="2">
          <reference field="0" selected="0">
            <x v="420"/>
          </reference>
          <reference field="20">
            <x v="3"/>
          </reference>
        </references>
      </pivotArea>
    </format>
    <format action="formatting" dxfId="884">
      <pivotArea type="normal" dataOnly="0" labelOnly="1" outline="0" fieldPosition="0">
        <references count="2">
          <reference field="0" selected="0">
            <x v="421"/>
          </reference>
          <reference field="20">
            <x v="3"/>
          </reference>
        </references>
      </pivotArea>
    </format>
    <format action="formatting" dxfId="883">
      <pivotArea type="normal" dataOnly="0" labelOnly="1" outline="0" fieldPosition="0">
        <references count="2">
          <reference field="0" selected="0">
            <x v="422"/>
          </reference>
          <reference field="20">
            <x v="3"/>
          </reference>
        </references>
      </pivotArea>
    </format>
    <format action="formatting" dxfId="882">
      <pivotArea type="normal" dataOnly="0" labelOnly="1" outline="0" fieldPosition="0">
        <references count="2">
          <reference field="0" selected="0">
            <x v="423"/>
          </reference>
          <reference field="20">
            <x v="3"/>
          </reference>
        </references>
      </pivotArea>
    </format>
    <format action="formatting" dxfId="881">
      <pivotArea type="normal" dataOnly="0" labelOnly="1" outline="0" fieldPosition="0">
        <references count="2">
          <reference field="0" selected="0">
            <x v="424"/>
          </reference>
          <reference field="20">
            <x v="3"/>
          </reference>
        </references>
      </pivotArea>
    </format>
    <format action="formatting" dxfId="880">
      <pivotArea type="normal" dataOnly="0" labelOnly="1" outline="0" fieldPosition="0">
        <references count="2">
          <reference field="0" selected="0">
            <x v="425"/>
          </reference>
          <reference field="20">
            <x v="3"/>
          </reference>
        </references>
      </pivotArea>
    </format>
    <format action="formatting" dxfId="879">
      <pivotArea type="normal" dataOnly="0" labelOnly="1" outline="0" fieldPosition="0">
        <references count="2">
          <reference field="0" selected="0">
            <x v="426"/>
          </reference>
          <reference field="20">
            <x v="3"/>
          </reference>
        </references>
      </pivotArea>
    </format>
    <format action="formatting" dxfId="878">
      <pivotArea type="normal" dataOnly="0" labelOnly="1" outline="0" fieldPosition="0">
        <references count="2">
          <reference field="0" selected="0">
            <x v="427"/>
          </reference>
          <reference field="20">
            <x v="3"/>
          </reference>
        </references>
      </pivotArea>
    </format>
    <format action="formatting" dxfId="877">
      <pivotArea type="normal" dataOnly="0" labelOnly="1" outline="0" fieldPosition="0">
        <references count="2">
          <reference field="0" selected="0">
            <x v="428"/>
          </reference>
          <reference field="20">
            <x v="3"/>
          </reference>
        </references>
      </pivotArea>
    </format>
    <format action="formatting" dxfId="876">
      <pivotArea type="normal" dataOnly="0" labelOnly="1" outline="0" fieldPosition="0">
        <references count="2">
          <reference field="0" selected="0">
            <x v="429"/>
          </reference>
          <reference field="20">
            <x v="3"/>
          </reference>
        </references>
      </pivotArea>
    </format>
    <format action="formatting" dxfId="875">
      <pivotArea type="normal" dataOnly="0" labelOnly="1" outline="0" fieldPosition="0">
        <references count="2">
          <reference field="0" selected="0">
            <x v="430"/>
          </reference>
          <reference field="20">
            <x v="3"/>
          </reference>
        </references>
      </pivotArea>
    </format>
    <format action="formatting" dxfId="874">
      <pivotArea type="normal" dataOnly="0" labelOnly="1" outline="0" fieldPosition="0">
        <references count="2">
          <reference field="0" selected="0">
            <x v="431"/>
          </reference>
          <reference field="20">
            <x v="3"/>
          </reference>
        </references>
      </pivotArea>
    </format>
    <format action="formatting" dxfId="873">
      <pivotArea type="normal" dataOnly="0" labelOnly="1" outline="0" fieldPosition="0">
        <references count="2">
          <reference field="0" selected="0">
            <x v="432"/>
          </reference>
          <reference field="20">
            <x v="3"/>
          </reference>
        </references>
      </pivotArea>
    </format>
    <format action="formatting" dxfId="872">
      <pivotArea type="normal" dataOnly="0" labelOnly="1" outline="0" fieldPosition="0">
        <references count="2">
          <reference field="0" selected="0">
            <x v="433"/>
          </reference>
          <reference field="20">
            <x v="3"/>
          </reference>
        </references>
      </pivotArea>
    </format>
    <format action="formatting" dxfId="871">
      <pivotArea type="normal" dataOnly="0" labelOnly="1" outline="0" fieldPosition="0">
        <references count="2">
          <reference field="0" selected="0">
            <x v="434"/>
          </reference>
          <reference field="20">
            <x v="3"/>
          </reference>
        </references>
      </pivotArea>
    </format>
    <format action="formatting" dxfId="870">
      <pivotArea type="normal" dataOnly="0" labelOnly="1" outline="0" fieldPosition="0">
        <references count="2">
          <reference field="0" selected="0">
            <x v="435"/>
          </reference>
          <reference field="20">
            <x v="3"/>
          </reference>
        </references>
      </pivotArea>
    </format>
    <format action="formatting" dxfId="869">
      <pivotArea type="normal" dataOnly="0" labelOnly="1" outline="0" fieldPosition="0">
        <references count="2">
          <reference field="0" selected="0">
            <x v="436"/>
          </reference>
          <reference field="20">
            <x v="3"/>
          </reference>
        </references>
      </pivotArea>
    </format>
    <format action="formatting" dxfId="868">
      <pivotArea type="normal" dataOnly="0" labelOnly="1" outline="0" fieldPosition="0">
        <references count="2">
          <reference field="0" selected="0">
            <x v="437"/>
          </reference>
          <reference field="20">
            <x v="3"/>
          </reference>
        </references>
      </pivotArea>
    </format>
    <format action="formatting" dxfId="867">
      <pivotArea type="normal" dataOnly="0" labelOnly="1" outline="0" fieldPosition="0">
        <references count="2">
          <reference field="0" selected="0">
            <x v="438"/>
          </reference>
          <reference field="20">
            <x v="3"/>
          </reference>
        </references>
      </pivotArea>
    </format>
    <format action="formatting" dxfId="866">
      <pivotArea type="normal" dataOnly="0" labelOnly="1" outline="0" fieldPosition="0">
        <references count="2">
          <reference field="0" selected="0">
            <x v="446"/>
          </reference>
          <reference field="20">
            <x v="3"/>
          </reference>
        </references>
      </pivotArea>
    </format>
    <format action="formatting" dxfId="865">
      <pivotArea type="normal" dataOnly="0" labelOnly="1" outline="0" fieldPosition="0">
        <references count="2">
          <reference field="0" selected="0">
            <x v="447"/>
          </reference>
          <reference field="20">
            <x v="3"/>
          </reference>
        </references>
      </pivotArea>
    </format>
    <format action="formatting" dxfId="864">
      <pivotArea type="normal" dataOnly="0" labelOnly="1" outline="0" fieldPosition="0">
        <references count="2">
          <reference field="0" selected="0">
            <x v="448"/>
          </reference>
          <reference field="20">
            <x v="3"/>
          </reference>
        </references>
      </pivotArea>
    </format>
    <format action="formatting" dxfId="863">
      <pivotArea type="normal" dataOnly="0" labelOnly="1" outline="0" fieldPosition="0">
        <references count="2">
          <reference field="0" selected="0">
            <x v="449"/>
          </reference>
          <reference field="20">
            <x v="3"/>
          </reference>
        </references>
      </pivotArea>
    </format>
    <format action="formatting" dxfId="862">
      <pivotArea type="normal" dataOnly="0" labelOnly="1" outline="0" fieldPosition="0">
        <references count="2">
          <reference field="0" selected="0">
            <x v="451"/>
          </reference>
          <reference field="20">
            <x v="3"/>
          </reference>
        </references>
      </pivotArea>
    </format>
    <format action="formatting" dxfId="861">
      <pivotArea type="normal" dataOnly="0" labelOnly="1" outline="0" fieldPosition="0">
        <references count="2">
          <reference field="0" selected="0">
            <x v="461"/>
          </reference>
          <reference field="20">
            <x v="3"/>
          </reference>
        </references>
      </pivotArea>
    </format>
    <format action="formatting" dxfId="860">
      <pivotArea type="normal" dataOnly="0" labelOnly="1" outline="0" fieldPosition="0">
        <references count="2">
          <reference field="0" selected="0">
            <x v="462"/>
          </reference>
          <reference field="20">
            <x v="3"/>
          </reference>
        </references>
      </pivotArea>
    </format>
    <format action="formatting" dxfId="859">
      <pivotArea type="normal" dataOnly="0" labelOnly="1" outline="0" fieldPosition="0">
        <references count="2">
          <reference field="0" selected="0">
            <x v="463"/>
          </reference>
          <reference field="20">
            <x v="3"/>
          </reference>
        </references>
      </pivotArea>
    </format>
    <format action="formatting" dxfId="858">
      <pivotArea type="normal" dataOnly="0" labelOnly="1" outline="0" fieldPosition="0">
        <references count="2">
          <reference field="0" selected="0">
            <x v="464"/>
          </reference>
          <reference field="20">
            <x v="3"/>
          </reference>
        </references>
      </pivotArea>
    </format>
    <format action="formatting" dxfId="857">
      <pivotArea type="normal" dataOnly="0" labelOnly="1" outline="0" fieldPosition="0">
        <references count="2">
          <reference field="0" selected="0">
            <x v="465"/>
          </reference>
          <reference field="20">
            <x v="3"/>
          </reference>
        </references>
      </pivotArea>
    </format>
    <format action="formatting" dxfId="856">
      <pivotArea type="normal" dataOnly="0" labelOnly="1" outline="0" fieldPosition="0">
        <references count="2">
          <reference field="0" selected="0">
            <x v="467"/>
          </reference>
          <reference field="20">
            <x v="3"/>
          </reference>
        </references>
      </pivotArea>
    </format>
    <format action="formatting" dxfId="855">
      <pivotArea type="normal" dataOnly="0" labelOnly="1" outline="0" fieldPosition="0">
        <references count="2">
          <reference field="0" selected="0">
            <x v="471"/>
          </reference>
          <reference field="20">
            <x v="5"/>
          </reference>
        </references>
      </pivotArea>
    </format>
    <format action="formatting" dxfId="854">
      <pivotArea type="normal" dataOnly="0" labelOnly="1" outline="0" fieldPosition="0">
        <references count="2">
          <reference field="0" selected="0">
            <x v="472"/>
          </reference>
          <reference field="20">
            <x v="3"/>
          </reference>
        </references>
      </pivotArea>
    </format>
    <format action="formatting" dxfId="853">
      <pivotArea type="normal" dataOnly="0" labelOnly="1" outline="0" fieldPosition="0">
        <references count="2">
          <reference field="0" selected="0">
            <x v="474"/>
          </reference>
          <reference field="20">
            <x v="3"/>
          </reference>
        </references>
      </pivotArea>
    </format>
    <format action="formatting" dxfId="852">
      <pivotArea type="normal" dataOnly="0" labelOnly="1" outline="0" fieldPosition="0">
        <references count="2">
          <reference field="0" selected="0">
            <x v="476"/>
          </reference>
          <reference field="20">
            <x v="3"/>
          </reference>
        </references>
      </pivotArea>
    </format>
    <format action="formatting" dxfId="851">
      <pivotArea type="normal" dataOnly="0" labelOnly="1" outline="0" fieldPosition="0">
        <references count="2">
          <reference field="0" selected="0">
            <x v="477"/>
          </reference>
          <reference field="20">
            <x v="3"/>
          </reference>
        </references>
      </pivotArea>
    </format>
    <format action="formatting" dxfId="850">
      <pivotArea type="normal" dataOnly="0" labelOnly="1" outline="0" fieldPosition="0">
        <references count="2">
          <reference field="0" selected="0">
            <x v="478"/>
          </reference>
          <reference field="20">
            <x v="3"/>
          </reference>
        </references>
      </pivotArea>
    </format>
    <format action="formatting" dxfId="849">
      <pivotArea type="normal" dataOnly="0" labelOnly="1" outline="0" fieldPosition="0">
        <references count="2">
          <reference field="0" selected="0">
            <x v="479"/>
          </reference>
          <reference field="20">
            <x v="3"/>
          </reference>
        </references>
      </pivotArea>
    </format>
    <format action="formatting" dxfId="848">
      <pivotArea type="normal" dataOnly="0" labelOnly="1" outline="0" fieldPosition="0">
        <references count="2">
          <reference field="0" selected="0">
            <x v="480"/>
          </reference>
          <reference field="20">
            <x v="3"/>
          </reference>
        </references>
      </pivotArea>
    </format>
    <format action="formatting" dxfId="847">
      <pivotArea type="normal" dataOnly="0" labelOnly="1" outline="0" fieldPosition="0">
        <references count="2">
          <reference field="0" selected="0">
            <x v="481"/>
          </reference>
          <reference field="20">
            <x v="3"/>
          </reference>
        </references>
      </pivotArea>
    </format>
    <format action="formatting" dxfId="846">
      <pivotArea type="normal" dataOnly="0" labelOnly="1" outline="0" fieldPosition="0">
        <references count="2">
          <reference field="0" selected="0">
            <x v="488"/>
          </reference>
          <reference field="20">
            <x v="5"/>
          </reference>
        </references>
      </pivotArea>
    </format>
    <format action="formatting" dxfId="845">
      <pivotArea type="normal" dataOnly="0" labelOnly="1" outline="0" fieldPosition="0">
        <references count="2">
          <reference field="0" selected="0">
            <x v="489"/>
          </reference>
          <reference field="20">
            <x v="5"/>
          </reference>
        </references>
      </pivotArea>
    </format>
    <format action="formatting" dxfId="844">
      <pivotArea type="normal" dataOnly="0" labelOnly="1" outline="0" fieldPosition="0">
        <references count="2">
          <reference field="0" selected="0">
            <x v="500"/>
          </reference>
          <reference field="20">
            <x v="3"/>
          </reference>
        </references>
      </pivotArea>
    </format>
    <format action="formatting" dxfId="843">
      <pivotArea type="normal" dataOnly="0" labelOnly="1" outline="0" fieldPosition="0">
        <references count="2">
          <reference field="0" selected="0">
            <x v="504"/>
          </reference>
          <reference field="20">
            <x v="3"/>
          </reference>
        </references>
      </pivotArea>
    </format>
    <format action="formatting" dxfId="842">
      <pivotArea type="normal" dataOnly="0" labelOnly="1" outline="0" fieldPosition="0">
        <references count="2">
          <reference field="0" selected="0">
            <x v="523"/>
          </reference>
          <reference field="20">
            <x v="3"/>
          </reference>
        </references>
      </pivotArea>
    </format>
    <format action="formatting" dxfId="841">
      <pivotArea type="normal" dataOnly="0" labelOnly="1" outline="0" fieldPosition="0">
        <references count="2">
          <reference field="0" selected="0">
            <x v="524"/>
          </reference>
          <reference field="20">
            <x v="3"/>
          </reference>
        </references>
      </pivotArea>
    </format>
    <format action="formatting" dxfId="840">
      <pivotArea type="normal" dataOnly="0" labelOnly="1" outline="0" fieldPosition="0">
        <references count="2">
          <reference field="0" selected="0">
            <x v="528"/>
          </reference>
          <reference field="20">
            <x v="3"/>
          </reference>
        </references>
      </pivotArea>
    </format>
    <format action="formatting" dxfId="839">
      <pivotArea type="normal" dataOnly="0" labelOnly="1" outline="0" fieldPosition="0">
        <references count="2">
          <reference field="0" selected="0">
            <x v="529"/>
          </reference>
          <reference field="20">
            <x v="3"/>
          </reference>
        </references>
      </pivotArea>
    </format>
    <format action="formatting" dxfId="838">
      <pivotArea type="normal" dataOnly="0" labelOnly="1" outline="0" fieldPosition="0">
        <references count="2">
          <reference field="0" selected="0">
            <x v="534"/>
          </reference>
          <reference field="20">
            <x v="3"/>
          </reference>
        </references>
      </pivotArea>
    </format>
    <format action="formatting" dxfId="837">
      <pivotArea type="normal" dataOnly="0" labelOnly="1" outline="0" fieldPosition="0">
        <references count="2">
          <reference field="0" selected="0">
            <x v="535"/>
          </reference>
          <reference field="20">
            <x v="3"/>
          </reference>
        </references>
      </pivotArea>
    </format>
    <format action="formatting" dxfId="836">
      <pivotArea type="normal" dataOnly="0" labelOnly="1" outline="0" fieldPosition="0">
        <references count="2">
          <reference field="0" selected="0">
            <x v="536"/>
          </reference>
          <reference field="20">
            <x v="3"/>
          </reference>
        </references>
      </pivotArea>
    </format>
    <format action="formatting" dxfId="835">
      <pivotArea type="normal" dataOnly="0" labelOnly="1" outline="0" fieldPosition="0">
        <references count="2">
          <reference field="0" selected="0">
            <x v="537"/>
          </reference>
          <reference field="20">
            <x v="3"/>
          </reference>
        </references>
      </pivotArea>
    </format>
    <format action="formatting" dxfId="834">
      <pivotArea type="normal" dataOnly="0" labelOnly="1" outline="0" fieldPosition="0">
        <references count="2">
          <reference field="0" selected="0">
            <x v="542"/>
          </reference>
          <reference field="20">
            <x v="3"/>
          </reference>
        </references>
      </pivotArea>
    </format>
    <format action="formatting" dxfId="833">
      <pivotArea type="normal" dataOnly="0" labelOnly="1" outline="0" fieldPosition="0">
        <references count="2">
          <reference field="0" selected="0">
            <x v="555"/>
          </reference>
          <reference field="20">
            <x v="3"/>
          </reference>
        </references>
      </pivotArea>
    </format>
    <format action="formatting" dxfId="832">
      <pivotArea type="normal" dataOnly="0" labelOnly="1" outline="0" fieldPosition="0">
        <references count="2">
          <reference field="0" selected="0">
            <x v="556"/>
          </reference>
          <reference field="20">
            <x v="3"/>
          </reference>
        </references>
      </pivotArea>
    </format>
    <format action="formatting" dxfId="831">
      <pivotArea type="normal" dataOnly="0" labelOnly="1" outline="0" fieldPosition="0">
        <references count="2">
          <reference field="0" selected="0">
            <x v="557"/>
          </reference>
          <reference field="20">
            <x v="3"/>
          </reference>
        </references>
      </pivotArea>
    </format>
    <format action="formatting" dxfId="830">
      <pivotArea type="normal" dataOnly="0" labelOnly="1" outline="0" fieldPosition="0">
        <references count="2">
          <reference field="0" selected="0">
            <x v="558"/>
          </reference>
          <reference field="20">
            <x v="3"/>
          </reference>
        </references>
      </pivotArea>
    </format>
    <format action="formatting" dxfId="829">
      <pivotArea type="normal" dataOnly="0" labelOnly="1" outline="0" fieldPosition="0">
        <references count="2">
          <reference field="0" selected="0">
            <x v="559"/>
          </reference>
          <reference field="20">
            <x v="3"/>
          </reference>
        </references>
      </pivotArea>
    </format>
    <format action="formatting" dxfId="828">
      <pivotArea type="normal" dataOnly="0" labelOnly="1" outline="0" fieldPosition="0">
        <references count="2">
          <reference field="0" selected="0">
            <x v="560"/>
          </reference>
          <reference field="20">
            <x v="3"/>
          </reference>
        </references>
      </pivotArea>
    </format>
    <format action="formatting" dxfId="827">
      <pivotArea type="normal" dataOnly="0" labelOnly="1" outline="0" fieldPosition="0">
        <references count="2">
          <reference field="0" selected="0">
            <x v="561"/>
          </reference>
          <reference field="20">
            <x v="3"/>
          </reference>
        </references>
      </pivotArea>
    </format>
    <format action="formatting" dxfId="826">
      <pivotArea type="normal" dataOnly="0" labelOnly="1" outline="0" fieldPosition="0">
        <references count="2">
          <reference field="0" selected="0">
            <x v="562"/>
          </reference>
          <reference field="20">
            <x v="3"/>
          </reference>
        </references>
      </pivotArea>
    </format>
    <format action="formatting" dxfId="825">
      <pivotArea type="normal" dataOnly="0" labelOnly="1" outline="0" fieldPosition="0">
        <references count="2">
          <reference field="0" selected="0">
            <x v="563"/>
          </reference>
          <reference field="20">
            <x v="3"/>
          </reference>
        </references>
      </pivotArea>
    </format>
    <format action="formatting" dxfId="824">
      <pivotArea type="normal" dataOnly="0" labelOnly="1" outline="0" fieldPosition="0">
        <references count="2">
          <reference field="0" selected="0">
            <x v="564"/>
          </reference>
          <reference field="20">
            <x v="3"/>
          </reference>
        </references>
      </pivotArea>
    </format>
    <format action="formatting" dxfId="823">
      <pivotArea type="normal" dataOnly="0" labelOnly="1" outline="0" fieldPosition="0">
        <references count="2">
          <reference field="0" selected="0">
            <x v="565"/>
          </reference>
          <reference field="20">
            <x v="3"/>
          </reference>
        </references>
      </pivotArea>
    </format>
    <format action="formatting" dxfId="822">
      <pivotArea type="normal" dataOnly="0" labelOnly="1" outline="0" fieldPosition="0">
        <references count="2">
          <reference field="0" selected="0">
            <x v="566"/>
          </reference>
          <reference field="20">
            <x v="3"/>
          </reference>
        </references>
      </pivotArea>
    </format>
    <format action="formatting" dxfId="821">
      <pivotArea type="normal" dataOnly="0" labelOnly="1" outline="0" fieldPosition="0">
        <references count="2">
          <reference field="0" selected="0">
            <x v="567"/>
          </reference>
          <reference field="20">
            <x v="3"/>
          </reference>
        </references>
      </pivotArea>
    </format>
    <format action="formatting" dxfId="820">
      <pivotArea type="normal" dataOnly="0" labelOnly="1" outline="0" fieldPosition="0">
        <references count="2">
          <reference field="0" selected="0">
            <x v="568"/>
          </reference>
          <reference field="20">
            <x v="3"/>
          </reference>
        </references>
      </pivotArea>
    </format>
    <format action="formatting" dxfId="819">
      <pivotArea type="normal" dataOnly="0" labelOnly="1" outline="0" fieldPosition="0">
        <references count="2">
          <reference field="0" selected="0">
            <x v="569"/>
          </reference>
          <reference field="20">
            <x v="3"/>
          </reference>
        </references>
      </pivotArea>
    </format>
    <format action="formatting" dxfId="818">
      <pivotArea type="normal" dataOnly="0" labelOnly="1" outline="0" fieldPosition="0">
        <references count="2">
          <reference field="0" selected="0">
            <x v="570"/>
          </reference>
          <reference field="20">
            <x v="3"/>
          </reference>
        </references>
      </pivotArea>
    </format>
    <format action="formatting" dxfId="817">
      <pivotArea type="normal" dataOnly="0" labelOnly="1" outline="0" fieldPosition="0">
        <references count="2">
          <reference field="0" selected="0">
            <x v="571"/>
          </reference>
          <reference field="20">
            <x v="3"/>
          </reference>
        </references>
      </pivotArea>
    </format>
    <format action="formatting" dxfId="816">
      <pivotArea type="normal" dataOnly="0" labelOnly="1" outline="0" fieldPosition="0">
        <references count="2">
          <reference field="0" selected="0">
            <x v="572"/>
          </reference>
          <reference field="20">
            <x v="3"/>
          </reference>
        </references>
      </pivotArea>
    </format>
    <format action="formatting" dxfId="815">
      <pivotArea type="normal" dataOnly="0" labelOnly="1" outline="0" fieldPosition="0">
        <references count="2">
          <reference field="0" selected="0">
            <x v="573"/>
          </reference>
          <reference field="20">
            <x v="3"/>
          </reference>
        </references>
      </pivotArea>
    </format>
    <format action="formatting" dxfId="814">
      <pivotArea type="normal" dataOnly="0" labelOnly="1" outline="0" fieldPosition="0">
        <references count="2">
          <reference field="0" selected="0">
            <x v="574"/>
          </reference>
          <reference field="20">
            <x v="3"/>
          </reference>
        </references>
      </pivotArea>
    </format>
    <format action="formatting" dxfId="813">
      <pivotArea type="normal" dataOnly="0" labelOnly="1" outline="0" fieldPosition="0">
        <references count="2">
          <reference field="0" selected="0">
            <x v="575"/>
          </reference>
          <reference field="20">
            <x v="3"/>
          </reference>
        </references>
      </pivotArea>
    </format>
    <format action="formatting" dxfId="812">
      <pivotArea type="normal" dataOnly="0" labelOnly="1" outline="0" fieldPosition="0">
        <references count="2">
          <reference field="0" selected="0">
            <x v="576"/>
          </reference>
          <reference field="20">
            <x v="3"/>
          </reference>
        </references>
      </pivotArea>
    </format>
    <format action="formatting" dxfId="811">
      <pivotArea type="normal" dataOnly="0" labelOnly="1" outline="0" fieldPosition="0">
        <references count="2">
          <reference field="0" selected="0">
            <x v="577"/>
          </reference>
          <reference field="20">
            <x v="3"/>
          </reference>
        </references>
      </pivotArea>
    </format>
    <format action="formatting" dxfId="810">
      <pivotArea type="normal" dataOnly="0" labelOnly="1" outline="0" fieldPosition="0">
        <references count="2">
          <reference field="0" selected="0">
            <x v="578"/>
          </reference>
          <reference field="20">
            <x v="3"/>
          </reference>
        </references>
      </pivotArea>
    </format>
    <format action="formatting" dxfId="809">
      <pivotArea type="normal" dataOnly="0" labelOnly="1" outline="0" fieldPosition="0">
        <references count="2">
          <reference field="0" selected="0">
            <x v="579"/>
          </reference>
          <reference field="20">
            <x v="3"/>
          </reference>
        </references>
      </pivotArea>
    </format>
    <format action="formatting" dxfId="808">
      <pivotArea type="normal" dataOnly="0" labelOnly="1" outline="0" fieldPosition="0">
        <references count="2">
          <reference field="0" selected="0">
            <x v="580"/>
          </reference>
          <reference field="20">
            <x v="3"/>
          </reference>
        </references>
      </pivotArea>
    </format>
    <format action="formatting" dxfId="807">
      <pivotArea type="normal" dataOnly="0" labelOnly="1" outline="0" fieldPosition="0">
        <references count="2">
          <reference field="0" selected="0">
            <x v="581"/>
          </reference>
          <reference field="20">
            <x v="3"/>
          </reference>
        </references>
      </pivotArea>
    </format>
    <format action="formatting" dxfId="806">
      <pivotArea type="normal" dataOnly="0" labelOnly="1" outline="0" fieldPosition="0">
        <references count="2">
          <reference field="0" selected="0">
            <x v="584"/>
          </reference>
          <reference field="20">
            <x v="3"/>
          </reference>
        </references>
      </pivotArea>
    </format>
    <format action="formatting" dxfId="805">
      <pivotArea type="normal" dataOnly="0" labelOnly="1" outline="0" fieldPosition="0">
        <references count="2">
          <reference field="0" selected="0">
            <x v="585"/>
          </reference>
          <reference field="20">
            <x v="3"/>
          </reference>
        </references>
      </pivotArea>
    </format>
    <format action="formatting" dxfId="804">
      <pivotArea type="normal" dataOnly="0" labelOnly="1" outline="0" fieldPosition="0">
        <references count="2">
          <reference field="0" selected="0">
            <x v="595"/>
          </reference>
          <reference field="20">
            <x v="3"/>
          </reference>
        </references>
      </pivotArea>
    </format>
    <format action="formatting" dxfId="803">
      <pivotArea type="normal" dataOnly="0" labelOnly="1" outline="0" fieldPosition="0">
        <references count="2">
          <reference field="0" selected="0">
            <x v="599"/>
          </reference>
          <reference field="20">
            <x v="3"/>
          </reference>
        </references>
      </pivotArea>
    </format>
    <format action="formatting" dxfId="802">
      <pivotArea type="normal" dataOnly="0" labelOnly="1" outline="0" fieldPosition="0">
        <references count="2">
          <reference field="0" selected="0">
            <x v="600"/>
          </reference>
          <reference field="20">
            <x v="3"/>
          </reference>
        </references>
      </pivotArea>
    </format>
    <format action="formatting" dxfId="801">
      <pivotArea type="normal" dataOnly="0" labelOnly="1" outline="0" fieldPosition="0">
        <references count="2">
          <reference field="0" selected="0">
            <x v="601"/>
          </reference>
          <reference field="20">
            <x v="3"/>
          </reference>
        </references>
      </pivotArea>
    </format>
    <format action="formatting" dxfId="800">
      <pivotArea type="normal" dataOnly="0" labelOnly="1" outline="0" fieldPosition="0">
        <references count="2">
          <reference field="0" selected="0">
            <x v="602"/>
          </reference>
          <reference field="20">
            <x v="3"/>
          </reference>
        </references>
      </pivotArea>
    </format>
    <format action="formatting" dxfId="799">
      <pivotArea type="normal" dataOnly="0" labelOnly="1" outline="0" fieldPosition="0">
        <references count="2">
          <reference field="0" selected="0">
            <x v="603"/>
          </reference>
          <reference field="20">
            <x v="3"/>
          </reference>
        </references>
      </pivotArea>
    </format>
    <format action="formatting" dxfId="798">
      <pivotArea type="normal" dataOnly="0" labelOnly="1" outline="0" fieldPosition="0">
        <references count="2">
          <reference field="0" selected="0">
            <x v="610"/>
          </reference>
          <reference field="20">
            <x v="3"/>
          </reference>
        </references>
      </pivotArea>
    </format>
    <format action="formatting" dxfId="797">
      <pivotArea type="normal" dataOnly="0" labelOnly="1" outline="0" fieldPosition="0">
        <references count="2">
          <reference field="0" selected="0">
            <x v="611"/>
          </reference>
          <reference field="20">
            <x v="3"/>
          </reference>
        </references>
      </pivotArea>
    </format>
    <format action="formatting" dxfId="796">
      <pivotArea type="normal" dataOnly="0" labelOnly="1" outline="0" fieldPosition="0">
        <references count="2">
          <reference field="0" selected="0">
            <x v="612"/>
          </reference>
          <reference field="20">
            <x v="3"/>
          </reference>
        </references>
      </pivotArea>
    </format>
    <format action="formatting" dxfId="795">
      <pivotArea type="normal" dataOnly="0" labelOnly="1" outline="0" fieldPosition="0">
        <references count="2">
          <reference field="0" selected="0">
            <x v="613"/>
          </reference>
          <reference field="20">
            <x v="3"/>
          </reference>
        </references>
      </pivotArea>
    </format>
    <format action="formatting" dxfId="794">
      <pivotArea type="normal" dataOnly="0" labelOnly="1" outline="0" fieldPosition="0">
        <references count="2">
          <reference field="0" selected="0">
            <x v="614"/>
          </reference>
          <reference field="20">
            <x v="3"/>
          </reference>
        </references>
      </pivotArea>
    </format>
    <format action="formatting" dxfId="793">
      <pivotArea type="normal" dataOnly="0" labelOnly="1" outline="0" fieldPosition="0">
        <references count="2">
          <reference field="0" selected="0">
            <x v="615"/>
          </reference>
          <reference field="20">
            <x v="3"/>
          </reference>
        </references>
      </pivotArea>
    </format>
    <format action="formatting" dxfId="792">
      <pivotArea type="normal" dataOnly="0" labelOnly="1" outline="0" fieldPosition="0">
        <references count="2">
          <reference field="0" selected="0">
            <x v="616"/>
          </reference>
          <reference field="20">
            <x v="3"/>
          </reference>
        </references>
      </pivotArea>
    </format>
    <format action="formatting" dxfId="791">
      <pivotArea type="normal" dataOnly="0" labelOnly="1" outline="0" fieldPosition="0">
        <references count="2">
          <reference field="0" selected="0">
            <x v="617"/>
          </reference>
          <reference field="20">
            <x v="3"/>
          </reference>
        </references>
      </pivotArea>
    </format>
    <format action="formatting" dxfId="790">
      <pivotArea type="normal" dataOnly="0" labelOnly="1" outline="0" fieldPosition="0">
        <references count="2">
          <reference field="0" selected="0">
            <x v="618"/>
          </reference>
          <reference field="20">
            <x v="3"/>
          </reference>
        </references>
      </pivotArea>
    </format>
    <format action="formatting" dxfId="789">
      <pivotArea type="normal" dataOnly="0" labelOnly="1" outline="0" fieldPosition="0">
        <references count="2">
          <reference field="0" selected="0">
            <x v="619"/>
          </reference>
          <reference field="20">
            <x v="3"/>
          </reference>
        </references>
      </pivotArea>
    </format>
    <format action="formatting" dxfId="788">
      <pivotArea type="normal" dataOnly="0" labelOnly="1" outline="0" fieldPosition="0">
        <references count="2">
          <reference field="0" selected="0">
            <x v="620"/>
          </reference>
          <reference field="20">
            <x v="3"/>
          </reference>
        </references>
      </pivotArea>
    </format>
    <format action="formatting" dxfId="787">
      <pivotArea type="normal" dataOnly="0" labelOnly="1" outline="0" fieldPosition="0">
        <references count="2">
          <reference field="0" selected="0">
            <x v="621"/>
          </reference>
          <reference field="20">
            <x v="3"/>
          </reference>
        </references>
      </pivotArea>
    </format>
    <format action="formatting" dxfId="786">
      <pivotArea type="normal" dataOnly="0" labelOnly="1" outline="0" fieldPosition="0">
        <references count="2">
          <reference field="0" selected="0">
            <x v="622"/>
          </reference>
          <reference field="20">
            <x v="3"/>
          </reference>
        </references>
      </pivotArea>
    </format>
    <format action="formatting" dxfId="785">
      <pivotArea type="normal" dataOnly="0" labelOnly="1" outline="0" fieldPosition="0">
        <references count="2">
          <reference field="0" selected="0">
            <x v="623"/>
          </reference>
          <reference field="20">
            <x v="3"/>
          </reference>
        </references>
      </pivotArea>
    </format>
    <format action="formatting" dxfId="784">
      <pivotArea type="normal" dataOnly="0" labelOnly="1" outline="0" fieldPosition="0">
        <references count="2">
          <reference field="0" selected="0">
            <x v="624"/>
          </reference>
          <reference field="20">
            <x v="3"/>
          </reference>
        </references>
      </pivotArea>
    </format>
    <format action="formatting" dxfId="783">
      <pivotArea type="normal" dataOnly="0" labelOnly="1" outline="0" fieldPosition="0">
        <references count="2">
          <reference field="0" selected="0">
            <x v="625"/>
          </reference>
          <reference field="20">
            <x v="3"/>
          </reference>
        </references>
      </pivotArea>
    </format>
    <format action="formatting" dxfId="782">
      <pivotArea type="normal" dataOnly="0" labelOnly="1" outline="0" fieldPosition="0">
        <references count="2">
          <reference field="0" selected="0">
            <x v="626"/>
          </reference>
          <reference field="20">
            <x v="3"/>
          </reference>
        </references>
      </pivotArea>
    </format>
    <format action="formatting" dxfId="781">
      <pivotArea type="normal" dataOnly="0" labelOnly="1" outline="0" fieldPosition="0">
        <references count="2">
          <reference field="0" selected="0">
            <x v="627"/>
          </reference>
          <reference field="20">
            <x v="3"/>
          </reference>
        </references>
      </pivotArea>
    </format>
    <format action="formatting" dxfId="780">
      <pivotArea type="normal" dataOnly="0" labelOnly="1" outline="0" fieldPosition="0">
        <references count="2">
          <reference field="0" selected="0">
            <x v="628"/>
          </reference>
          <reference field="20">
            <x v="3"/>
          </reference>
        </references>
      </pivotArea>
    </format>
    <format action="formatting" dxfId="779">
      <pivotArea type="normal" dataOnly="0" labelOnly="1" outline="0" fieldPosition="0">
        <references count="2">
          <reference field="0" selected="0">
            <x v="629"/>
          </reference>
          <reference field="20">
            <x v="3"/>
          </reference>
        </references>
      </pivotArea>
    </format>
    <format action="formatting" dxfId="778">
      <pivotArea type="normal" dataOnly="0" labelOnly="1" outline="0" fieldPosition="0">
        <references count="2">
          <reference field="0" selected="0">
            <x v="630"/>
          </reference>
          <reference field="20">
            <x v="3"/>
          </reference>
        </references>
      </pivotArea>
    </format>
    <format action="formatting" dxfId="777">
      <pivotArea type="normal" dataOnly="0" labelOnly="1" outline="0" fieldPosition="0">
        <references count="2">
          <reference field="0" selected="0">
            <x v="631"/>
          </reference>
          <reference field="20">
            <x v="3"/>
          </reference>
        </references>
      </pivotArea>
    </format>
    <format action="formatting" dxfId="776">
      <pivotArea type="normal" dataOnly="0" labelOnly="1" outline="0" fieldPosition="0">
        <references count="2">
          <reference field="0" selected="0">
            <x v="632"/>
          </reference>
          <reference field="20">
            <x v="3"/>
          </reference>
        </references>
      </pivotArea>
    </format>
    <format action="formatting" dxfId="775">
      <pivotArea type="normal" dataOnly="0" labelOnly="1" outline="0" fieldPosition="0">
        <references count="2">
          <reference field="0" selected="0">
            <x v="633"/>
          </reference>
          <reference field="20">
            <x v="3"/>
          </reference>
        </references>
      </pivotArea>
    </format>
    <format action="formatting" dxfId="774">
      <pivotArea type="normal" dataOnly="0" labelOnly="1" outline="0" fieldPosition="0">
        <references count="2">
          <reference field="0" selected="0">
            <x v="634"/>
          </reference>
          <reference field="20">
            <x v="3"/>
          </reference>
        </references>
      </pivotArea>
    </format>
    <format action="formatting" dxfId="773">
      <pivotArea type="normal" dataOnly="0" labelOnly="1" outline="0" fieldPosition="0">
        <references count="2">
          <reference field="0" selected="0">
            <x v="635"/>
          </reference>
          <reference field="20">
            <x v="3"/>
          </reference>
        </references>
      </pivotArea>
    </format>
    <format action="formatting" dxfId="772">
      <pivotArea type="normal" dataOnly="0" labelOnly="1" outline="0" fieldPosition="0">
        <references count="2">
          <reference field="0" selected="0">
            <x v="636"/>
          </reference>
          <reference field="20">
            <x v="3"/>
          </reference>
        </references>
      </pivotArea>
    </format>
    <format action="formatting" dxfId="771">
      <pivotArea type="normal" dataOnly="0" labelOnly="1" outline="0" fieldPosition="0">
        <references count="2">
          <reference field="0" selected="0">
            <x v="637"/>
          </reference>
          <reference field="20">
            <x v="3"/>
          </reference>
        </references>
      </pivotArea>
    </format>
    <format action="formatting" dxfId="770">
      <pivotArea type="normal" dataOnly="0" labelOnly="1" outline="0" fieldPosition="0">
        <references count="2">
          <reference field="0" selected="0">
            <x v="638"/>
          </reference>
          <reference field="20">
            <x v="3"/>
          </reference>
        </references>
      </pivotArea>
    </format>
    <format action="formatting" dxfId="769">
      <pivotArea type="normal" dataOnly="0" labelOnly="1" outline="0" fieldPosition="0">
        <references count="2">
          <reference field="0" selected="0">
            <x v="639"/>
          </reference>
          <reference field="20">
            <x v="3"/>
          </reference>
        </references>
      </pivotArea>
    </format>
    <format action="formatting" dxfId="768">
      <pivotArea type="normal" dataOnly="0" labelOnly="1" outline="0" fieldPosition="0">
        <references count="2">
          <reference field="0" selected="0">
            <x v="640"/>
          </reference>
          <reference field="20">
            <x v="3"/>
          </reference>
        </references>
      </pivotArea>
    </format>
    <format action="formatting" dxfId="767">
      <pivotArea type="normal" dataOnly="0" labelOnly="1" outline="0" fieldPosition="0">
        <references count="2">
          <reference field="0" selected="0">
            <x v="641"/>
          </reference>
          <reference field="20">
            <x v="3"/>
          </reference>
        </references>
      </pivotArea>
    </format>
    <format action="formatting" dxfId="766">
      <pivotArea type="normal" dataOnly="0" labelOnly="1" outline="0" fieldPosition="0">
        <references count="2">
          <reference field="0" selected="0">
            <x v="642"/>
          </reference>
          <reference field="20">
            <x v="3"/>
          </reference>
        </references>
      </pivotArea>
    </format>
    <format action="formatting" dxfId="765">
      <pivotArea type="normal" dataOnly="0" labelOnly="1" outline="0" fieldPosition="0">
        <references count="2">
          <reference field="0" selected="0">
            <x v="643"/>
          </reference>
          <reference field="20">
            <x v="3"/>
          </reference>
        </references>
      </pivotArea>
    </format>
    <format action="formatting" dxfId="764">
      <pivotArea type="normal" dataOnly="0" labelOnly="1" outline="0" fieldPosition="0">
        <references count="2">
          <reference field="0" selected="0">
            <x v="644"/>
          </reference>
          <reference field="20">
            <x v="3"/>
          </reference>
        </references>
      </pivotArea>
    </format>
    <format action="formatting" dxfId="763">
      <pivotArea type="normal" dataOnly="0" labelOnly="1" outline="0" fieldPosition="0">
        <references count="2">
          <reference field="0" selected="0">
            <x v="645"/>
          </reference>
          <reference field="20">
            <x v="3"/>
          </reference>
        </references>
      </pivotArea>
    </format>
    <format action="formatting" dxfId="762">
      <pivotArea type="normal" dataOnly="0" labelOnly="1" outline="0" fieldPosition="0">
        <references count="2">
          <reference field="0" selected="0">
            <x v="650"/>
          </reference>
          <reference field="20">
            <x v="3"/>
          </reference>
        </references>
      </pivotArea>
    </format>
    <format action="formatting" dxfId="761">
      <pivotArea type="normal" dataOnly="0" labelOnly="1" outline="0" fieldPosition="0">
        <references count="2">
          <reference field="0" selected="0">
            <x v="651"/>
          </reference>
          <reference field="20">
            <x v="3"/>
          </reference>
        </references>
      </pivotArea>
    </format>
    <format action="formatting" dxfId="760">
      <pivotArea type="normal" dataOnly="0" labelOnly="1" outline="0" fieldPosition="0">
        <references count="2">
          <reference field="0" selected="0">
            <x v="663"/>
          </reference>
          <reference field="20">
            <x v="3"/>
          </reference>
        </references>
      </pivotArea>
    </format>
    <format action="formatting" dxfId="759">
      <pivotArea type="normal" dataOnly="0" labelOnly="1" outline="0" fieldPosition="0">
        <references count="2">
          <reference field="0" selected="0">
            <x v="664"/>
          </reference>
          <reference field="20">
            <x v="3"/>
          </reference>
        </references>
      </pivotArea>
    </format>
    <format action="formatting" dxfId="758">
      <pivotArea type="normal" dataOnly="0" labelOnly="1" outline="0" fieldPosition="0">
        <references count="2">
          <reference field="0" selected="0">
            <x v="665"/>
          </reference>
          <reference field="20">
            <x v="3"/>
          </reference>
        </references>
      </pivotArea>
    </format>
    <format action="formatting" dxfId="757">
      <pivotArea type="normal" dataOnly="0" labelOnly="1" outline="0" fieldPosition="0">
        <references count="2">
          <reference field="0" selected="0">
            <x v="666"/>
          </reference>
          <reference field="20">
            <x v="3"/>
          </reference>
        </references>
      </pivotArea>
    </format>
    <format action="formatting" dxfId="756">
      <pivotArea type="normal" dataOnly="0" labelOnly="1" outline="0" fieldPosition="0">
        <references count="2">
          <reference field="0" selected="0">
            <x v="667"/>
          </reference>
          <reference field="20">
            <x v="3"/>
          </reference>
        </references>
      </pivotArea>
    </format>
    <format action="formatting" dxfId="755">
      <pivotArea type="normal" dataOnly="0" labelOnly="1" outline="0" fieldPosition="0">
        <references count="2">
          <reference field="0" selected="0">
            <x v="668"/>
          </reference>
          <reference field="20">
            <x v="3"/>
          </reference>
        </references>
      </pivotArea>
    </format>
    <format action="formatting" dxfId="754">
      <pivotArea type="normal" dataOnly="0" labelOnly="1" outline="0" fieldPosition="0">
        <references count="2">
          <reference field="0" selected="0">
            <x v="669"/>
          </reference>
          <reference field="20">
            <x v="3"/>
          </reference>
        </references>
      </pivotArea>
    </format>
    <format action="formatting" dxfId="753">
      <pivotArea type="normal" dataOnly="0" labelOnly="1" outline="0" fieldPosition="0">
        <references count="2">
          <reference field="0" selected="0">
            <x v="670"/>
          </reference>
          <reference field="20">
            <x v="3"/>
          </reference>
        </references>
      </pivotArea>
    </format>
    <format action="formatting" dxfId="752">
      <pivotArea type="normal" dataOnly="0" labelOnly="1" outline="0" fieldPosition="0">
        <references count="2">
          <reference field="0" selected="0">
            <x v="671"/>
          </reference>
          <reference field="20">
            <x v="3"/>
          </reference>
        </references>
      </pivotArea>
    </format>
    <format action="formatting" dxfId="751">
      <pivotArea type="normal" dataOnly="0" labelOnly="1" outline="0" fieldPosition="0">
        <references count="2">
          <reference field="0" selected="0">
            <x v="672"/>
          </reference>
          <reference field="20">
            <x v="3"/>
          </reference>
        </references>
      </pivotArea>
    </format>
    <format action="formatting" dxfId="750">
      <pivotArea type="normal" dataOnly="0" labelOnly="1" outline="0" fieldPosition="0">
        <references count="2">
          <reference field="0" selected="0">
            <x v="673"/>
          </reference>
          <reference field="20">
            <x v="3"/>
          </reference>
        </references>
      </pivotArea>
    </format>
    <format action="formatting" dxfId="749">
      <pivotArea type="normal" dataOnly="0" labelOnly="1" outline="0" fieldPosition="0">
        <references count="2">
          <reference field="0" selected="0">
            <x v="692"/>
          </reference>
          <reference field="20">
            <x v="3"/>
          </reference>
        </references>
      </pivotArea>
    </format>
    <format action="formatting" dxfId="748">
      <pivotArea type="normal" dataOnly="0" labelOnly="1" outline="0" fieldPosition="0">
        <references count="2">
          <reference field="0" selected="0">
            <x v="693"/>
          </reference>
          <reference field="20">
            <x v="3"/>
          </reference>
        </references>
      </pivotArea>
    </format>
    <format action="formatting" dxfId="747">
      <pivotArea type="normal" dataOnly="0" labelOnly="1" outline="0" fieldPosition="0">
        <references count="2">
          <reference field="0" selected="0">
            <x v="694"/>
          </reference>
          <reference field="20">
            <x v="3"/>
          </reference>
        </references>
      </pivotArea>
    </format>
    <format action="formatting" dxfId="746">
      <pivotArea type="normal" dataOnly="0" labelOnly="1" outline="0" fieldPosition="0">
        <references count="2">
          <reference field="0" selected="0">
            <x v="695"/>
          </reference>
          <reference field="20">
            <x v="3"/>
          </reference>
        </references>
      </pivotArea>
    </format>
    <format action="formatting" dxfId="745">
      <pivotArea type="normal" dataOnly="0" labelOnly="1" outline="0" fieldPosition="0">
        <references count="2">
          <reference field="0" selected="0">
            <x v="697"/>
          </reference>
          <reference field="20">
            <x v="3"/>
          </reference>
        </references>
      </pivotArea>
    </format>
    <format action="formatting" dxfId="744">
      <pivotArea type="normal" dataOnly="0" labelOnly="1" outline="0" fieldPosition="0">
        <references count="2">
          <reference field="0" selected="0">
            <x v="698"/>
          </reference>
          <reference field="20">
            <x v="3"/>
          </reference>
        </references>
      </pivotArea>
    </format>
    <format action="formatting" dxfId="743">
      <pivotArea type="normal" dataOnly="0" labelOnly="1" outline="0" fieldPosition="0">
        <references count="2">
          <reference field="0" selected="0">
            <x v="699"/>
          </reference>
          <reference field="20">
            <x v="3"/>
          </reference>
        </references>
      </pivotArea>
    </format>
    <format action="formatting" dxfId="742">
      <pivotArea type="normal" dataOnly="0" labelOnly="1" outline="0" fieldPosition="0">
        <references count="2">
          <reference field="0" selected="0">
            <x v="700"/>
          </reference>
          <reference field="20">
            <x v="3"/>
          </reference>
        </references>
      </pivotArea>
    </format>
    <format action="formatting" dxfId="741">
      <pivotArea type="normal" dataOnly="0" labelOnly="1" outline="0" fieldPosition="0">
        <references count="2">
          <reference field="0" selected="0">
            <x v="703"/>
          </reference>
          <reference field="20">
            <x v="3"/>
          </reference>
        </references>
      </pivotArea>
    </format>
    <format action="formatting" dxfId="740">
      <pivotArea type="normal" dataOnly="0" labelOnly="1" outline="0" fieldPosition="0">
        <references count="2">
          <reference field="0" selected="0">
            <x v="704"/>
          </reference>
          <reference field="20">
            <x v="3"/>
          </reference>
        </references>
      </pivotArea>
    </format>
    <format action="formatting" dxfId="739">
      <pivotArea type="normal" dataOnly="0" labelOnly="1" outline="0" fieldPosition="0">
        <references count="2">
          <reference field="0" selected="0">
            <x v="705"/>
          </reference>
          <reference field="20">
            <x v="3"/>
          </reference>
        </references>
      </pivotArea>
    </format>
    <format action="formatting" dxfId="738">
      <pivotArea type="normal" dataOnly="0" labelOnly="1" outline="0" fieldPosition="0">
        <references count="2">
          <reference field="0" selected="0">
            <x v="706"/>
          </reference>
          <reference field="20">
            <x v="3"/>
          </reference>
        </references>
      </pivotArea>
    </format>
    <format action="formatting" dxfId="737">
      <pivotArea type="normal" dataOnly="0" labelOnly="1" outline="0" fieldPosition="0">
        <references count="2">
          <reference field="0" selected="0">
            <x v="707"/>
          </reference>
          <reference field="20">
            <x v="3"/>
          </reference>
        </references>
      </pivotArea>
    </format>
    <format action="formatting" dxfId="736">
      <pivotArea type="normal" dataOnly="0" labelOnly="1" outline="0" fieldPosition="0">
        <references count="2">
          <reference field="0" selected="0">
            <x v="709"/>
          </reference>
          <reference field="20">
            <x v="3"/>
          </reference>
        </references>
      </pivotArea>
    </format>
    <format action="formatting" dxfId="735">
      <pivotArea type="normal" dataOnly="0" labelOnly="1" outline="0" fieldPosition="0">
        <references count="2">
          <reference field="0" selected="0">
            <x v="710"/>
          </reference>
          <reference field="20">
            <x v="3"/>
          </reference>
        </references>
      </pivotArea>
    </format>
    <format action="formatting" dxfId="734">
      <pivotArea type="normal" dataOnly="0" labelOnly="1" outline="0" fieldPosition="0">
        <references count="2">
          <reference field="0" selected="0">
            <x v="711"/>
          </reference>
          <reference field="20">
            <x v="3"/>
          </reference>
        </references>
      </pivotArea>
    </format>
    <format action="formatting" dxfId="733">
      <pivotArea type="normal" dataOnly="0" labelOnly="1" outline="0" fieldPosition="0">
        <references count="2">
          <reference field="0" selected="0">
            <x v="712"/>
          </reference>
          <reference field="20">
            <x v="3"/>
          </reference>
        </references>
      </pivotArea>
    </format>
    <format action="formatting" dxfId="732">
      <pivotArea type="normal" dataOnly="0" labelOnly="1" outline="0" fieldPosition="0">
        <references count="2">
          <reference field="0" selected="0">
            <x v="713"/>
          </reference>
          <reference field="20">
            <x v="3"/>
          </reference>
        </references>
      </pivotArea>
    </format>
    <format action="formatting" dxfId="731">
      <pivotArea type="normal" dataOnly="0" labelOnly="1" outline="0" fieldPosition="0">
        <references count="2">
          <reference field="0" selected="0">
            <x v="724"/>
          </reference>
          <reference field="20">
            <x v="3"/>
          </reference>
        </references>
      </pivotArea>
    </format>
    <format action="formatting" dxfId="730">
      <pivotArea type="normal" dataOnly="0" labelOnly="1" outline="0" fieldPosition="0">
        <references count="2">
          <reference field="0" selected="0">
            <x v="725"/>
          </reference>
          <reference field="20">
            <x v="3"/>
          </reference>
        </references>
      </pivotArea>
    </format>
    <format action="formatting" dxfId="729">
      <pivotArea type="normal" dataOnly="0" labelOnly="1" outline="0" fieldPosition="0">
        <references count="2">
          <reference field="0" selected="0">
            <x v="726"/>
          </reference>
          <reference field="20">
            <x v="3"/>
          </reference>
        </references>
      </pivotArea>
    </format>
    <format action="formatting" dxfId="728">
      <pivotArea type="normal" dataOnly="0" labelOnly="1" outline="0" fieldPosition="0">
        <references count="2">
          <reference field="0" selected="0">
            <x v="728"/>
          </reference>
          <reference field="20">
            <x v="3"/>
          </reference>
        </references>
      </pivotArea>
    </format>
    <format action="formatting" dxfId="727">
      <pivotArea type="normal" dataOnly="0" labelOnly="1" outline="0" fieldPosition="0">
        <references count="2">
          <reference field="0" selected="0">
            <x v="729"/>
          </reference>
          <reference field="20">
            <x v="4"/>
          </reference>
        </references>
      </pivotArea>
    </format>
    <format action="formatting" dxfId="726">
      <pivotArea type="normal" dataOnly="0" labelOnly="1" outline="0" fieldPosition="0">
        <references count="2">
          <reference field="0" selected="0">
            <x v="730"/>
          </reference>
          <reference field="20">
            <x v="3"/>
          </reference>
        </references>
      </pivotArea>
    </format>
    <format action="formatting" dxfId="725">
      <pivotArea type="normal" dataOnly="0" labelOnly="1" outline="0" fieldPosition="0">
        <references count="2">
          <reference field="0" selected="0">
            <x v="731"/>
          </reference>
          <reference field="20">
            <x v="3"/>
          </reference>
        </references>
      </pivotArea>
    </format>
    <format action="formatting" dxfId="724">
      <pivotArea type="normal" dataOnly="0" labelOnly="1" outline="0" fieldPosition="0">
        <references count="2">
          <reference field="0" selected="0">
            <x v="732"/>
          </reference>
          <reference field="20">
            <x v="3"/>
          </reference>
        </references>
      </pivotArea>
    </format>
    <format action="formatting" dxfId="723">
      <pivotArea type="normal" dataOnly="0" labelOnly="1" outline="0" fieldPosition="0">
        <references count="2">
          <reference field="0" selected="0">
            <x v="733"/>
          </reference>
          <reference field="20">
            <x v="4"/>
          </reference>
        </references>
      </pivotArea>
    </format>
    <format action="formatting" dxfId="722">
      <pivotArea type="normal" dataOnly="0" labelOnly="1" outline="0" fieldPosition="0">
        <references count="2">
          <reference field="0" selected="0">
            <x v="734"/>
          </reference>
          <reference field="20">
            <x v="4"/>
          </reference>
        </references>
      </pivotArea>
    </format>
    <format action="formatting" dxfId="721">
      <pivotArea type="normal" dataOnly="0" labelOnly="1" outline="0" fieldPosition="0">
        <references count="2">
          <reference field="0" selected="0">
            <x v="735"/>
          </reference>
          <reference field="20">
            <x v="4"/>
          </reference>
        </references>
      </pivotArea>
    </format>
    <format action="formatting" dxfId="720">
      <pivotArea type="normal" dataOnly="0" labelOnly="1" outline="0" fieldPosition="0">
        <references count="2">
          <reference field="0" selected="0">
            <x v="736"/>
          </reference>
          <reference field="20">
            <x v="3"/>
          </reference>
        </references>
      </pivotArea>
    </format>
    <format action="formatting" dxfId="719">
      <pivotArea type="normal" dataOnly="0" labelOnly="1" outline="0" fieldPosition="0">
        <references count="2">
          <reference field="0" selected="0">
            <x v="737"/>
          </reference>
          <reference field="20">
            <x v="5"/>
          </reference>
        </references>
      </pivotArea>
    </format>
    <format action="formatting" dxfId="718">
      <pivotArea type="normal" dataOnly="0" labelOnly="1" outline="0" fieldPosition="0">
        <references count="2">
          <reference field="0" selected="0">
            <x v="738"/>
          </reference>
          <reference field="20">
            <x v="5"/>
          </reference>
        </references>
      </pivotArea>
    </format>
    <format action="formatting" dxfId="717">
      <pivotArea type="normal" dataOnly="0" labelOnly="1" outline="0" fieldPosition="0">
        <references count="2">
          <reference field="0" selected="0">
            <x v="739"/>
          </reference>
          <reference field="20">
            <x v="3"/>
          </reference>
        </references>
      </pivotArea>
    </format>
    <format action="formatting" dxfId="716">
      <pivotArea type="normal" dataOnly="0" labelOnly="1" outline="0" fieldPosition="0">
        <references count="2">
          <reference field="0" selected="0">
            <x v="740"/>
          </reference>
          <reference field="20">
            <x v="4"/>
          </reference>
        </references>
      </pivotArea>
    </format>
    <format action="formatting" dxfId="715">
      <pivotArea type="normal" dataOnly="0" labelOnly="1" outline="0" fieldPosition="0">
        <references count="2">
          <reference field="0" selected="0">
            <x v="741"/>
          </reference>
          <reference field="20">
            <x v="3"/>
          </reference>
        </references>
      </pivotArea>
    </format>
    <format action="formatting" dxfId="714">
      <pivotArea type="normal" dataOnly="0" labelOnly="1" outline="0" fieldPosition="0">
        <references count="2">
          <reference field="0" selected="0">
            <x v="742"/>
          </reference>
          <reference field="20">
            <x v="3"/>
          </reference>
        </references>
      </pivotArea>
    </format>
    <format action="formatting" dxfId="713">
      <pivotArea type="normal" dataOnly="0" labelOnly="1" outline="0" fieldPosition="0">
        <references count="2">
          <reference field="0" selected="0">
            <x v="743"/>
          </reference>
          <reference field="20">
            <x v="3"/>
          </reference>
        </references>
      </pivotArea>
    </format>
    <format action="formatting" dxfId="712">
      <pivotArea type="normal" dataOnly="0" labelOnly="1" outline="0" fieldPosition="0">
        <references count="2">
          <reference field="0" selected="0">
            <x v="744"/>
          </reference>
          <reference field="20">
            <x v="3"/>
          </reference>
        </references>
      </pivotArea>
    </format>
    <format action="formatting" dxfId="711">
      <pivotArea type="normal" dataOnly="0" labelOnly="1" outline="0" fieldPosition="0">
        <references count="2">
          <reference field="0" selected="0">
            <x v="793"/>
          </reference>
          <reference field="20">
            <x v="3"/>
          </reference>
        </references>
      </pivotArea>
    </format>
    <format action="formatting" dxfId="710">
      <pivotArea type="normal" dataOnly="0" labelOnly="1" outline="0" fieldPosition="0">
        <references count="2">
          <reference field="0" selected="0">
            <x v="794"/>
          </reference>
          <reference field="20">
            <x v="3"/>
          </reference>
        </references>
      </pivotArea>
    </format>
    <format action="formatting" dxfId="709">
      <pivotArea type="normal" dataOnly="0" labelOnly="1" outline="0" fieldPosition="0">
        <references count="2">
          <reference field="0" selected="0">
            <x v="806"/>
          </reference>
          <reference field="20">
            <x v="3"/>
          </reference>
        </references>
      </pivotArea>
    </format>
    <format action="formatting" dxfId="708">
      <pivotArea field="19" type="button" dataOnly="0" labelOnly="1" outline="0" axis="axisPage" fieldPosition="1"/>
    </format>
    <format action="formatting" dxfId="707">
      <pivotArea field="20" type="button" dataOnly="0" labelOnly="1" outline="0" axis="axisRow" fieldPosition="1"/>
    </format>
    <format action="formatting" dxfId="706">
      <pivotArea field="0" type="button" dataOnly="0" labelOnly="1" outline="0" axis="axisRow" fieldPosition="0"/>
    </format>
    <format action="formatting" dxfId="705">
      <pivotArea field="20" type="button" dataOnly="0" labelOnly="1" outline="0" axis="axisRow" fieldPosition="1"/>
    </format>
    <format action="formatting" dxfId="704">
      <pivotArea field="0" type="button" dataOnly="0" labelOnly="1" outline="0" axis="axisRow" fieldPosition="0"/>
    </format>
    <format action="formatting" dxfId="703">
      <pivotArea field="20"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DT1046192"/>
  <sheetViews>
    <sheetView tabSelected="1" zoomScaleNormal="100" zoomScaleSheetLayoutView="100" workbookViewId="0">
      <pane xSplit="73" ySplit="9" topLeftCell="BV10" activePane="bottomRight" state="frozen"/>
      <selection pane="topRight" activeCell="BV1" sqref="BV1"/>
      <selection pane="bottomLeft" activeCell="A10" sqref="A10"/>
      <selection pane="bottomRight" activeCell="BV41" sqref="BV41"/>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274" t="inlineStr">
        <is>
          <t>SIMBOLOGIA</t>
        </is>
      </c>
      <c r="DL1" s="275" t="n"/>
      <c r="DM1" s="275" t="n"/>
      <c r="DN1" s="275" t="n"/>
      <c r="DO1" s="275" t="n"/>
      <c r="DP1" s="275" t="n"/>
      <c r="DQ1" s="275" t="n"/>
      <c r="DR1" s="275" t="n"/>
      <c r="DS1" s="275" t="n"/>
      <c r="DT1" s="276"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23"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V4" s="323"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96" t="inlineStr">
        <is>
          <t>PMAP</t>
        </is>
      </c>
      <c r="DB5" s="297" t="n"/>
      <c r="DC5" s="297" t="n"/>
      <c r="DD5" s="297" t="n"/>
      <c r="DE5" s="297" t="n"/>
      <c r="DF5" s="297" t="n"/>
      <c r="DG5" s="297" t="n"/>
      <c r="DH5" s="297" t="n"/>
      <c r="DI5" s="29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70" t="inlineStr">
        <is>
          <t>CÓDIGO</t>
        </is>
      </c>
      <c r="B7" s="284" t="inlineStr">
        <is>
          <t>CÓDIGO MST</t>
        </is>
      </c>
      <c r="C7" s="305" t="inlineStr">
        <is>
          <t>NIVEL (31705/2023)</t>
        </is>
      </c>
      <c r="D7" s="258" t="inlineStr">
        <is>
          <t>COMPROMISO FINAL</t>
        </is>
      </c>
      <c r="E7" s="265" t="inlineStr">
        <is>
          <t>COMPROMETIDO
RCA 20219900112</t>
        </is>
      </c>
      <c r="F7" s="265" t="inlineStr">
        <is>
          <t>COMPROMETIDO 
RCA ANTERIORES -SERVICIO SALUD</t>
        </is>
      </c>
      <c r="G7" s="265" t="inlineStr">
        <is>
          <t>COMPROMETIDO PDC</t>
        </is>
      </c>
      <c r="H7" s="265" t="inlineStr">
        <is>
          <t>COORDENADA
ESTE (m)</t>
        </is>
      </c>
      <c r="I7" s="265" t="inlineStr">
        <is>
          <t>COORDENADA 
NORTE (m)</t>
        </is>
      </c>
      <c r="J7" s="265" t="inlineStr">
        <is>
          <t>ESTADO PUNTO DE MONITOREO</t>
        </is>
      </c>
      <c r="K7" s="265" t="inlineStr">
        <is>
          <t>REQUIERE MEDICIÓN CONTINUA PARA NIVEL</t>
        </is>
      </c>
      <c r="L7" s="265" t="inlineStr">
        <is>
          <t>MATRIZ</t>
        </is>
      </c>
      <c r="M7" s="265" t="inlineStr">
        <is>
          <t>MACROZONA</t>
        </is>
      </c>
      <c r="N7" s="265" t="inlineStr">
        <is>
          <t>DESCRIPCIÓN</t>
        </is>
      </c>
      <c r="O7" s="265" t="inlineStr">
        <is>
          <t>ÁREA UBICACIÓN</t>
        </is>
      </c>
      <c r="P7" s="256" t="inlineStr">
        <is>
          <t>NIVEL
RCA 20219900112</t>
        </is>
      </c>
      <c r="Q7" s="256" t="inlineStr">
        <is>
          <t>FRECUENCIA 
NIVEL 1
RCA 20219900112</t>
        </is>
      </c>
      <c r="R7" s="256" t="inlineStr">
        <is>
          <t>FRECUENCIA 
NIVEL 2
RCA 20219900112</t>
        </is>
      </c>
      <c r="S7" s="256" t="inlineStr">
        <is>
          <t>FRECUENCIA 
NIVEL 3
RCA 20219900112</t>
        </is>
      </c>
      <c r="T7" s="256" t="inlineStr">
        <is>
          <t>NIVEL 
ANTERIOR</t>
        </is>
      </c>
      <c r="U7" s="256" t="inlineStr">
        <is>
          <t>FRECUENCIA 
NIVEL ANTERIOR</t>
        </is>
      </c>
      <c r="V7" s="258" t="inlineStr">
        <is>
          <t>NIVEL FREÁTICO
TERRENO</t>
        </is>
      </c>
      <c r="W7" s="258" t="inlineStr">
        <is>
          <t>FRECUENCIA NIVEL FREÁTICO
TERRENO - RESTRICTIVA</t>
        </is>
      </c>
      <c r="X7" s="256" t="inlineStr">
        <is>
          <t>CAUDAL DE BOMBEO
RCA 20219900112</t>
        </is>
      </c>
      <c r="Y7" s="256" t="inlineStr">
        <is>
          <t>FRECUENCIA 
CAUDAL DE BOMBEO
RCA 20219900112</t>
        </is>
      </c>
      <c r="Z7" s="256" t="inlineStr">
        <is>
          <t>CAUDAL DE BOMBEO 
ANTERIOR</t>
        </is>
      </c>
      <c r="AA7" s="256" t="inlineStr">
        <is>
          <t>FRECUENCIA 
CAUDAL DE BOMBEO 
ANTERIOR</t>
        </is>
      </c>
      <c r="AB7" s="258" t="inlineStr">
        <is>
          <t>CAUDAL DE BOMBEO
TERRENO</t>
        </is>
      </c>
      <c r="AC7" s="258" t="inlineStr">
        <is>
          <t>FRECUENCIA CAUDAL DE BOMBEO
TERRENO - RESTRICTIVA</t>
        </is>
      </c>
      <c r="AD7" s="256" t="inlineStr">
        <is>
          <t>CAUDAL 
VOLUMÉTRICO
RCA 20219900112</t>
        </is>
      </c>
      <c r="AE7" s="256" t="inlineStr">
        <is>
          <t>FRECUENCIA 
CAUDAL VOLUMÉTRICO 1
RCA 20219900112</t>
        </is>
      </c>
      <c r="AF7" s="256" t="inlineStr">
        <is>
          <t>FRECUENCIA
 CAUDAL VOLUMÉTRICO 2
RCA 20219900112</t>
        </is>
      </c>
      <c r="AG7" s="256" t="inlineStr">
        <is>
          <t>CAUDAL VOLÚMETRICO 
ANTERIOR</t>
        </is>
      </c>
      <c r="AH7" s="256" t="inlineStr">
        <is>
          <t>FRECUENCIA
 CAUDAL VOLUMÉTRICO
ANTERIOR</t>
        </is>
      </c>
      <c r="AI7" s="258" t="inlineStr">
        <is>
          <t>CAUDAL VOLUMÉTRICO
TERRENO</t>
        </is>
      </c>
      <c r="AJ7" s="258" t="inlineStr">
        <is>
          <t>FRECUENCIA CAUDAL VOLUMÉTRICO 
TERRENO- RESTRICTIVA</t>
        </is>
      </c>
      <c r="AK7" s="256" t="inlineStr">
        <is>
          <t>CALIDAD DE AGUA
RCA 20219900112</t>
        </is>
      </c>
      <c r="AL7" s="256" t="inlineStr">
        <is>
          <t>FRECUENCIA 
CALIDAD DE AGUA 1
RCA 20219900112</t>
        </is>
      </c>
      <c r="AM7" s="256" t="inlineStr">
        <is>
          <t>FRECUENCIA 
CALIDAD DE AGUA 2
RCA 20219900112</t>
        </is>
      </c>
      <c r="AN7" s="256" t="inlineStr">
        <is>
          <t>CALIDAD DE AGUA
ANTERIOR
PLAN 1</t>
        </is>
      </c>
      <c r="AO7" s="256" t="inlineStr">
        <is>
          <t>FRECUENCIA 
CALIDAD DE AGUA
ANTERIOR
PLAN 1</t>
        </is>
      </c>
      <c r="AP7" s="256" t="inlineStr">
        <is>
          <t>CALIDAD DE AGUA
 ANTERIOR
PLAN 2</t>
        </is>
      </c>
      <c r="AQ7" s="256" t="inlineStr">
        <is>
          <t>FRECUENCIA 
CALIDAD DE AGUA ANTERIOR
PLAN 2</t>
        </is>
      </c>
      <c r="AR7" s="256" t="inlineStr">
        <is>
          <t>CALIDAD DE AGUA
ANTERIOR
PLAN 3</t>
        </is>
      </c>
      <c r="AS7" s="256" t="inlineStr">
        <is>
          <t>FRECUENCIA 
CALIDAD DE AGUA
ANTERIOR
PLAN 3</t>
        </is>
      </c>
      <c r="AT7" s="258" t="inlineStr">
        <is>
          <t>CALIDAD DE AGUA
TERRENO</t>
        </is>
      </c>
      <c r="AU7" s="258" t="inlineStr">
        <is>
          <t>FRECUENCIA CALIDAD DE AGUA
TERRENO- RESTRICTIVA</t>
        </is>
      </c>
      <c r="AV7" s="256" t="inlineStr">
        <is>
          <t>OTRAS VARIABLES
RCA 20219900112</t>
        </is>
      </c>
      <c r="AW7" s="256" t="inlineStr">
        <is>
          <t>FRECUENCIA 
OTRAS VARIABLES
RCA 20219900112</t>
        </is>
      </c>
      <c r="AX7" s="256" t="inlineStr">
        <is>
          <t>OTRAS VARIABLES
ANTERIOR
PLAN 1</t>
        </is>
      </c>
      <c r="AY7" s="256" t="inlineStr">
        <is>
          <t>FRECUENCIA 
OTRAS VARIABLES 
ANTERIOR
PLAN 1</t>
        </is>
      </c>
      <c r="AZ7" s="256" t="inlineStr">
        <is>
          <t>OTRAS VARIABLES
ANTERIOR
PLAN 2</t>
        </is>
      </c>
      <c r="BA7" s="256" t="inlineStr">
        <is>
          <t>FRECUENCIA 
OTRAS VARIABLES 
ANTERIOR
PLAN 2</t>
        </is>
      </c>
      <c r="BB7" s="256" t="inlineStr">
        <is>
          <t>OTRAS VARIABLES
ANTERIOR
PLAN 3</t>
        </is>
      </c>
      <c r="BC7" s="256" t="inlineStr">
        <is>
          <t>FRECUENCIA 
OTRAS VARIABLES 
ANTERIOR
PLAN 3</t>
        </is>
      </c>
      <c r="BD7" s="258" t="inlineStr">
        <is>
          <t>OTRAS VARIABLES
TERRENO</t>
        </is>
      </c>
      <c r="BE7" s="258" t="inlineStr">
        <is>
          <t>FRECUENCIA 
OTRAS VARIABLES
TERRENO- RESTRICTIVA</t>
        </is>
      </c>
      <c r="BF7" s="256" t="inlineStr">
        <is>
          <t>REPORTE A LA AUTORIDAD - COMUNIDAD</t>
        </is>
      </c>
      <c r="BG7" s="256" t="inlineStr">
        <is>
          <t>COMPROMISO CORRESPONDE A:</t>
        </is>
      </c>
      <c r="BH7" s="256" t="inlineStr">
        <is>
          <t>RCA</t>
        </is>
      </c>
      <c r="BI7" s="256" t="inlineStr">
        <is>
          <t>OBSERVACIONES</t>
        </is>
      </c>
      <c r="BJ7" s="256" t="inlineStr">
        <is>
          <t>FECHA DE MODIFICACIÓN</t>
        </is>
      </c>
      <c r="BK7" s="290" t="inlineStr">
        <is>
          <t>TAG</t>
        </is>
      </c>
      <c r="BL7" s="290" t="inlineStr">
        <is>
          <t>GERENCIA</t>
        </is>
      </c>
      <c r="BM7" s="262" t="inlineStr">
        <is>
          <t>MATRIZ TERRENO</t>
        </is>
      </c>
      <c r="BN7" s="262" t="inlineStr">
        <is>
          <t>UBICACIÓN</t>
        </is>
      </c>
      <c r="BO7" s="290" t="inlineStr">
        <is>
          <t>COMPROMETIDO</t>
        </is>
      </c>
      <c r="BP7" s="293" t="inlineStr">
        <is>
          <t>CONECTOR</t>
        </is>
      </c>
      <c r="BQ7" s="262" t="inlineStr">
        <is>
          <t>Ots</t>
        </is>
      </c>
      <c r="BR7" s="262" t="inlineStr">
        <is>
          <t>FECHA INICIO  OT</t>
        </is>
      </c>
      <c r="BS7" s="262" t="inlineStr">
        <is>
          <t>FECHA TERMINO OT</t>
        </is>
      </c>
      <c r="BT7" s="263" t="inlineStr">
        <is>
          <t>SOLICITUDES ESPECIALES</t>
        </is>
      </c>
      <c r="BU7" s="263"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294" t="inlineStr">
        <is>
          <t>CONTADOR</t>
        </is>
      </c>
      <c r="DA7" s="291" t="inlineStr">
        <is>
          <t>JACHUCOPOSA</t>
        </is>
      </c>
      <c r="DB7" s="295" t="inlineStr">
        <is>
          <t>HUATACONDO</t>
        </is>
      </c>
      <c r="DC7" s="268" t="inlineStr">
        <is>
          <t>SALLIHUINCA</t>
        </is>
      </c>
      <c r="DD7" s="288" t="inlineStr">
        <is>
          <t>AIA NACIENTE COLLAHUASI</t>
        </is>
      </c>
      <c r="DE7" s="269" t="inlineStr">
        <is>
          <t>COPAQUIRE SEGOVIA</t>
        </is>
      </c>
      <c r="DF7" s="289" t="inlineStr">
        <is>
          <t>AGI COPAQUIRE</t>
        </is>
      </c>
      <c r="DG7" s="303" t="inlineStr">
        <is>
          <t>TAMENTICA</t>
        </is>
      </c>
      <c r="DH7" s="299" t="inlineStr">
        <is>
          <t>CHICLLA</t>
        </is>
      </c>
      <c r="DI7" s="304" t="inlineStr">
        <is>
          <t>YABRICOYITA Y CAYA</t>
        </is>
      </c>
      <c r="DJ7" s="302" t="inlineStr">
        <is>
          <t>SIN CALIDAD
(Nivel - Caudal - Cloro)</t>
        </is>
      </c>
      <c r="DK7" s="277" t="inlineStr">
        <is>
          <t>DIA INICIO OT</t>
        </is>
      </c>
      <c r="DL7" s="282" t="inlineStr">
        <is>
          <t>DIA FIN OT</t>
        </is>
      </c>
      <c r="DM7" s="278" t="inlineStr">
        <is>
          <t>CALIDAD</t>
        </is>
      </c>
      <c r="DN7" s="283" t="inlineStr">
        <is>
          <t>DIA INICIO OT</t>
        </is>
      </c>
      <c r="DO7" s="279" t="inlineStr">
        <is>
          <t>DIA FIN OT</t>
        </is>
      </c>
    </row>
    <row r="8" ht="15" customHeight="1">
      <c r="A8" s="271" t="n"/>
      <c r="B8" s="285" t="n"/>
      <c r="C8" s="257" t="n"/>
      <c r="D8" s="257" t="n"/>
      <c r="E8" s="257" t="n"/>
      <c r="F8" s="257" t="n"/>
      <c r="G8" s="257" t="n"/>
      <c r="H8" s="257" t="n"/>
      <c r="I8" s="257" t="n"/>
      <c r="J8" s="257" t="n"/>
      <c r="K8" s="257" t="n"/>
      <c r="L8" s="257" t="n"/>
      <c r="M8" s="257" t="n"/>
      <c r="N8" s="257" t="n"/>
      <c r="O8" s="257" t="n"/>
      <c r="P8" s="257" t="n"/>
      <c r="Q8" s="257" t="n"/>
      <c r="R8" s="257" t="n"/>
      <c r="S8" s="257" t="n"/>
      <c r="T8" s="257" t="n"/>
      <c r="U8" s="257" t="n"/>
      <c r="V8" s="257" t="n"/>
      <c r="W8" s="257" t="n"/>
      <c r="X8" s="257" t="n"/>
      <c r="Y8" s="257" t="n"/>
      <c r="Z8" s="257" t="n"/>
      <c r="AA8" s="257" t="n"/>
      <c r="AB8" s="257" t="n"/>
      <c r="AC8" s="257" t="n"/>
      <c r="AD8" s="257" t="n"/>
      <c r="AE8" s="257" t="n"/>
      <c r="AF8" s="257" t="n"/>
      <c r="AG8" s="257" t="n"/>
      <c r="AH8" s="257" t="n"/>
      <c r="AI8" s="257" t="n"/>
      <c r="AJ8" s="257" t="n"/>
      <c r="AK8" s="257" t="n"/>
      <c r="AL8" s="257" t="n"/>
      <c r="AM8" s="257" t="n"/>
      <c r="AN8" s="257" t="n"/>
      <c r="AO8" s="257" t="n"/>
      <c r="AP8" s="257" t="n"/>
      <c r="AQ8" s="257" t="n"/>
      <c r="AR8" s="257" t="n"/>
      <c r="AS8" s="257" t="n"/>
      <c r="AT8" s="257" t="n"/>
      <c r="AU8" s="257" t="n"/>
      <c r="AV8" s="257" t="n"/>
      <c r="AW8" s="257" t="n"/>
      <c r="AX8" s="257" t="n"/>
      <c r="AY8" s="257" t="n"/>
      <c r="AZ8" s="257" t="n"/>
      <c r="BA8" s="257" t="n"/>
      <c r="BB8" s="257" t="n"/>
      <c r="BC8" s="257" t="n"/>
      <c r="BD8" s="257" t="n"/>
      <c r="BE8" s="257" t="n"/>
      <c r="BF8" s="257" t="n"/>
      <c r="BG8" s="257" t="n"/>
      <c r="BH8" s="257" t="n"/>
      <c r="BI8" s="257" t="n"/>
      <c r="BJ8" s="257" t="n"/>
      <c r="BK8" s="257" t="n"/>
      <c r="BL8" s="257" t="n"/>
      <c r="BM8" s="257" t="n"/>
      <c r="BN8" s="257" t="n"/>
      <c r="BO8" s="257" t="n"/>
      <c r="BP8" s="257" t="n"/>
      <c r="BQ8" s="257" t="n"/>
      <c r="BR8" s="257" t="n"/>
      <c r="BS8" s="257" t="n"/>
      <c r="BT8" s="264" t="n"/>
      <c r="BU8" s="264"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285" t="n"/>
      <c r="DA8" s="264" t="n"/>
      <c r="DB8" s="257" t="n"/>
      <c r="DC8" s="257" t="n"/>
      <c r="DD8" s="257" t="n"/>
      <c r="DE8" s="257" t="n"/>
      <c r="DF8" s="257" t="n"/>
      <c r="DG8" s="257" t="n"/>
      <c r="DH8" s="257" t="n"/>
      <c r="DI8" s="257" t="n"/>
      <c r="DJ8" s="257" t="n"/>
      <c r="DK8" s="257" t="n"/>
      <c r="DL8" s="257" t="n"/>
      <c r="DM8" s="257" t="n"/>
      <c r="DN8" s="257" t="n"/>
      <c r="DO8" s="280" t="n"/>
    </row>
    <row r="9" ht="13.5" customHeight="1">
      <c r="A9" s="272" t="n"/>
      <c r="B9" s="286" t="n"/>
      <c r="C9" s="257" t="n"/>
      <c r="D9" s="255" t="n"/>
      <c r="E9" s="255" t="n"/>
      <c r="F9" s="255" t="n"/>
      <c r="G9" s="255" t="n"/>
      <c r="H9" s="255" t="n"/>
      <c r="I9" s="255" t="n"/>
      <c r="J9" s="255" t="n"/>
      <c r="K9" s="255" t="n"/>
      <c r="L9" s="255" t="n"/>
      <c r="M9" s="255" t="n"/>
      <c r="N9" s="255" t="n"/>
      <c r="O9" s="255" t="n"/>
      <c r="P9" s="255" t="n"/>
      <c r="Q9" s="255" t="n"/>
      <c r="R9" s="255" t="n"/>
      <c r="S9" s="255" t="n"/>
      <c r="T9" s="255" t="n"/>
      <c r="U9" s="255" t="n"/>
      <c r="V9" s="255" t="n"/>
      <c r="W9" s="255" t="n"/>
      <c r="X9" s="255" t="n"/>
      <c r="Y9" s="255" t="n"/>
      <c r="Z9" s="255" t="n"/>
      <c r="AA9" s="255" t="n"/>
      <c r="AB9" s="255" t="n"/>
      <c r="AC9" s="255" t="n"/>
      <c r="AD9" s="255" t="n"/>
      <c r="AE9" s="255" t="n"/>
      <c r="AF9" s="255" t="n"/>
      <c r="AG9" s="255" t="n"/>
      <c r="AH9" s="255" t="n"/>
      <c r="AI9" s="255" t="n"/>
      <c r="AJ9" s="255" t="n"/>
      <c r="AK9" s="255" t="n"/>
      <c r="AL9" s="255" t="n"/>
      <c r="AM9" s="255" t="n"/>
      <c r="AN9" s="255" t="n"/>
      <c r="AO9" s="255" t="n"/>
      <c r="AP9" s="255" t="n"/>
      <c r="AQ9" s="255" t="n"/>
      <c r="AR9" s="255" t="n"/>
      <c r="AS9" s="255" t="n"/>
      <c r="AT9" s="255" t="n"/>
      <c r="AU9" s="255" t="n"/>
      <c r="AV9" s="255" t="n"/>
      <c r="AW9" s="255" t="n"/>
      <c r="AX9" s="255" t="n"/>
      <c r="AY9" s="255" t="n"/>
      <c r="AZ9" s="255" t="n"/>
      <c r="BA9" s="255" t="n"/>
      <c r="BB9" s="255" t="n"/>
      <c r="BC9" s="255" t="n"/>
      <c r="BD9" s="255" t="n"/>
      <c r="BE9" s="255" t="n"/>
      <c r="BF9" s="255" t="n"/>
      <c r="BG9" s="255" t="n"/>
      <c r="BH9" s="255" t="n"/>
      <c r="BI9" s="255" t="n"/>
      <c r="BJ9" s="255" t="n"/>
      <c r="BK9" s="255" t="n"/>
      <c r="BL9" s="255" t="n"/>
      <c r="BM9" s="257" t="n"/>
      <c r="BN9" s="257" t="n"/>
      <c r="BO9" s="255" t="n"/>
      <c r="BP9" s="257" t="n"/>
      <c r="BQ9" s="257" t="n"/>
      <c r="BR9" s="257" t="n"/>
      <c r="BS9" s="257" t="n"/>
      <c r="BT9" s="252" t="n"/>
      <c r="BU9" s="252"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286" t="n"/>
      <c r="DA9" s="264" t="n"/>
      <c r="DB9" s="255" t="n"/>
      <c r="DC9" s="255" t="n"/>
      <c r="DD9" s="255" t="n"/>
      <c r="DE9" s="255" t="n"/>
      <c r="DF9" s="255" t="n"/>
      <c r="DG9" s="255" t="n"/>
      <c r="DH9" s="255" t="n"/>
      <c r="DI9" s="255" t="n"/>
      <c r="DJ9" s="255" t="n"/>
      <c r="DK9" s="255" t="n"/>
      <c r="DL9" s="255" t="n"/>
      <c r="DM9" s="255" t="n"/>
      <c r="DN9" s="255" t="n"/>
      <c r="DO9" s="281" t="n"/>
    </row>
    <row r="10" ht="13.5" customHeight="1">
      <c r="A10" s="203" t="inlineStr">
        <is>
          <t>BCC</t>
        </is>
      </c>
      <c r="B10" s="260" t="inlineStr">
        <is>
          <t>MONITOREO DE BAÑOS Y CASINOS BCC</t>
        </is>
      </c>
      <c r="C10" s="254"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61"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253" t="n"/>
      <c r="BV10" s="142" t="inlineStr">
        <is>
          <t>R</t>
        </is>
      </c>
      <c r="BW10" s="142" t="inlineStr">
        <is>
          <t>R</t>
        </is>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4" t="n"/>
      <c r="DB10" s="254" t="n"/>
      <c r="DC10" s="254" t="n"/>
      <c r="DD10" s="254" t="n"/>
      <c r="DE10" s="254" t="n"/>
      <c r="DF10" s="254" t="n"/>
      <c r="DG10" s="254" t="n"/>
      <c r="DH10" s="254" t="n"/>
      <c r="DI10" s="254" t="n"/>
      <c r="DJ10" s="266" t="inlineStr">
        <is>
          <t>D</t>
        </is>
      </c>
      <c r="DK10" s="266" t="inlineStr">
        <is>
          <t>R</t>
        </is>
      </c>
      <c r="DL10" s="266" t="inlineStr">
        <is>
          <t>R</t>
        </is>
      </c>
      <c r="DM10" s="254" t="n"/>
      <c r="DN10" s="95" t="n"/>
      <c r="DO10" s="95" t="n"/>
    </row>
    <row r="11" ht="13" customHeight="1">
      <c r="A11" s="203" t="inlineStr">
        <is>
          <t>BCC</t>
        </is>
      </c>
      <c r="B11" s="255" t="n"/>
      <c r="C11" s="255"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255"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252"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4" t="n"/>
      <c r="DB11" s="254" t="n"/>
      <c r="DC11" s="254" t="n"/>
      <c r="DD11" s="254" t="n"/>
      <c r="DE11" s="254" t="n"/>
      <c r="DF11" s="254" t="n"/>
      <c r="DG11" s="254" t="n"/>
      <c r="DH11" s="254" t="n"/>
      <c r="DI11" s="254" t="n"/>
      <c r="DJ11" s="266" t="n"/>
      <c r="DK11" s="266" t="n"/>
      <c r="DL11" s="266" t="n"/>
      <c r="DM11" s="266" t="inlineStr">
        <is>
          <t>2M-A</t>
        </is>
      </c>
      <c r="DN11" s="157" t="inlineStr">
        <is>
          <t>5-23</t>
        </is>
      </c>
      <c r="DO11" s="157" t="inlineStr">
        <is>
          <t>11-29</t>
        </is>
      </c>
    </row>
    <row r="12" ht="13" customHeight="1">
      <c r="A12" s="204" t="inlineStr">
        <is>
          <t>BCON</t>
        </is>
      </c>
      <c r="B12" s="260" t="inlineStr">
        <is>
          <t>BCON UJINA</t>
        </is>
      </c>
      <c r="C12" s="254"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61"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253" t="n"/>
      <c r="BV12" s="142" t="inlineStr">
        <is>
          <t>R</t>
        </is>
      </c>
      <c r="BW12" s="142" t="inlineStr">
        <is>
          <t>R</t>
        </is>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4" t="n"/>
      <c r="DB12" s="254" t="n"/>
      <c r="DC12" s="254" t="n"/>
      <c r="DD12" s="254" t="n"/>
      <c r="DE12" s="254" t="n"/>
      <c r="DF12" s="254" t="n"/>
      <c r="DG12" s="254" t="n"/>
      <c r="DH12" s="254" t="n"/>
      <c r="DI12" s="254" t="n"/>
      <c r="DJ12" s="266" t="inlineStr">
        <is>
          <t>D</t>
        </is>
      </c>
      <c r="DK12" s="266" t="inlineStr">
        <is>
          <t>R</t>
        </is>
      </c>
      <c r="DL12" s="266" t="inlineStr">
        <is>
          <t>R</t>
        </is>
      </c>
      <c r="DM12" s="266" t="n"/>
      <c r="DN12" s="157" t="n"/>
      <c r="DO12" s="157" t="n"/>
    </row>
    <row r="13" ht="13" customHeight="1">
      <c r="A13" s="204" t="inlineStr">
        <is>
          <t>BCON</t>
        </is>
      </c>
      <c r="B13" s="255" t="n"/>
      <c r="C13" s="255"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255"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252"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4" t="n"/>
      <c r="DB13" s="254" t="n"/>
      <c r="DC13" s="254" t="n"/>
      <c r="DD13" s="254" t="n"/>
      <c r="DE13" s="254" t="n"/>
      <c r="DF13" s="254" t="n"/>
      <c r="DG13" s="254" t="n"/>
      <c r="DH13" s="254" t="n"/>
      <c r="DI13" s="254" t="n"/>
      <c r="DJ13" s="266" t="n"/>
      <c r="DK13" s="266" t="n"/>
      <c r="DL13" s="266" t="n"/>
      <c r="DM13" s="266" t="inlineStr">
        <is>
          <t>2M-A</t>
        </is>
      </c>
      <c r="DN13" s="157" t="inlineStr">
        <is>
          <t>5-23</t>
        </is>
      </c>
      <c r="DO13" s="157" t="inlineStr">
        <is>
          <t>11-29</t>
        </is>
      </c>
    </row>
    <row r="14" ht="13" customHeight="1">
      <c r="A14" s="203" t="inlineStr">
        <is>
          <t>BGSO</t>
        </is>
      </c>
      <c r="B14" s="260" t="inlineStr">
        <is>
          <t>BGSO UJINA</t>
        </is>
      </c>
      <c r="C14" s="254"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61"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253" t="n"/>
      <c r="BV14" s="142" t="inlineStr">
        <is>
          <t>R</t>
        </is>
      </c>
      <c r="BW14" s="142" t="inlineStr">
        <is>
          <t>R</t>
        </is>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4" t="n"/>
      <c r="DB14" s="254" t="n"/>
      <c r="DC14" s="254" t="n"/>
      <c r="DD14" s="254" t="n"/>
      <c r="DE14" s="254" t="n"/>
      <c r="DF14" s="254" t="n"/>
      <c r="DG14" s="254" t="n"/>
      <c r="DH14" s="254" t="n"/>
      <c r="DI14" s="254" t="n"/>
      <c r="DJ14" s="266" t="inlineStr">
        <is>
          <t>D</t>
        </is>
      </c>
      <c r="DK14" s="266" t="inlineStr">
        <is>
          <t>R</t>
        </is>
      </c>
      <c r="DL14" s="266" t="inlineStr">
        <is>
          <t>R</t>
        </is>
      </c>
      <c r="DM14" s="266" t="n"/>
      <c r="DN14" s="157" t="n"/>
      <c r="DO14" s="157" t="n"/>
    </row>
    <row r="15" ht="13" customHeight="1">
      <c r="A15" s="203" t="inlineStr">
        <is>
          <t>BGSO</t>
        </is>
      </c>
      <c r="B15" s="255" t="n"/>
      <c r="C15" s="255"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255"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252"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4" t="n"/>
      <c r="DB15" s="254" t="n"/>
      <c r="DC15" s="254" t="n"/>
      <c r="DD15" s="254" t="n"/>
      <c r="DE15" s="254" t="n"/>
      <c r="DF15" s="254" t="n"/>
      <c r="DG15" s="254" t="n"/>
      <c r="DH15" s="254" t="n"/>
      <c r="DI15" s="254" t="n"/>
      <c r="DJ15" s="266" t="n"/>
      <c r="DK15" s="266" t="n"/>
      <c r="DL15" s="266" t="n"/>
      <c r="DM15" s="266" t="inlineStr">
        <is>
          <t>2M-A</t>
        </is>
      </c>
      <c r="DN15" s="157" t="inlineStr">
        <is>
          <t>5-23</t>
        </is>
      </c>
      <c r="DO15" s="157" t="inlineStr">
        <is>
          <t>11-29</t>
        </is>
      </c>
    </row>
    <row r="16" ht="13" customHeight="1">
      <c r="A16" s="203" t="inlineStr">
        <is>
          <t>BOR</t>
        </is>
      </c>
      <c r="B16" s="260" t="inlineStr">
        <is>
          <t>BOR ROSARIO</t>
        </is>
      </c>
      <c r="C16" s="254"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61"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253" t="n"/>
      <c r="BV16" s="142" t="inlineStr">
        <is>
          <t>R</t>
        </is>
      </c>
      <c r="BW16" s="142" t="inlineStr">
        <is>
          <t>R</t>
        </is>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4" t="n"/>
      <c r="DB16" s="254" t="n"/>
      <c r="DC16" s="254" t="n"/>
      <c r="DD16" s="254" t="n"/>
      <c r="DE16" s="254" t="n"/>
      <c r="DF16" s="254" t="n"/>
      <c r="DG16" s="254" t="n"/>
      <c r="DH16" s="254" t="n"/>
      <c r="DI16" s="254" t="n"/>
      <c r="DJ16" s="266" t="inlineStr">
        <is>
          <t>D</t>
        </is>
      </c>
      <c r="DK16" s="266" t="inlineStr">
        <is>
          <t>R</t>
        </is>
      </c>
      <c r="DL16" s="266" t="inlineStr">
        <is>
          <t>R</t>
        </is>
      </c>
      <c r="DM16" s="266" t="n"/>
      <c r="DN16" s="157" t="n"/>
      <c r="DO16" s="157" t="n"/>
    </row>
    <row r="17" ht="13" customHeight="1">
      <c r="A17" s="203" t="inlineStr">
        <is>
          <t>BOR</t>
        </is>
      </c>
      <c r="B17" s="255" t="n"/>
      <c r="C17" s="255"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255"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252"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4" t="n"/>
      <c r="DB17" s="254" t="n"/>
      <c r="DC17" s="254" t="n"/>
      <c r="DD17" s="254" t="n"/>
      <c r="DE17" s="254" t="n"/>
      <c r="DF17" s="254" t="n"/>
      <c r="DG17" s="254" t="n"/>
      <c r="DH17" s="254" t="n"/>
      <c r="DI17" s="254" t="n"/>
      <c r="DJ17" s="266" t="n"/>
      <c r="DK17" s="266" t="n"/>
      <c r="DL17" s="266" t="n"/>
      <c r="DM17" s="266" t="inlineStr">
        <is>
          <t>2M-A</t>
        </is>
      </c>
      <c r="DN17" s="157" t="inlineStr">
        <is>
          <t>5-23</t>
        </is>
      </c>
      <c r="DO17" s="157" t="inlineStr">
        <is>
          <t>11-29</t>
        </is>
      </c>
    </row>
    <row r="18" ht="13" customHeight="1">
      <c r="A18" s="203" t="inlineStr">
        <is>
          <t>BPCR</t>
        </is>
      </c>
      <c r="B18" s="260" t="inlineStr">
        <is>
          <t>BPCR ROSARIO</t>
        </is>
      </c>
      <c r="C18" s="254"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61"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253" t="n"/>
      <c r="BV18" s="142" t="inlineStr">
        <is>
          <t>R</t>
        </is>
      </c>
      <c r="BW18" s="142" t="inlineStr">
        <is>
          <t>R</t>
        </is>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4" t="n"/>
      <c r="DB18" s="254" t="n"/>
      <c r="DC18" s="254" t="n"/>
      <c r="DD18" s="254" t="n"/>
      <c r="DE18" s="254" t="n"/>
      <c r="DF18" s="254" t="n"/>
      <c r="DG18" s="254" t="n"/>
      <c r="DH18" s="254" t="n"/>
      <c r="DI18" s="254" t="n"/>
      <c r="DJ18" s="266" t="inlineStr">
        <is>
          <t>D</t>
        </is>
      </c>
      <c r="DK18" s="266" t="inlineStr">
        <is>
          <t>R</t>
        </is>
      </c>
      <c r="DL18" s="266" t="inlineStr">
        <is>
          <t>R</t>
        </is>
      </c>
      <c r="DM18" s="266" t="n"/>
      <c r="DN18" s="157" t="n"/>
      <c r="DO18" s="157" t="n"/>
    </row>
    <row r="19" ht="13" customHeight="1">
      <c r="A19" s="203" t="inlineStr">
        <is>
          <t>BPCR</t>
        </is>
      </c>
      <c r="B19" s="255" t="n"/>
      <c r="C19" s="255"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255"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252"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4" t="n"/>
      <c r="DB19" s="254" t="n"/>
      <c r="DC19" s="254" t="n"/>
      <c r="DD19" s="254" t="n"/>
      <c r="DE19" s="254" t="n"/>
      <c r="DF19" s="254" t="n"/>
      <c r="DG19" s="254" t="n"/>
      <c r="DH19" s="254" t="n"/>
      <c r="DI19" s="254" t="n"/>
      <c r="DJ19" s="266" t="n"/>
      <c r="DK19" s="266" t="n"/>
      <c r="DL19" s="266" t="n"/>
      <c r="DM19" s="266" t="inlineStr">
        <is>
          <t>2M-A</t>
        </is>
      </c>
      <c r="DN19" s="157" t="inlineStr">
        <is>
          <t>5-23</t>
        </is>
      </c>
      <c r="DO19" s="157" t="inlineStr">
        <is>
          <t>11-29</t>
        </is>
      </c>
    </row>
    <row r="20" ht="13" customHeight="1">
      <c r="A20" s="203" t="inlineStr">
        <is>
          <t>C-1000</t>
        </is>
      </c>
      <c r="B20" s="260" t="inlineStr">
        <is>
          <t>C-1000 UJINA</t>
        </is>
      </c>
      <c r="C20" s="254"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61"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253" t="n"/>
      <c r="BV20" s="142" t="inlineStr">
        <is>
          <t>R</t>
        </is>
      </c>
      <c r="BW20" s="142" t="inlineStr">
        <is>
          <t>R</t>
        </is>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4" t="n"/>
      <c r="DB20" s="254" t="n"/>
      <c r="DC20" s="254" t="n"/>
      <c r="DD20" s="254" t="n"/>
      <c r="DE20" s="254" t="n"/>
      <c r="DF20" s="254" t="n"/>
      <c r="DG20" s="254" t="n"/>
      <c r="DH20" s="254" t="n"/>
      <c r="DI20" s="254" t="n"/>
      <c r="DJ20" s="266" t="inlineStr">
        <is>
          <t>D</t>
        </is>
      </c>
      <c r="DK20" s="266" t="inlineStr">
        <is>
          <t>R</t>
        </is>
      </c>
      <c r="DL20" s="266" t="inlineStr">
        <is>
          <t>R</t>
        </is>
      </c>
      <c r="DM20" s="266" t="n"/>
      <c r="DN20" s="157" t="n"/>
      <c r="DO20" s="157" t="n"/>
    </row>
    <row r="21" ht="13" customHeight="1">
      <c r="A21" s="203" t="inlineStr">
        <is>
          <t>C-1000</t>
        </is>
      </c>
      <c r="B21" s="255" t="n"/>
      <c r="C21" s="255"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255"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252"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4" t="n"/>
      <c r="DB21" s="254" t="n"/>
      <c r="DC21" s="254" t="n"/>
      <c r="DD21" s="254" t="n"/>
      <c r="DE21" s="254" t="n"/>
      <c r="DF21" s="254" t="n"/>
      <c r="DG21" s="254" t="n"/>
      <c r="DH21" s="254" t="n"/>
      <c r="DI21" s="254" t="n"/>
      <c r="DJ21" s="266" t="n"/>
      <c r="DK21" s="266" t="n"/>
      <c r="DL21" s="266" t="n"/>
      <c r="DM21" s="266" t="inlineStr">
        <is>
          <t>2M-A</t>
        </is>
      </c>
      <c r="DN21" s="157" t="inlineStr">
        <is>
          <t>5-23</t>
        </is>
      </c>
      <c r="DO21" s="157" t="inlineStr">
        <is>
          <t>11-29</t>
        </is>
      </c>
    </row>
    <row r="22" ht="13" customHeight="1">
      <c r="A22" s="203" t="inlineStr">
        <is>
          <t>C-460</t>
        </is>
      </c>
      <c r="B22" s="260" t="inlineStr">
        <is>
          <t>C-460 ROSARIO</t>
        </is>
      </c>
      <c r="C22" s="254"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61"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253" t="n"/>
      <c r="BV22" s="142" t="inlineStr">
        <is>
          <t>R</t>
        </is>
      </c>
      <c r="BW22" s="142" t="inlineStr">
        <is>
          <t>R</t>
        </is>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4" t="n"/>
      <c r="DB22" s="254" t="n"/>
      <c r="DC22" s="254" t="n"/>
      <c r="DD22" s="254" t="n"/>
      <c r="DE22" s="254" t="n"/>
      <c r="DF22" s="254" t="n"/>
      <c r="DG22" s="254" t="n"/>
      <c r="DH22" s="254" t="n"/>
      <c r="DI22" s="254" t="n"/>
      <c r="DJ22" s="266" t="inlineStr">
        <is>
          <t>D</t>
        </is>
      </c>
      <c r="DK22" s="266" t="inlineStr">
        <is>
          <t>R</t>
        </is>
      </c>
      <c r="DL22" s="266" t="inlineStr">
        <is>
          <t>R</t>
        </is>
      </c>
      <c r="DM22" s="266" t="n"/>
      <c r="DN22" s="157" t="n"/>
      <c r="DO22" s="157" t="n"/>
    </row>
    <row r="23" ht="13" customHeight="1">
      <c r="A23" s="203" t="inlineStr">
        <is>
          <t>C-460</t>
        </is>
      </c>
      <c r="B23" s="255" t="n"/>
      <c r="C23" s="255"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255"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252"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4" t="n"/>
      <c r="DB23" s="254" t="n"/>
      <c r="DC23" s="254" t="n"/>
      <c r="DD23" s="254" t="n"/>
      <c r="DE23" s="254" t="n"/>
      <c r="DF23" s="254" t="n"/>
      <c r="DG23" s="254" t="n"/>
      <c r="DH23" s="254" t="n"/>
      <c r="DI23" s="254" t="n"/>
      <c r="DJ23" s="266" t="n"/>
      <c r="DK23" s="266" t="n"/>
      <c r="DL23" s="266" t="n"/>
      <c r="DM23" s="266" t="inlineStr">
        <is>
          <t>2M-A</t>
        </is>
      </c>
      <c r="DN23" s="157" t="inlineStr">
        <is>
          <t>5-23</t>
        </is>
      </c>
      <c r="DO23" s="157" t="inlineStr">
        <is>
          <t>11-29</t>
        </is>
      </c>
    </row>
    <row r="24" ht="13" customHeight="1">
      <c r="A24" s="203" t="inlineStr">
        <is>
          <t>CCD</t>
        </is>
      </c>
      <c r="B24" s="260" t="inlineStr">
        <is>
          <t>CCD</t>
        </is>
      </c>
      <c r="C24" s="254"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61"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253" t="n"/>
      <c r="BV24" s="142" t="inlineStr">
        <is>
          <t>R</t>
        </is>
      </c>
      <c r="BW24" s="142" t="inlineStr">
        <is>
          <t>R</t>
        </is>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4" t="n"/>
      <c r="DB24" s="254" t="n"/>
      <c r="DC24" s="254" t="n"/>
      <c r="DD24" s="254" t="n"/>
      <c r="DE24" s="254" t="n"/>
      <c r="DF24" s="254" t="n"/>
      <c r="DG24" s="254" t="n"/>
      <c r="DH24" s="254" t="n"/>
      <c r="DI24" s="254" t="n"/>
      <c r="DJ24" s="266" t="inlineStr">
        <is>
          <t>D</t>
        </is>
      </c>
      <c r="DK24" s="266" t="inlineStr">
        <is>
          <t>R</t>
        </is>
      </c>
      <c r="DL24" s="266" t="inlineStr">
        <is>
          <t>R</t>
        </is>
      </c>
      <c r="DM24" s="266" t="n"/>
      <c r="DN24" s="157" t="n"/>
      <c r="DO24" s="157" t="n"/>
    </row>
    <row r="25" ht="13" customHeight="1">
      <c r="A25" s="203" t="inlineStr">
        <is>
          <t>CCD</t>
        </is>
      </c>
      <c r="B25" s="255" t="n"/>
      <c r="C25" s="255"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255"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252"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4" t="n"/>
      <c r="DB25" s="254" t="n"/>
      <c r="DC25" s="254" t="n"/>
      <c r="DD25" s="254" t="n"/>
      <c r="DE25" s="254" t="n"/>
      <c r="DF25" s="254" t="n"/>
      <c r="DG25" s="254" t="n"/>
      <c r="DH25" s="254" t="n"/>
      <c r="DI25" s="254" t="n"/>
      <c r="DJ25" s="266" t="n"/>
      <c r="DK25" s="266" t="n"/>
      <c r="DL25" s="266" t="n"/>
      <c r="DM25" s="266" t="inlineStr">
        <is>
          <t>2M-A</t>
        </is>
      </c>
      <c r="DN25" s="157" t="inlineStr">
        <is>
          <t>5-23</t>
        </is>
      </c>
      <c r="DO25" s="157" t="inlineStr">
        <is>
          <t>11-29</t>
        </is>
      </c>
    </row>
    <row r="26" ht="13" customHeight="1">
      <c r="A26" s="203" t="inlineStr">
        <is>
          <t>CPC</t>
        </is>
      </c>
      <c r="B26" s="260" t="inlineStr">
        <is>
          <t>CPC FALLA PABELLON</t>
        </is>
      </c>
      <c r="C26" s="254"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61"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253" t="n"/>
      <c r="BV26" s="142" t="inlineStr">
        <is>
          <t>R</t>
        </is>
      </c>
      <c r="BW26" s="142" t="inlineStr">
        <is>
          <t>R</t>
        </is>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4" t="n"/>
      <c r="DB26" s="254" t="n"/>
      <c r="DC26" s="254" t="n"/>
      <c r="DD26" s="254" t="n"/>
      <c r="DE26" s="254" t="n"/>
      <c r="DF26" s="254" t="n"/>
      <c r="DG26" s="254" t="n"/>
      <c r="DH26" s="254" t="n"/>
      <c r="DI26" s="254" t="n"/>
      <c r="DJ26" s="266" t="inlineStr">
        <is>
          <t>D</t>
        </is>
      </c>
      <c r="DK26" s="266" t="inlineStr">
        <is>
          <t>R</t>
        </is>
      </c>
      <c r="DL26" s="266" t="inlineStr">
        <is>
          <t>R</t>
        </is>
      </c>
      <c r="DM26" s="266" t="n"/>
      <c r="DN26" s="157" t="n"/>
      <c r="DO26" s="157" t="n"/>
    </row>
    <row r="27" ht="13" customHeight="1">
      <c r="A27" s="203" t="inlineStr">
        <is>
          <t>CPC</t>
        </is>
      </c>
      <c r="B27" s="255" t="n"/>
      <c r="C27" s="255"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255"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252"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4" t="n"/>
      <c r="DB27" s="254" t="n"/>
      <c r="DC27" s="254" t="n"/>
      <c r="DD27" s="254" t="n"/>
      <c r="DE27" s="254" t="n"/>
      <c r="DF27" s="254" t="n"/>
      <c r="DG27" s="254" t="n"/>
      <c r="DH27" s="254" t="n"/>
      <c r="DI27" s="254" t="n"/>
      <c r="DJ27" s="266" t="n"/>
      <c r="DK27" s="266" t="n"/>
      <c r="DL27" s="266" t="n"/>
      <c r="DM27" s="266" t="inlineStr">
        <is>
          <t>2M-A</t>
        </is>
      </c>
      <c r="DN27" s="157" t="inlineStr">
        <is>
          <t>5-23</t>
        </is>
      </c>
      <c r="DO27" s="157" t="inlineStr">
        <is>
          <t>11-29</t>
        </is>
      </c>
    </row>
    <row r="28" ht="13" customHeight="1">
      <c r="A28" s="203" t="inlineStr">
        <is>
          <t>TK-1004</t>
        </is>
      </c>
      <c r="B28" s="260" t="inlineStr">
        <is>
          <t>TK-1004 ROSARIO</t>
        </is>
      </c>
      <c r="C28" s="254"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61" t="inlineStr">
        <is>
          <t>600TK1004</t>
        </is>
      </c>
      <c r="BL28" s="261"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253" t="inlineStr">
        <is>
          <t>consultar por mantenciones de TK</t>
        </is>
      </c>
      <c r="BV28" s="142" t="inlineStr">
        <is>
          <t>R</t>
        </is>
      </c>
      <c r="BW28" s="142" t="inlineStr">
        <is>
          <t>R</t>
        </is>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4" t="n"/>
      <c r="DB28" s="254" t="n"/>
      <c r="DC28" s="254" t="n"/>
      <c r="DD28" s="254" t="n"/>
      <c r="DE28" s="254" t="n"/>
      <c r="DF28" s="254" t="n"/>
      <c r="DG28" s="254" t="n"/>
      <c r="DH28" s="254" t="n"/>
      <c r="DI28" s="254" t="n"/>
      <c r="DJ28" s="266" t="inlineStr">
        <is>
          <t>D</t>
        </is>
      </c>
      <c r="DK28" s="266" t="inlineStr">
        <is>
          <t>R</t>
        </is>
      </c>
      <c r="DL28" s="266" t="inlineStr">
        <is>
          <t>R</t>
        </is>
      </c>
      <c r="DM28" s="266" t="n"/>
      <c r="DN28" s="157" t="n"/>
      <c r="DO28" s="157" t="n"/>
    </row>
    <row r="29" ht="13" customHeight="1">
      <c r="A29" s="203" t="inlineStr">
        <is>
          <t>TK-1004</t>
        </is>
      </c>
      <c r="B29" s="255" t="n"/>
      <c r="C29" s="255"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255" t="n"/>
      <c r="BL29" s="261"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252"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4" t="n"/>
      <c r="DB29" s="254" t="n"/>
      <c r="DC29" s="254" t="n"/>
      <c r="DD29" s="254" t="n"/>
      <c r="DE29" s="254" t="n"/>
      <c r="DF29" s="254" t="n"/>
      <c r="DG29" s="254" t="n"/>
      <c r="DH29" s="254" t="n"/>
      <c r="DI29" s="254" t="n"/>
      <c r="DJ29" s="266" t="n"/>
      <c r="DK29" s="266" t="n"/>
      <c r="DL29" s="266" t="n"/>
      <c r="DM29" s="266" t="inlineStr">
        <is>
          <t>2M-A</t>
        </is>
      </c>
      <c r="DN29" s="157" t="inlineStr">
        <is>
          <t>5-23</t>
        </is>
      </c>
      <c r="DO29" s="157" t="inlineStr">
        <is>
          <t>11-29</t>
        </is>
      </c>
    </row>
    <row r="30" ht="13" customHeight="1">
      <c r="A30" s="203" t="inlineStr">
        <is>
          <t>TK-505</t>
        </is>
      </c>
      <c r="B30" s="260" t="inlineStr">
        <is>
          <t>TK-505 FALLA PABELLON</t>
        </is>
      </c>
      <c r="C30" s="254"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61" t="inlineStr">
        <is>
          <t>530ZP101</t>
        </is>
      </c>
      <c r="BL30" s="261"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253" t="inlineStr">
        <is>
          <t>consultar por mantenciones de TK</t>
        </is>
      </c>
      <c r="BV30" s="142" t="inlineStr">
        <is>
          <t>R</t>
        </is>
      </c>
      <c r="BW30" s="142" t="inlineStr">
        <is>
          <t>R</t>
        </is>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4" t="n"/>
      <c r="DB30" s="254" t="n"/>
      <c r="DC30" s="254" t="n"/>
      <c r="DD30" s="254" t="n"/>
      <c r="DE30" s="254" t="n"/>
      <c r="DF30" s="254" t="n"/>
      <c r="DG30" s="254" t="n"/>
      <c r="DH30" s="254" t="n"/>
      <c r="DI30" s="254" t="n"/>
      <c r="DJ30" s="266" t="inlineStr">
        <is>
          <t>D</t>
        </is>
      </c>
      <c r="DK30" s="266" t="inlineStr">
        <is>
          <t>R</t>
        </is>
      </c>
      <c r="DL30" s="266" t="inlineStr">
        <is>
          <t>R</t>
        </is>
      </c>
      <c r="DM30" s="266" t="n"/>
      <c r="DN30" s="157" t="n"/>
      <c r="DO30" s="157" t="n"/>
    </row>
    <row r="31" ht="13" customHeight="1">
      <c r="A31" s="203" t="inlineStr">
        <is>
          <t>TK-505</t>
        </is>
      </c>
      <c r="B31" s="255" t="n"/>
      <c r="C31" s="255"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255" t="n"/>
      <c r="BL31" s="261"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252"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4" t="n"/>
      <c r="DB31" s="254" t="n"/>
      <c r="DC31" s="254" t="n"/>
      <c r="DD31" s="254" t="n"/>
      <c r="DE31" s="254" t="n"/>
      <c r="DF31" s="254" t="n"/>
      <c r="DG31" s="254" t="n"/>
      <c r="DH31" s="254" t="n"/>
      <c r="DI31" s="254" t="n"/>
      <c r="DJ31" s="266" t="n"/>
      <c r="DK31" s="266" t="n"/>
      <c r="DL31" s="266" t="n"/>
      <c r="DM31" s="266" t="inlineStr">
        <is>
          <t>2M-A</t>
        </is>
      </c>
      <c r="DN31" s="157" t="inlineStr">
        <is>
          <t>5-23</t>
        </is>
      </c>
      <c r="DO31" s="157" t="inlineStr">
        <is>
          <t>11-29</t>
        </is>
      </c>
    </row>
    <row r="32" ht="13" customHeight="1">
      <c r="A32" s="203" t="inlineStr">
        <is>
          <t>TK-517</t>
        </is>
      </c>
      <c r="B32" s="260" t="inlineStr">
        <is>
          <t>TK-517 UJINA</t>
        </is>
      </c>
      <c r="C32" s="254"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61" t="inlineStr">
        <is>
          <t>610TK517</t>
        </is>
      </c>
      <c r="BL32" s="261"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253" t="inlineStr">
        <is>
          <t>consultar por mantenciones de TK</t>
        </is>
      </c>
      <c r="BV32" s="142" t="inlineStr">
        <is>
          <t>R</t>
        </is>
      </c>
      <c r="BW32" s="142" t="inlineStr">
        <is>
          <t>R</t>
        </is>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4" t="n"/>
      <c r="DB32" s="254" t="n"/>
      <c r="DC32" s="254" t="n"/>
      <c r="DD32" s="254" t="n"/>
      <c r="DE32" s="254" t="n"/>
      <c r="DF32" s="254" t="n"/>
      <c r="DG32" s="254" t="n"/>
      <c r="DH32" s="254" t="n"/>
      <c r="DI32" s="254" t="n"/>
      <c r="DJ32" s="266" t="inlineStr">
        <is>
          <t>D</t>
        </is>
      </c>
      <c r="DK32" s="266" t="inlineStr">
        <is>
          <t>R</t>
        </is>
      </c>
      <c r="DL32" s="266" t="inlineStr">
        <is>
          <t>R</t>
        </is>
      </c>
      <c r="DM32" s="266" t="n"/>
      <c r="DN32" s="157" t="n"/>
      <c r="DO32" s="157" t="n"/>
    </row>
    <row r="33" ht="13" customHeight="1">
      <c r="A33" s="203" t="inlineStr">
        <is>
          <t>TK-517</t>
        </is>
      </c>
      <c r="B33" s="255" t="n"/>
      <c r="C33" s="255"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255" t="n"/>
      <c r="BL33" s="261"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252"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4" t="n"/>
      <c r="DB33" s="254" t="n"/>
      <c r="DC33" s="254" t="n"/>
      <c r="DD33" s="254" t="n"/>
      <c r="DE33" s="254" t="n"/>
      <c r="DF33" s="254" t="n"/>
      <c r="DG33" s="254" t="n"/>
      <c r="DH33" s="254" t="n"/>
      <c r="DI33" s="254" t="n"/>
      <c r="DJ33" s="266" t="n"/>
      <c r="DK33" s="266" t="n"/>
      <c r="DL33" s="266" t="n"/>
      <c r="DM33" s="266" t="inlineStr">
        <is>
          <t>2M-A</t>
        </is>
      </c>
      <c r="DN33" s="157" t="inlineStr">
        <is>
          <t>5-23</t>
        </is>
      </c>
      <c r="DO33" s="157" t="inlineStr">
        <is>
          <t>11-29</t>
        </is>
      </c>
    </row>
    <row r="34" ht="13" customHeight="1">
      <c r="A34" s="203" t="inlineStr">
        <is>
          <t>CGP</t>
        </is>
      </c>
      <c r="B34" s="260" t="inlineStr">
        <is>
          <t>CGP PUERTO COLLAHUASI</t>
        </is>
      </c>
      <c r="C34" s="254"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61" t="inlineStr">
        <is>
          <t>300SI400</t>
        </is>
      </c>
      <c r="BL34" s="261"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253" t="n"/>
      <c r="BV34" s="142" t="inlineStr">
        <is>
          <t>R</t>
        </is>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4" t="n"/>
      <c r="DB34" s="254" t="n"/>
      <c r="DC34" s="254" t="n"/>
      <c r="DD34" s="254" t="n"/>
      <c r="DE34" s="254" t="n"/>
      <c r="DF34" s="254" t="n"/>
      <c r="DG34" s="254" t="n"/>
      <c r="DH34" s="254" t="n"/>
      <c r="DI34" s="254" t="n"/>
      <c r="DJ34" s="266" t="inlineStr">
        <is>
          <t>2M</t>
        </is>
      </c>
      <c r="DK34" s="266" t="inlineStr">
        <is>
          <t>R</t>
        </is>
      </c>
      <c r="DL34" s="266" t="inlineStr">
        <is>
          <t>R</t>
        </is>
      </c>
      <c r="DM34" s="266" t="n"/>
      <c r="DN34" s="157" t="n"/>
      <c r="DO34" s="157" t="n"/>
    </row>
    <row r="35" ht="13" customHeight="1">
      <c r="A35" s="203" t="inlineStr">
        <is>
          <t>CGP</t>
        </is>
      </c>
      <c r="B35" s="255" t="n"/>
      <c r="C35" s="255"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255" t="n"/>
      <c r="BL35" s="261"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252" t="n"/>
      <c r="BV35" s="107" t="inlineStr">
        <is>
          <t>R</t>
        </is>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4" t="n"/>
      <c r="DB35" s="254" t="n"/>
      <c r="DC35" s="254" t="n"/>
      <c r="DD35" s="254" t="n"/>
      <c r="DE35" s="254" t="n"/>
      <c r="DF35" s="254" t="n"/>
      <c r="DG35" s="254" t="n"/>
      <c r="DH35" s="254" t="n"/>
      <c r="DI35" s="254" t="n"/>
      <c r="DJ35" s="266" t="n"/>
      <c r="DK35" s="266" t="n"/>
      <c r="DL35" s="266" t="n"/>
      <c r="DM35" s="266" t="inlineStr">
        <is>
          <t>2M-A</t>
        </is>
      </c>
      <c r="DN35" s="266" t="inlineStr">
        <is>
          <t>R</t>
        </is>
      </c>
      <c r="DO35" s="266" t="inlineStr">
        <is>
          <t>R</t>
        </is>
      </c>
    </row>
    <row r="36" ht="13" customHeight="1">
      <c r="A36" s="203" t="inlineStr">
        <is>
          <t>CPPCHE</t>
        </is>
      </c>
      <c r="B36" s="260" t="inlineStr">
        <is>
          <t>CPPCHE PUERTO COLLAHUASI</t>
        </is>
      </c>
      <c r="C36" s="254"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61" t="inlineStr">
        <is>
          <t>300SI400</t>
        </is>
      </c>
      <c r="BL36" s="261"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253" t="n"/>
      <c r="BV36" s="142" t="inlineStr">
        <is>
          <t>R</t>
        </is>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4" t="n"/>
      <c r="DB36" s="254" t="n"/>
      <c r="DC36" s="254" t="n"/>
      <c r="DD36" s="254" t="n"/>
      <c r="DE36" s="254" t="n"/>
      <c r="DF36" s="254" t="n"/>
      <c r="DG36" s="254" t="n"/>
      <c r="DH36" s="254" t="n"/>
      <c r="DI36" s="254" t="n"/>
      <c r="DJ36" s="266" t="inlineStr">
        <is>
          <t>2M</t>
        </is>
      </c>
      <c r="DK36" s="266" t="inlineStr">
        <is>
          <t>R</t>
        </is>
      </c>
      <c r="DL36" s="266" t="inlineStr">
        <is>
          <t>R</t>
        </is>
      </c>
      <c r="DM36" s="266" t="n"/>
      <c r="DN36" s="266" t="n"/>
      <c r="DO36" s="266" t="n"/>
    </row>
    <row r="37" ht="14.5" customHeight="1">
      <c r="A37" s="203" t="inlineStr">
        <is>
          <t>CPPCHE</t>
        </is>
      </c>
      <c r="B37" s="255" t="n"/>
      <c r="C37" s="255"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255" t="n"/>
      <c r="BL37" s="261"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252" t="n"/>
      <c r="BV37" s="107" t="inlineStr">
        <is>
          <t>R</t>
        </is>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4" t="n"/>
      <c r="DB37" s="254" t="n"/>
      <c r="DC37" s="254" t="n"/>
      <c r="DD37" s="254" t="n"/>
      <c r="DE37" s="254" t="n"/>
      <c r="DF37" s="254" t="n"/>
      <c r="DG37" s="254" t="n"/>
      <c r="DH37" s="254" t="n"/>
      <c r="DI37" s="254" t="n"/>
      <c r="DJ37" s="266" t="n"/>
      <c r="DK37" s="266" t="n"/>
      <c r="DL37" s="266" t="n"/>
      <c r="DM37" s="266" t="inlineStr">
        <is>
          <t>2M-A</t>
        </is>
      </c>
      <c r="DN37" s="266" t="inlineStr">
        <is>
          <t>R</t>
        </is>
      </c>
      <c r="DO37" s="266" t="inlineStr">
        <is>
          <t>R</t>
        </is>
      </c>
    </row>
    <row r="38" ht="13" customHeight="1">
      <c r="A38" s="203" t="inlineStr">
        <is>
          <t>SALA DE CAMBIOS</t>
        </is>
      </c>
      <c r="B38" s="260" t="inlineStr">
        <is>
          <t>SALA DE CAMBIOS PUERTO COLLAHUASI</t>
        </is>
      </c>
      <c r="C38" s="254"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61" t="inlineStr">
        <is>
          <t>300SI400</t>
        </is>
      </c>
      <c r="BL38" s="261"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253" t="n"/>
      <c r="BV38" s="142" t="inlineStr">
        <is>
          <t>R</t>
        </is>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4" t="n"/>
      <c r="DB38" s="254" t="n"/>
      <c r="DC38" s="254" t="n"/>
      <c r="DD38" s="254" t="n"/>
      <c r="DE38" s="254" t="n"/>
      <c r="DF38" s="254" t="n"/>
      <c r="DG38" s="254" t="n"/>
      <c r="DH38" s="254" t="n"/>
      <c r="DI38" s="254" t="n"/>
      <c r="DJ38" s="266" t="inlineStr">
        <is>
          <t>2M</t>
        </is>
      </c>
      <c r="DK38" s="157" t="inlineStr">
        <is>
          <t>R</t>
        </is>
      </c>
      <c r="DL38" s="157" t="inlineStr">
        <is>
          <t>R</t>
        </is>
      </c>
      <c r="DM38" s="266" t="n"/>
      <c r="DN38" s="266" t="n"/>
      <c r="DO38" s="266" t="n"/>
    </row>
    <row r="39" ht="13.5" customHeight="1">
      <c r="A39" s="203" t="inlineStr">
        <is>
          <t>SALA DE CAMBIOS</t>
        </is>
      </c>
      <c r="B39" s="255" t="n"/>
      <c r="C39" s="255"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255" t="n"/>
      <c r="BL39" s="261"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252" t="n"/>
      <c r="BV39" s="107" t="inlineStr">
        <is>
          <t>R</t>
        </is>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4" t="n"/>
      <c r="DB39" s="254" t="n"/>
      <c r="DC39" s="254" t="n"/>
      <c r="DD39" s="254" t="n"/>
      <c r="DE39" s="254" t="n"/>
      <c r="DF39" s="254" t="n"/>
      <c r="DG39" s="254" t="n"/>
      <c r="DH39" s="254" t="n"/>
      <c r="DI39" s="254" t="n"/>
      <c r="DJ39" s="266" t="n"/>
      <c r="DK39" s="157" t="n"/>
      <c r="DL39" s="157" t="n"/>
      <c r="DM39" s="266" t="inlineStr">
        <is>
          <t>2M-A</t>
        </is>
      </c>
      <c r="DN39" s="157" t="inlineStr">
        <is>
          <t>R</t>
        </is>
      </c>
      <c r="DO39" s="157" t="inlineStr">
        <is>
          <t>R</t>
        </is>
      </c>
    </row>
    <row r="40" ht="13" customHeight="1">
      <c r="A40" s="203" t="inlineStr">
        <is>
          <t>TK-002</t>
        </is>
      </c>
      <c r="B40" s="260" t="inlineStr">
        <is>
          <t>TK-002 PUERTO COLLAHUASI</t>
        </is>
      </c>
      <c r="C40" s="254"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61" t="inlineStr">
        <is>
          <t>350ZP104</t>
        </is>
      </c>
      <c r="BL40" s="261"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253" t="n"/>
      <c r="BV40" s="142" t="inlineStr">
        <is>
          <t>R</t>
        </is>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4" t="n"/>
      <c r="DB40" s="254" t="n"/>
      <c r="DC40" s="254" t="n"/>
      <c r="DD40" s="254" t="n"/>
      <c r="DE40" s="254" t="n"/>
      <c r="DF40" s="254" t="n"/>
      <c r="DG40" s="254" t="n"/>
      <c r="DH40" s="254" t="n"/>
      <c r="DI40" s="254" t="n"/>
      <c r="DJ40" s="266" t="inlineStr">
        <is>
          <t>2M</t>
        </is>
      </c>
      <c r="DK40" s="157" t="inlineStr">
        <is>
          <t>R</t>
        </is>
      </c>
      <c r="DL40" s="157" t="inlineStr">
        <is>
          <t>R</t>
        </is>
      </c>
      <c r="DM40" s="266" t="n"/>
      <c r="DN40" s="157" t="n"/>
      <c r="DO40" s="157" t="n"/>
    </row>
    <row r="41" ht="13" customHeight="1">
      <c r="A41" s="203" t="inlineStr">
        <is>
          <t>TK-002</t>
        </is>
      </c>
      <c r="B41" s="255" t="n"/>
      <c r="C41" s="255"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255" t="n"/>
      <c r="BL41" s="261"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252" t="n"/>
      <c r="BV41" s="107" t="inlineStr">
        <is>
          <t>R</t>
        </is>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4" t="n"/>
      <c r="DB41" s="254" t="n"/>
      <c r="DC41" s="254" t="n"/>
      <c r="DD41" s="254" t="n"/>
      <c r="DE41" s="254" t="n"/>
      <c r="DF41" s="254" t="n"/>
      <c r="DG41" s="254" t="n"/>
      <c r="DH41" s="254" t="n"/>
      <c r="DI41" s="254" t="n"/>
      <c r="DJ41" s="266" t="n"/>
      <c r="DK41" s="157" t="n"/>
      <c r="DL41" s="157" t="n"/>
      <c r="DM41" s="266" t="inlineStr">
        <is>
          <t>2M-A</t>
        </is>
      </c>
      <c r="DN41" s="157" t="inlineStr">
        <is>
          <t>R</t>
        </is>
      </c>
      <c r="DO41" s="157" t="inlineStr">
        <is>
          <t>R</t>
        </is>
      </c>
    </row>
    <row r="42" ht="13" customHeight="1">
      <c r="A42" s="203" t="inlineStr">
        <is>
          <t>FAD</t>
        </is>
      </c>
      <c r="B42" s="260"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259" t="inlineStr">
        <is>
          <t>300FO002</t>
        </is>
      </c>
      <c r="BL42" s="61" t="inlineStr">
        <is>
          <t>PUERTO</t>
        </is>
      </c>
      <c r="BM42" s="254" t="inlineStr">
        <is>
          <t>AR</t>
        </is>
      </c>
      <c r="BN42" s="266" t="inlineStr">
        <is>
          <t>Puerto Collahuasi</t>
        </is>
      </c>
      <c r="BO42" s="254" t="inlineStr">
        <is>
          <t>SI</t>
        </is>
      </c>
      <c r="BP42" s="106" t="inlineStr">
        <is>
          <t>FAD PUERTO COLLAHUASI/AR</t>
        </is>
      </c>
      <c r="BQ42" s="106">
        <f>VLOOKUP(BP42,[1]AGUA!$1:$1048576,2,FALSE)</f>
        <v/>
      </c>
      <c r="BR42" s="106">
        <f>VLOOKUP(BP42,[1]AGUA!$1:$1048576,6,FALSE)</f>
        <v/>
      </c>
      <c r="BS42" s="106">
        <f>VLOOKUP(BP42,[1]AGUA!$1:$1048576,7,FALSE)</f>
        <v/>
      </c>
      <c r="BT42" s="106" t="n"/>
      <c r="BU42" s="181" t="n"/>
      <c r="BV42" s="107" t="inlineStr">
        <is>
          <t>R</t>
        </is>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4" t="n"/>
      <c r="DB42" s="254" t="n"/>
      <c r="DC42" s="254" t="n"/>
      <c r="DD42" s="254" t="n"/>
      <c r="DE42" s="254" t="n"/>
      <c r="DF42" s="254" t="n"/>
      <c r="DG42" s="254" t="n"/>
      <c r="DH42" s="254" t="n"/>
      <c r="DI42" s="254" t="n"/>
      <c r="DJ42" s="254" t="n"/>
      <c r="DK42" s="254" t="n"/>
      <c r="DL42" s="95" t="n"/>
      <c r="DM42" s="254" t="inlineStr">
        <is>
          <t>M</t>
        </is>
      </c>
      <c r="DN42" s="95" t="n">
        <v>1</v>
      </c>
      <c r="DO42" s="95" t="n">
        <v>7</v>
      </c>
    </row>
    <row r="43" ht="12.65" customHeight="1">
      <c r="A43" s="203" t="inlineStr">
        <is>
          <t>PTAS Puerto Collahuasi</t>
        </is>
      </c>
      <c r="B43" s="260"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61" t="inlineStr">
        <is>
          <t>300SI400</t>
        </is>
      </c>
      <c r="BL43" s="61" t="inlineStr">
        <is>
          <t>PUERTO</t>
        </is>
      </c>
      <c r="BM43" s="254" t="inlineStr">
        <is>
          <t>AR</t>
        </is>
      </c>
      <c r="BN43" s="266" t="inlineStr">
        <is>
          <t>Puerto Collahuasi</t>
        </is>
      </c>
      <c r="BO43" s="254"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inlineStr">
        <is>
          <t>R</t>
        </is>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4" t="n"/>
      <c r="DB43" s="254" t="n"/>
      <c r="DC43" s="254" t="n"/>
      <c r="DD43" s="254" t="n"/>
      <c r="DE43" s="254" t="n"/>
      <c r="DF43" s="254" t="n"/>
      <c r="DG43" s="254" t="n"/>
      <c r="DH43" s="254" t="n"/>
      <c r="DI43" s="254" t="n"/>
      <c r="DJ43" s="254" t="n"/>
      <c r="DK43" s="254" t="n"/>
      <c r="DL43" s="254" t="n"/>
      <c r="DM43" s="254" t="inlineStr">
        <is>
          <t>S</t>
        </is>
      </c>
      <c r="DN43" s="95" t="inlineStr">
        <is>
          <t>R</t>
        </is>
      </c>
      <c r="DO43" s="95" t="inlineStr">
        <is>
          <t>R</t>
        </is>
      </c>
    </row>
    <row r="44" ht="13" customHeight="1">
      <c r="A44" s="203" t="inlineStr">
        <is>
          <t xml:space="preserve">Efluente desaladora </t>
        </is>
      </c>
      <c r="B44" s="260"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61" t="n"/>
      <c r="BL44" s="61" t="inlineStr">
        <is>
          <t>PUERTO</t>
        </is>
      </c>
      <c r="BM44" s="254" t="n"/>
      <c r="BN44" s="266" t="inlineStr">
        <is>
          <t>Puerto Collahuasi</t>
        </is>
      </c>
      <c r="BO44" s="254"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4" t="n"/>
      <c r="DB44" s="254" t="n"/>
      <c r="DC44" s="254" t="n"/>
      <c r="DD44" s="254" t="n"/>
      <c r="DE44" s="254" t="n"/>
      <c r="DF44" s="254" t="n"/>
      <c r="DG44" s="254" t="n"/>
      <c r="DH44" s="254" t="n"/>
      <c r="DI44" s="254" t="n"/>
      <c r="DJ44" s="254" t="n"/>
      <c r="DK44" s="254" t="n"/>
      <c r="DL44" s="254" t="n"/>
      <c r="DM44" s="254" t="n"/>
      <c r="DN44" s="95" t="n"/>
      <c r="DO44" s="95" t="n"/>
    </row>
    <row r="45" ht="12.65" customHeight="1">
      <c r="A45" s="203" t="inlineStr">
        <is>
          <t>ACTR</t>
        </is>
      </c>
      <c r="B45" s="260"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61" t="inlineStr">
        <is>
          <t>184PT005</t>
        </is>
      </c>
      <c r="BL45" s="61" t="inlineStr">
        <is>
          <t>GTAM</t>
        </is>
      </c>
      <c r="BM45" s="254" t="inlineStr">
        <is>
          <t>ASUP</t>
        </is>
      </c>
      <c r="BN45" s="266" t="inlineStr">
        <is>
          <t>Tranque</t>
        </is>
      </c>
      <c r="BO45" s="254"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4" t="n"/>
      <c r="DB45" s="254" t="n"/>
      <c r="DC45" s="254" t="n"/>
      <c r="DD45" s="254" t="n"/>
      <c r="DE45" s="254" t="n"/>
      <c r="DF45" s="254" t="n"/>
      <c r="DG45" s="254" t="n"/>
      <c r="DH45" s="254" t="n"/>
      <c r="DI45" s="254" t="n"/>
      <c r="DJ45" s="254" t="n"/>
      <c r="DK45" s="254" t="n"/>
      <c r="DL45" s="95" t="n"/>
      <c r="DM45" s="254" t="inlineStr">
        <is>
          <t>M</t>
        </is>
      </c>
      <c r="DN45" s="95" t="n">
        <v>8</v>
      </c>
      <c r="DO45" s="95" t="n">
        <v>14</v>
      </c>
    </row>
    <row r="46" ht="12" customHeight="1">
      <c r="A46" s="203" t="inlineStr">
        <is>
          <t>ADTR</t>
        </is>
      </c>
      <c r="B46" s="260"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259" t="inlineStr">
        <is>
          <t>184SU026</t>
        </is>
      </c>
      <c r="BL46" s="61" t="inlineStr">
        <is>
          <t>GTAM</t>
        </is>
      </c>
      <c r="BM46" s="254" t="inlineStr">
        <is>
          <t>ASUP</t>
        </is>
      </c>
      <c r="BN46" s="266" t="inlineStr">
        <is>
          <t>Tranque</t>
        </is>
      </c>
      <c r="BO46" s="254" t="inlineStr">
        <is>
          <t>SI</t>
        </is>
      </c>
      <c r="BP46" s="106" t="inlineStr">
        <is>
          <t>ADTR LIXIVIACIÓN/ASUB</t>
        </is>
      </c>
      <c r="BQ46" s="106">
        <f>VLOOKUP(BP46,[1]AGUA!$1:$1048576,2,FALSE)</f>
        <v/>
      </c>
      <c r="BR46" s="106">
        <f>VLOOKUP(BP46,[1]AGUA!$1:$1048576,6,FALSE)</f>
        <v/>
      </c>
      <c r="BS46" s="106">
        <f>VLOOKUP(BP46,[1]AGUA!$1:$1048576,7,FALSE)</f>
        <v/>
      </c>
      <c r="BT46" s="106" t="n"/>
      <c r="BU46" s="251" t="n"/>
      <c r="BV46" s="107" t="inlineStr">
        <is>
          <t>R</t>
        </is>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4" t="n"/>
      <c r="DB46" s="254" t="n"/>
      <c r="DC46" s="254" t="n"/>
      <c r="DD46" s="254" t="n"/>
      <c r="DE46" s="254" t="n"/>
      <c r="DF46" s="254" t="n"/>
      <c r="DG46" s="254" t="n"/>
      <c r="DH46" s="254" t="n"/>
      <c r="DI46" s="254" t="n"/>
      <c r="DJ46" s="254" t="n"/>
      <c r="DK46" s="254" t="n"/>
      <c r="DL46" s="95" t="n"/>
      <c r="DM46" s="254" t="inlineStr">
        <is>
          <t>M</t>
        </is>
      </c>
      <c r="DN46" s="95" t="n">
        <v>1</v>
      </c>
      <c r="DO46" s="95" t="n">
        <v>7</v>
      </c>
    </row>
    <row r="47" ht="13" customHeight="1">
      <c r="A47" s="203" t="inlineStr">
        <is>
          <t>ARR-01</t>
        </is>
      </c>
      <c r="B47" s="260"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61" t="inlineStr">
        <is>
          <t>532PD006</t>
        </is>
      </c>
      <c r="BL47" s="61" t="inlineStr">
        <is>
          <t>GTAM</t>
        </is>
      </c>
      <c r="BM47" s="168" t="inlineStr">
        <is>
          <t>ASUP</t>
        </is>
      </c>
      <c r="BN47" s="266" t="inlineStr">
        <is>
          <t>ROSARIO</t>
        </is>
      </c>
      <c r="BO47" s="254" t="inlineStr">
        <is>
          <t>SI</t>
        </is>
      </c>
      <c r="BP47" s="106" t="inlineStr">
        <is>
          <t>ARR- 1 (Piscina P2)/ASUP</t>
        </is>
      </c>
      <c r="BQ47" s="106">
        <f>VLOOKUP(BP47,[1]AGUA!$1:$1048576,2,FALSE)</f>
        <v/>
      </c>
      <c r="BR47" s="106">
        <f>VLOOKUP(BP47,[1]AGUA!$1:$1048576,6,FALSE)</f>
        <v/>
      </c>
      <c r="BS47" s="106">
        <f>VLOOKUP(BP47,[1]AGUA!$1:$1048576,7,FALSE)</f>
        <v/>
      </c>
      <c r="BT47" s="106" t="n"/>
      <c r="BU47" s="252"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4" t="n"/>
      <c r="DB47" s="254" t="n"/>
      <c r="DC47" s="254" t="n"/>
      <c r="DD47" s="254" t="n"/>
      <c r="DE47" s="254" t="n"/>
      <c r="DF47" s="254" t="n"/>
      <c r="DG47" s="254" t="n"/>
      <c r="DH47" s="254" t="n"/>
      <c r="DI47" s="254" t="n"/>
      <c r="DJ47" s="254" t="inlineStr">
        <is>
          <t>T</t>
        </is>
      </c>
      <c r="DK47" s="254" t="n"/>
      <c r="DL47" s="95" t="n"/>
      <c r="DM47" s="254" t="inlineStr">
        <is>
          <t>T</t>
        </is>
      </c>
      <c r="DN47" s="95" t="n">
        <v>15</v>
      </c>
      <c r="DO47" s="95" t="n">
        <v>21</v>
      </c>
    </row>
    <row r="48" ht="13" customHeight="1">
      <c r="A48" s="205" t="inlineStr">
        <is>
          <t>CSW-02</t>
        </is>
      </c>
      <c r="B48" s="260" t="inlineStr">
        <is>
          <t>CSW-02 JACHUCOPOSA</t>
        </is>
      </c>
      <c r="C48" s="254"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259" t="inlineStr">
        <is>
          <t>532CSW02</t>
        </is>
      </c>
      <c r="BL48" s="7" t="inlineStr">
        <is>
          <t>GMAP-SIGA</t>
        </is>
      </c>
      <c r="BM48" s="254" t="inlineStr">
        <is>
          <t>CAUDAL</t>
        </is>
      </c>
      <c r="BN48" s="266" t="inlineStr">
        <is>
          <t>Jachucoposa</t>
        </is>
      </c>
      <c r="BO48" s="254" t="inlineStr">
        <is>
          <t>SI / PMAP</t>
        </is>
      </c>
      <c r="BP48" s="106" t="inlineStr">
        <is>
          <t>CSW-02 JACHUCOPOSA/CAUDAL</t>
        </is>
      </c>
      <c r="BQ48" s="106">
        <f>VLOOKUP(BP48,[1]AGUA!$1:$1048576,2,FALSE)</f>
        <v/>
      </c>
      <c r="BR48" s="106">
        <f>VLOOKUP(BP48,[1]AGUA!$1:$1048576,6,FALSE)</f>
        <v/>
      </c>
      <c r="BS48" s="106">
        <f>VLOOKUP(BP48,[1]AGUA!$1:$1048576,7,FALSE)</f>
        <v/>
      </c>
      <c r="BT48" s="106" t="n"/>
      <c r="BU48" s="251"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4" t="n"/>
      <c r="DC48" s="254" t="n"/>
      <c r="DD48" s="254" t="n"/>
      <c r="DE48" s="254" t="n"/>
      <c r="DF48" s="254" t="n"/>
      <c r="DG48" s="254" t="n"/>
      <c r="DH48" s="254" t="n"/>
      <c r="DI48" s="254" t="n"/>
      <c r="DJ48" s="254" t="inlineStr">
        <is>
          <t>2S</t>
        </is>
      </c>
      <c r="DK48" s="254" t="inlineStr">
        <is>
          <t>R</t>
        </is>
      </c>
      <c r="DL48" s="95" t="inlineStr">
        <is>
          <t>R</t>
        </is>
      </c>
      <c r="DM48" s="254" t="n"/>
      <c r="DN48" s="95" t="n"/>
      <c r="DO48" s="95" t="n"/>
    </row>
    <row r="49" ht="12.5" customHeight="1">
      <c r="A49" s="205" t="inlineStr">
        <is>
          <t>CSW-02</t>
        </is>
      </c>
      <c r="B49" s="255" t="n"/>
      <c r="C49" s="255"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255" t="n"/>
      <c r="BL49" s="7" t="inlineStr">
        <is>
          <t>GMAP-SIGA</t>
        </is>
      </c>
      <c r="BM49" s="254" t="inlineStr">
        <is>
          <t>ASUP</t>
        </is>
      </c>
      <c r="BN49" s="266" t="inlineStr">
        <is>
          <t>Jachucoposa</t>
        </is>
      </c>
      <c r="BO49" s="254" t="inlineStr">
        <is>
          <t>SI / PMAP</t>
        </is>
      </c>
      <c r="BP49" s="106" t="inlineStr">
        <is>
          <t>CSW-02 JACHUCOPOSA/ASUP</t>
        </is>
      </c>
      <c r="BQ49" s="106">
        <f>VLOOKUP(BP49,[1]AGUA!$1:$1048576,2,FALSE)</f>
        <v/>
      </c>
      <c r="BR49" s="106">
        <f>VLOOKUP(BP49,[1]AGUA!$1:$1048576,6,FALSE)</f>
        <v/>
      </c>
      <c r="BS49" s="106">
        <f>VLOOKUP(BP49,[1]AGUA!$1:$1048576,7,FALSE)</f>
        <v/>
      </c>
      <c r="BT49" s="106" t="n"/>
      <c r="BU49" s="252"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4" t="n"/>
      <c r="DC49" s="254" t="n"/>
      <c r="DD49" s="254" t="n"/>
      <c r="DE49" s="254" t="n"/>
      <c r="DF49" s="254" t="n"/>
      <c r="DG49" s="254" t="n"/>
      <c r="DH49" s="254" t="n"/>
      <c r="DI49" s="254" t="n"/>
      <c r="DJ49" s="254" t="n"/>
      <c r="DK49" s="254" t="n"/>
      <c r="DL49" s="95" t="n"/>
      <c r="DM49" s="254" t="inlineStr">
        <is>
          <t>M</t>
        </is>
      </c>
      <c r="DN49" s="95" t="n">
        <v>1</v>
      </c>
      <c r="DO49" s="95" t="n">
        <v>7</v>
      </c>
    </row>
    <row r="50" ht="12.65" customHeight="1">
      <c r="A50" s="204" t="inlineStr">
        <is>
          <t>CSW-05</t>
        </is>
      </c>
      <c r="B50" s="260" t="inlineStr">
        <is>
          <t>CSW-05  CHUSQUINA</t>
        </is>
      </c>
      <c r="C50" s="254"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259" t="inlineStr">
        <is>
          <t>532CSW05</t>
        </is>
      </c>
      <c r="BL50" s="7" t="inlineStr">
        <is>
          <t>GMAP-SIGA</t>
        </is>
      </c>
      <c r="BM50" s="254" t="inlineStr">
        <is>
          <t>CAUDAL</t>
        </is>
      </c>
      <c r="BN50" s="266" t="inlineStr">
        <is>
          <t>Chusquina</t>
        </is>
      </c>
      <c r="BO50" s="254" t="inlineStr">
        <is>
          <t>SI</t>
        </is>
      </c>
      <c r="BP50" s="106" t="inlineStr">
        <is>
          <t>CSW-05  CHUSQUINA/CAUDAL</t>
        </is>
      </c>
      <c r="BQ50" s="106">
        <f>VLOOKUP(BP50,[1]AGUA!$1:$1048576,2,FALSE)</f>
        <v/>
      </c>
      <c r="BR50" s="106">
        <f>VLOOKUP(BP50,[1]AGUA!$1:$1048576,6,FALSE)</f>
        <v/>
      </c>
      <c r="BS50" s="106">
        <f>VLOOKUP(BP50,[1]AGUA!$1:$1048576,7,FALSE)</f>
        <v/>
      </c>
      <c r="BT50" s="106" t="n"/>
      <c r="BU50" s="251"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4" t="n"/>
      <c r="DB50" s="254" t="n"/>
      <c r="DC50" s="254" t="n"/>
      <c r="DD50" s="207" t="n"/>
      <c r="DE50" s="254" t="n"/>
      <c r="DF50" s="254" t="n"/>
      <c r="DG50" s="254" t="n"/>
      <c r="DH50" s="254" t="n"/>
      <c r="DI50" s="254" t="n"/>
      <c r="DJ50" s="254" t="inlineStr">
        <is>
          <t>M</t>
        </is>
      </c>
      <c r="DK50" s="254" t="n">
        <v>1</v>
      </c>
      <c r="DL50" s="95" t="n">
        <v>14</v>
      </c>
      <c r="DM50" s="254" t="n"/>
      <c r="DN50" s="95" t="n"/>
      <c r="DO50" s="95" t="n"/>
    </row>
    <row r="51" ht="11.15" customHeight="1">
      <c r="A51" s="204" t="inlineStr">
        <is>
          <t>CSW-05</t>
        </is>
      </c>
      <c r="B51" s="255" t="n"/>
      <c r="C51" s="255"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255" t="n"/>
      <c r="BL51" s="7" t="inlineStr">
        <is>
          <t>GMAP-SIGA</t>
        </is>
      </c>
      <c r="BM51" s="254" t="inlineStr">
        <is>
          <t>ASUP</t>
        </is>
      </c>
      <c r="BN51" s="266" t="inlineStr">
        <is>
          <t>Chusquina</t>
        </is>
      </c>
      <c r="BO51" s="254" t="inlineStr">
        <is>
          <t>SI</t>
        </is>
      </c>
      <c r="BP51" s="106" t="inlineStr">
        <is>
          <t>CSW-05  CHUSQUINA/ASUP</t>
        </is>
      </c>
      <c r="BQ51" s="106">
        <f>VLOOKUP(BP51,[1]AGUA!$1:$1048576,2,FALSE)</f>
        <v/>
      </c>
      <c r="BR51" s="106">
        <f>VLOOKUP(BP51,[1]AGUA!$1:$1048576,6,FALSE)</f>
        <v/>
      </c>
      <c r="BS51" s="106">
        <f>VLOOKUP(BP51,[1]AGUA!$1:$1048576,7,FALSE)</f>
        <v/>
      </c>
      <c r="BT51" s="106" t="n"/>
      <c r="BU51" s="252"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4" t="n"/>
      <c r="DB51" s="254" t="n"/>
      <c r="DC51" s="254" t="n"/>
      <c r="DD51" s="207" t="n"/>
      <c r="DE51" s="254" t="n"/>
      <c r="DF51" s="254" t="n"/>
      <c r="DG51" s="254" t="n"/>
      <c r="DH51" s="254" t="n"/>
      <c r="DI51" s="254" t="n"/>
      <c r="DJ51" s="254" t="n"/>
      <c r="DK51" s="254" t="n"/>
      <c r="DL51" s="95" t="n"/>
      <c r="DM51" s="254" t="inlineStr">
        <is>
          <t>M</t>
        </is>
      </c>
      <c r="DN51" s="95" t="n">
        <v>1</v>
      </c>
      <c r="DO51" s="95" t="n">
        <v>14</v>
      </c>
    </row>
    <row r="52" ht="13" customHeight="1">
      <c r="A52" s="203" t="inlineStr">
        <is>
          <t>JCC-04</t>
        </is>
      </c>
      <c r="B52" s="260"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259" t="inlineStr">
        <is>
          <t>532MAJCC</t>
        </is>
      </c>
      <c r="BL52" s="61" t="inlineStr">
        <is>
          <t>GMAP-SIGA</t>
        </is>
      </c>
      <c r="BM52" s="168" t="inlineStr">
        <is>
          <t>ASUP</t>
        </is>
      </c>
      <c r="BN52" s="266" t="inlineStr">
        <is>
          <t>Jachucoposa</t>
        </is>
      </c>
      <c r="BO52" s="254"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4" t="n"/>
      <c r="DB52" s="254" t="n"/>
      <c r="DC52" s="254" t="n"/>
      <c r="DD52" s="254" t="n"/>
      <c r="DE52" s="254" t="n"/>
      <c r="DF52" s="254" t="n"/>
      <c r="DG52" s="254" t="n"/>
      <c r="DH52" s="254" t="n"/>
      <c r="DI52" s="254" t="n"/>
      <c r="DJ52" s="254" t="n"/>
      <c r="DK52" s="254" t="n"/>
      <c r="DL52" s="95" t="n"/>
      <c r="DM52" s="254" t="inlineStr">
        <is>
          <t>M</t>
        </is>
      </c>
      <c r="DN52" s="95" t="n">
        <v>15</v>
      </c>
      <c r="DO52" s="95" t="n">
        <v>21</v>
      </c>
    </row>
    <row r="53" ht="13" customHeight="1">
      <c r="A53" s="203" t="inlineStr">
        <is>
          <t>JCC-05</t>
        </is>
      </c>
      <c r="B53" s="260"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259" t="inlineStr">
        <is>
          <t>532MAJCC</t>
        </is>
      </c>
      <c r="BL53" s="61" t="inlineStr">
        <is>
          <t>GMAP-SIGA</t>
        </is>
      </c>
      <c r="BM53" s="168" t="inlineStr">
        <is>
          <t>ASUP</t>
        </is>
      </c>
      <c r="BN53" s="266" t="inlineStr">
        <is>
          <t>Jachucoposa</t>
        </is>
      </c>
      <c r="BO53" s="254"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4" t="n"/>
      <c r="DB53" s="254" t="n"/>
      <c r="DC53" s="254" t="n"/>
      <c r="DD53" s="254" t="n"/>
      <c r="DE53" s="254" t="n"/>
      <c r="DF53" s="254" t="n"/>
      <c r="DG53" s="254" t="n"/>
      <c r="DH53" s="254" t="n"/>
      <c r="DI53" s="254" t="n"/>
      <c r="DJ53" s="254" t="n"/>
      <c r="DK53" s="254" t="n"/>
      <c r="DL53" s="254" t="n"/>
      <c r="DM53" s="254" t="inlineStr">
        <is>
          <t>M</t>
        </is>
      </c>
      <c r="DN53" s="95" t="n">
        <v>15</v>
      </c>
      <c r="DO53" s="95" t="n">
        <v>21</v>
      </c>
    </row>
    <row r="54" ht="13" customHeight="1">
      <c r="A54" s="204" t="inlineStr">
        <is>
          <t>MSW-02</t>
        </is>
      </c>
      <c r="B54" s="260" t="inlineStr">
        <is>
          <t>MSW-2 MICHINCHA</t>
        </is>
      </c>
      <c r="C54" s="254"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259" t="inlineStr">
        <is>
          <t>532MAMSW2</t>
        </is>
      </c>
      <c r="BL54" s="7" t="inlineStr">
        <is>
          <t>GMAP-SIGA</t>
        </is>
      </c>
      <c r="BM54" s="254" t="inlineStr">
        <is>
          <t>CAUDAL</t>
        </is>
      </c>
      <c r="BN54" s="266" t="inlineStr">
        <is>
          <t>Michincha</t>
        </is>
      </c>
      <c r="BO54" s="254" t="inlineStr">
        <is>
          <t>SI</t>
        </is>
      </c>
      <c r="BP54" s="106" t="inlineStr">
        <is>
          <t>MSW-2 MICHINCHA/CAUDAL</t>
        </is>
      </c>
      <c r="BQ54" s="106">
        <f>VLOOKUP(BP54,[1]AGUA!$1:$1048576,2,FALSE)</f>
        <v/>
      </c>
      <c r="BR54" s="106">
        <f>VLOOKUP(BP54,[1]AGUA!$1:$1048576,6,FALSE)</f>
        <v/>
      </c>
      <c r="BS54" s="106">
        <f>VLOOKUP(BP54,[1]AGUA!$1:$1048576,7,FALSE)</f>
        <v/>
      </c>
      <c r="BT54" s="106" t="n"/>
      <c r="BU54" s="251"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4" t="n"/>
      <c r="DB54" s="254" t="n"/>
      <c r="DC54" s="254" t="n"/>
      <c r="DD54" s="254" t="n"/>
      <c r="DE54" s="254" t="n"/>
      <c r="DF54" s="254" t="n"/>
      <c r="DG54" s="254" t="n"/>
      <c r="DH54" s="254" t="n"/>
      <c r="DI54" s="254" t="n"/>
      <c r="DJ54" s="254" t="inlineStr">
        <is>
          <t>M</t>
        </is>
      </c>
      <c r="DK54" s="254" t="n">
        <v>1</v>
      </c>
      <c r="DL54" s="95" t="n">
        <v>7</v>
      </c>
      <c r="DM54" s="254" t="n"/>
      <c r="DN54" s="95" t="n"/>
      <c r="DO54" s="95" t="n"/>
    </row>
    <row r="55" ht="13" customHeight="1">
      <c r="A55" s="204" t="inlineStr">
        <is>
          <t>MSW-02</t>
        </is>
      </c>
      <c r="B55" s="255" t="n"/>
      <c r="C55" s="255"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255" t="n"/>
      <c r="BL55" s="7" t="inlineStr">
        <is>
          <t>GMAP-SIGA</t>
        </is>
      </c>
      <c r="BM55" s="254" t="inlineStr">
        <is>
          <t>ASUP</t>
        </is>
      </c>
      <c r="BN55" s="266" t="inlineStr">
        <is>
          <t>Michincha</t>
        </is>
      </c>
      <c r="BO55" s="254" t="inlineStr">
        <is>
          <t>SI</t>
        </is>
      </c>
      <c r="BP55" s="106" t="inlineStr">
        <is>
          <t>MSW-2 MICHINCHA/ASUP</t>
        </is>
      </c>
      <c r="BQ55" s="106">
        <f>VLOOKUP(BP55,[1]AGUA!$1:$1048576,2,FALSE)</f>
        <v/>
      </c>
      <c r="BR55" s="106">
        <f>VLOOKUP(BP55,[1]AGUA!$1:$1048576,6,FALSE)</f>
        <v/>
      </c>
      <c r="BS55" s="106">
        <f>VLOOKUP(BP55,[1]AGUA!$1:$1048576,7,FALSE)</f>
        <v/>
      </c>
      <c r="BT55" s="106" t="n"/>
      <c r="BU55" s="252"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4" t="n"/>
      <c r="DB55" s="254" t="n"/>
      <c r="DC55" s="254" t="n"/>
      <c r="DD55" s="254" t="n"/>
      <c r="DE55" s="254" t="n"/>
      <c r="DF55" s="254" t="n"/>
      <c r="DG55" s="254" t="n"/>
      <c r="DH55" s="254" t="n"/>
      <c r="DI55" s="254" t="n"/>
      <c r="DJ55" s="254" t="n"/>
      <c r="DK55" s="254" t="n"/>
      <c r="DL55" s="95" t="n"/>
      <c r="DM55" s="254" t="inlineStr">
        <is>
          <t>T</t>
        </is>
      </c>
      <c r="DN55" s="95" t="n">
        <v>1</v>
      </c>
      <c r="DO55" s="95" t="n">
        <v>7</v>
      </c>
    </row>
    <row r="56" ht="13" customHeight="1">
      <c r="A56" s="204" t="inlineStr">
        <is>
          <t>MSW-03</t>
        </is>
      </c>
      <c r="B56" s="260" t="inlineStr">
        <is>
          <t>MSW-3 UJINA</t>
        </is>
      </c>
      <c r="C56" s="254"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61" t="inlineStr">
        <is>
          <t>532MAMSW3</t>
        </is>
      </c>
      <c r="BL56" s="7" t="inlineStr">
        <is>
          <t>GMAP-SIGA</t>
        </is>
      </c>
      <c r="BM56" s="254" t="inlineStr">
        <is>
          <t>CAUDAL</t>
        </is>
      </c>
      <c r="BN56" s="266" t="inlineStr">
        <is>
          <t>Ujina</t>
        </is>
      </c>
      <c r="BO56" s="254" t="inlineStr">
        <is>
          <t>SI</t>
        </is>
      </c>
      <c r="BP56" s="106" t="inlineStr">
        <is>
          <t>MSW-3 UJINA/CAUDAL</t>
        </is>
      </c>
      <c r="BQ56" s="106">
        <f>VLOOKUP(BP56,[1]AGUA!$1:$1048576,2,FALSE)</f>
        <v/>
      </c>
      <c r="BR56" s="106">
        <f>VLOOKUP(BP56,[1]AGUA!$1:$1048576,6,FALSE)</f>
        <v/>
      </c>
      <c r="BS56" s="106">
        <f>VLOOKUP(BP56,[1]AGUA!$1:$1048576,7,FALSE)</f>
        <v/>
      </c>
      <c r="BT56" s="106" t="n"/>
      <c r="BU56" s="251"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4" t="n"/>
      <c r="DB56" s="254" t="n"/>
      <c r="DC56" s="254" t="n"/>
      <c r="DD56" s="254" t="n"/>
      <c r="DE56" s="254" t="n"/>
      <c r="DF56" s="254" t="n"/>
      <c r="DG56" s="254" t="n"/>
      <c r="DH56" s="254" t="n"/>
      <c r="DI56" s="254" t="n"/>
      <c r="DJ56" s="254" t="inlineStr">
        <is>
          <t>M</t>
        </is>
      </c>
      <c r="DK56" s="254" t="n">
        <v>22</v>
      </c>
      <c r="DL56" s="95" t="n">
        <v>28</v>
      </c>
      <c r="DM56" s="254" t="n"/>
      <c r="DN56" s="95" t="n"/>
      <c r="DO56" s="95" t="n"/>
    </row>
    <row r="57" ht="13" customHeight="1">
      <c r="A57" s="204" t="inlineStr">
        <is>
          <t>MSW-03</t>
        </is>
      </c>
      <c r="B57" s="255" t="n"/>
      <c r="C57" s="255"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255" t="n"/>
      <c r="BL57" s="7" t="inlineStr">
        <is>
          <t>GMAP-SIGA</t>
        </is>
      </c>
      <c r="BM57" s="254" t="inlineStr">
        <is>
          <t>ASUP</t>
        </is>
      </c>
      <c r="BN57" s="266" t="inlineStr">
        <is>
          <t>Ujina</t>
        </is>
      </c>
      <c r="BO57" s="254" t="inlineStr">
        <is>
          <t>SI</t>
        </is>
      </c>
      <c r="BP57" s="106" t="inlineStr">
        <is>
          <t>MSW-3 UJINA/ASUP</t>
        </is>
      </c>
      <c r="BQ57" s="106">
        <f>VLOOKUP(BP57,[1]AGUA!$1:$1048576,2,FALSE)</f>
        <v/>
      </c>
      <c r="BR57" s="106">
        <f>VLOOKUP(BP57,[1]AGUA!$1:$1048576,6,FALSE)</f>
        <v/>
      </c>
      <c r="BS57" s="106">
        <f>VLOOKUP(BP57,[1]AGUA!$1:$1048576,7,FALSE)</f>
        <v/>
      </c>
      <c r="BT57" s="106" t="n"/>
      <c r="BU57" s="252"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4" t="n"/>
      <c r="DB57" s="254" t="n"/>
      <c r="DC57" s="254" t="n"/>
      <c r="DD57" s="254" t="n"/>
      <c r="DE57" s="254" t="n"/>
      <c r="DF57" s="254" t="n"/>
      <c r="DG57" s="254" t="n"/>
      <c r="DH57" s="254" t="n"/>
      <c r="DI57" s="254" t="n"/>
      <c r="DJ57" s="254" t="n"/>
      <c r="DK57" s="254" t="n"/>
      <c r="DL57" s="95" t="n"/>
      <c r="DM57" s="254" t="inlineStr">
        <is>
          <t>M</t>
        </is>
      </c>
      <c r="DN57" s="95" t="n">
        <v>22</v>
      </c>
      <c r="DO57" s="95" t="n">
        <v>28</v>
      </c>
    </row>
    <row r="58" ht="13" customHeight="1">
      <c r="A58" s="204" t="inlineStr">
        <is>
          <t>MSW-1A</t>
        </is>
      </c>
      <c r="B58" s="260" t="n"/>
      <c r="C58" s="254"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61" t="n"/>
      <c r="BL58" s="7" t="inlineStr">
        <is>
          <t>GMAP-SIGA</t>
        </is>
      </c>
      <c r="BM58" s="254" t="inlineStr">
        <is>
          <t>ASUP</t>
        </is>
      </c>
      <c r="BN58" s="266" t="inlineStr">
        <is>
          <t>Michincha</t>
        </is>
      </c>
      <c r="BO58" s="254" t="inlineStr">
        <is>
          <t>SI</t>
        </is>
      </c>
      <c r="BP58" s="106" t="inlineStr">
        <is>
          <t>MSW-1A MICHINCHA/ASUP</t>
        </is>
      </c>
      <c r="BQ58" s="106">
        <f>VLOOKUP(BP58,[1]AGUA!$1:$1048576,2,FALSE)</f>
        <v/>
      </c>
      <c r="BR58" s="106">
        <f>VLOOKUP(BP58,[1]AGUA!$1:$1048576,6,FALSE)</f>
        <v/>
      </c>
      <c r="BS58" s="106">
        <f>VLOOKUP(BP58,[1]AGUA!$1:$1048576,7,FALSE)</f>
        <v/>
      </c>
      <c r="BT58" s="106" t="n"/>
      <c r="BU58" s="251"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4" t="n"/>
      <c r="DB58" s="254" t="n"/>
      <c r="DC58" s="254" t="n"/>
      <c r="DD58" s="254" t="n"/>
      <c r="DE58" s="254" t="n"/>
      <c r="DF58" s="254" t="n"/>
      <c r="DG58" s="254" t="n"/>
      <c r="DH58" s="254" t="n"/>
      <c r="DI58" s="254" t="n"/>
      <c r="DJ58" s="254" t="n"/>
      <c r="DK58" s="254" t="n"/>
      <c r="DL58" s="254" t="n"/>
      <c r="DM58" s="254" t="inlineStr">
        <is>
          <t>T</t>
        </is>
      </c>
      <c r="DN58" s="95" t="n">
        <v>1</v>
      </c>
      <c r="DO58" s="95" t="n">
        <v>7</v>
      </c>
    </row>
    <row r="59" ht="12.65" customHeight="1">
      <c r="A59" s="204" t="inlineStr">
        <is>
          <t>PD-03</t>
        </is>
      </c>
      <c r="B59" s="260" t="n"/>
      <c r="C59" s="254"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259" t="n"/>
      <c r="BL59" s="7" t="inlineStr">
        <is>
          <t>MINA</t>
        </is>
      </c>
      <c r="BM59" s="254" t="inlineStr">
        <is>
          <t>ASUP</t>
        </is>
      </c>
      <c r="BN59" s="266" t="inlineStr">
        <is>
          <t>Ujina</t>
        </is>
      </c>
      <c r="BO59" s="254" t="inlineStr">
        <is>
          <t>SI</t>
        </is>
      </c>
      <c r="BP59" s="106" t="inlineStr">
        <is>
          <t>PD-03 UJINA/ASUP</t>
        </is>
      </c>
      <c r="BQ59" s="106">
        <f>VLOOKUP(BP59,[1]AGUA!$1:$1048576,2,FALSE)</f>
        <v/>
      </c>
      <c r="BR59" s="106">
        <f>VLOOKUP(BP59,[1]AGUA!$1:$1048576,6,FALSE)</f>
        <v/>
      </c>
      <c r="BS59" s="106">
        <f>VLOOKUP(BP59,[1]AGUA!$1:$1048576,7,FALSE)</f>
        <v/>
      </c>
      <c r="BT59" s="106" t="n"/>
      <c r="BU59" s="251"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4" t="n"/>
      <c r="DB59" s="254" t="n"/>
      <c r="DC59" s="254" t="n"/>
      <c r="DD59" s="254" t="n"/>
      <c r="DE59" s="254" t="n"/>
      <c r="DF59" s="254" t="n"/>
      <c r="DG59" s="254" t="n"/>
      <c r="DH59" s="254" t="n"/>
      <c r="DI59" s="254" t="n"/>
      <c r="DJ59" s="254" t="n"/>
      <c r="DK59" s="254" t="n"/>
      <c r="DL59" s="254" t="n"/>
      <c r="DM59" s="254" t="inlineStr">
        <is>
          <t>T</t>
        </is>
      </c>
      <c r="DN59" s="95" t="n">
        <v>8</v>
      </c>
      <c r="DO59" s="95" t="n">
        <v>14</v>
      </c>
    </row>
    <row r="60" ht="13" customHeight="1">
      <c r="A60" s="203" t="inlineStr">
        <is>
          <t>PEV-01 (PES-01)</t>
        </is>
      </c>
      <c r="B60" s="260"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61" t="inlineStr">
        <is>
          <t>300SI400</t>
        </is>
      </c>
      <c r="BL60" s="61" t="inlineStr">
        <is>
          <t>PUERTO</t>
        </is>
      </c>
      <c r="BM60" s="254" t="inlineStr">
        <is>
          <t>ASUP</t>
        </is>
      </c>
      <c r="BN60" s="266" t="inlineStr">
        <is>
          <t>Puerto Collahuasi</t>
        </is>
      </c>
      <c r="BO60" s="254"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inlineStr">
        <is>
          <t>R</t>
        </is>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4" t="n"/>
      <c r="DB60" s="254" t="n"/>
      <c r="DC60" s="254" t="n"/>
      <c r="DD60" s="254" t="n"/>
      <c r="DE60" s="254" t="n"/>
      <c r="DF60" s="254" t="n"/>
      <c r="DG60" s="254" t="n"/>
      <c r="DH60" s="254" t="n"/>
      <c r="DI60" s="254" t="n"/>
      <c r="DJ60" s="254" t="n"/>
      <c r="DK60" s="254" t="n"/>
      <c r="DL60" s="254" t="n"/>
      <c r="DM60" s="254" t="inlineStr">
        <is>
          <t>M</t>
        </is>
      </c>
      <c r="DN60" s="95" t="n">
        <v>1</v>
      </c>
      <c r="DO60" s="95" t="n">
        <v>7</v>
      </c>
    </row>
    <row r="61" ht="12" customHeight="1">
      <c r="A61" s="203" t="inlineStr">
        <is>
          <t>Piscina P2</t>
        </is>
      </c>
      <c r="B61" s="260"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61" t="inlineStr">
        <is>
          <t>532PD006</t>
        </is>
      </c>
      <c r="BL61" s="61" t="inlineStr">
        <is>
          <t>GTAM</t>
        </is>
      </c>
      <c r="BM61" s="168" t="inlineStr">
        <is>
          <t>ASUP</t>
        </is>
      </c>
      <c r="BN61" s="266" t="inlineStr">
        <is>
          <t>Rosario</t>
        </is>
      </c>
      <c r="BO61" s="254"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4" t="n"/>
      <c r="DB61" s="254" t="n"/>
      <c r="DC61" s="254" t="n"/>
      <c r="DD61" s="254" t="n"/>
      <c r="DE61" s="254" t="n"/>
      <c r="DF61" s="254" t="n"/>
      <c r="DG61" s="254" t="n"/>
      <c r="DH61" s="254" t="n"/>
      <c r="DI61" s="254" t="n"/>
      <c r="DJ61" s="254" t="n"/>
      <c r="DK61" s="254" t="n"/>
      <c r="DL61" s="95" t="n"/>
      <c r="DM61" s="254" t="inlineStr">
        <is>
          <t>M</t>
        </is>
      </c>
      <c r="DN61" s="95" t="n">
        <v>15</v>
      </c>
      <c r="DO61" s="95" t="n">
        <v>21</v>
      </c>
    </row>
    <row r="62" ht="12.65" customHeight="1">
      <c r="A62" s="203" t="inlineStr">
        <is>
          <t>Piscina P3</t>
        </is>
      </c>
      <c r="B62" s="260"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61" t="inlineStr">
        <is>
          <t>900PD4001</t>
        </is>
      </c>
      <c r="BL62" s="61" t="inlineStr">
        <is>
          <t>GTAM</t>
        </is>
      </c>
      <c r="BM62" s="254" t="inlineStr">
        <is>
          <t>ASUP</t>
        </is>
      </c>
      <c r="BN62" s="266" t="inlineStr">
        <is>
          <t>Rosario</t>
        </is>
      </c>
      <c r="BO62" s="254"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4" t="n"/>
      <c r="DB62" s="254" t="n"/>
      <c r="DC62" s="254" t="n"/>
      <c r="DD62" s="254" t="n"/>
      <c r="DE62" s="254" t="n"/>
      <c r="DF62" s="254" t="n"/>
      <c r="DG62" s="254" t="n"/>
      <c r="DH62" s="254" t="n"/>
      <c r="DI62" s="254" t="n"/>
      <c r="DJ62" s="254" t="n"/>
      <c r="DK62" s="254" t="n"/>
      <c r="DL62" s="254" t="n"/>
      <c r="DM62" s="254" t="inlineStr">
        <is>
          <t>2M</t>
        </is>
      </c>
      <c r="DN62" s="99" t="inlineStr">
        <is>
          <t>1-15</t>
        </is>
      </c>
      <c r="DO62" s="97" t="inlineStr">
        <is>
          <t>7-21</t>
        </is>
      </c>
    </row>
    <row r="63" ht="12.65" customHeight="1">
      <c r="A63" s="203" t="inlineStr">
        <is>
          <t>PR</t>
        </is>
      </c>
      <c r="B63" s="260"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61" t="inlineStr">
        <is>
          <t>532MAPR</t>
        </is>
      </c>
      <c r="BL63" s="61" t="inlineStr">
        <is>
          <t>PUERTO</t>
        </is>
      </c>
      <c r="BM63" s="254" t="inlineStr">
        <is>
          <t>ASUP</t>
        </is>
      </c>
      <c r="BN63" s="266" t="inlineStr">
        <is>
          <t>Puerto Collahuasi</t>
        </is>
      </c>
      <c r="BO63" s="254"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inlineStr">
        <is>
          <t>R</t>
        </is>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4" t="n"/>
      <c r="DB63" s="254" t="n"/>
      <c r="DC63" s="254" t="n"/>
      <c r="DD63" s="254" t="n"/>
      <c r="DE63" s="254" t="n"/>
      <c r="DF63" s="254" t="n"/>
      <c r="DG63" s="254" t="n"/>
      <c r="DH63" s="254" t="n"/>
      <c r="DI63" s="254" t="n"/>
      <c r="DJ63" s="254" t="n"/>
      <c r="DK63" s="254" t="n"/>
      <c r="DL63" s="95" t="n"/>
      <c r="DM63" s="254" t="inlineStr">
        <is>
          <t>M</t>
        </is>
      </c>
      <c r="DN63" s="95" t="n">
        <v>1</v>
      </c>
      <c r="DO63" s="95" t="n">
        <v>7</v>
      </c>
    </row>
    <row r="64" ht="13" customHeight="1">
      <c r="A64" s="204" t="inlineStr">
        <is>
          <t>QDC-01</t>
        </is>
      </c>
      <c r="B64" s="260" t="inlineStr">
        <is>
          <t>QDC-1 CHICLLA</t>
        </is>
      </c>
      <c r="C64" s="254"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61" t="inlineStr">
        <is>
          <t>532ZPQDC-1</t>
        </is>
      </c>
      <c r="BL64" s="7" t="inlineStr">
        <is>
          <t>GMAP-SIGA</t>
        </is>
      </c>
      <c r="BM64" s="254" t="inlineStr">
        <is>
          <t>CAUDAL</t>
        </is>
      </c>
      <c r="BN64" s="266" t="inlineStr">
        <is>
          <t>Chiclla</t>
        </is>
      </c>
      <c r="BO64" s="254" t="inlineStr">
        <is>
          <t>SI</t>
        </is>
      </c>
      <c r="BP64" s="106" t="inlineStr">
        <is>
          <t>QDC-1 CHICLLA/CAUDAL</t>
        </is>
      </c>
      <c r="BQ64" s="106">
        <f>VLOOKUP(BP64,[1]AGUA!$1:$1048576,2,FALSE)</f>
        <v/>
      </c>
      <c r="BR64" s="106">
        <f>VLOOKUP(BP64,[1]AGUA!$1:$1048576,6,FALSE)</f>
        <v/>
      </c>
      <c r="BS64" s="106">
        <f>VLOOKUP(BP64,[1]AGUA!$1:$1048576,7,FALSE)</f>
        <v/>
      </c>
      <c r="BT64" s="106" t="n"/>
      <c r="BU64" s="251"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4" t="n"/>
      <c r="DB64" s="208" t="n"/>
      <c r="DC64" s="254" t="n"/>
      <c r="DD64" s="254" t="n"/>
      <c r="DE64" s="254" t="n"/>
      <c r="DF64" s="254" t="n"/>
      <c r="DG64" s="209" t="n"/>
      <c r="DH64" s="209" t="n"/>
      <c r="DI64" s="254" t="n"/>
      <c r="DJ64" s="254" t="inlineStr">
        <is>
          <t>M</t>
        </is>
      </c>
      <c r="DK64" s="254" t="n">
        <v>1</v>
      </c>
      <c r="DL64" s="95" t="n">
        <v>14</v>
      </c>
      <c r="DM64" s="254" t="n"/>
      <c r="DN64" s="95" t="n"/>
      <c r="DO64" s="95" t="n"/>
    </row>
    <row r="65" ht="13" customHeight="1">
      <c r="A65" s="204" t="inlineStr">
        <is>
          <t>QDC-01</t>
        </is>
      </c>
      <c r="B65" s="255" t="n"/>
      <c r="C65" s="255"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255" t="n"/>
      <c r="BL65" s="7" t="inlineStr">
        <is>
          <t>GMAP-SIGA</t>
        </is>
      </c>
      <c r="BM65" s="254" t="inlineStr">
        <is>
          <t>ASUP</t>
        </is>
      </c>
      <c r="BN65" s="266" t="inlineStr">
        <is>
          <t>Chiclla</t>
        </is>
      </c>
      <c r="BO65" s="254" t="inlineStr">
        <is>
          <t>SI</t>
        </is>
      </c>
      <c r="BP65" s="106" t="inlineStr">
        <is>
          <t>QDC-1 CHICLLA/ASUP</t>
        </is>
      </c>
      <c r="BQ65" s="106">
        <f>VLOOKUP(BP65,[1]AGUA!$1:$1048576,2,FALSE)</f>
        <v/>
      </c>
      <c r="BR65" s="106">
        <f>VLOOKUP(BP65,[1]AGUA!$1:$1048576,6,FALSE)</f>
        <v/>
      </c>
      <c r="BS65" s="106">
        <f>VLOOKUP(BP65,[1]AGUA!$1:$1048576,7,FALSE)</f>
        <v/>
      </c>
      <c r="BT65" s="106" t="n"/>
      <c r="BU65" s="252"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4" t="n"/>
      <c r="DB65" s="208" t="n"/>
      <c r="DC65" s="254" t="n"/>
      <c r="DD65" s="254" t="n"/>
      <c r="DE65" s="254" t="n"/>
      <c r="DF65" s="254" t="n"/>
      <c r="DG65" s="209" t="n"/>
      <c r="DH65" s="209" t="n"/>
      <c r="DI65" s="254" t="n"/>
      <c r="DJ65" s="254" t="n"/>
      <c r="DK65" s="254" t="n"/>
      <c r="DL65" s="95" t="n"/>
      <c r="DM65" s="254" t="inlineStr">
        <is>
          <t>M</t>
        </is>
      </c>
      <c r="DN65" s="95" t="n">
        <v>1</v>
      </c>
      <c r="DO65" s="95" t="n">
        <v>14</v>
      </c>
    </row>
    <row r="66" ht="13" customHeight="1">
      <c r="A66" s="204" t="inlineStr">
        <is>
          <t>QDC-02</t>
        </is>
      </c>
      <c r="B66" s="260" t="inlineStr">
        <is>
          <t>QDC-2 CHICLLA</t>
        </is>
      </c>
      <c r="C66" s="254"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61" t="inlineStr">
        <is>
          <t>900QE008</t>
        </is>
      </c>
      <c r="BL66" s="7" t="inlineStr">
        <is>
          <t>GMAP-SIGA</t>
        </is>
      </c>
      <c r="BM66" s="254" t="inlineStr">
        <is>
          <t>CAUDAL</t>
        </is>
      </c>
      <c r="BN66" s="266" t="inlineStr">
        <is>
          <t>Chiclla</t>
        </is>
      </c>
      <c r="BO66" s="254" t="inlineStr">
        <is>
          <t>SI</t>
        </is>
      </c>
      <c r="BP66" s="106" t="inlineStr">
        <is>
          <t>QDC-2 CHICLLA/CAUDAL</t>
        </is>
      </c>
      <c r="BQ66" s="106">
        <f>VLOOKUP(BP66,[1]AGUA!$1:$1048576,2,FALSE)</f>
        <v/>
      </c>
      <c r="BR66" s="106">
        <f>VLOOKUP(BP66,[1]AGUA!$1:$1048576,6,FALSE)</f>
        <v/>
      </c>
      <c r="BS66" s="106">
        <f>VLOOKUP(BP66,[1]AGUA!$1:$1048576,7,FALSE)</f>
        <v/>
      </c>
      <c r="BT66" s="106" t="n"/>
      <c r="BU66" s="251"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266" t="n"/>
      <c r="DB66" s="210" t="n"/>
      <c r="DC66" s="266" t="n"/>
      <c r="DD66" s="266" t="n"/>
      <c r="DE66" s="266" t="n"/>
      <c r="DF66" s="266" t="n"/>
      <c r="DG66" s="211" t="n"/>
      <c r="DH66" s="211" t="n"/>
      <c r="DI66" s="266" t="n"/>
      <c r="DJ66" s="254" t="inlineStr">
        <is>
          <t>M</t>
        </is>
      </c>
      <c r="DK66" s="254" t="n">
        <v>1</v>
      </c>
      <c r="DL66" s="95" t="n">
        <v>14</v>
      </c>
      <c r="DM66" s="254" t="n"/>
      <c r="DN66" s="95" t="n"/>
      <c r="DO66" s="95" t="n"/>
    </row>
    <row r="67" ht="13" customHeight="1">
      <c r="A67" s="204" t="inlineStr">
        <is>
          <t>QDC-02</t>
        </is>
      </c>
      <c r="B67" s="255" t="n"/>
      <c r="C67" s="255"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255" t="n"/>
      <c r="BL67" s="7" t="inlineStr">
        <is>
          <t>GMAP-SIGA</t>
        </is>
      </c>
      <c r="BM67" s="254" t="inlineStr">
        <is>
          <t>ASUP</t>
        </is>
      </c>
      <c r="BN67" s="266" t="inlineStr">
        <is>
          <t>Chiclla</t>
        </is>
      </c>
      <c r="BO67" s="254" t="inlineStr">
        <is>
          <t>SI</t>
        </is>
      </c>
      <c r="BP67" s="106" t="inlineStr">
        <is>
          <t>QDC-2 CHICLLA/ASUP</t>
        </is>
      </c>
      <c r="BQ67" s="106">
        <f>VLOOKUP(BP67,[1]AGUA!$1:$1048576,2,FALSE)</f>
        <v/>
      </c>
      <c r="BR67" s="106">
        <f>VLOOKUP(BP67,[1]AGUA!$1:$1048576,6,FALSE)</f>
        <v/>
      </c>
      <c r="BS67" s="106">
        <f>VLOOKUP(BP67,[1]AGUA!$1:$1048576,7,FALSE)</f>
        <v/>
      </c>
      <c r="BT67" s="106" t="n"/>
      <c r="BU67" s="252"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266" t="n"/>
      <c r="DB67" s="210" t="n"/>
      <c r="DC67" s="266" t="n"/>
      <c r="DD67" s="266" t="n"/>
      <c r="DE67" s="266" t="n"/>
      <c r="DF67" s="266" t="n"/>
      <c r="DG67" s="211" t="n"/>
      <c r="DH67" s="211" t="n"/>
      <c r="DI67" s="266" t="n"/>
      <c r="DJ67" s="254" t="n"/>
      <c r="DK67" s="254" t="n"/>
      <c r="DL67" s="95" t="n"/>
      <c r="DM67" s="254" t="inlineStr">
        <is>
          <t>T</t>
        </is>
      </c>
      <c r="DN67" s="95" t="n">
        <v>1</v>
      </c>
      <c r="DO67" s="95" t="n">
        <v>14</v>
      </c>
    </row>
    <row r="68" ht="11.15" customHeight="1">
      <c r="A68" s="203" t="inlineStr">
        <is>
          <t>QDH-01C</t>
        </is>
      </c>
      <c r="B68" s="260"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259" t="inlineStr">
        <is>
          <t>532MAQDH1C</t>
        </is>
      </c>
      <c r="BL68" s="61" t="inlineStr">
        <is>
          <t>GMAP-SIGA</t>
        </is>
      </c>
      <c r="BM68" s="254" t="inlineStr">
        <is>
          <t>ASUP</t>
        </is>
      </c>
      <c r="BN68" s="266" t="inlineStr">
        <is>
          <t>Huinquintipa</t>
        </is>
      </c>
      <c r="BO68" s="254"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4" t="n"/>
      <c r="DB68" s="254" t="n"/>
      <c r="DC68" s="254" t="n"/>
      <c r="DD68" s="254" t="n"/>
      <c r="DE68" s="254" t="n"/>
      <c r="DF68" s="254" t="n"/>
      <c r="DG68" s="254" t="n"/>
      <c r="DH68" s="254" t="n"/>
      <c r="DI68" s="254" t="n"/>
      <c r="DJ68" s="254" t="n"/>
      <c r="DK68" s="254" t="n"/>
      <c r="DL68" s="254" t="n"/>
      <c r="DM68" s="254" t="inlineStr">
        <is>
          <t>T</t>
        </is>
      </c>
      <c r="DN68" s="95" t="n">
        <v>22</v>
      </c>
      <c r="DO68" s="95" t="n">
        <v>28</v>
      </c>
    </row>
    <row r="69" ht="13" customHeight="1">
      <c r="A69" s="203" t="inlineStr">
        <is>
          <t>QDH-01D</t>
        </is>
      </c>
      <c r="B69" s="260"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259" t="inlineStr">
        <is>
          <t>532MAQDH1D</t>
        </is>
      </c>
      <c r="BL69" s="61" t="inlineStr">
        <is>
          <t>GMAP-SIGA</t>
        </is>
      </c>
      <c r="BM69" s="254" t="inlineStr">
        <is>
          <t>ASUP</t>
        </is>
      </c>
      <c r="BN69" s="266" t="inlineStr">
        <is>
          <t>Huinquintipa</t>
        </is>
      </c>
      <c r="BO69" s="254"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4" t="n"/>
      <c r="DB69" s="254" t="n"/>
      <c r="DC69" s="254" t="n"/>
      <c r="DD69" s="254" t="n"/>
      <c r="DE69" s="254" t="n"/>
      <c r="DF69" s="254" t="n"/>
      <c r="DG69" s="254" t="n"/>
      <c r="DH69" s="254" t="n"/>
      <c r="DI69" s="254" t="n"/>
      <c r="DJ69" s="254" t="n"/>
      <c r="DK69" s="254" t="n"/>
      <c r="DL69" s="254" t="n"/>
      <c r="DM69" s="254" t="inlineStr">
        <is>
          <t>T</t>
        </is>
      </c>
      <c r="DN69" s="95" t="n">
        <v>22</v>
      </c>
      <c r="DO69" s="95" t="n">
        <v>28</v>
      </c>
    </row>
    <row r="70" ht="13" customHeight="1">
      <c r="A70" s="203" t="inlineStr">
        <is>
          <t>QDH-01F</t>
        </is>
      </c>
      <c r="B70" s="260"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259" t="inlineStr">
        <is>
          <t>532MAQDH1F</t>
        </is>
      </c>
      <c r="BL70" s="61" t="inlineStr">
        <is>
          <t>GMAP-SIGA</t>
        </is>
      </c>
      <c r="BM70" s="254" t="inlineStr">
        <is>
          <t>ASUP</t>
        </is>
      </c>
      <c r="BN70" s="266" t="inlineStr">
        <is>
          <t>Huinquintipa</t>
        </is>
      </c>
      <c r="BO70" s="254"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4" t="n"/>
      <c r="DB70" s="254" t="n"/>
      <c r="DC70" s="254" t="n"/>
      <c r="DD70" s="254" t="n"/>
      <c r="DE70" s="254" t="n"/>
      <c r="DF70" s="254" t="n"/>
      <c r="DG70" s="254" t="n"/>
      <c r="DH70" s="254" t="n"/>
      <c r="DI70" s="254" t="n"/>
      <c r="DJ70" s="254" t="n"/>
      <c r="DK70" s="254" t="n"/>
      <c r="DL70" s="254" t="n"/>
      <c r="DM70" s="254" t="inlineStr">
        <is>
          <t>T</t>
        </is>
      </c>
      <c r="DN70" s="95" t="n">
        <v>22</v>
      </c>
      <c r="DO70" s="95" t="n">
        <v>28</v>
      </c>
    </row>
    <row r="71" ht="12" customHeight="1">
      <c r="A71" s="204" t="inlineStr">
        <is>
          <t>QDH-02</t>
        </is>
      </c>
      <c r="B71" s="260" t="inlineStr">
        <is>
          <t>QDH-2 HUINQUINTIPA</t>
        </is>
      </c>
      <c r="C71" s="254"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259" t="inlineStr">
        <is>
          <t>532MAQDH2</t>
        </is>
      </c>
      <c r="BL71" s="7" t="inlineStr">
        <is>
          <t>GMAP-SIGA</t>
        </is>
      </c>
      <c r="BM71" s="254" t="inlineStr">
        <is>
          <t>CAUDAL</t>
        </is>
      </c>
      <c r="BN71" s="266" t="inlineStr">
        <is>
          <t>Huinquintipa</t>
        </is>
      </c>
      <c r="BO71" s="254" t="inlineStr">
        <is>
          <t>SI</t>
        </is>
      </c>
      <c r="BP71" s="106" t="inlineStr">
        <is>
          <t>QDH-2 HUINQUINTIPA/CAUDAL</t>
        </is>
      </c>
      <c r="BQ71" s="106">
        <f>VLOOKUP(BP71,[1]AGUA!$1:$1048576,2,FALSE)</f>
        <v/>
      </c>
      <c r="BR71" s="106">
        <f>VLOOKUP(BP71,[1]AGUA!$1:$1048576,6,FALSE)</f>
        <v/>
      </c>
      <c r="BS71" s="106">
        <f>VLOOKUP(BP71,[1]AGUA!$1:$1048576,7,FALSE)</f>
        <v/>
      </c>
      <c r="BT71" s="106" t="n"/>
      <c r="BU71" s="251"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4" t="n"/>
      <c r="DB71" s="208" t="n"/>
      <c r="DC71" s="212" t="n"/>
      <c r="DD71" s="254" t="n"/>
      <c r="DE71" s="213" t="n"/>
      <c r="DF71" s="254" t="n"/>
      <c r="DG71" s="209" t="n"/>
      <c r="DH71" s="209" t="n"/>
      <c r="DI71" s="254" t="n"/>
      <c r="DJ71" s="254" t="inlineStr">
        <is>
          <t>2S</t>
        </is>
      </c>
      <c r="DK71" s="254" t="inlineStr">
        <is>
          <t>R</t>
        </is>
      </c>
      <c r="DL71" s="95" t="inlineStr">
        <is>
          <t>R</t>
        </is>
      </c>
      <c r="DM71" s="254" t="n"/>
      <c r="DN71" s="95" t="n"/>
      <c r="DO71" s="95" t="n"/>
    </row>
    <row r="72" ht="13" customHeight="1">
      <c r="A72" s="204" t="inlineStr">
        <is>
          <t>QDH-02</t>
        </is>
      </c>
      <c r="B72" s="255" t="n"/>
      <c r="C72" s="255"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255" t="n"/>
      <c r="BL72" s="7" t="inlineStr">
        <is>
          <t>GMAP-SIGA</t>
        </is>
      </c>
      <c r="BM72" s="254" t="inlineStr">
        <is>
          <t>ASUP</t>
        </is>
      </c>
      <c r="BN72" s="266" t="inlineStr">
        <is>
          <t>Huinquintipa</t>
        </is>
      </c>
      <c r="BO72" s="254" t="inlineStr">
        <is>
          <t>SI</t>
        </is>
      </c>
      <c r="BP72" s="106" t="inlineStr">
        <is>
          <t>QDH-2 HUINQUINTIPA/ASUP</t>
        </is>
      </c>
      <c r="BQ72" s="106">
        <f>VLOOKUP(BP72,[1]AGUA!$1:$1048576,2,FALSE)</f>
        <v/>
      </c>
      <c r="BR72" s="106">
        <f>VLOOKUP(BP72,[1]AGUA!$1:$1048576,6,FALSE)</f>
        <v/>
      </c>
      <c r="BS72" s="106">
        <f>VLOOKUP(BP72,[1]AGUA!$1:$1048576,7,FALSE)</f>
        <v/>
      </c>
      <c r="BT72" s="106" t="n"/>
      <c r="BU72" s="252"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4" t="n"/>
      <c r="DB72" s="208" t="n"/>
      <c r="DC72" s="212" t="n"/>
      <c r="DD72" s="254" t="n"/>
      <c r="DE72" s="213" t="n"/>
      <c r="DF72" s="254" t="n"/>
      <c r="DG72" s="209" t="n"/>
      <c r="DH72" s="209" t="n"/>
      <c r="DI72" s="254" t="n"/>
      <c r="DJ72" s="254" t="n"/>
      <c r="DK72" s="254" t="n"/>
      <c r="DL72" s="95" t="n"/>
      <c r="DM72" s="254" t="inlineStr">
        <is>
          <t>M</t>
        </is>
      </c>
      <c r="DN72" s="95" t="n">
        <v>1</v>
      </c>
      <c r="DO72" s="95" t="n">
        <v>14</v>
      </c>
    </row>
    <row r="73" ht="12.65" customHeight="1">
      <c r="A73" s="203" t="inlineStr">
        <is>
          <t>QDH-1E</t>
        </is>
      </c>
      <c r="B73" s="260" t="inlineStr">
        <is>
          <t>QDH-1E HUINQUINTIPA (INT. RAJO ROSARIO )</t>
        </is>
      </c>
      <c r="C73" s="254"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259" t="inlineStr">
        <is>
          <t>532MAQDH1E</t>
        </is>
      </c>
      <c r="BL73" s="61" t="inlineStr">
        <is>
          <t>GMAP-SIGA</t>
        </is>
      </c>
      <c r="BM73" s="254" t="inlineStr">
        <is>
          <t>ASUP</t>
        </is>
      </c>
      <c r="BN73" s="266" t="inlineStr">
        <is>
          <t>Huinquintipa</t>
        </is>
      </c>
      <c r="BO73" s="254"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4" t="n"/>
      <c r="DB73" s="254" t="n"/>
      <c r="DC73" s="254" t="n"/>
      <c r="DD73" s="254" t="n"/>
      <c r="DE73" s="254" t="n"/>
      <c r="DF73" s="254" t="n"/>
      <c r="DG73" s="254" t="n"/>
      <c r="DH73" s="254" t="n"/>
      <c r="DI73" s="254" t="n"/>
      <c r="DJ73" s="254" t="n"/>
      <c r="DK73" s="254" t="n"/>
      <c r="DL73" s="95" t="n"/>
      <c r="DM73" s="254" t="inlineStr">
        <is>
          <t>M</t>
        </is>
      </c>
      <c r="DN73" s="95" t="n">
        <v>8</v>
      </c>
      <c r="DO73" s="95" t="n">
        <v>14</v>
      </c>
    </row>
    <row r="74" ht="13" customHeight="1">
      <c r="A74" s="203" t="inlineStr">
        <is>
          <t>QDH-1E Piscina</t>
        </is>
      </c>
      <c r="B74" s="260"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259" t="inlineStr">
        <is>
          <t>532MAQDH1E</t>
        </is>
      </c>
      <c r="BL74" s="61" t="inlineStr">
        <is>
          <t>GMAP-SIGA</t>
        </is>
      </c>
      <c r="BM74" s="254" t="inlineStr">
        <is>
          <t>CAUDAL</t>
        </is>
      </c>
      <c r="BN74" s="266" t="inlineStr">
        <is>
          <t>Huinquintipa</t>
        </is>
      </c>
      <c r="BO74" s="254"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4" t="n"/>
      <c r="DB74" s="254" t="n"/>
      <c r="DC74" s="254" t="n"/>
      <c r="DD74" s="254" t="n"/>
      <c r="DE74" s="254" t="n"/>
      <c r="DF74" s="254" t="n"/>
      <c r="DG74" s="254" t="n"/>
      <c r="DH74" s="254" t="n"/>
      <c r="DI74" s="254" t="n"/>
      <c r="DJ74" s="254" t="inlineStr">
        <is>
          <t>2M</t>
        </is>
      </c>
      <c r="DK74" s="95" t="inlineStr">
        <is>
          <t>1 y 15</t>
        </is>
      </c>
      <c r="DL74" s="95" t="inlineStr">
        <is>
          <t>7 y 21</t>
        </is>
      </c>
      <c r="DM74" s="254" t="n"/>
      <c r="DN74" s="95" t="n"/>
      <c r="DO74" s="95" t="n"/>
    </row>
    <row r="75" ht="13" customHeight="1">
      <c r="A75" s="203" t="inlineStr">
        <is>
          <t>QDH-1E Piscina</t>
        </is>
      </c>
      <c r="B75" s="260"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259" t="inlineStr">
        <is>
          <t>532MAQDH1E</t>
        </is>
      </c>
      <c r="BL75" s="61" t="inlineStr">
        <is>
          <t>GMAP-SIGA</t>
        </is>
      </c>
      <c r="BM75" s="254" t="inlineStr">
        <is>
          <t>FOTOMETRO</t>
        </is>
      </c>
      <c r="BN75" s="266" t="inlineStr">
        <is>
          <t>Huinquintipa</t>
        </is>
      </c>
      <c r="BO75" s="254"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4" t="n"/>
      <c r="DB75" s="254" t="n"/>
      <c r="DC75" s="254" t="n"/>
      <c r="DD75" s="254" t="n"/>
      <c r="DE75" s="254" t="n"/>
      <c r="DF75" s="254" t="n"/>
      <c r="DG75" s="254" t="n"/>
      <c r="DH75" s="254" t="n"/>
      <c r="DI75" s="254" t="n"/>
      <c r="DJ75" s="254" t="n"/>
      <c r="DK75" s="95" t="n"/>
      <c r="DL75" s="95" t="n"/>
      <c r="DM75" s="254" t="inlineStr">
        <is>
          <t>S</t>
        </is>
      </c>
      <c r="DN75" s="95" t="inlineStr">
        <is>
          <t>R</t>
        </is>
      </c>
      <c r="DO75" s="95" t="inlineStr">
        <is>
          <t>R</t>
        </is>
      </c>
    </row>
    <row r="76" ht="13.5" customHeight="1">
      <c r="A76" s="203" t="inlineStr">
        <is>
          <t>QDH-1E Piscina</t>
        </is>
      </c>
      <c r="B76" s="260"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259" t="inlineStr">
        <is>
          <t>532MAQDH1E</t>
        </is>
      </c>
      <c r="BL76" s="61" t="inlineStr">
        <is>
          <t>GMAP-SIGA</t>
        </is>
      </c>
      <c r="BM76" s="254" t="inlineStr">
        <is>
          <t>ASUP</t>
        </is>
      </c>
      <c r="BN76" s="266" t="inlineStr">
        <is>
          <t>Huinquintipa</t>
        </is>
      </c>
      <c r="BO76" s="254"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4" t="n"/>
      <c r="DB76" s="254" t="n"/>
      <c r="DC76" s="254" t="n"/>
      <c r="DD76" s="254" t="n"/>
      <c r="DE76" s="254" t="n"/>
      <c r="DF76" s="254" t="n"/>
      <c r="DG76" s="254" t="n"/>
      <c r="DH76" s="254" t="n"/>
      <c r="DI76" s="254" t="n"/>
      <c r="DJ76" s="254" t="n"/>
      <c r="DK76" s="95" t="n"/>
      <c r="DL76" s="95" t="n"/>
      <c r="DM76" s="254" t="inlineStr">
        <is>
          <t>2M</t>
        </is>
      </c>
      <c r="DN76" s="95" t="inlineStr">
        <is>
          <t>8 y 22</t>
        </is>
      </c>
      <c r="DO76" s="95" t="inlineStr">
        <is>
          <t>14 y 28</t>
        </is>
      </c>
    </row>
    <row r="77" ht="13" customHeight="1">
      <c r="A77" s="203" t="inlineStr">
        <is>
          <t>QSD-01</t>
        </is>
      </c>
      <c r="B77" s="260"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259" t="inlineStr">
        <is>
          <t>532MAQSD1</t>
        </is>
      </c>
      <c r="BL77" s="61" t="inlineStr">
        <is>
          <t>GMAP-SIGA</t>
        </is>
      </c>
      <c r="BM77" s="254" t="inlineStr">
        <is>
          <t>ASUP</t>
        </is>
      </c>
      <c r="BN77" s="266" t="inlineStr">
        <is>
          <t>San Daniel</t>
        </is>
      </c>
      <c r="BO77" s="254"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4" t="n"/>
      <c r="DB77" s="254" t="n"/>
      <c r="DC77" s="254" t="n"/>
      <c r="DD77" s="254" t="n"/>
      <c r="DE77" s="254" t="n"/>
      <c r="DF77" s="254" t="n"/>
      <c r="DG77" s="254" t="n"/>
      <c r="DH77" s="254" t="n"/>
      <c r="DI77" s="254" t="n"/>
      <c r="DJ77" s="254" t="n"/>
      <c r="DK77" s="254" t="n"/>
      <c r="DL77" s="254" t="n"/>
      <c r="DM77" s="254" t="inlineStr">
        <is>
          <t>M</t>
        </is>
      </c>
      <c r="DN77" s="95" t="n">
        <v>8</v>
      </c>
      <c r="DO77" s="95" t="n">
        <v>14</v>
      </c>
    </row>
    <row r="78" ht="13" customHeight="1">
      <c r="A78" s="203" t="inlineStr">
        <is>
          <t>QSD-1 Piscina</t>
        </is>
      </c>
      <c r="B78" s="260"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259" t="inlineStr">
        <is>
          <t>532MAQSD2</t>
        </is>
      </c>
      <c r="BL78" s="61" t="inlineStr">
        <is>
          <t>GMAP-SIGA</t>
        </is>
      </c>
      <c r="BM78" s="254" t="inlineStr">
        <is>
          <t>CAUDAL</t>
        </is>
      </c>
      <c r="BN78" s="266" t="inlineStr">
        <is>
          <t>San Daniel</t>
        </is>
      </c>
      <c r="BO78" s="254"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4" t="n"/>
      <c r="DB78" s="254" t="n"/>
      <c r="DC78" s="254" t="n"/>
      <c r="DD78" s="254" t="n"/>
      <c r="DE78" s="254" t="n"/>
      <c r="DF78" s="254" t="n"/>
      <c r="DG78" s="254" t="n"/>
      <c r="DH78" s="254" t="n"/>
      <c r="DI78" s="254" t="n"/>
      <c r="DJ78" s="254" t="inlineStr">
        <is>
          <t>2M</t>
        </is>
      </c>
      <c r="DK78" s="95" t="inlineStr">
        <is>
          <t>1 y 15</t>
        </is>
      </c>
      <c r="DL78" s="95" t="inlineStr">
        <is>
          <t>7 y 21</t>
        </is>
      </c>
      <c r="DM78" s="254" t="n"/>
      <c r="DN78" s="95" t="n"/>
      <c r="DO78" s="95" t="n"/>
    </row>
    <row r="79" ht="12.65" customHeight="1">
      <c r="A79" s="203" t="inlineStr">
        <is>
          <t>QSD-1 Piscina</t>
        </is>
      </c>
      <c r="B79" s="260"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259" t="inlineStr">
        <is>
          <t>532MAQSD3</t>
        </is>
      </c>
      <c r="BL79" s="61" t="inlineStr">
        <is>
          <t>GMAP-SIGA</t>
        </is>
      </c>
      <c r="BM79" s="254" t="inlineStr">
        <is>
          <t>FOTOMETRO</t>
        </is>
      </c>
      <c r="BN79" s="266" t="inlineStr">
        <is>
          <t>San Daniel</t>
        </is>
      </c>
      <c r="BO79" s="254"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4" t="n"/>
      <c r="DB79" s="254" t="n"/>
      <c r="DC79" s="254" t="n"/>
      <c r="DD79" s="254" t="n"/>
      <c r="DE79" s="254" t="n"/>
      <c r="DF79" s="254" t="n"/>
      <c r="DG79" s="254" t="n"/>
      <c r="DH79" s="254" t="n"/>
      <c r="DI79" s="254" t="n"/>
      <c r="DJ79" s="254" t="n"/>
      <c r="DK79" s="95" t="n"/>
      <c r="DL79" s="95" t="n"/>
      <c r="DM79" s="254" t="inlineStr">
        <is>
          <t>S</t>
        </is>
      </c>
      <c r="DN79" s="95" t="inlineStr">
        <is>
          <t>R</t>
        </is>
      </c>
      <c r="DO79" s="95" t="inlineStr">
        <is>
          <t>R</t>
        </is>
      </c>
    </row>
    <row r="80" ht="13" customHeight="1">
      <c r="A80" s="203" t="inlineStr">
        <is>
          <t>QSD-1 Piscina</t>
        </is>
      </c>
      <c r="B80" s="260"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259" t="inlineStr">
        <is>
          <t>532MAQSD3</t>
        </is>
      </c>
      <c r="BL80" s="61" t="inlineStr">
        <is>
          <t>GMAP-SIGA</t>
        </is>
      </c>
      <c r="BM80" s="254" t="inlineStr">
        <is>
          <t>ASUP</t>
        </is>
      </c>
      <c r="BN80" s="266" t="inlineStr">
        <is>
          <t>San Daniel</t>
        </is>
      </c>
      <c r="BO80" s="254"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4" t="n"/>
      <c r="DB80" s="254" t="n"/>
      <c r="DC80" s="254" t="n"/>
      <c r="DD80" s="254" t="n"/>
      <c r="DE80" s="254" t="n"/>
      <c r="DF80" s="254" t="n"/>
      <c r="DG80" s="254" t="n"/>
      <c r="DH80" s="254" t="n"/>
      <c r="DI80" s="254" t="n"/>
      <c r="DJ80" s="254" t="n"/>
      <c r="DK80" s="95" t="n"/>
      <c r="DL80" s="95" t="n"/>
      <c r="DM80" s="254" t="inlineStr">
        <is>
          <t>2M</t>
        </is>
      </c>
      <c r="DN80" s="95" t="inlineStr">
        <is>
          <t>8 y 22</t>
        </is>
      </c>
      <c r="DO80" s="95" t="inlineStr">
        <is>
          <t>14 y 28</t>
        </is>
      </c>
    </row>
    <row r="81" ht="13" customHeight="1">
      <c r="A81" s="204" t="inlineStr">
        <is>
          <t>QSN-01</t>
        </is>
      </c>
      <c r="B81" s="260" t="inlineStr">
        <is>
          <t>QSN-1 SAN NICOLAS</t>
        </is>
      </c>
      <c r="C81" s="254"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259" t="inlineStr">
        <is>
          <t>532MAQSN1</t>
        </is>
      </c>
      <c r="BL81" s="7" t="inlineStr">
        <is>
          <t>GMAP-SIGA</t>
        </is>
      </c>
      <c r="BM81" s="254" t="inlineStr">
        <is>
          <t>CAUDAL</t>
        </is>
      </c>
      <c r="BN81" s="266" t="inlineStr">
        <is>
          <t>San Nicolás</t>
        </is>
      </c>
      <c r="BO81" s="254" t="inlineStr">
        <is>
          <t>SI</t>
        </is>
      </c>
      <c r="BP81" s="106" t="inlineStr">
        <is>
          <t>QSN-1 SAN NICOLAS/CAUDAL</t>
        </is>
      </c>
      <c r="BQ81" s="106">
        <f>VLOOKUP(BP81,[1]AGUA!$1:$1048576,2,FALSE)</f>
        <v/>
      </c>
      <c r="BR81" s="106">
        <f>VLOOKUP(BP81,[1]AGUA!$1:$1048576,6,FALSE)</f>
        <v/>
      </c>
      <c r="BS81" s="106">
        <f>VLOOKUP(BP81,[1]AGUA!$1:$1048576,7,FALSE)</f>
        <v/>
      </c>
      <c r="BT81" s="106" t="n"/>
      <c r="BU81" s="251"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4" t="n"/>
      <c r="DB81" s="208" t="n"/>
      <c r="DC81" s="254" t="n"/>
      <c r="DD81" s="254" t="n"/>
      <c r="DE81" s="254" t="n"/>
      <c r="DF81" s="254" t="n"/>
      <c r="DG81" s="209" t="n"/>
      <c r="DH81" s="209" t="n"/>
      <c r="DI81" s="254" t="n"/>
      <c r="DJ81" s="254" t="inlineStr">
        <is>
          <t>2S</t>
        </is>
      </c>
      <c r="DK81" s="254" t="inlineStr">
        <is>
          <t>R</t>
        </is>
      </c>
      <c r="DL81" s="95" t="inlineStr">
        <is>
          <t>R</t>
        </is>
      </c>
      <c r="DM81" s="254" t="n"/>
      <c r="DN81" s="95" t="n"/>
      <c r="DO81" s="95" t="n"/>
    </row>
    <row r="82" ht="12.5" customHeight="1">
      <c r="A82" s="204" t="inlineStr">
        <is>
          <t>QSN-01</t>
        </is>
      </c>
      <c r="B82" s="260" t="inlineStr">
        <is>
          <t>QSN-1 HUINQUINTIPA</t>
        </is>
      </c>
      <c r="C82" s="255"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255" t="n"/>
      <c r="BL82" s="7" t="inlineStr">
        <is>
          <t>GMAP-SIGA</t>
        </is>
      </c>
      <c r="BM82" s="254" t="inlineStr">
        <is>
          <t>ASUP</t>
        </is>
      </c>
      <c r="BN82" s="266" t="inlineStr">
        <is>
          <t>San Nicolás</t>
        </is>
      </c>
      <c r="BO82" s="254" t="inlineStr">
        <is>
          <t>SI</t>
        </is>
      </c>
      <c r="BP82" s="106" t="inlineStr">
        <is>
          <t>QSN-1 HUINQUINTIPA/ASUP</t>
        </is>
      </c>
      <c r="BQ82" s="106">
        <f>VLOOKUP(BP82,[1]AGUA!$1:$1048576,2,FALSE)</f>
        <v/>
      </c>
      <c r="BR82" s="106">
        <f>VLOOKUP(BP82,[1]AGUA!$1:$1048576,6,FALSE)</f>
        <v/>
      </c>
      <c r="BS82" s="106">
        <f>VLOOKUP(BP82,[1]AGUA!$1:$1048576,7,FALSE)</f>
        <v/>
      </c>
      <c r="BT82" s="106" t="n"/>
      <c r="BU82" s="252"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4" t="n"/>
      <c r="DB82" s="208" t="n"/>
      <c r="DC82" s="254" t="n"/>
      <c r="DD82" s="254" t="n"/>
      <c r="DE82" s="254" t="n"/>
      <c r="DF82" s="254" t="n"/>
      <c r="DG82" s="209" t="n"/>
      <c r="DH82" s="209" t="n"/>
      <c r="DI82" s="254" t="n"/>
      <c r="DJ82" s="254" t="n"/>
      <c r="DK82" s="254" t="n"/>
      <c r="DL82" s="95" t="n"/>
      <c r="DM82" s="254" t="inlineStr">
        <is>
          <t>2M</t>
        </is>
      </c>
      <c r="DN82" s="97" t="inlineStr">
        <is>
          <t>01-15</t>
        </is>
      </c>
      <c r="DO82" s="97" t="inlineStr">
        <is>
          <t>7_28</t>
        </is>
      </c>
    </row>
    <row r="83" ht="12" customHeight="1">
      <c r="A83" s="204" t="inlineStr">
        <is>
          <t>QYA</t>
        </is>
      </c>
      <c r="B83" s="260" t="inlineStr">
        <is>
          <t>QYA YABRICOYITA</t>
        </is>
      </c>
      <c r="C83" s="254"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61" t="inlineStr">
        <is>
          <t>532MAQYA</t>
        </is>
      </c>
      <c r="BL83" s="7" t="inlineStr">
        <is>
          <t>GMAP-SIGA</t>
        </is>
      </c>
      <c r="BM83" s="254" t="inlineStr">
        <is>
          <t>CAUDAL</t>
        </is>
      </c>
      <c r="BN83" s="266" t="inlineStr">
        <is>
          <t>Yabricollita</t>
        </is>
      </c>
      <c r="BO83" s="254" t="inlineStr">
        <is>
          <t>SI</t>
        </is>
      </c>
      <c r="BP83" s="106" t="inlineStr">
        <is>
          <t>QYA YABRICOYITA/CAUDAL</t>
        </is>
      </c>
      <c r="BQ83" s="106">
        <f>VLOOKUP(BP83,[1]AGUA!$1:$1048576,2,FALSE)</f>
        <v/>
      </c>
      <c r="BR83" s="106">
        <f>VLOOKUP(BP83,[1]AGUA!$1:$1048576,6,FALSE)</f>
        <v/>
      </c>
      <c r="BS83" s="106">
        <f>VLOOKUP(BP83,[1]AGUA!$1:$1048576,7,FALSE)</f>
        <v/>
      </c>
      <c r="BT83" s="106" t="n"/>
      <c r="BU83" s="251"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4" t="n"/>
      <c r="DB83" s="254" t="n"/>
      <c r="DC83" s="254" t="n"/>
      <c r="DD83" s="207" t="n"/>
      <c r="DE83" s="254" t="n"/>
      <c r="DF83" s="254" t="n"/>
      <c r="DG83" s="254" t="n"/>
      <c r="DH83" s="254" t="n"/>
      <c r="DI83" s="214" t="n"/>
      <c r="DJ83" s="254" t="inlineStr">
        <is>
          <t>M</t>
        </is>
      </c>
      <c r="DK83" s="254" t="n">
        <v>1</v>
      </c>
      <c r="DL83" s="95" t="n">
        <v>16</v>
      </c>
      <c r="DM83" s="254" t="n"/>
      <c r="DN83" s="97" t="n"/>
      <c r="DO83" s="97" t="n"/>
    </row>
    <row r="84" ht="13" customHeight="1">
      <c r="A84" s="204" t="inlineStr">
        <is>
          <t>QYA</t>
        </is>
      </c>
      <c r="B84" s="255" t="n"/>
      <c r="C84" s="255"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255" t="n"/>
      <c r="BL84" s="7" t="inlineStr">
        <is>
          <t>GMAP-SIGA</t>
        </is>
      </c>
      <c r="BM84" s="254" t="inlineStr">
        <is>
          <t>ASUP</t>
        </is>
      </c>
      <c r="BN84" s="266" t="inlineStr">
        <is>
          <t>Yabricollita</t>
        </is>
      </c>
      <c r="BO84" s="254" t="inlineStr">
        <is>
          <t>SI</t>
        </is>
      </c>
      <c r="BP84" s="106" t="inlineStr">
        <is>
          <t>QYA YABRICOYITA/ASUP</t>
        </is>
      </c>
      <c r="BQ84" s="106">
        <f>VLOOKUP(BP84,[1]AGUA!$1:$1048576,2,FALSE)</f>
        <v/>
      </c>
      <c r="BR84" s="106">
        <f>VLOOKUP(BP84,[1]AGUA!$1:$1048576,6,FALSE)</f>
        <v/>
      </c>
      <c r="BS84" s="106">
        <f>VLOOKUP(BP84,[1]AGUA!$1:$1048576,7,FALSE)</f>
        <v/>
      </c>
      <c r="BT84" s="106" t="n"/>
      <c r="BU84" s="252"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4" t="n"/>
      <c r="DB84" s="254" t="n"/>
      <c r="DC84" s="254" t="n"/>
      <c r="DD84" s="207" t="n"/>
      <c r="DE84" s="254" t="n"/>
      <c r="DF84" s="254" t="n"/>
      <c r="DG84" s="254" t="n"/>
      <c r="DH84" s="254" t="n"/>
      <c r="DI84" s="214" t="n"/>
      <c r="DJ84" s="254" t="n"/>
      <c r="DK84" s="254" t="n"/>
      <c r="DL84" s="95" t="n"/>
      <c r="DM84" s="254" t="inlineStr">
        <is>
          <t>T</t>
        </is>
      </c>
      <c r="DN84" s="95" t="n">
        <v>1</v>
      </c>
      <c r="DO84" s="95" t="n">
        <v>16</v>
      </c>
    </row>
    <row r="85" ht="13" customHeight="1">
      <c r="A85" s="203" t="inlineStr">
        <is>
          <t>PTAS-C</t>
        </is>
      </c>
      <c r="B85" s="260"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61" t="inlineStr">
        <is>
          <t>530DI007</t>
        </is>
      </c>
      <c r="BL85" s="61" t="inlineStr">
        <is>
          <t>GTAM</t>
        </is>
      </c>
      <c r="BM85" s="254" t="inlineStr">
        <is>
          <t>AR</t>
        </is>
      </c>
      <c r="BN85" s="106" t="inlineStr">
        <is>
          <t>Falla Pabellón</t>
        </is>
      </c>
      <c r="BO85" s="254"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4" t="n"/>
      <c r="DB85" s="254" t="n"/>
      <c r="DC85" s="254" t="n"/>
      <c r="DD85" s="254" t="n"/>
      <c r="DE85" s="254" t="n"/>
      <c r="DF85" s="254" t="n"/>
      <c r="DG85" s="254" t="n"/>
      <c r="DH85" s="254" t="n"/>
      <c r="DI85" s="254" t="n"/>
      <c r="DJ85" s="254" t="n"/>
      <c r="DK85" s="254" t="n"/>
      <c r="DL85" s="254" t="n"/>
      <c r="DM85" s="254" t="inlineStr">
        <is>
          <t>S</t>
        </is>
      </c>
      <c r="DN85" s="95" t="inlineStr">
        <is>
          <t>R</t>
        </is>
      </c>
      <c r="DO85" s="95" t="inlineStr">
        <is>
          <t>R</t>
        </is>
      </c>
    </row>
    <row r="86" ht="13" customHeight="1">
      <c r="A86" s="203" t="inlineStr">
        <is>
          <t>PTAS-M</t>
        </is>
      </c>
      <c r="B86" s="260"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61" t="inlineStr">
        <is>
          <t>620PU012</t>
        </is>
      </c>
      <c r="BL86" s="61" t="inlineStr">
        <is>
          <t>GTAM</t>
        </is>
      </c>
      <c r="BM86" s="254" t="inlineStr">
        <is>
          <t>AR</t>
        </is>
      </c>
      <c r="BN86" s="266" t="inlineStr">
        <is>
          <t xml:space="preserve">ROSARIO </t>
        </is>
      </c>
      <c r="BO86" s="254"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4" t="n"/>
      <c r="DB86" s="254" t="n"/>
      <c r="DC86" s="254" t="n"/>
      <c r="DD86" s="254" t="n"/>
      <c r="DE86" s="254" t="n"/>
      <c r="DF86" s="254" t="n"/>
      <c r="DG86" s="254" t="n"/>
      <c r="DH86" s="254" t="n"/>
      <c r="DI86" s="254" t="n"/>
      <c r="DJ86" s="254" t="n"/>
      <c r="DK86" s="254" t="n"/>
      <c r="DL86" s="254" t="n"/>
      <c r="DM86" s="254" t="inlineStr">
        <is>
          <t>S</t>
        </is>
      </c>
      <c r="DN86" s="95" t="inlineStr">
        <is>
          <t>R</t>
        </is>
      </c>
      <c r="DO86" s="95" t="inlineStr">
        <is>
          <t>R</t>
        </is>
      </c>
    </row>
    <row r="87" ht="13" customHeight="1">
      <c r="A87" s="203" t="inlineStr">
        <is>
          <t>PTAS-R</t>
        </is>
      </c>
      <c r="B87" s="260"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61" t="inlineStr">
        <is>
          <t>610PU012</t>
        </is>
      </c>
      <c r="BL87" s="61" t="inlineStr">
        <is>
          <t>GTAM</t>
        </is>
      </c>
      <c r="BM87" s="254" t="inlineStr">
        <is>
          <t>AR</t>
        </is>
      </c>
      <c r="BN87" s="266" t="inlineStr">
        <is>
          <t xml:space="preserve">ROSARIO </t>
        </is>
      </c>
      <c r="BO87" s="254"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4" t="n"/>
      <c r="DB87" s="254" t="n"/>
      <c r="DC87" s="254" t="n"/>
      <c r="DD87" s="254" t="n"/>
      <c r="DE87" s="254" t="n"/>
      <c r="DF87" s="254" t="n"/>
      <c r="DG87" s="254" t="n"/>
      <c r="DH87" s="254" t="n"/>
      <c r="DI87" s="254" t="n"/>
      <c r="DJ87" s="254" t="n"/>
      <c r="DK87" s="254" t="n"/>
      <c r="DL87" s="254" t="n"/>
      <c r="DM87" s="254" t="inlineStr">
        <is>
          <t>M</t>
        </is>
      </c>
      <c r="DN87" s="95" t="n">
        <v>22</v>
      </c>
      <c r="DO87" s="95" t="n">
        <v>28</v>
      </c>
    </row>
    <row r="88" ht="12.5" customHeight="1">
      <c r="A88" s="203" t="inlineStr">
        <is>
          <t>PTAS-U</t>
        </is>
      </c>
      <c r="B88" s="260"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61" t="inlineStr">
        <is>
          <t>610BD004</t>
        </is>
      </c>
      <c r="BL88" s="61" t="inlineStr">
        <is>
          <t>GTAM</t>
        </is>
      </c>
      <c r="BM88" s="254" t="inlineStr">
        <is>
          <t>AR</t>
        </is>
      </c>
      <c r="BN88" s="266" t="inlineStr">
        <is>
          <t>Ujina</t>
        </is>
      </c>
      <c r="BO88" s="254"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4" t="n"/>
      <c r="DB88" s="254" t="n"/>
      <c r="DC88" s="254" t="n"/>
      <c r="DD88" s="254" t="n"/>
      <c r="DE88" s="254" t="n"/>
      <c r="DF88" s="254" t="n"/>
      <c r="DG88" s="254" t="n"/>
      <c r="DH88" s="254" t="n"/>
      <c r="DI88" s="254" t="n"/>
      <c r="DJ88" s="254" t="n"/>
      <c r="DK88" s="254" t="n"/>
      <c r="DL88" s="254" t="n"/>
      <c r="DM88" s="254" t="inlineStr">
        <is>
          <t>M</t>
        </is>
      </c>
      <c r="DN88" s="95" t="n">
        <v>22</v>
      </c>
      <c r="DO88" s="95" t="n">
        <v>28</v>
      </c>
    </row>
    <row r="89" ht="13" customHeight="1">
      <c r="A89" s="203" t="inlineStr">
        <is>
          <t>AA-01</t>
        </is>
      </c>
      <c r="B89" s="260"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259" t="inlineStr">
        <is>
          <t>532MAQCY</t>
        </is>
      </c>
      <c r="BL89" s="61" t="inlineStr">
        <is>
          <t>GMAP-SIGA</t>
        </is>
      </c>
      <c r="BM89" s="254" t="inlineStr">
        <is>
          <t>NF</t>
        </is>
      </c>
      <c r="BN89" s="266" t="inlineStr">
        <is>
          <t>Quebrada Caya</t>
        </is>
      </c>
      <c r="BO89" s="254"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4" t="n"/>
      <c r="DB89" s="254" t="n"/>
      <c r="DC89" s="254" t="n"/>
      <c r="DD89" s="254" t="n"/>
      <c r="DE89" s="254" t="n"/>
      <c r="DF89" s="254" t="n"/>
      <c r="DG89" s="254" t="n"/>
      <c r="DH89" s="254" t="n"/>
      <c r="DI89" s="254" t="n"/>
      <c r="DJ89" s="254" t="inlineStr">
        <is>
          <t>STRAL</t>
        </is>
      </c>
      <c r="DK89" s="254" t="n">
        <v>15</v>
      </c>
      <c r="DL89" s="95" t="n">
        <v>28</v>
      </c>
      <c r="DM89" s="254" t="n"/>
      <c r="DN89" s="95" t="n"/>
      <c r="DO89" s="95" t="n"/>
    </row>
    <row r="90" ht="13" customHeight="1">
      <c r="A90" s="203" t="inlineStr">
        <is>
          <t>AA-02</t>
        </is>
      </c>
      <c r="B90" s="260"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259" t="inlineStr">
        <is>
          <t>532MAQCY</t>
        </is>
      </c>
      <c r="BL90" s="61" t="inlineStr">
        <is>
          <t>GMAP-SIGA</t>
        </is>
      </c>
      <c r="BM90" s="254" t="inlineStr">
        <is>
          <t>NF</t>
        </is>
      </c>
      <c r="BN90" s="266" t="inlineStr">
        <is>
          <t>Quebrada Caya</t>
        </is>
      </c>
      <c r="BO90" s="254"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4" t="n"/>
      <c r="DB90" s="254" t="n"/>
      <c r="DC90" s="254" t="n"/>
      <c r="DD90" s="254" t="n"/>
      <c r="DE90" s="254" t="n"/>
      <c r="DF90" s="254" t="n"/>
      <c r="DG90" s="254" t="n"/>
      <c r="DH90" s="254" t="n"/>
      <c r="DI90" s="254" t="n"/>
      <c r="DJ90" s="254" t="inlineStr">
        <is>
          <t>TF</t>
        </is>
      </c>
      <c r="DK90" s="254" t="n">
        <v>15</v>
      </c>
      <c r="DL90" s="95" t="n">
        <v>28</v>
      </c>
      <c r="DM90" s="254" t="n"/>
      <c r="DN90" s="95" t="n"/>
      <c r="DO90" s="95" t="n"/>
    </row>
    <row r="91" ht="13" customHeight="1">
      <c r="A91" s="203" t="inlineStr">
        <is>
          <t>AA-03</t>
        </is>
      </c>
      <c r="B91" s="260"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259" t="inlineStr">
        <is>
          <t>532MAQCY</t>
        </is>
      </c>
      <c r="BL91" s="61" t="inlineStr">
        <is>
          <t>GMAP-SIGA</t>
        </is>
      </c>
      <c r="BM91" s="254" t="inlineStr">
        <is>
          <t>NF</t>
        </is>
      </c>
      <c r="BN91" s="266" t="inlineStr">
        <is>
          <t>Quebrada Caya</t>
        </is>
      </c>
      <c r="BO91" s="254"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4" t="n"/>
      <c r="DB91" s="254" t="n"/>
      <c r="DC91" s="254" t="n"/>
      <c r="DD91" s="254" t="n"/>
      <c r="DE91" s="254" t="n"/>
      <c r="DF91" s="254" t="n"/>
      <c r="DG91" s="254" t="n"/>
      <c r="DH91" s="254" t="n"/>
      <c r="DI91" s="254" t="n"/>
      <c r="DJ91" s="254" t="inlineStr">
        <is>
          <t>STRAL</t>
        </is>
      </c>
      <c r="DK91" s="254" t="n">
        <v>15</v>
      </c>
      <c r="DL91" s="95" t="n">
        <v>28</v>
      </c>
      <c r="DM91" s="254" t="n"/>
      <c r="DN91" s="95" t="n"/>
      <c r="DO91" s="95" t="n"/>
    </row>
    <row r="92" ht="13" customHeight="1">
      <c r="A92" s="203" t="inlineStr">
        <is>
          <t>AA-04</t>
        </is>
      </c>
      <c r="B92" s="260"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259" t="inlineStr">
        <is>
          <t>532MAQCY</t>
        </is>
      </c>
      <c r="BL92" s="61" t="inlineStr">
        <is>
          <t>GMAP-SIGA</t>
        </is>
      </c>
      <c r="BM92" s="254" t="inlineStr">
        <is>
          <t>NF</t>
        </is>
      </c>
      <c r="BN92" s="266" t="inlineStr">
        <is>
          <t>Quebrada Caya</t>
        </is>
      </c>
      <c r="BO92" s="254"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4" t="n"/>
      <c r="DB92" s="254" t="n"/>
      <c r="DC92" s="254" t="n"/>
      <c r="DD92" s="254" t="n"/>
      <c r="DE92" s="254" t="n"/>
      <c r="DF92" s="254" t="n"/>
      <c r="DG92" s="254" t="n"/>
      <c r="DH92" s="254" t="n"/>
      <c r="DI92" s="254" t="n"/>
      <c r="DJ92" s="254" t="inlineStr">
        <is>
          <t>TF</t>
        </is>
      </c>
      <c r="DK92" s="254" t="n">
        <v>15</v>
      </c>
      <c r="DL92" s="95" t="n">
        <v>28</v>
      </c>
      <c r="DM92" s="254" t="n"/>
      <c r="DN92" s="95" t="n"/>
      <c r="DO92" s="95" t="n"/>
    </row>
    <row r="93" ht="13" customHeight="1">
      <c r="A93" s="203" t="inlineStr">
        <is>
          <t>AA-05</t>
        </is>
      </c>
      <c r="B93" s="260"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259" t="inlineStr">
        <is>
          <t>532MAQCY</t>
        </is>
      </c>
      <c r="BL93" s="61" t="inlineStr">
        <is>
          <t>GMAP-SIGA</t>
        </is>
      </c>
      <c r="BM93" s="254" t="inlineStr">
        <is>
          <t>NF</t>
        </is>
      </c>
      <c r="BN93" s="266" t="inlineStr">
        <is>
          <t>Quebrada Caya</t>
        </is>
      </c>
      <c r="BO93" s="254"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4" t="n"/>
      <c r="DB93" s="254" t="n"/>
      <c r="DC93" s="254" t="n"/>
      <c r="DD93" s="254" t="n"/>
      <c r="DE93" s="254" t="n"/>
      <c r="DF93" s="254" t="n"/>
      <c r="DG93" s="254" t="n"/>
      <c r="DH93" s="254" t="n"/>
      <c r="DI93" s="254" t="n"/>
      <c r="DJ93" s="254" t="inlineStr">
        <is>
          <t>STRAL</t>
        </is>
      </c>
      <c r="DK93" s="254" t="n">
        <v>15</v>
      </c>
      <c r="DL93" s="95" t="n">
        <v>28</v>
      </c>
      <c r="DM93" s="254" t="n"/>
      <c r="DN93" s="95" t="n"/>
      <c r="DO93" s="95" t="n"/>
    </row>
    <row r="94" ht="13" customHeight="1">
      <c r="A94" s="203" t="inlineStr">
        <is>
          <t>AA-06</t>
        </is>
      </c>
      <c r="B94" s="260"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259" t="inlineStr">
        <is>
          <t>532MAQCY</t>
        </is>
      </c>
      <c r="BL94" s="61" t="inlineStr">
        <is>
          <t>GMAP-SIGA</t>
        </is>
      </c>
      <c r="BM94" s="254" t="inlineStr">
        <is>
          <t>NF</t>
        </is>
      </c>
      <c r="BN94" s="266" t="inlineStr">
        <is>
          <t>Quebrada Caya</t>
        </is>
      </c>
      <c r="BO94" s="254"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4" t="n"/>
      <c r="DB94" s="254" t="n"/>
      <c r="DC94" s="254" t="n"/>
      <c r="DD94" s="254" t="n"/>
      <c r="DE94" s="254" t="n"/>
      <c r="DF94" s="254" t="n"/>
      <c r="DG94" s="254" t="n"/>
      <c r="DH94" s="254" t="n"/>
      <c r="DI94" s="254" t="n"/>
      <c r="DJ94" s="254" t="inlineStr">
        <is>
          <t>TF</t>
        </is>
      </c>
      <c r="DK94" s="254" t="n">
        <v>15</v>
      </c>
      <c r="DL94" s="95" t="n">
        <v>28</v>
      </c>
      <c r="DM94" s="254" t="n"/>
      <c r="DN94" s="95" t="n"/>
      <c r="DO94" s="95" t="n"/>
    </row>
    <row r="95" ht="13" customHeight="1">
      <c r="A95" s="203" t="inlineStr">
        <is>
          <t>AA-07</t>
        </is>
      </c>
      <c r="B95" s="260"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259" t="inlineStr">
        <is>
          <t>532MAQCY</t>
        </is>
      </c>
      <c r="BL95" s="61" t="inlineStr">
        <is>
          <t>GMAP-SIGA</t>
        </is>
      </c>
      <c r="BM95" s="254" t="inlineStr">
        <is>
          <t>NF</t>
        </is>
      </c>
      <c r="BN95" s="266" t="inlineStr">
        <is>
          <t>Quebrada Caya</t>
        </is>
      </c>
      <c r="BO95" s="254"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4" t="n"/>
      <c r="DB95" s="254" t="n"/>
      <c r="DC95" s="254" t="n"/>
      <c r="DD95" s="254" t="n"/>
      <c r="DE95" s="254" t="n"/>
      <c r="DF95" s="254" t="n"/>
      <c r="DG95" s="254" t="n"/>
      <c r="DH95" s="254" t="n"/>
      <c r="DI95" s="254" t="n"/>
      <c r="DJ95" s="254" t="inlineStr">
        <is>
          <t>STRAL</t>
        </is>
      </c>
      <c r="DK95" s="254" t="n">
        <v>15</v>
      </c>
      <c r="DL95" s="95" t="n">
        <v>28</v>
      </c>
      <c r="DM95" s="254" t="n"/>
      <c r="DN95" s="95" t="n"/>
      <c r="DO95" s="95" t="n"/>
    </row>
    <row r="96" ht="13" customHeight="1">
      <c r="A96" s="203" t="inlineStr">
        <is>
          <t>AA-09</t>
        </is>
      </c>
      <c r="B96" s="260"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259" t="inlineStr">
        <is>
          <t>532MAQCY</t>
        </is>
      </c>
      <c r="BL96" s="61" t="inlineStr">
        <is>
          <t>GMAP-SIGA</t>
        </is>
      </c>
      <c r="BM96" s="254" t="inlineStr">
        <is>
          <t>NF</t>
        </is>
      </c>
      <c r="BN96" s="266" t="inlineStr">
        <is>
          <t>Quebrada Caya</t>
        </is>
      </c>
      <c r="BO96" s="254"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4" t="n"/>
      <c r="DB96" s="254" t="n"/>
      <c r="DC96" s="254" t="n"/>
      <c r="DD96" s="254" t="n"/>
      <c r="DE96" s="254" t="n"/>
      <c r="DF96" s="254" t="n"/>
      <c r="DG96" s="254" t="n"/>
      <c r="DH96" s="254" t="n"/>
      <c r="DI96" s="254" t="n"/>
      <c r="DJ96" s="254" t="inlineStr">
        <is>
          <t>STRAL</t>
        </is>
      </c>
      <c r="DK96" s="254" t="n">
        <v>15</v>
      </c>
      <c r="DL96" s="95" t="n">
        <v>28</v>
      </c>
      <c r="DM96" s="254" t="n"/>
      <c r="DN96" s="95" t="n"/>
      <c r="DO96" s="95" t="n"/>
    </row>
    <row r="97" ht="13" customHeight="1">
      <c r="A97" s="203" t="inlineStr">
        <is>
          <t>AA-10</t>
        </is>
      </c>
      <c r="B97" s="260"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259" t="inlineStr">
        <is>
          <t>532MAQCY</t>
        </is>
      </c>
      <c r="BL97" s="61" t="inlineStr">
        <is>
          <t>GMAP-SIGA</t>
        </is>
      </c>
      <c r="BM97" s="254" t="inlineStr">
        <is>
          <t>NF</t>
        </is>
      </c>
      <c r="BN97" s="266" t="inlineStr">
        <is>
          <t>Quebrada Caya</t>
        </is>
      </c>
      <c r="BO97" s="254"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4" t="n"/>
      <c r="DB97" s="254" t="n"/>
      <c r="DC97" s="254" t="n"/>
      <c r="DD97" s="254" t="n"/>
      <c r="DE97" s="254" t="n"/>
      <c r="DF97" s="254" t="n"/>
      <c r="DG97" s="254" t="n"/>
      <c r="DH97" s="254" t="n"/>
      <c r="DI97" s="254" t="n"/>
      <c r="DJ97" s="254" t="inlineStr">
        <is>
          <t>TF</t>
        </is>
      </c>
      <c r="DK97" s="254" t="n">
        <v>15</v>
      </c>
      <c r="DL97" s="95" t="n">
        <v>28</v>
      </c>
      <c r="DM97" s="254" t="n"/>
      <c r="DN97" s="95" t="n"/>
      <c r="DO97" s="95" t="n"/>
    </row>
    <row r="98" ht="13" customHeight="1">
      <c r="A98" s="203" t="inlineStr">
        <is>
          <t>AA-11</t>
        </is>
      </c>
      <c r="B98" s="260"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259" t="inlineStr">
        <is>
          <t>532MAQCY</t>
        </is>
      </c>
      <c r="BL98" s="61" t="inlineStr">
        <is>
          <t>GMAP-SIGA</t>
        </is>
      </c>
      <c r="BM98" s="254" t="inlineStr">
        <is>
          <t>NF</t>
        </is>
      </c>
      <c r="BN98" s="266" t="inlineStr">
        <is>
          <t>Quebrada Caya</t>
        </is>
      </c>
      <c r="BO98" s="254"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4" t="n"/>
      <c r="DB98" s="254" t="n"/>
      <c r="DC98" s="254" t="n"/>
      <c r="DD98" s="254" t="n"/>
      <c r="DE98" s="254" t="n"/>
      <c r="DF98" s="254" t="n"/>
      <c r="DG98" s="254" t="n"/>
      <c r="DH98" s="254" t="n"/>
      <c r="DI98" s="254" t="n"/>
      <c r="DJ98" s="254" t="inlineStr">
        <is>
          <t>TF</t>
        </is>
      </c>
      <c r="DK98" s="254" t="n">
        <v>15</v>
      </c>
      <c r="DL98" s="95" t="n">
        <v>28</v>
      </c>
      <c r="DM98" s="254" t="n"/>
      <c r="DN98" s="95" t="n"/>
      <c r="DO98" s="95" t="n"/>
    </row>
    <row r="99" ht="13" customHeight="1">
      <c r="A99" s="203" t="inlineStr">
        <is>
          <t>AA-12</t>
        </is>
      </c>
      <c r="B99" s="260"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259" t="inlineStr">
        <is>
          <t>532MAQCY</t>
        </is>
      </c>
      <c r="BL99" s="61" t="inlineStr">
        <is>
          <t>GMAP-SIGA</t>
        </is>
      </c>
      <c r="BM99" s="254" t="inlineStr">
        <is>
          <t>NF</t>
        </is>
      </c>
      <c r="BN99" s="266" t="inlineStr">
        <is>
          <t>Quebrada Caya</t>
        </is>
      </c>
      <c r="BO99" s="254"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4" t="n"/>
      <c r="DB99" s="254" t="n"/>
      <c r="DC99" s="254" t="n"/>
      <c r="DD99" s="254" t="n"/>
      <c r="DE99" s="254" t="n"/>
      <c r="DF99" s="254" t="n"/>
      <c r="DG99" s="254" t="n"/>
      <c r="DH99" s="254" t="n"/>
      <c r="DI99" s="254" t="n"/>
      <c r="DJ99" s="254" t="inlineStr">
        <is>
          <t>STRAL</t>
        </is>
      </c>
      <c r="DK99" s="254" t="n">
        <v>15</v>
      </c>
      <c r="DL99" s="95" t="n">
        <v>28</v>
      </c>
      <c r="DM99" s="254" t="n"/>
      <c r="DN99" s="95" t="n"/>
      <c r="DO99" s="95" t="n"/>
    </row>
    <row r="100" ht="13" customHeight="1">
      <c r="A100" s="203" t="inlineStr">
        <is>
          <t>AB-01</t>
        </is>
      </c>
      <c r="B100" s="260"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259" t="inlineStr">
        <is>
          <t>532MAQCY</t>
        </is>
      </c>
      <c r="BL100" s="61" t="inlineStr">
        <is>
          <t>GMAP-SIGA</t>
        </is>
      </c>
      <c r="BM100" s="254" t="inlineStr">
        <is>
          <t>NF</t>
        </is>
      </c>
      <c r="BN100" s="266" t="inlineStr">
        <is>
          <t>Quebrada Caya</t>
        </is>
      </c>
      <c r="BO100" s="254"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4" t="n"/>
      <c r="DB100" s="254" t="n"/>
      <c r="DC100" s="254" t="n"/>
      <c r="DD100" s="254" t="n"/>
      <c r="DE100" s="254" t="n"/>
      <c r="DF100" s="254" t="n"/>
      <c r="DG100" s="254" t="n"/>
      <c r="DH100" s="254" t="n"/>
      <c r="DI100" s="254" t="n"/>
      <c r="DJ100" s="254" t="inlineStr">
        <is>
          <t>STRAL</t>
        </is>
      </c>
      <c r="DK100" s="254" t="n">
        <v>15</v>
      </c>
      <c r="DL100" s="95" t="n">
        <v>28</v>
      </c>
      <c r="DM100" s="254" t="n"/>
      <c r="DN100" s="95" t="n"/>
      <c r="DO100" s="95" t="n"/>
    </row>
    <row r="101" ht="13.5" customHeight="1">
      <c r="A101" s="203" t="inlineStr">
        <is>
          <t>AB-03</t>
        </is>
      </c>
      <c r="B101" s="260"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259" t="inlineStr">
        <is>
          <t>532MAQCY</t>
        </is>
      </c>
      <c r="BL101" s="61" t="inlineStr">
        <is>
          <t>GMAP-SIGA</t>
        </is>
      </c>
      <c r="BM101" s="254" t="inlineStr">
        <is>
          <t>NF</t>
        </is>
      </c>
      <c r="BN101" s="266" t="inlineStr">
        <is>
          <t>Quebrada Caya</t>
        </is>
      </c>
      <c r="BO101" s="254"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4" t="n"/>
      <c r="DB101" s="254" t="n"/>
      <c r="DC101" s="254" t="n"/>
      <c r="DD101" s="254" t="n"/>
      <c r="DE101" s="254" t="n"/>
      <c r="DF101" s="254" t="n"/>
      <c r="DG101" s="254" t="n"/>
      <c r="DH101" s="254" t="n"/>
      <c r="DI101" s="254" t="n"/>
      <c r="DJ101" s="254" t="inlineStr">
        <is>
          <t>TF</t>
        </is>
      </c>
      <c r="DK101" s="254" t="n">
        <v>15</v>
      </c>
      <c r="DL101" s="95" t="n">
        <v>28</v>
      </c>
      <c r="DM101" s="254" t="n"/>
      <c r="DN101" s="95" t="n"/>
      <c r="DO101" s="95" t="n"/>
    </row>
    <row r="102" ht="13" customHeight="1">
      <c r="A102" s="203" t="inlineStr">
        <is>
          <t>AB-04</t>
        </is>
      </c>
      <c r="B102" s="260"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259" t="inlineStr">
        <is>
          <t>532MAQCY</t>
        </is>
      </c>
      <c r="BL102" s="61" t="inlineStr">
        <is>
          <t>GMAP-SIGA</t>
        </is>
      </c>
      <c r="BM102" s="254" t="inlineStr">
        <is>
          <t>NF</t>
        </is>
      </c>
      <c r="BN102" s="266" t="inlineStr">
        <is>
          <t>Quebrada Caya</t>
        </is>
      </c>
      <c r="BO102" s="254"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4" t="n"/>
      <c r="DB102" s="254" t="n"/>
      <c r="DC102" s="254" t="n"/>
      <c r="DD102" s="254" t="n"/>
      <c r="DE102" s="254" t="n"/>
      <c r="DF102" s="254" t="n"/>
      <c r="DG102" s="254" t="n"/>
      <c r="DH102" s="254" t="n"/>
      <c r="DI102" s="254" t="n"/>
      <c r="DJ102" s="254" t="inlineStr">
        <is>
          <t>TF</t>
        </is>
      </c>
      <c r="DK102" s="254" t="n">
        <v>15</v>
      </c>
      <c r="DL102" s="95" t="n">
        <v>28</v>
      </c>
      <c r="DM102" s="254" t="n"/>
      <c r="DN102" s="95" t="n"/>
      <c r="DO102" s="95" t="n"/>
    </row>
    <row r="103" ht="13.5" customHeight="1">
      <c r="A103" s="203" t="inlineStr">
        <is>
          <t>AB-05</t>
        </is>
      </c>
      <c r="B103" s="260"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259" t="inlineStr">
        <is>
          <t>532MAQCY</t>
        </is>
      </c>
      <c r="BL103" s="61" t="inlineStr">
        <is>
          <t>GMAP-SIGA</t>
        </is>
      </c>
      <c r="BM103" s="254" t="inlineStr">
        <is>
          <t>NF</t>
        </is>
      </c>
      <c r="BN103" s="266" t="inlineStr">
        <is>
          <t>Quebrada Caya</t>
        </is>
      </c>
      <c r="BO103" s="254"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4" t="n"/>
      <c r="DB103" s="254" t="n"/>
      <c r="DC103" s="254" t="n"/>
      <c r="DD103" s="254" t="n"/>
      <c r="DE103" s="254" t="n"/>
      <c r="DF103" s="254" t="n"/>
      <c r="DG103" s="254" t="n"/>
      <c r="DH103" s="254" t="n"/>
      <c r="DI103" s="254" t="n"/>
      <c r="DJ103" s="254" t="inlineStr">
        <is>
          <t>STRAL</t>
        </is>
      </c>
      <c r="DK103" s="254" t="n">
        <v>15</v>
      </c>
      <c r="DL103" s="95" t="n">
        <v>28</v>
      </c>
      <c r="DM103" s="254" t="n"/>
      <c r="DN103" s="95" t="n"/>
      <c r="DO103" s="95" t="n"/>
    </row>
    <row r="104" ht="13.5" customHeight="1">
      <c r="A104" s="203" t="inlineStr">
        <is>
          <t>APOYO QB</t>
        </is>
      </c>
      <c r="B104" s="260"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61" t="inlineStr">
        <is>
          <t>531WW004</t>
        </is>
      </c>
      <c r="BL104" s="61" t="inlineStr">
        <is>
          <t>GTAM/GGAYC</t>
        </is>
      </c>
      <c r="BM104" s="254" t="inlineStr">
        <is>
          <t>NF</t>
        </is>
      </c>
      <c r="BN104" s="266" t="inlineStr">
        <is>
          <t>Tranque</t>
        </is>
      </c>
      <c r="BO104" s="254"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4" t="n"/>
      <c r="DB104" s="254" t="n"/>
      <c r="DC104" s="254" t="n"/>
      <c r="DD104" s="254" t="n"/>
      <c r="DE104" s="254" t="n"/>
      <c r="DF104" s="254" t="n"/>
      <c r="DG104" s="254" t="n"/>
      <c r="DH104" s="254" t="n"/>
      <c r="DI104" s="254" t="n"/>
      <c r="DJ104" s="254" t="inlineStr">
        <is>
          <t>M</t>
        </is>
      </c>
      <c r="DK104" s="254" t="n">
        <v>25</v>
      </c>
      <c r="DL104" s="95" t="n">
        <v>8</v>
      </c>
      <c r="DM104" s="254" t="n"/>
      <c r="DN104" s="95" t="n"/>
      <c r="DO104" s="95" t="n"/>
    </row>
    <row r="105" ht="13" customHeight="1">
      <c r="A105" s="203" t="inlineStr">
        <is>
          <t>APOYO QB</t>
        </is>
      </c>
      <c r="B105" s="260"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61" t="inlineStr">
        <is>
          <t>531WW003</t>
        </is>
      </c>
      <c r="BL105" s="61" t="inlineStr">
        <is>
          <t>GTAM/GGAYC</t>
        </is>
      </c>
      <c r="BM105" s="254" t="inlineStr">
        <is>
          <t>NF</t>
        </is>
      </c>
      <c r="BN105" s="266" t="inlineStr">
        <is>
          <t>Tranque</t>
        </is>
      </c>
      <c r="BO105" s="254"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4" t="n"/>
      <c r="DB105" s="254" t="n"/>
      <c r="DC105" s="254" t="n"/>
      <c r="DD105" s="254" t="n"/>
      <c r="DE105" s="254" t="n"/>
      <c r="DF105" s="254" t="n"/>
      <c r="DG105" s="254" t="n"/>
      <c r="DH105" s="254" t="n"/>
      <c r="DI105" s="254" t="n"/>
      <c r="DJ105" s="254" t="inlineStr">
        <is>
          <t>M</t>
        </is>
      </c>
      <c r="DK105" s="254" t="n">
        <v>25</v>
      </c>
      <c r="DL105" s="95" t="n">
        <v>8</v>
      </c>
      <c r="DM105" s="254" t="n"/>
      <c r="DN105" s="95" t="n"/>
      <c r="DO105" s="95" t="n"/>
    </row>
    <row r="106" ht="13" customHeight="1">
      <c r="A106" s="203" t="inlineStr">
        <is>
          <t>AU-02</t>
        </is>
      </c>
      <c r="B106" s="260"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61" t="inlineStr">
        <is>
          <t>532MAAU</t>
        </is>
      </c>
      <c r="BL106" s="61" t="inlineStr">
        <is>
          <t>MINA</t>
        </is>
      </c>
      <c r="BM106" s="254" t="inlineStr">
        <is>
          <t>NF</t>
        </is>
      </c>
      <c r="BN106" s="266" t="inlineStr">
        <is>
          <t>Ujina</t>
        </is>
      </c>
      <c r="BO106" s="254"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4" t="n"/>
      <c r="DB106" s="254" t="n"/>
      <c r="DC106" s="254" t="n"/>
      <c r="DD106" s="254" t="n"/>
      <c r="DE106" s="254" t="n"/>
      <c r="DF106" s="254" t="n"/>
      <c r="DG106" s="254" t="n"/>
      <c r="DH106" s="254" t="n"/>
      <c r="DI106" s="254" t="n"/>
      <c r="DJ106" s="254" t="inlineStr">
        <is>
          <t>M</t>
        </is>
      </c>
      <c r="DK106" s="254" t="n">
        <v>8</v>
      </c>
      <c r="DL106" s="95" t="n">
        <v>14</v>
      </c>
      <c r="DM106" s="254" t="n"/>
      <c r="DN106" s="95" t="n"/>
      <c r="DO106" s="95" t="n"/>
    </row>
    <row r="107" ht="13" customHeight="1">
      <c r="A107" s="203" t="inlineStr">
        <is>
          <t>AU-05</t>
        </is>
      </c>
      <c r="B107" s="260"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61" t="inlineStr">
        <is>
          <t>532MAAU</t>
        </is>
      </c>
      <c r="BL107" s="61" t="inlineStr">
        <is>
          <t>MINA</t>
        </is>
      </c>
      <c r="BM107" s="254" t="inlineStr">
        <is>
          <t>NF</t>
        </is>
      </c>
      <c r="BN107" s="266" t="inlineStr">
        <is>
          <t>Ujina</t>
        </is>
      </c>
      <c r="BO107" s="254"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4" t="n"/>
      <c r="DB107" s="254" t="n"/>
      <c r="DC107" s="254" t="n"/>
      <c r="DD107" s="254" t="n"/>
      <c r="DE107" s="254" t="n"/>
      <c r="DF107" s="254" t="n"/>
      <c r="DG107" s="254" t="n"/>
      <c r="DH107" s="254" t="n"/>
      <c r="DI107" s="254" t="n"/>
      <c r="DJ107" s="254" t="inlineStr">
        <is>
          <t>M</t>
        </is>
      </c>
      <c r="DK107" s="254" t="n">
        <v>8</v>
      </c>
      <c r="DL107" s="95" t="n">
        <v>14</v>
      </c>
      <c r="DM107" s="254" t="n"/>
      <c r="DN107" s="95" t="n"/>
      <c r="DO107" s="95" t="n"/>
    </row>
    <row r="108" ht="13" customHeight="1">
      <c r="A108" s="203" t="inlineStr">
        <is>
          <t>C-263</t>
        </is>
      </c>
      <c r="B108" s="260"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259" t="inlineStr">
        <is>
          <t>532MAC263</t>
        </is>
      </c>
      <c r="BL108" s="61" t="inlineStr">
        <is>
          <t>GMAP-SIGA</t>
        </is>
      </c>
      <c r="BM108" s="254" t="inlineStr">
        <is>
          <t>NF</t>
        </is>
      </c>
      <c r="BN108" s="266" t="inlineStr">
        <is>
          <t xml:space="preserve">Rosario </t>
        </is>
      </c>
      <c r="BO108" s="254"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4" t="n"/>
      <c r="DB108" s="254" t="n"/>
      <c r="DC108" s="254" t="n"/>
      <c r="DD108" s="254" t="n"/>
      <c r="DE108" s="254" t="n"/>
      <c r="DF108" s="254" t="n"/>
      <c r="DG108" s="254" t="n"/>
      <c r="DH108" s="254" t="n"/>
      <c r="DI108" s="254" t="n"/>
      <c r="DJ108" s="254" t="inlineStr">
        <is>
          <t>SE ELIMINA</t>
        </is>
      </c>
      <c r="DK108" s="254" t="n"/>
      <c r="DL108" s="95" t="n"/>
      <c r="DM108" s="254" t="n"/>
      <c r="DN108" s="95" t="n"/>
      <c r="DO108" s="95" t="n"/>
    </row>
    <row r="109" ht="13" customHeight="1">
      <c r="A109" s="203" t="inlineStr">
        <is>
          <t>CMA-01A</t>
        </is>
      </c>
      <c r="B109" s="260" t="inlineStr">
        <is>
          <t>CMA-01A JACHUCOPOSA</t>
        </is>
      </c>
      <c r="C109" s="254"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259" t="inlineStr">
        <is>
          <t>532MACMA</t>
        </is>
      </c>
      <c r="BL109" s="7" t="inlineStr">
        <is>
          <t>GMAP-SIGA</t>
        </is>
      </c>
      <c r="BM109" s="254" t="inlineStr">
        <is>
          <t>NF</t>
        </is>
      </c>
      <c r="BN109" s="266" t="inlineStr">
        <is>
          <t>Jachucoposa</t>
        </is>
      </c>
      <c r="BO109" s="254" t="inlineStr">
        <is>
          <t>SI</t>
        </is>
      </c>
      <c r="BP109" s="106" t="inlineStr">
        <is>
          <t>CMA-01A JACHUCOPOSA/NF</t>
        </is>
      </c>
      <c r="BQ109" s="106">
        <f>VLOOKUP(BP109,[1]AGUA!$1:$1048576,2,FALSE)</f>
        <v/>
      </c>
      <c r="BR109" s="106">
        <f>VLOOKUP(BP109,[1]AGUA!$1:$1048576,6,FALSE)</f>
        <v/>
      </c>
      <c r="BS109" s="106">
        <f>VLOOKUP(BP109,[1]AGUA!$1:$1048576,7,FALSE)</f>
        <v/>
      </c>
      <c r="BT109" s="106" t="n"/>
      <c r="BU109" s="251"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4" t="n"/>
      <c r="DB109" s="254" t="n"/>
      <c r="DC109" s="254" t="n"/>
      <c r="DD109" s="254" t="n"/>
      <c r="DE109" s="254" t="n"/>
      <c r="DF109" s="254" t="n"/>
      <c r="DG109" s="254" t="n"/>
      <c r="DH109" s="254" t="n"/>
      <c r="DI109" s="254" t="n"/>
      <c r="DJ109" s="254" t="inlineStr">
        <is>
          <t>M</t>
        </is>
      </c>
      <c r="DK109" s="254" t="n">
        <v>8</v>
      </c>
      <c r="DL109" s="95" t="n">
        <v>14</v>
      </c>
      <c r="DM109" s="254" t="n"/>
      <c r="DN109" s="95" t="n"/>
      <c r="DO109" s="95" t="n"/>
    </row>
    <row r="110" ht="13" customHeight="1">
      <c r="A110" s="203" t="inlineStr">
        <is>
          <t>CMA-01A</t>
        </is>
      </c>
      <c r="B110" s="255" t="n"/>
      <c r="C110" s="255"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255" t="n"/>
      <c r="BL110" s="7" t="inlineStr">
        <is>
          <t>GMAP-SIGA</t>
        </is>
      </c>
      <c r="BM110" s="254" t="inlineStr">
        <is>
          <t>ASUB</t>
        </is>
      </c>
      <c r="BN110" s="266" t="inlineStr">
        <is>
          <t>Jachucoposa</t>
        </is>
      </c>
      <c r="BO110" s="254" t="inlineStr">
        <is>
          <t>SI</t>
        </is>
      </c>
      <c r="BP110" s="106" t="inlineStr">
        <is>
          <t>CMA-01A JACHUCOPOSA/ASUB</t>
        </is>
      </c>
      <c r="BQ110" s="106">
        <f>VLOOKUP(BP110,[1]AGUA!$1:$1048576,2,FALSE)</f>
        <v/>
      </c>
      <c r="BR110" s="106">
        <f>VLOOKUP(BP110,[1]AGUA!$1:$1048576,6,FALSE)</f>
        <v/>
      </c>
      <c r="BS110" s="106">
        <f>VLOOKUP(BP110,[1]AGUA!$1:$1048576,7,FALSE)</f>
        <v/>
      </c>
      <c r="BT110" s="106" t="n"/>
      <c r="BU110" s="252"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4" t="n"/>
      <c r="DB110" s="254" t="n"/>
      <c r="DC110" s="254" t="n"/>
      <c r="DD110" s="254" t="n"/>
      <c r="DE110" s="254" t="n"/>
      <c r="DF110" s="254" t="n"/>
      <c r="DG110" s="254" t="n"/>
      <c r="DH110" s="254" t="n"/>
      <c r="DI110" s="254" t="n"/>
      <c r="DJ110" s="254" t="n"/>
      <c r="DK110" s="254" t="n"/>
      <c r="DL110" s="95" t="n"/>
      <c r="DM110" s="254" t="inlineStr">
        <is>
          <t>T</t>
        </is>
      </c>
      <c r="DN110" s="95" t="n">
        <v>8</v>
      </c>
      <c r="DO110" s="95" t="n">
        <v>14</v>
      </c>
    </row>
    <row r="111" ht="13" customHeight="1">
      <c r="A111" s="203" t="inlineStr">
        <is>
          <t>CMA-01B</t>
        </is>
      </c>
      <c r="B111" s="260" t="inlineStr">
        <is>
          <t>CMA-01B JACHUCOPOSA</t>
        </is>
      </c>
      <c r="C111" s="254"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259" t="inlineStr">
        <is>
          <t>532MACMA</t>
        </is>
      </c>
      <c r="BL111" s="7" t="inlineStr">
        <is>
          <t>GMAP-SIGA</t>
        </is>
      </c>
      <c r="BM111" s="254" t="inlineStr">
        <is>
          <t>NF</t>
        </is>
      </c>
      <c r="BN111" s="266" t="inlineStr">
        <is>
          <t>Jachucoposa</t>
        </is>
      </c>
      <c r="BO111" s="254" t="inlineStr">
        <is>
          <t>SI</t>
        </is>
      </c>
      <c r="BP111" s="106" t="inlineStr">
        <is>
          <t>CMA-01B JACHUCOPOSA/NF</t>
        </is>
      </c>
      <c r="BQ111" s="106">
        <f>VLOOKUP(BP111,[1]AGUA!$1:$1048576,2,FALSE)</f>
        <v/>
      </c>
      <c r="BR111" s="106">
        <f>VLOOKUP(BP111,[1]AGUA!$1:$1048576,6,FALSE)</f>
        <v/>
      </c>
      <c r="BS111" s="106">
        <f>VLOOKUP(BP111,[1]AGUA!$1:$1048576,7,FALSE)</f>
        <v/>
      </c>
      <c r="BT111" s="106" t="n"/>
      <c r="BU111" s="251"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4" t="n"/>
      <c r="DB111" s="254" t="n"/>
      <c r="DC111" s="254" t="n"/>
      <c r="DD111" s="254" t="n"/>
      <c r="DE111" s="254" t="n"/>
      <c r="DF111" s="254" t="n"/>
      <c r="DG111" s="254" t="n"/>
      <c r="DH111" s="254" t="n"/>
      <c r="DI111" s="254" t="n"/>
      <c r="DJ111" s="254" t="inlineStr">
        <is>
          <t>M</t>
        </is>
      </c>
      <c r="DK111" s="254" t="n">
        <v>8</v>
      </c>
      <c r="DL111" s="95" t="n">
        <v>14</v>
      </c>
      <c r="DM111" s="254" t="n"/>
      <c r="DN111" s="95" t="n"/>
      <c r="DO111" s="95" t="n"/>
    </row>
    <row r="112" ht="13" customHeight="1">
      <c r="A112" s="203" t="inlineStr">
        <is>
          <t>CMA-01B</t>
        </is>
      </c>
      <c r="B112" s="255" t="n"/>
      <c r="C112" s="255"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255" t="n"/>
      <c r="BL112" s="7" t="inlineStr">
        <is>
          <t>GMAP-SIGA</t>
        </is>
      </c>
      <c r="BM112" s="254" t="inlineStr">
        <is>
          <t>ASUB</t>
        </is>
      </c>
      <c r="BN112" s="266" t="inlineStr">
        <is>
          <t>Jachucoposa</t>
        </is>
      </c>
      <c r="BO112" s="254" t="inlineStr">
        <is>
          <t>SI</t>
        </is>
      </c>
      <c r="BP112" s="106" t="inlineStr">
        <is>
          <t>CMA-01B JACHUCOPOSA/ASUB</t>
        </is>
      </c>
      <c r="BQ112" s="106">
        <f>VLOOKUP(BP112,[1]AGUA!$1:$1048576,2,FALSE)</f>
        <v/>
      </c>
      <c r="BR112" s="106">
        <f>VLOOKUP(BP112,[1]AGUA!$1:$1048576,6,FALSE)</f>
        <v/>
      </c>
      <c r="BS112" s="106">
        <f>VLOOKUP(BP112,[1]AGUA!$1:$1048576,7,FALSE)</f>
        <v/>
      </c>
      <c r="BT112" s="106" t="n"/>
      <c r="BU112" s="252"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4" t="n"/>
      <c r="DB112" s="254" t="n"/>
      <c r="DC112" s="254" t="n"/>
      <c r="DD112" s="254" t="n"/>
      <c r="DE112" s="254" t="n"/>
      <c r="DF112" s="254" t="n"/>
      <c r="DG112" s="254" t="n"/>
      <c r="DH112" s="254" t="n"/>
      <c r="DI112" s="254" t="n"/>
      <c r="DJ112" s="254" t="n"/>
      <c r="DK112" s="254" t="n"/>
      <c r="DL112" s="95" t="n"/>
      <c r="DM112" s="254" t="inlineStr">
        <is>
          <t>T</t>
        </is>
      </c>
      <c r="DN112" s="95" t="n">
        <v>8</v>
      </c>
      <c r="DO112" s="95" t="n">
        <v>14</v>
      </c>
    </row>
    <row r="113" ht="13" customHeight="1">
      <c r="A113" s="203" t="inlineStr">
        <is>
          <t>CMA-02</t>
        </is>
      </c>
      <c r="B113" s="260" t="inlineStr">
        <is>
          <t>CMA-02 JACHUCOPOSA</t>
        </is>
      </c>
      <c r="C113" s="254"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259" t="inlineStr">
        <is>
          <t>532MACMA</t>
        </is>
      </c>
      <c r="BL113" s="7" t="inlineStr">
        <is>
          <t>GMAP-SIGA</t>
        </is>
      </c>
      <c r="BM113" s="254" t="inlineStr">
        <is>
          <t>NF</t>
        </is>
      </c>
      <c r="BN113" s="266" t="inlineStr">
        <is>
          <t>Jachucoposa</t>
        </is>
      </c>
      <c r="BO113" s="254" t="inlineStr">
        <is>
          <t>SI</t>
        </is>
      </c>
      <c r="BP113" s="106" t="inlineStr">
        <is>
          <t>CMA-02 JACHUCOPOSA/NF</t>
        </is>
      </c>
      <c r="BQ113" s="106">
        <f>VLOOKUP(BP113,[1]AGUA!$1:$1048576,2,FALSE)</f>
        <v/>
      </c>
      <c r="BR113" s="106">
        <f>VLOOKUP(BP113,[1]AGUA!$1:$1048576,6,FALSE)</f>
        <v/>
      </c>
      <c r="BS113" s="106">
        <f>VLOOKUP(BP113,[1]AGUA!$1:$1048576,7,FALSE)</f>
        <v/>
      </c>
      <c r="BT113" s="106" t="n"/>
      <c r="BU113" s="251"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4" t="n"/>
      <c r="DB113" s="254" t="n"/>
      <c r="DC113" s="254" t="n"/>
      <c r="DD113" s="254" t="n"/>
      <c r="DE113" s="254" t="n"/>
      <c r="DF113" s="254" t="n"/>
      <c r="DG113" s="254" t="n"/>
      <c r="DH113" s="254" t="n"/>
      <c r="DI113" s="254" t="n"/>
      <c r="DJ113" s="254" t="inlineStr">
        <is>
          <t>M</t>
        </is>
      </c>
      <c r="DK113" s="254" t="n">
        <v>8</v>
      </c>
      <c r="DL113" s="95" t="n">
        <v>14</v>
      </c>
      <c r="DM113" s="254" t="n"/>
      <c r="DN113" s="95" t="n"/>
      <c r="DO113" s="95" t="n"/>
    </row>
    <row r="114" ht="13" customHeight="1">
      <c r="A114" s="203" t="inlineStr">
        <is>
          <t>CMA-02</t>
        </is>
      </c>
      <c r="B114" s="255" t="n"/>
      <c r="C114" s="255"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255" t="n"/>
      <c r="BL114" s="7" t="inlineStr">
        <is>
          <t>GMAP-SIGA</t>
        </is>
      </c>
      <c r="BM114" s="254" t="inlineStr">
        <is>
          <t>ASUB</t>
        </is>
      </c>
      <c r="BN114" s="266" t="inlineStr">
        <is>
          <t>Jachucoposa</t>
        </is>
      </c>
      <c r="BO114" s="254" t="inlineStr">
        <is>
          <t>SI</t>
        </is>
      </c>
      <c r="BP114" s="106" t="inlineStr">
        <is>
          <t>CMA-02 JACHUCOPOSA/ASUB</t>
        </is>
      </c>
      <c r="BQ114" s="106">
        <f>VLOOKUP(BP114,[1]AGUA!$1:$1048576,2,FALSE)</f>
        <v/>
      </c>
      <c r="BR114" s="106">
        <f>VLOOKUP(BP114,[1]AGUA!$1:$1048576,6,FALSE)</f>
        <v/>
      </c>
      <c r="BS114" s="106">
        <f>VLOOKUP(BP114,[1]AGUA!$1:$1048576,7,FALSE)</f>
        <v/>
      </c>
      <c r="BT114" s="106" t="n"/>
      <c r="BU114" s="252"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4" t="n"/>
      <c r="DB114" s="254" t="n"/>
      <c r="DC114" s="254" t="n"/>
      <c r="DD114" s="254" t="n"/>
      <c r="DE114" s="254" t="n"/>
      <c r="DF114" s="254" t="n"/>
      <c r="DG114" s="254" t="n"/>
      <c r="DH114" s="254" t="n"/>
      <c r="DI114" s="254" t="n"/>
      <c r="DJ114" s="254" t="n"/>
      <c r="DK114" s="254" t="n"/>
      <c r="DL114" s="95" t="n"/>
      <c r="DM114" s="254" t="inlineStr">
        <is>
          <t>T</t>
        </is>
      </c>
      <c r="DN114" s="95" t="n">
        <v>8</v>
      </c>
      <c r="DO114" s="95" t="n">
        <v>14</v>
      </c>
    </row>
    <row r="115" ht="13" customHeight="1">
      <c r="A115" s="203" t="inlineStr">
        <is>
          <t>CMA-03</t>
        </is>
      </c>
      <c r="B115" s="260" t="inlineStr">
        <is>
          <t>CMA-03 JACHUCOPOSA</t>
        </is>
      </c>
      <c r="C115" s="254"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259" t="inlineStr">
        <is>
          <t>532MACMA</t>
        </is>
      </c>
      <c r="BL115" s="7" t="inlineStr">
        <is>
          <t>GMAP-SIGA</t>
        </is>
      </c>
      <c r="BM115" s="254" t="inlineStr">
        <is>
          <t>NF</t>
        </is>
      </c>
      <c r="BN115" s="266" t="inlineStr">
        <is>
          <t>Jachucoposa</t>
        </is>
      </c>
      <c r="BO115" s="254" t="inlineStr">
        <is>
          <t>SI</t>
        </is>
      </c>
      <c r="BP115" s="106" t="inlineStr">
        <is>
          <t>CMA-03 JACHUCOPOSA/NF</t>
        </is>
      </c>
      <c r="BQ115" s="106">
        <f>VLOOKUP(BP115,[1]AGUA!$1:$1048576,2,FALSE)</f>
        <v/>
      </c>
      <c r="BR115" s="106">
        <f>VLOOKUP(BP115,[1]AGUA!$1:$1048576,6,FALSE)</f>
        <v/>
      </c>
      <c r="BS115" s="106">
        <f>VLOOKUP(BP115,[1]AGUA!$1:$1048576,7,FALSE)</f>
        <v/>
      </c>
      <c r="BT115" s="106" t="n"/>
      <c r="BU115" s="251"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4" t="n"/>
      <c r="DB115" s="254" t="n"/>
      <c r="DC115" s="254" t="n"/>
      <c r="DD115" s="254" t="n"/>
      <c r="DE115" s="254" t="n"/>
      <c r="DF115" s="254" t="n"/>
      <c r="DG115" s="254" t="n"/>
      <c r="DH115" s="254" t="n"/>
      <c r="DI115" s="254" t="n"/>
      <c r="DJ115" s="254" t="inlineStr">
        <is>
          <t>M</t>
        </is>
      </c>
      <c r="DK115" s="254" t="n">
        <v>8</v>
      </c>
      <c r="DL115" s="95" t="n">
        <v>14</v>
      </c>
      <c r="DM115" s="254" t="n"/>
      <c r="DN115" s="95" t="n"/>
      <c r="DO115" s="95" t="n"/>
    </row>
    <row r="116" ht="13" customHeight="1">
      <c r="A116" s="203" t="inlineStr">
        <is>
          <t>CMA-03</t>
        </is>
      </c>
      <c r="B116" s="255" t="n"/>
      <c r="C116" s="255"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255" t="n"/>
      <c r="BL116" s="7" t="inlineStr">
        <is>
          <t>GMAP-SIGA</t>
        </is>
      </c>
      <c r="BM116" s="254" t="inlineStr">
        <is>
          <t>ASUB</t>
        </is>
      </c>
      <c r="BN116" s="266" t="inlineStr">
        <is>
          <t>Jachucoposa</t>
        </is>
      </c>
      <c r="BO116" s="254" t="inlineStr">
        <is>
          <t>SI</t>
        </is>
      </c>
      <c r="BP116" s="106" t="inlineStr">
        <is>
          <t>CMA-03 JACHUCOPOSA/ASUB</t>
        </is>
      </c>
      <c r="BQ116" s="106">
        <f>VLOOKUP(BP116,[1]AGUA!$1:$1048576,2,FALSE)</f>
        <v/>
      </c>
      <c r="BR116" s="106">
        <f>VLOOKUP(BP116,[1]AGUA!$1:$1048576,6,FALSE)</f>
        <v/>
      </c>
      <c r="BS116" s="106">
        <f>VLOOKUP(BP116,[1]AGUA!$1:$1048576,7,FALSE)</f>
        <v/>
      </c>
      <c r="BT116" s="106" t="n"/>
      <c r="BU116" s="252"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4" t="n"/>
      <c r="DB116" s="254" t="n"/>
      <c r="DC116" s="254" t="n"/>
      <c r="DD116" s="254" t="n"/>
      <c r="DE116" s="254" t="n"/>
      <c r="DF116" s="254" t="n"/>
      <c r="DG116" s="254" t="n"/>
      <c r="DH116" s="254" t="n"/>
      <c r="DI116" s="254" t="n"/>
      <c r="DJ116" s="254" t="n"/>
      <c r="DK116" s="254" t="n"/>
      <c r="DL116" s="95" t="n"/>
      <c r="DM116" s="254" t="inlineStr">
        <is>
          <t>T</t>
        </is>
      </c>
      <c r="DN116" s="95" t="n">
        <v>8</v>
      </c>
      <c r="DO116" s="95" t="n">
        <v>14</v>
      </c>
    </row>
    <row r="117" ht="13" customHeight="1">
      <c r="A117" s="203" t="inlineStr">
        <is>
          <t>CMA-04</t>
        </is>
      </c>
      <c r="B117" s="260" t="inlineStr">
        <is>
          <t>CMA-04 JACHUCOPOSA</t>
        </is>
      </c>
      <c r="C117" s="254"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259" t="inlineStr">
        <is>
          <t>532MACMA</t>
        </is>
      </c>
      <c r="BL117" s="7" t="inlineStr">
        <is>
          <t>GMAP-SIGA</t>
        </is>
      </c>
      <c r="BM117" s="254" t="inlineStr">
        <is>
          <t>NF</t>
        </is>
      </c>
      <c r="BN117" s="266" t="inlineStr">
        <is>
          <t>Jachucoposa</t>
        </is>
      </c>
      <c r="BO117" s="254" t="inlineStr">
        <is>
          <t>SI</t>
        </is>
      </c>
      <c r="BP117" s="106" t="inlineStr">
        <is>
          <t>CMA-04 JACHUCOPOSA/NF</t>
        </is>
      </c>
      <c r="BQ117" s="106">
        <f>VLOOKUP(BP117,[1]AGUA!$1:$1048576,2,FALSE)</f>
        <v/>
      </c>
      <c r="BR117" s="106">
        <f>VLOOKUP(BP117,[1]AGUA!$1:$1048576,6,FALSE)</f>
        <v/>
      </c>
      <c r="BS117" s="106">
        <f>VLOOKUP(BP117,[1]AGUA!$1:$1048576,7,FALSE)</f>
        <v/>
      </c>
      <c r="BT117" s="106" t="n"/>
      <c r="BU117" s="251"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4" t="n"/>
      <c r="DB117" s="254" t="n"/>
      <c r="DC117" s="254" t="n"/>
      <c r="DD117" s="254" t="n"/>
      <c r="DE117" s="254" t="n"/>
      <c r="DF117" s="254" t="n"/>
      <c r="DG117" s="254" t="n"/>
      <c r="DH117" s="254" t="n"/>
      <c r="DI117" s="254" t="n"/>
      <c r="DJ117" s="254" t="inlineStr">
        <is>
          <t>M</t>
        </is>
      </c>
      <c r="DK117" s="254" t="n">
        <v>8</v>
      </c>
      <c r="DL117" s="95" t="n">
        <v>14</v>
      </c>
      <c r="DM117" s="254" t="n"/>
      <c r="DN117" s="95" t="n"/>
      <c r="DO117" s="95" t="n"/>
    </row>
    <row r="118" ht="13" customHeight="1">
      <c r="A118" s="203" t="inlineStr">
        <is>
          <t>CMA-04</t>
        </is>
      </c>
      <c r="B118" s="255" t="n"/>
      <c r="C118" s="255"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255" t="n"/>
      <c r="BL118" s="7" t="inlineStr">
        <is>
          <t>GMAP-SIGA</t>
        </is>
      </c>
      <c r="BM118" s="254" t="inlineStr">
        <is>
          <t>ASUB</t>
        </is>
      </c>
      <c r="BN118" s="266" t="inlineStr">
        <is>
          <t>Jachucoposa</t>
        </is>
      </c>
      <c r="BO118" s="254" t="inlineStr">
        <is>
          <t>SI</t>
        </is>
      </c>
      <c r="BP118" s="106" t="inlineStr">
        <is>
          <t>CMA-04 JACHUCOPOSA/ASUB</t>
        </is>
      </c>
      <c r="BQ118" s="106">
        <f>VLOOKUP(BP118,[1]AGUA!$1:$1048576,2,FALSE)</f>
        <v/>
      </c>
      <c r="BR118" s="106">
        <f>VLOOKUP(BP118,[1]AGUA!$1:$1048576,6,FALSE)</f>
        <v/>
      </c>
      <c r="BS118" s="106">
        <f>VLOOKUP(BP118,[1]AGUA!$1:$1048576,7,FALSE)</f>
        <v/>
      </c>
      <c r="BT118" s="106" t="n"/>
      <c r="BU118" s="252"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4" t="n"/>
      <c r="DB118" s="254" t="n"/>
      <c r="DC118" s="254" t="n"/>
      <c r="DD118" s="254" t="n"/>
      <c r="DE118" s="254" t="n"/>
      <c r="DF118" s="254" t="n"/>
      <c r="DG118" s="254" t="n"/>
      <c r="DH118" s="254" t="n"/>
      <c r="DI118" s="254" t="n"/>
      <c r="DJ118" s="254" t="n"/>
      <c r="DK118" s="254" t="n"/>
      <c r="DL118" s="95" t="n"/>
      <c r="DM118" s="254" t="inlineStr">
        <is>
          <t>T</t>
        </is>
      </c>
      <c r="DN118" s="95" t="n">
        <v>8</v>
      </c>
      <c r="DO118" s="95" t="n">
        <v>14</v>
      </c>
    </row>
    <row r="119" ht="13" customHeight="1">
      <c r="A119" s="203" t="inlineStr">
        <is>
          <t>CMA-05</t>
        </is>
      </c>
      <c r="B119" s="260" t="inlineStr">
        <is>
          <t>CMA-05 JACHUCOPOSA</t>
        </is>
      </c>
      <c r="C119" s="254"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259" t="inlineStr">
        <is>
          <t>532MACMA</t>
        </is>
      </c>
      <c r="BL119" s="7" t="inlineStr">
        <is>
          <t>GMAP-SIGA</t>
        </is>
      </c>
      <c r="BM119" s="254" t="inlineStr">
        <is>
          <t>NF</t>
        </is>
      </c>
      <c r="BN119" s="266" t="inlineStr">
        <is>
          <t>Jachucoposa</t>
        </is>
      </c>
      <c r="BO119" s="254" t="inlineStr">
        <is>
          <t>SI</t>
        </is>
      </c>
      <c r="BP119" s="106" t="inlineStr">
        <is>
          <t>CMA-05 JACHUCOPOSA/NF</t>
        </is>
      </c>
      <c r="BQ119" s="106">
        <f>VLOOKUP(BP119,[1]AGUA!$1:$1048576,2,FALSE)</f>
        <v/>
      </c>
      <c r="BR119" s="106">
        <f>VLOOKUP(BP119,[1]AGUA!$1:$1048576,6,FALSE)</f>
        <v/>
      </c>
      <c r="BS119" s="106">
        <f>VLOOKUP(BP119,[1]AGUA!$1:$1048576,7,FALSE)</f>
        <v/>
      </c>
      <c r="BT119" s="106" t="n"/>
      <c r="BU119" s="251"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4" t="n"/>
      <c r="DB119" s="254" t="n"/>
      <c r="DC119" s="254" t="n"/>
      <c r="DD119" s="254" t="n"/>
      <c r="DE119" s="254" t="n"/>
      <c r="DF119" s="254" t="n"/>
      <c r="DG119" s="254" t="n"/>
      <c r="DH119" s="254" t="n"/>
      <c r="DI119" s="254" t="n"/>
      <c r="DJ119" s="254" t="inlineStr">
        <is>
          <t>M</t>
        </is>
      </c>
      <c r="DK119" s="254" t="n">
        <v>8</v>
      </c>
      <c r="DL119" s="95" t="n">
        <v>14</v>
      </c>
      <c r="DM119" s="254" t="n"/>
      <c r="DN119" s="95" t="n"/>
      <c r="DO119" s="95" t="n"/>
    </row>
    <row r="120" ht="13" customHeight="1">
      <c r="A120" s="203" t="inlineStr">
        <is>
          <t>CMA-05</t>
        </is>
      </c>
      <c r="B120" s="255" t="n"/>
      <c r="C120" s="255"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255" t="n"/>
      <c r="BL120" s="7" t="inlineStr">
        <is>
          <t>GMAP-SIGA</t>
        </is>
      </c>
      <c r="BM120" s="254" t="inlineStr">
        <is>
          <t>ASUB</t>
        </is>
      </c>
      <c r="BN120" s="266" t="inlineStr">
        <is>
          <t>Jachucoposa</t>
        </is>
      </c>
      <c r="BO120" s="254" t="inlineStr">
        <is>
          <t>SI</t>
        </is>
      </c>
      <c r="BP120" s="106" t="inlineStr">
        <is>
          <t>CMA-05 JACHUCOPOSA/ASUB</t>
        </is>
      </c>
      <c r="BQ120" s="106">
        <f>VLOOKUP(BP120,[1]AGUA!$1:$1048576,2,FALSE)</f>
        <v/>
      </c>
      <c r="BR120" s="106">
        <f>VLOOKUP(BP120,[1]AGUA!$1:$1048576,6,FALSE)</f>
        <v/>
      </c>
      <c r="BS120" s="106">
        <f>VLOOKUP(BP120,[1]AGUA!$1:$1048576,7,FALSE)</f>
        <v/>
      </c>
      <c r="BT120" s="106" t="n"/>
      <c r="BU120" s="252"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4" t="n"/>
      <c r="DB120" s="254" t="n"/>
      <c r="DC120" s="254" t="n"/>
      <c r="DD120" s="254" t="n"/>
      <c r="DE120" s="254" t="n"/>
      <c r="DF120" s="254" t="n"/>
      <c r="DG120" s="254" t="n"/>
      <c r="DH120" s="254" t="n"/>
      <c r="DI120" s="254" t="n"/>
      <c r="DJ120" s="254" t="n"/>
      <c r="DK120" s="254" t="n"/>
      <c r="DL120" s="95" t="n"/>
      <c r="DM120" s="254" t="inlineStr">
        <is>
          <t>T</t>
        </is>
      </c>
      <c r="DN120" s="95" t="n">
        <v>8</v>
      </c>
      <c r="DO120" s="95" t="n">
        <v>14</v>
      </c>
    </row>
    <row r="121" ht="13" customHeight="1">
      <c r="A121" s="203" t="inlineStr">
        <is>
          <t>CMA-06</t>
        </is>
      </c>
      <c r="B121" s="260" t="inlineStr">
        <is>
          <t>CMA-06 JACHUCOPOSA</t>
        </is>
      </c>
      <c r="C121" s="254"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259" t="inlineStr">
        <is>
          <t>532MACMA</t>
        </is>
      </c>
      <c r="BL121" s="7" t="inlineStr">
        <is>
          <t>GMAP-SIGA</t>
        </is>
      </c>
      <c r="BM121" s="254" t="inlineStr">
        <is>
          <t>NF</t>
        </is>
      </c>
      <c r="BN121" s="266" t="inlineStr">
        <is>
          <t>Jachucoposa</t>
        </is>
      </c>
      <c r="BO121" s="254" t="inlineStr">
        <is>
          <t>SI</t>
        </is>
      </c>
      <c r="BP121" s="106" t="inlineStr">
        <is>
          <t>CMA-06 JACHUCOPOSA/NF</t>
        </is>
      </c>
      <c r="BQ121" s="106">
        <f>VLOOKUP(BP121,[1]AGUA!$1:$1048576,2,FALSE)</f>
        <v/>
      </c>
      <c r="BR121" s="106">
        <f>VLOOKUP(BP121,[1]AGUA!$1:$1048576,6,FALSE)</f>
        <v/>
      </c>
      <c r="BS121" s="106">
        <f>VLOOKUP(BP121,[1]AGUA!$1:$1048576,7,FALSE)</f>
        <v/>
      </c>
      <c r="BT121" s="106" t="n"/>
      <c r="BU121" s="251"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4" t="n"/>
      <c r="DB121" s="254" t="n"/>
      <c r="DC121" s="254" t="n"/>
      <c r="DD121" s="254" t="n"/>
      <c r="DE121" s="254" t="n"/>
      <c r="DF121" s="254" t="n"/>
      <c r="DG121" s="254" t="n"/>
      <c r="DH121" s="254" t="n"/>
      <c r="DI121" s="254" t="n"/>
      <c r="DJ121" s="254" t="inlineStr">
        <is>
          <t>M</t>
        </is>
      </c>
      <c r="DK121" s="254" t="n">
        <v>8</v>
      </c>
      <c r="DL121" s="95" t="n">
        <v>14</v>
      </c>
      <c r="DM121" s="254" t="n"/>
      <c r="DN121" s="95" t="n"/>
      <c r="DO121" s="95" t="n"/>
    </row>
    <row r="122" ht="13" customHeight="1">
      <c r="A122" s="203" t="inlineStr">
        <is>
          <t>CMA-06</t>
        </is>
      </c>
      <c r="B122" s="255" t="n"/>
      <c r="C122" s="255"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255" t="n"/>
      <c r="BL122" s="7" t="inlineStr">
        <is>
          <t>GMAP-SIGA</t>
        </is>
      </c>
      <c r="BM122" s="254" t="inlineStr">
        <is>
          <t>ASUB</t>
        </is>
      </c>
      <c r="BN122" s="266" t="inlineStr">
        <is>
          <t>Jachucoposa</t>
        </is>
      </c>
      <c r="BO122" s="254" t="inlineStr">
        <is>
          <t>SI</t>
        </is>
      </c>
      <c r="BP122" s="106" t="inlineStr">
        <is>
          <t>CMA-06 JACHUCOPOSA/ASUB</t>
        </is>
      </c>
      <c r="BQ122" s="106">
        <f>VLOOKUP(BP122,[1]AGUA!$1:$1048576,2,FALSE)</f>
        <v/>
      </c>
      <c r="BR122" s="106">
        <f>VLOOKUP(BP122,[1]AGUA!$1:$1048576,6,FALSE)</f>
        <v/>
      </c>
      <c r="BS122" s="106">
        <f>VLOOKUP(BP122,[1]AGUA!$1:$1048576,7,FALSE)</f>
        <v/>
      </c>
      <c r="BT122" s="106" t="n"/>
      <c r="BU122" s="252"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4" t="n"/>
      <c r="DB122" s="254" t="n"/>
      <c r="DC122" s="254" t="n"/>
      <c r="DD122" s="254" t="n"/>
      <c r="DE122" s="254" t="n"/>
      <c r="DF122" s="254" t="n"/>
      <c r="DG122" s="254" t="n"/>
      <c r="DH122" s="254" t="n"/>
      <c r="DI122" s="254" t="n"/>
      <c r="DJ122" s="254" t="n"/>
      <c r="DK122" s="254" t="n"/>
      <c r="DL122" s="95" t="n"/>
      <c r="DM122" s="254" t="inlineStr">
        <is>
          <t>T</t>
        </is>
      </c>
      <c r="DN122" s="95" t="n">
        <v>8</v>
      </c>
      <c r="DO122" s="95" t="n">
        <v>14</v>
      </c>
    </row>
    <row r="123" ht="13" customHeight="1">
      <c r="A123" s="203" t="inlineStr">
        <is>
          <t>CMA-07</t>
        </is>
      </c>
      <c r="B123" s="260" t="inlineStr">
        <is>
          <t>CMA-07 JACHUCOPOSA</t>
        </is>
      </c>
      <c r="C123" s="254"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259" t="inlineStr">
        <is>
          <t>532MACMA</t>
        </is>
      </c>
      <c r="BL123" s="7" t="inlineStr">
        <is>
          <t>GMAP-SIGA</t>
        </is>
      </c>
      <c r="BM123" s="254" t="inlineStr">
        <is>
          <t>NF</t>
        </is>
      </c>
      <c r="BN123" s="266" t="inlineStr">
        <is>
          <t>Jachucoposa</t>
        </is>
      </c>
      <c r="BO123" s="254" t="inlineStr">
        <is>
          <t>SI</t>
        </is>
      </c>
      <c r="BP123" s="106" t="inlineStr">
        <is>
          <t>CMA-07 JACHUCOPOSA/NF</t>
        </is>
      </c>
      <c r="BQ123" s="106">
        <f>VLOOKUP(BP123,[1]AGUA!$1:$1048576,2,FALSE)</f>
        <v/>
      </c>
      <c r="BR123" s="106">
        <f>VLOOKUP(BP123,[1]AGUA!$1:$1048576,6,FALSE)</f>
        <v/>
      </c>
      <c r="BS123" s="106">
        <f>VLOOKUP(BP123,[1]AGUA!$1:$1048576,7,FALSE)</f>
        <v/>
      </c>
      <c r="BT123" s="106" t="n"/>
      <c r="BU123" s="251"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4" t="n"/>
      <c r="DB123" s="254" t="n"/>
      <c r="DC123" s="254" t="n"/>
      <c r="DD123" s="254" t="n"/>
      <c r="DE123" s="254" t="n"/>
      <c r="DF123" s="254" t="n"/>
      <c r="DG123" s="254" t="n"/>
      <c r="DH123" s="254" t="n"/>
      <c r="DI123" s="254" t="n"/>
      <c r="DJ123" s="254" t="inlineStr">
        <is>
          <t>M</t>
        </is>
      </c>
      <c r="DK123" s="254" t="n">
        <v>8</v>
      </c>
      <c r="DL123" s="95" t="n">
        <v>14</v>
      </c>
      <c r="DM123" s="254" t="n"/>
      <c r="DN123" s="95" t="n"/>
      <c r="DO123" s="95" t="n"/>
    </row>
    <row r="124" ht="13" customHeight="1">
      <c r="A124" s="203" t="inlineStr">
        <is>
          <t>CMA-07</t>
        </is>
      </c>
      <c r="B124" s="255" t="n"/>
      <c r="C124" s="255"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255" t="n"/>
      <c r="BL124" s="7" t="inlineStr">
        <is>
          <t>GMAP-SIGA</t>
        </is>
      </c>
      <c r="BM124" s="254" t="inlineStr">
        <is>
          <t>ASUB</t>
        </is>
      </c>
      <c r="BN124" s="266" t="inlineStr">
        <is>
          <t>Jachucoposa</t>
        </is>
      </c>
      <c r="BO124" s="254" t="inlineStr">
        <is>
          <t>SI</t>
        </is>
      </c>
      <c r="BP124" s="106" t="inlineStr">
        <is>
          <t>CMA-07 JACHUCOPOSA/ASUB</t>
        </is>
      </c>
      <c r="BQ124" s="106">
        <f>VLOOKUP(BP124,[1]AGUA!$1:$1048576,2,FALSE)</f>
        <v/>
      </c>
      <c r="BR124" s="106">
        <f>VLOOKUP(BP124,[1]AGUA!$1:$1048576,6,FALSE)</f>
        <v/>
      </c>
      <c r="BS124" s="106">
        <f>VLOOKUP(BP124,[1]AGUA!$1:$1048576,7,FALSE)</f>
        <v/>
      </c>
      <c r="BT124" s="106" t="n"/>
      <c r="BU124" s="252"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4" t="n"/>
      <c r="DB124" s="254" t="n"/>
      <c r="DC124" s="254" t="n"/>
      <c r="DD124" s="254" t="n"/>
      <c r="DE124" s="254" t="n"/>
      <c r="DF124" s="254" t="n"/>
      <c r="DG124" s="254" t="n"/>
      <c r="DH124" s="254" t="n"/>
      <c r="DI124" s="254" t="n"/>
      <c r="DJ124" s="254" t="n"/>
      <c r="DK124" s="254" t="n"/>
      <c r="DL124" s="95" t="n"/>
      <c r="DM124" s="254" t="inlineStr">
        <is>
          <t>T</t>
        </is>
      </c>
      <c r="DN124" s="95" t="n">
        <v>8</v>
      </c>
      <c r="DO124" s="95" t="n">
        <v>14</v>
      </c>
    </row>
    <row r="125" ht="13" customHeight="1">
      <c r="A125" s="203" t="inlineStr">
        <is>
          <t>CMA-08</t>
        </is>
      </c>
      <c r="B125" s="260" t="inlineStr">
        <is>
          <t>CMA-08 JACHUCOPOSA</t>
        </is>
      </c>
      <c r="C125" s="254"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259" t="inlineStr">
        <is>
          <t>532MACMA</t>
        </is>
      </c>
      <c r="BL125" s="7" t="inlineStr">
        <is>
          <t>GMAP-SIGA</t>
        </is>
      </c>
      <c r="BM125" s="254" t="inlineStr">
        <is>
          <t>NF</t>
        </is>
      </c>
      <c r="BN125" s="266" t="inlineStr">
        <is>
          <t>Jachucoposa</t>
        </is>
      </c>
      <c r="BO125" s="254" t="inlineStr">
        <is>
          <t>SI</t>
        </is>
      </c>
      <c r="BP125" s="106" t="inlineStr">
        <is>
          <t>CMA-08 JACHUCOPOSA/NF</t>
        </is>
      </c>
      <c r="BQ125" s="106">
        <f>VLOOKUP(BP125,[1]AGUA!$1:$1048576,2,FALSE)</f>
        <v/>
      </c>
      <c r="BR125" s="106">
        <f>VLOOKUP(BP125,[1]AGUA!$1:$1048576,6,FALSE)</f>
        <v/>
      </c>
      <c r="BS125" s="106">
        <f>VLOOKUP(BP125,[1]AGUA!$1:$1048576,7,FALSE)</f>
        <v/>
      </c>
      <c r="BT125" s="106" t="n"/>
      <c r="BU125" s="251"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4" t="n"/>
      <c r="DB125" s="254" t="n"/>
      <c r="DC125" s="254" t="n"/>
      <c r="DD125" s="254" t="n"/>
      <c r="DE125" s="254" t="n"/>
      <c r="DF125" s="254" t="n"/>
      <c r="DG125" s="254" t="n"/>
      <c r="DH125" s="254" t="n"/>
      <c r="DI125" s="254" t="n"/>
      <c r="DJ125" s="254" t="inlineStr">
        <is>
          <t>M</t>
        </is>
      </c>
      <c r="DK125" s="254" t="n">
        <v>8</v>
      </c>
      <c r="DL125" s="95" t="n">
        <v>14</v>
      </c>
      <c r="DM125" s="254" t="n"/>
      <c r="DN125" s="95" t="n"/>
      <c r="DO125" s="95" t="n"/>
    </row>
    <row r="126" ht="13" customHeight="1">
      <c r="A126" s="203" t="inlineStr">
        <is>
          <t>CMA-08</t>
        </is>
      </c>
      <c r="B126" s="255" t="n"/>
      <c r="C126" s="255"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255" t="n"/>
      <c r="BL126" s="7" t="inlineStr">
        <is>
          <t>GMAP-SIGA</t>
        </is>
      </c>
      <c r="BM126" s="254" t="inlineStr">
        <is>
          <t>ASUB</t>
        </is>
      </c>
      <c r="BN126" s="266" t="inlineStr">
        <is>
          <t>Jachucoposa</t>
        </is>
      </c>
      <c r="BO126" s="254" t="inlineStr">
        <is>
          <t>SI</t>
        </is>
      </c>
      <c r="BP126" s="106" t="inlineStr">
        <is>
          <t>CMA-08 JACHUCOPOSA/ASUB</t>
        </is>
      </c>
      <c r="BQ126" s="106">
        <f>VLOOKUP(BP126,[1]AGUA!$1:$1048576,2,FALSE)</f>
        <v/>
      </c>
      <c r="BR126" s="106">
        <f>VLOOKUP(BP126,[1]AGUA!$1:$1048576,6,FALSE)</f>
        <v/>
      </c>
      <c r="BS126" s="106">
        <f>VLOOKUP(BP126,[1]AGUA!$1:$1048576,7,FALSE)</f>
        <v/>
      </c>
      <c r="BT126" s="106" t="n"/>
      <c r="BU126" s="252"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4" t="n"/>
      <c r="DB126" s="254" t="n"/>
      <c r="DC126" s="254" t="n"/>
      <c r="DD126" s="254" t="n"/>
      <c r="DE126" s="254" t="n"/>
      <c r="DF126" s="254" t="n"/>
      <c r="DG126" s="254" t="n"/>
      <c r="DH126" s="254" t="n"/>
      <c r="DI126" s="254" t="n"/>
      <c r="DJ126" s="254" t="n"/>
      <c r="DK126" s="254" t="n"/>
      <c r="DL126" s="95" t="n"/>
      <c r="DM126" s="254" t="inlineStr">
        <is>
          <t>T</t>
        </is>
      </c>
      <c r="DN126" s="95" t="n">
        <v>8</v>
      </c>
      <c r="DO126" s="95" t="n">
        <v>14</v>
      </c>
    </row>
    <row r="127" ht="13" customHeight="1">
      <c r="A127" s="203" t="inlineStr">
        <is>
          <t>CMA-09</t>
        </is>
      </c>
      <c r="B127" s="260" t="inlineStr">
        <is>
          <t>CMA-09 JACHUCOPOSA</t>
        </is>
      </c>
      <c r="C127" s="254"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259" t="inlineStr">
        <is>
          <t>532MACMA</t>
        </is>
      </c>
      <c r="BL127" s="7" t="inlineStr">
        <is>
          <t>GMAP-SIGA</t>
        </is>
      </c>
      <c r="BM127" s="254" t="inlineStr">
        <is>
          <t>NF</t>
        </is>
      </c>
      <c r="BN127" s="266" t="inlineStr">
        <is>
          <t>Jachucoposa</t>
        </is>
      </c>
      <c r="BO127" s="254" t="inlineStr">
        <is>
          <t>SI</t>
        </is>
      </c>
      <c r="BP127" s="106" t="inlineStr">
        <is>
          <t>CMA-09 JACHUCOPOSA/NF</t>
        </is>
      </c>
      <c r="BQ127" s="106">
        <f>VLOOKUP(BP127,[1]AGUA!$1:$1048576,2,FALSE)</f>
        <v/>
      </c>
      <c r="BR127" s="106">
        <f>VLOOKUP(BP127,[1]AGUA!$1:$1048576,6,FALSE)</f>
        <v/>
      </c>
      <c r="BS127" s="106">
        <f>VLOOKUP(BP127,[1]AGUA!$1:$1048576,7,FALSE)</f>
        <v/>
      </c>
      <c r="BT127" s="106" t="n"/>
      <c r="BU127" s="251"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4" t="n"/>
      <c r="DB127" s="254" t="n"/>
      <c r="DC127" s="254" t="n"/>
      <c r="DD127" s="254" t="n"/>
      <c r="DE127" s="254" t="n"/>
      <c r="DF127" s="254" t="n"/>
      <c r="DG127" s="254" t="n"/>
      <c r="DH127" s="254" t="n"/>
      <c r="DI127" s="254" t="n"/>
      <c r="DJ127" s="254" t="inlineStr">
        <is>
          <t>M</t>
        </is>
      </c>
      <c r="DK127" s="254" t="n">
        <v>8</v>
      </c>
      <c r="DL127" s="95" t="n">
        <v>14</v>
      </c>
      <c r="DM127" s="254" t="n"/>
      <c r="DN127" s="95" t="n"/>
      <c r="DO127" s="95" t="n"/>
    </row>
    <row r="128" ht="13" customHeight="1">
      <c r="A128" s="203" t="inlineStr">
        <is>
          <t>CMA-09</t>
        </is>
      </c>
      <c r="B128" s="255" t="n"/>
      <c r="C128" s="255"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255" t="n"/>
      <c r="BL128" s="7" t="inlineStr">
        <is>
          <t>GMAP-SIGA</t>
        </is>
      </c>
      <c r="BM128" s="254" t="inlineStr">
        <is>
          <t>ASUB</t>
        </is>
      </c>
      <c r="BN128" s="266" t="inlineStr">
        <is>
          <t>Jachucoposa</t>
        </is>
      </c>
      <c r="BO128" s="254" t="inlineStr">
        <is>
          <t>SI</t>
        </is>
      </c>
      <c r="BP128" s="106" t="inlineStr">
        <is>
          <t>CMA-09 JACHUCOPOSA/ASUB</t>
        </is>
      </c>
      <c r="BQ128" s="106">
        <f>VLOOKUP(BP128,[1]AGUA!$1:$1048576,2,FALSE)</f>
        <v/>
      </c>
      <c r="BR128" s="106">
        <f>VLOOKUP(BP128,[1]AGUA!$1:$1048576,6,FALSE)</f>
        <v/>
      </c>
      <c r="BS128" s="106">
        <f>VLOOKUP(BP128,[1]AGUA!$1:$1048576,7,FALSE)</f>
        <v/>
      </c>
      <c r="BT128" s="106" t="n"/>
      <c r="BU128" s="252"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4" t="n"/>
      <c r="DB128" s="254" t="n"/>
      <c r="DC128" s="254" t="n"/>
      <c r="DD128" s="254" t="n"/>
      <c r="DE128" s="254" t="n"/>
      <c r="DF128" s="254" t="n"/>
      <c r="DG128" s="254" t="n"/>
      <c r="DH128" s="254" t="n"/>
      <c r="DI128" s="254" t="n"/>
      <c r="DJ128" s="254" t="n"/>
      <c r="DK128" s="254" t="n"/>
      <c r="DL128" s="95" t="n"/>
      <c r="DM128" s="254" t="inlineStr">
        <is>
          <t>T</t>
        </is>
      </c>
      <c r="DN128" s="95" t="n">
        <v>8</v>
      </c>
      <c r="DO128" s="95" t="n">
        <v>14</v>
      </c>
    </row>
    <row r="129" ht="13" customHeight="1">
      <c r="A129" s="203" t="inlineStr">
        <is>
          <t>CMA-10</t>
        </is>
      </c>
      <c r="B129" s="260" t="inlineStr">
        <is>
          <t>CMA-10 JACHUCOPOSA</t>
        </is>
      </c>
      <c r="C129" s="254"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259" t="inlineStr">
        <is>
          <t>532MACMA</t>
        </is>
      </c>
      <c r="BL129" s="7" t="inlineStr">
        <is>
          <t>GMAP-SIGA</t>
        </is>
      </c>
      <c r="BM129" s="254" t="inlineStr">
        <is>
          <t>NF</t>
        </is>
      </c>
      <c r="BN129" s="266" t="inlineStr">
        <is>
          <t>Jachucoposa</t>
        </is>
      </c>
      <c r="BO129" s="254" t="inlineStr">
        <is>
          <t>SI</t>
        </is>
      </c>
      <c r="BP129" s="106" t="inlineStr">
        <is>
          <t>CMA-10 JACHUCOPOSA/NF</t>
        </is>
      </c>
      <c r="BQ129" s="106">
        <f>VLOOKUP(BP129,[1]AGUA!$1:$1048576,2,FALSE)</f>
        <v/>
      </c>
      <c r="BR129" s="106">
        <f>VLOOKUP(BP129,[1]AGUA!$1:$1048576,6,FALSE)</f>
        <v/>
      </c>
      <c r="BS129" s="106">
        <f>VLOOKUP(BP129,[1]AGUA!$1:$1048576,7,FALSE)</f>
        <v/>
      </c>
      <c r="BT129" s="106" t="n"/>
      <c r="BU129" s="251"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4" t="n"/>
      <c r="DB129" s="254" t="n"/>
      <c r="DC129" s="254" t="n"/>
      <c r="DD129" s="254" t="n"/>
      <c r="DE129" s="254" t="n"/>
      <c r="DF129" s="254" t="n"/>
      <c r="DG129" s="254" t="n"/>
      <c r="DH129" s="254" t="n"/>
      <c r="DI129" s="254" t="n"/>
      <c r="DJ129" s="254" t="inlineStr">
        <is>
          <t>M</t>
        </is>
      </c>
      <c r="DK129" s="254" t="n">
        <v>8</v>
      </c>
      <c r="DL129" s="95" t="n">
        <v>14</v>
      </c>
      <c r="DM129" s="254" t="n"/>
      <c r="DN129" s="95" t="n"/>
      <c r="DO129" s="95" t="n"/>
    </row>
    <row r="130" ht="13" customHeight="1">
      <c r="A130" s="203" t="inlineStr">
        <is>
          <t>CMA-10</t>
        </is>
      </c>
      <c r="B130" s="255" t="n"/>
      <c r="C130" s="255"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255" t="n"/>
      <c r="BL130" s="7" t="inlineStr">
        <is>
          <t>GMAP-SIGA</t>
        </is>
      </c>
      <c r="BM130" s="254" t="inlineStr">
        <is>
          <t>ASUB</t>
        </is>
      </c>
      <c r="BN130" s="266" t="inlineStr">
        <is>
          <t>Jachucoposa</t>
        </is>
      </c>
      <c r="BO130" s="254" t="inlineStr">
        <is>
          <t>SI</t>
        </is>
      </c>
      <c r="BP130" s="106" t="inlineStr">
        <is>
          <t>CMA-10 JACHUCOPOSA/ASUB</t>
        </is>
      </c>
      <c r="BQ130" s="106">
        <f>VLOOKUP(BP130,[1]AGUA!$1:$1048576,2,FALSE)</f>
        <v/>
      </c>
      <c r="BR130" s="106">
        <f>VLOOKUP(BP130,[1]AGUA!$1:$1048576,6,FALSE)</f>
        <v/>
      </c>
      <c r="BS130" s="106">
        <f>VLOOKUP(BP130,[1]AGUA!$1:$1048576,7,FALSE)</f>
        <v/>
      </c>
      <c r="BT130" s="106" t="n"/>
      <c r="BU130" s="252"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4" t="n"/>
      <c r="DB130" s="254" t="n"/>
      <c r="DC130" s="254" t="n"/>
      <c r="DD130" s="254" t="n"/>
      <c r="DE130" s="254" t="n"/>
      <c r="DF130" s="254" t="n"/>
      <c r="DG130" s="254" t="n"/>
      <c r="DH130" s="254" t="n"/>
      <c r="DI130" s="254" t="n"/>
      <c r="DJ130" s="254" t="n"/>
      <c r="DK130" s="254" t="n"/>
      <c r="DL130" s="95" t="n"/>
      <c r="DM130" s="254" t="inlineStr">
        <is>
          <t>T</t>
        </is>
      </c>
      <c r="DN130" s="95" t="n">
        <v>8</v>
      </c>
      <c r="DO130" s="95" t="n">
        <v>14</v>
      </c>
    </row>
    <row r="131" ht="13" customHeight="1">
      <c r="A131" s="203" t="inlineStr">
        <is>
          <t>CMA-11</t>
        </is>
      </c>
      <c r="B131" s="260" t="inlineStr">
        <is>
          <t>CMA-11 JACHUCOPOSA</t>
        </is>
      </c>
      <c r="C131" s="254"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259" t="inlineStr">
        <is>
          <t>532MACMA</t>
        </is>
      </c>
      <c r="BL131" s="7" t="inlineStr">
        <is>
          <t>GMAP-SIGA</t>
        </is>
      </c>
      <c r="BM131" s="254" t="inlineStr">
        <is>
          <t>NF</t>
        </is>
      </c>
      <c r="BN131" s="266" t="inlineStr">
        <is>
          <t>Jachucoposa</t>
        </is>
      </c>
      <c r="BO131" s="254" t="inlineStr">
        <is>
          <t>SI</t>
        </is>
      </c>
      <c r="BP131" s="106" t="inlineStr">
        <is>
          <t>CMA-11 JACHUCOPOSA/NF</t>
        </is>
      </c>
      <c r="BQ131" s="106">
        <f>VLOOKUP(BP131,[1]AGUA!$1:$1048576,2,FALSE)</f>
        <v/>
      </c>
      <c r="BR131" s="106">
        <f>VLOOKUP(BP131,[1]AGUA!$1:$1048576,6,FALSE)</f>
        <v/>
      </c>
      <c r="BS131" s="106">
        <f>VLOOKUP(BP131,[1]AGUA!$1:$1048576,7,FALSE)</f>
        <v/>
      </c>
      <c r="BT131" s="106" t="n"/>
      <c r="BU131" s="251"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4" t="n"/>
      <c r="DB131" s="254" t="n"/>
      <c r="DC131" s="254" t="n"/>
      <c r="DD131" s="254" t="n"/>
      <c r="DE131" s="254" t="n"/>
      <c r="DF131" s="254" t="n"/>
      <c r="DG131" s="254" t="n"/>
      <c r="DH131" s="254" t="n"/>
      <c r="DI131" s="254" t="n"/>
      <c r="DJ131" s="254" t="inlineStr">
        <is>
          <t>M</t>
        </is>
      </c>
      <c r="DK131" s="254" t="n">
        <v>8</v>
      </c>
      <c r="DL131" s="95" t="n">
        <v>14</v>
      </c>
      <c r="DM131" s="254" t="n"/>
      <c r="DN131" s="95" t="n"/>
      <c r="DO131" s="95" t="n"/>
    </row>
    <row r="132" ht="13" customHeight="1">
      <c r="A132" s="203" t="inlineStr">
        <is>
          <t>CMA-11</t>
        </is>
      </c>
      <c r="B132" s="255" t="n"/>
      <c r="C132" s="255"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255" t="n"/>
      <c r="BL132" s="7" t="inlineStr">
        <is>
          <t>GMAP-SIGA</t>
        </is>
      </c>
      <c r="BM132" s="254" t="inlineStr">
        <is>
          <t>ASUB</t>
        </is>
      </c>
      <c r="BN132" s="266" t="inlineStr">
        <is>
          <t>Jachucoposa</t>
        </is>
      </c>
      <c r="BO132" s="254" t="inlineStr">
        <is>
          <t>SI</t>
        </is>
      </c>
      <c r="BP132" s="106" t="inlineStr">
        <is>
          <t>CMA-11 JACHUCOPOSA/ASUB</t>
        </is>
      </c>
      <c r="BQ132" s="106">
        <f>VLOOKUP(BP132,[1]AGUA!$1:$1048576,2,FALSE)</f>
        <v/>
      </c>
      <c r="BR132" s="106">
        <f>VLOOKUP(BP132,[1]AGUA!$1:$1048576,6,FALSE)</f>
        <v/>
      </c>
      <c r="BS132" s="106">
        <f>VLOOKUP(BP132,[1]AGUA!$1:$1048576,7,FALSE)</f>
        <v/>
      </c>
      <c r="BT132" s="106" t="n"/>
      <c r="BU132" s="252"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4" t="n"/>
      <c r="DB132" s="254" t="n"/>
      <c r="DC132" s="254" t="n"/>
      <c r="DD132" s="254" t="n"/>
      <c r="DE132" s="254" t="n"/>
      <c r="DF132" s="254" t="n"/>
      <c r="DG132" s="254" t="n"/>
      <c r="DH132" s="254" t="n"/>
      <c r="DI132" s="254" t="n"/>
      <c r="DJ132" s="254" t="n"/>
      <c r="DK132" s="254" t="n"/>
      <c r="DL132" s="95" t="n"/>
      <c r="DM132" s="254" t="inlineStr">
        <is>
          <t>T</t>
        </is>
      </c>
      <c r="DN132" s="95" t="n">
        <v>8</v>
      </c>
      <c r="DO132" s="95" t="n">
        <v>14</v>
      </c>
    </row>
    <row r="133" ht="13" customHeight="1">
      <c r="A133" s="203" t="inlineStr">
        <is>
          <t>CMA-12</t>
        </is>
      </c>
      <c r="B133" s="260" t="inlineStr">
        <is>
          <t>CMA-12 JACHUCOPOSA</t>
        </is>
      </c>
      <c r="C133" s="254"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259" t="inlineStr">
        <is>
          <t>532MACMA</t>
        </is>
      </c>
      <c r="BL133" s="7" t="inlineStr">
        <is>
          <t>GMAP-SIGA</t>
        </is>
      </c>
      <c r="BM133" s="254" t="inlineStr">
        <is>
          <t>NF</t>
        </is>
      </c>
      <c r="BN133" s="266" t="inlineStr">
        <is>
          <t>Jachucoposa</t>
        </is>
      </c>
      <c r="BO133" s="254" t="inlineStr">
        <is>
          <t>SI</t>
        </is>
      </c>
      <c r="BP133" s="106" t="inlineStr">
        <is>
          <t>CMA-12 JACHUCOPOSA/NF</t>
        </is>
      </c>
      <c r="BQ133" s="106">
        <f>VLOOKUP(BP133,[1]AGUA!$1:$1048576,2,FALSE)</f>
        <v/>
      </c>
      <c r="BR133" s="106">
        <f>VLOOKUP(BP133,[1]AGUA!$1:$1048576,6,FALSE)</f>
        <v/>
      </c>
      <c r="BS133" s="106">
        <f>VLOOKUP(BP133,[1]AGUA!$1:$1048576,7,FALSE)</f>
        <v/>
      </c>
      <c r="BT133" s="106" t="n"/>
      <c r="BU133" s="251"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4" t="n"/>
      <c r="DB133" s="254" t="n"/>
      <c r="DC133" s="254" t="n"/>
      <c r="DD133" s="254" t="n"/>
      <c r="DE133" s="254" t="n"/>
      <c r="DF133" s="254" t="n"/>
      <c r="DG133" s="254" t="n"/>
      <c r="DH133" s="254" t="n"/>
      <c r="DI133" s="254" t="n"/>
      <c r="DJ133" s="254" t="inlineStr">
        <is>
          <t>M</t>
        </is>
      </c>
      <c r="DK133" s="254" t="n">
        <v>8</v>
      </c>
      <c r="DL133" s="95" t="n">
        <v>14</v>
      </c>
      <c r="DM133" s="254" t="n"/>
      <c r="DN133" s="95" t="n"/>
      <c r="DO133" s="95" t="n"/>
    </row>
    <row r="134" ht="13" customHeight="1">
      <c r="A134" s="203" t="inlineStr">
        <is>
          <t>CMA-12</t>
        </is>
      </c>
      <c r="B134" s="255" t="n"/>
      <c r="C134" s="255"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255" t="n"/>
      <c r="BL134" s="7" t="inlineStr">
        <is>
          <t>GMAP-SIGA</t>
        </is>
      </c>
      <c r="BM134" s="254" t="inlineStr">
        <is>
          <t>ASUB</t>
        </is>
      </c>
      <c r="BN134" s="266" t="inlineStr">
        <is>
          <t>Jachucoposa</t>
        </is>
      </c>
      <c r="BO134" s="254" t="inlineStr">
        <is>
          <t>SI</t>
        </is>
      </c>
      <c r="BP134" s="106" t="inlineStr">
        <is>
          <t>CMA-12 JACHUCOPOSA/ASUB</t>
        </is>
      </c>
      <c r="BQ134" s="106">
        <f>VLOOKUP(BP134,[1]AGUA!$1:$1048576,2,FALSE)</f>
        <v/>
      </c>
      <c r="BR134" s="106">
        <f>VLOOKUP(BP134,[1]AGUA!$1:$1048576,6,FALSE)</f>
        <v/>
      </c>
      <c r="BS134" s="106">
        <f>VLOOKUP(BP134,[1]AGUA!$1:$1048576,7,FALSE)</f>
        <v/>
      </c>
      <c r="BT134" s="106" t="n"/>
      <c r="BU134" s="252"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4" t="n"/>
      <c r="DB134" s="254" t="n"/>
      <c r="DC134" s="254" t="n"/>
      <c r="DD134" s="254" t="n"/>
      <c r="DE134" s="254" t="n"/>
      <c r="DF134" s="254" t="n"/>
      <c r="DG134" s="254" t="n"/>
      <c r="DH134" s="254" t="n"/>
      <c r="DI134" s="254" t="n"/>
      <c r="DJ134" s="254" t="n"/>
      <c r="DK134" s="254" t="n"/>
      <c r="DL134" s="95" t="n"/>
      <c r="DM134" s="254" t="inlineStr">
        <is>
          <t>T</t>
        </is>
      </c>
      <c r="DN134" s="95" t="n">
        <v>8</v>
      </c>
      <c r="DO134" s="95" t="n">
        <v>14</v>
      </c>
    </row>
    <row r="135" ht="13" customHeight="1">
      <c r="A135" s="203" t="inlineStr">
        <is>
          <t>CMA-13</t>
        </is>
      </c>
      <c r="B135" s="260" t="inlineStr">
        <is>
          <t>CMA-13 JACHUCOPOSA</t>
        </is>
      </c>
      <c r="C135" s="254"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259" t="inlineStr">
        <is>
          <t>532MACMA</t>
        </is>
      </c>
      <c r="BL135" s="7" t="inlineStr">
        <is>
          <t>GMAP-SIGA</t>
        </is>
      </c>
      <c r="BM135" s="254" t="inlineStr">
        <is>
          <t>NF</t>
        </is>
      </c>
      <c r="BN135" s="266" t="inlineStr">
        <is>
          <t>Jachucoposa</t>
        </is>
      </c>
      <c r="BO135" s="254" t="inlineStr">
        <is>
          <t>SI</t>
        </is>
      </c>
      <c r="BP135" s="106" t="inlineStr">
        <is>
          <t>CMA-13 JACHUCOPOSA/NF</t>
        </is>
      </c>
      <c r="BQ135" s="106">
        <f>VLOOKUP(BP135,[1]AGUA!$1:$1048576,2,FALSE)</f>
        <v/>
      </c>
      <c r="BR135" s="106">
        <f>VLOOKUP(BP135,[1]AGUA!$1:$1048576,6,FALSE)</f>
        <v/>
      </c>
      <c r="BS135" s="106">
        <f>VLOOKUP(BP135,[1]AGUA!$1:$1048576,7,FALSE)</f>
        <v/>
      </c>
      <c r="BT135" s="106" t="n"/>
      <c r="BU135" s="251"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4" t="n"/>
      <c r="DB135" s="254" t="n"/>
      <c r="DC135" s="254" t="n"/>
      <c r="DD135" s="254" t="n"/>
      <c r="DE135" s="254" t="n"/>
      <c r="DF135" s="254" t="n"/>
      <c r="DG135" s="254" t="n"/>
      <c r="DH135" s="254" t="n"/>
      <c r="DI135" s="254" t="n"/>
      <c r="DJ135" s="254" t="inlineStr">
        <is>
          <t>M</t>
        </is>
      </c>
      <c r="DK135" s="254" t="n">
        <v>8</v>
      </c>
      <c r="DL135" s="95" t="n">
        <v>14</v>
      </c>
      <c r="DM135" s="254" t="n"/>
      <c r="DN135" s="95" t="n"/>
      <c r="DO135" s="95" t="n"/>
    </row>
    <row r="136" ht="13" customHeight="1">
      <c r="A136" s="203" t="inlineStr">
        <is>
          <t>CMA-13</t>
        </is>
      </c>
      <c r="B136" s="255" t="n"/>
      <c r="C136" s="255"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255" t="n"/>
      <c r="BL136" s="7" t="inlineStr">
        <is>
          <t>GMAP-SIGA</t>
        </is>
      </c>
      <c r="BM136" s="254" t="inlineStr">
        <is>
          <t>ASUB</t>
        </is>
      </c>
      <c r="BN136" s="266" t="inlineStr">
        <is>
          <t>Jachucoposa</t>
        </is>
      </c>
      <c r="BO136" s="254" t="inlineStr">
        <is>
          <t>SI</t>
        </is>
      </c>
      <c r="BP136" s="106" t="inlineStr">
        <is>
          <t>CMA-13 JACHUCOPOSA/ASUB</t>
        </is>
      </c>
      <c r="BQ136" s="106">
        <f>VLOOKUP(BP136,[1]AGUA!$1:$1048576,2,FALSE)</f>
        <v/>
      </c>
      <c r="BR136" s="106">
        <f>VLOOKUP(BP136,[1]AGUA!$1:$1048576,6,FALSE)</f>
        <v/>
      </c>
      <c r="BS136" s="106">
        <f>VLOOKUP(BP136,[1]AGUA!$1:$1048576,7,FALSE)</f>
        <v/>
      </c>
      <c r="BT136" s="106" t="n"/>
      <c r="BU136" s="252"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4" t="n"/>
      <c r="DB136" s="254" t="n"/>
      <c r="DC136" s="254" t="n"/>
      <c r="DD136" s="254" t="n"/>
      <c r="DE136" s="254" t="n"/>
      <c r="DF136" s="254" t="n"/>
      <c r="DG136" s="254" t="n"/>
      <c r="DH136" s="254" t="n"/>
      <c r="DI136" s="254" t="n"/>
      <c r="DJ136" s="254" t="n"/>
      <c r="DK136" s="254" t="n"/>
      <c r="DL136" s="95" t="n"/>
      <c r="DM136" s="254" t="inlineStr">
        <is>
          <t>T</t>
        </is>
      </c>
      <c r="DN136" s="95" t="n">
        <v>8</v>
      </c>
      <c r="DO136" s="95" t="n">
        <v>14</v>
      </c>
    </row>
    <row r="137" ht="13" customHeight="1">
      <c r="A137" s="203" t="inlineStr">
        <is>
          <t>CMA-14</t>
        </is>
      </c>
      <c r="B137" s="260" t="inlineStr">
        <is>
          <t>CMA-14 JACHUCOPOSA</t>
        </is>
      </c>
      <c r="C137" s="254"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259" t="inlineStr">
        <is>
          <t>532MACMA</t>
        </is>
      </c>
      <c r="BL137" s="7" t="inlineStr">
        <is>
          <t>GMAP-SIGA</t>
        </is>
      </c>
      <c r="BM137" s="254" t="inlineStr">
        <is>
          <t>NF</t>
        </is>
      </c>
      <c r="BN137" s="266" t="inlineStr">
        <is>
          <t>Jachucoposa</t>
        </is>
      </c>
      <c r="BO137" s="254" t="inlineStr">
        <is>
          <t>SI</t>
        </is>
      </c>
      <c r="BP137" s="106" t="inlineStr">
        <is>
          <t>CMA-14 JACHUCOPOSA/NF</t>
        </is>
      </c>
      <c r="BQ137" s="106">
        <f>VLOOKUP(BP137,[1]AGUA!$1:$1048576,2,FALSE)</f>
        <v/>
      </c>
      <c r="BR137" s="106">
        <f>VLOOKUP(BP137,[1]AGUA!$1:$1048576,6,FALSE)</f>
        <v/>
      </c>
      <c r="BS137" s="106">
        <f>VLOOKUP(BP137,[1]AGUA!$1:$1048576,7,FALSE)</f>
        <v/>
      </c>
      <c r="BT137" s="106" t="n"/>
      <c r="BU137" s="251"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4" t="n"/>
      <c r="DB137" s="254" t="n"/>
      <c r="DC137" s="254" t="n"/>
      <c r="DD137" s="254" t="n"/>
      <c r="DE137" s="254" t="n"/>
      <c r="DF137" s="254" t="n"/>
      <c r="DG137" s="254" t="n"/>
      <c r="DH137" s="254" t="n"/>
      <c r="DI137" s="254" t="n"/>
      <c r="DJ137" s="254" t="inlineStr">
        <is>
          <t>M</t>
        </is>
      </c>
      <c r="DK137" s="254" t="n">
        <v>8</v>
      </c>
      <c r="DL137" s="95" t="n">
        <v>14</v>
      </c>
      <c r="DM137" s="254" t="n"/>
      <c r="DN137" s="95" t="n"/>
      <c r="DO137" s="95" t="n"/>
    </row>
    <row r="138" ht="13" customHeight="1">
      <c r="A138" s="203" t="inlineStr">
        <is>
          <t>CMA-14</t>
        </is>
      </c>
      <c r="B138" s="255" t="n"/>
      <c r="C138" s="255"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255" t="n"/>
      <c r="BL138" s="7" t="inlineStr">
        <is>
          <t>GMAP-SIGA</t>
        </is>
      </c>
      <c r="BM138" s="254" t="inlineStr">
        <is>
          <t>ASUB</t>
        </is>
      </c>
      <c r="BN138" s="266" t="inlineStr">
        <is>
          <t>Jachucoposa</t>
        </is>
      </c>
      <c r="BO138" s="254" t="inlineStr">
        <is>
          <t>SI</t>
        </is>
      </c>
      <c r="BP138" s="106" t="inlineStr">
        <is>
          <t>CMA-14 JACHUCOPOSA/ASUB</t>
        </is>
      </c>
      <c r="BQ138" s="106">
        <f>VLOOKUP(BP138,[1]AGUA!$1:$1048576,2,FALSE)</f>
        <v/>
      </c>
      <c r="BR138" s="106">
        <f>VLOOKUP(BP138,[1]AGUA!$1:$1048576,6,FALSE)</f>
        <v/>
      </c>
      <c r="BS138" s="106">
        <f>VLOOKUP(BP138,[1]AGUA!$1:$1048576,7,FALSE)</f>
        <v/>
      </c>
      <c r="BT138" s="106" t="n"/>
      <c r="BU138" s="252"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4" t="n"/>
      <c r="DB138" s="254" t="n"/>
      <c r="DC138" s="254" t="n"/>
      <c r="DD138" s="254" t="n"/>
      <c r="DE138" s="254" t="n"/>
      <c r="DF138" s="254" t="n"/>
      <c r="DG138" s="254" t="n"/>
      <c r="DH138" s="254" t="n"/>
      <c r="DI138" s="254" t="n"/>
      <c r="DJ138" s="254" t="n"/>
      <c r="DK138" s="254" t="n"/>
      <c r="DL138" s="95" t="n"/>
      <c r="DM138" s="254" t="inlineStr">
        <is>
          <t>T</t>
        </is>
      </c>
      <c r="DN138" s="95" t="n">
        <v>8</v>
      </c>
      <c r="DO138" s="95" t="n">
        <v>14</v>
      </c>
    </row>
    <row r="139" ht="13" customHeight="1">
      <c r="A139" s="203" t="inlineStr">
        <is>
          <t>CMA-15</t>
        </is>
      </c>
      <c r="B139" s="260" t="inlineStr">
        <is>
          <t>CMA-15 JACHUCOPOSA</t>
        </is>
      </c>
      <c r="C139" s="254"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259" t="inlineStr">
        <is>
          <t>532MACMA</t>
        </is>
      </c>
      <c r="BL139" s="7" t="inlineStr">
        <is>
          <t>GMAP-SIGA</t>
        </is>
      </c>
      <c r="BM139" s="254" t="inlineStr">
        <is>
          <t>NF</t>
        </is>
      </c>
      <c r="BN139" s="266" t="inlineStr">
        <is>
          <t>Jachucoposa</t>
        </is>
      </c>
      <c r="BO139" s="254" t="inlineStr">
        <is>
          <t>SI</t>
        </is>
      </c>
      <c r="BP139" s="106" t="inlineStr">
        <is>
          <t>CMA-15 JACHUCOPOSA/NF</t>
        </is>
      </c>
      <c r="BQ139" s="106">
        <f>VLOOKUP(BP139,[1]AGUA!$1:$1048576,2,FALSE)</f>
        <v/>
      </c>
      <c r="BR139" s="106">
        <f>VLOOKUP(BP139,[1]AGUA!$1:$1048576,6,FALSE)</f>
        <v/>
      </c>
      <c r="BS139" s="106">
        <f>VLOOKUP(BP139,[1]AGUA!$1:$1048576,7,FALSE)</f>
        <v/>
      </c>
      <c r="BT139" s="106" t="n"/>
      <c r="BU139" s="251"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4" t="n"/>
      <c r="DB139" s="254" t="n"/>
      <c r="DC139" s="254" t="n"/>
      <c r="DD139" s="254" t="n"/>
      <c r="DE139" s="254" t="n"/>
      <c r="DF139" s="254" t="n"/>
      <c r="DG139" s="254" t="n"/>
      <c r="DH139" s="254" t="n"/>
      <c r="DI139" s="254" t="n"/>
      <c r="DJ139" s="254" t="inlineStr">
        <is>
          <t>M</t>
        </is>
      </c>
      <c r="DK139" s="254" t="n">
        <v>8</v>
      </c>
      <c r="DL139" s="95" t="n">
        <v>14</v>
      </c>
      <c r="DM139" s="254" t="n"/>
      <c r="DN139" s="95" t="n"/>
      <c r="DO139" s="95" t="n"/>
    </row>
    <row r="140" ht="13" customHeight="1">
      <c r="A140" s="203" t="inlineStr">
        <is>
          <t>CMA-15</t>
        </is>
      </c>
      <c r="B140" s="255" t="n"/>
      <c r="C140" s="255"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255" t="n"/>
      <c r="BL140" s="7" t="inlineStr">
        <is>
          <t>GMAP-SIGA</t>
        </is>
      </c>
      <c r="BM140" s="254" t="inlineStr">
        <is>
          <t>ASUB</t>
        </is>
      </c>
      <c r="BN140" s="266" t="inlineStr">
        <is>
          <t>Jachucoposa</t>
        </is>
      </c>
      <c r="BO140" s="254" t="inlineStr">
        <is>
          <t>SI</t>
        </is>
      </c>
      <c r="BP140" s="106" t="inlineStr">
        <is>
          <t>CMA-15 JACHUCOPOSA/ASUB</t>
        </is>
      </c>
      <c r="BQ140" s="106">
        <f>VLOOKUP(BP140,[1]AGUA!$1:$1048576,2,FALSE)</f>
        <v/>
      </c>
      <c r="BR140" s="106">
        <f>VLOOKUP(BP140,[1]AGUA!$1:$1048576,6,FALSE)</f>
        <v/>
      </c>
      <c r="BS140" s="106">
        <f>VLOOKUP(BP140,[1]AGUA!$1:$1048576,7,FALSE)</f>
        <v/>
      </c>
      <c r="BT140" s="106" t="n"/>
      <c r="BU140" s="252"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4" t="n"/>
      <c r="DB140" s="254" t="n"/>
      <c r="DC140" s="254" t="n"/>
      <c r="DD140" s="254" t="n"/>
      <c r="DE140" s="254" t="n"/>
      <c r="DF140" s="254" t="n"/>
      <c r="DG140" s="254" t="n"/>
      <c r="DH140" s="254" t="n"/>
      <c r="DI140" s="254" t="n"/>
      <c r="DJ140" s="254" t="n"/>
      <c r="DK140" s="254" t="n"/>
      <c r="DL140" s="95" t="n"/>
      <c r="DM140" s="254" t="inlineStr">
        <is>
          <t>T</t>
        </is>
      </c>
      <c r="DN140" s="95" t="n">
        <v>8</v>
      </c>
      <c r="DO140" s="95" t="n">
        <v>14</v>
      </c>
    </row>
    <row r="141" ht="13" customHeight="1">
      <c r="A141" s="203" t="inlineStr">
        <is>
          <t>CMA-16</t>
        </is>
      </c>
      <c r="B141" s="260" t="inlineStr">
        <is>
          <t>CMA-16 JACHUCOPOSA</t>
        </is>
      </c>
      <c r="C141" s="254"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259" t="inlineStr">
        <is>
          <t>532MACMA</t>
        </is>
      </c>
      <c r="BL141" s="7" t="inlineStr">
        <is>
          <t>GMAP-SIGA</t>
        </is>
      </c>
      <c r="BM141" s="254" t="inlineStr">
        <is>
          <t>NF</t>
        </is>
      </c>
      <c r="BN141" s="266" t="inlineStr">
        <is>
          <t>Jachucoposa</t>
        </is>
      </c>
      <c r="BO141" s="254" t="inlineStr">
        <is>
          <t>SI</t>
        </is>
      </c>
      <c r="BP141" s="106" t="inlineStr">
        <is>
          <t>CMA-16 JACHUCOPOSA/NF</t>
        </is>
      </c>
      <c r="BQ141" s="106">
        <f>VLOOKUP(BP141,[1]AGUA!$1:$1048576,2,FALSE)</f>
        <v/>
      </c>
      <c r="BR141" s="106">
        <f>VLOOKUP(BP141,[1]AGUA!$1:$1048576,6,FALSE)</f>
        <v/>
      </c>
      <c r="BS141" s="106">
        <f>VLOOKUP(BP141,[1]AGUA!$1:$1048576,7,FALSE)</f>
        <v/>
      </c>
      <c r="BT141" s="106" t="n"/>
      <c r="BU141" s="251"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4" t="n"/>
      <c r="DB141" s="254" t="n"/>
      <c r="DC141" s="254" t="n"/>
      <c r="DD141" s="254" t="n"/>
      <c r="DE141" s="254" t="n"/>
      <c r="DF141" s="254" t="n"/>
      <c r="DG141" s="254" t="n"/>
      <c r="DH141" s="254" t="n"/>
      <c r="DI141" s="254" t="n"/>
      <c r="DJ141" s="254" t="inlineStr">
        <is>
          <t>M</t>
        </is>
      </c>
      <c r="DK141" s="254" t="n">
        <v>8</v>
      </c>
      <c r="DL141" s="95" t="n">
        <v>14</v>
      </c>
      <c r="DM141" s="254" t="n"/>
      <c r="DN141" s="95" t="n"/>
      <c r="DO141" s="95" t="n"/>
    </row>
    <row r="142" ht="13" customHeight="1">
      <c r="A142" s="203" t="inlineStr">
        <is>
          <t>CMA-16</t>
        </is>
      </c>
      <c r="B142" s="255" t="n"/>
      <c r="C142" s="255"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255" t="n"/>
      <c r="BL142" s="7" t="inlineStr">
        <is>
          <t>GMAP-SIGA</t>
        </is>
      </c>
      <c r="BM142" s="254" t="inlineStr">
        <is>
          <t>ASUB</t>
        </is>
      </c>
      <c r="BN142" s="266" t="inlineStr">
        <is>
          <t>Jachucoposa</t>
        </is>
      </c>
      <c r="BO142" s="254" t="inlineStr">
        <is>
          <t>SI</t>
        </is>
      </c>
      <c r="BP142" s="106" t="inlineStr">
        <is>
          <t>CMA-16 JACHUCOPOSA/ASUB</t>
        </is>
      </c>
      <c r="BQ142" s="106">
        <f>VLOOKUP(BP142,[1]AGUA!$1:$1048576,2,FALSE)</f>
        <v/>
      </c>
      <c r="BR142" s="106">
        <f>VLOOKUP(BP142,[1]AGUA!$1:$1048576,6,FALSE)</f>
        <v/>
      </c>
      <c r="BS142" s="106">
        <f>VLOOKUP(BP142,[1]AGUA!$1:$1048576,7,FALSE)</f>
        <v/>
      </c>
      <c r="BT142" s="106" t="n"/>
      <c r="BU142" s="252"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4" t="n"/>
      <c r="DB142" s="254" t="n"/>
      <c r="DC142" s="254" t="n"/>
      <c r="DD142" s="254" t="n"/>
      <c r="DE142" s="254" t="n"/>
      <c r="DF142" s="254" t="n"/>
      <c r="DG142" s="254" t="n"/>
      <c r="DH142" s="254" t="n"/>
      <c r="DI142" s="254" t="n"/>
      <c r="DJ142" s="254" t="n"/>
      <c r="DK142" s="254" t="n"/>
      <c r="DL142" s="95" t="n"/>
      <c r="DM142" s="254" t="inlineStr">
        <is>
          <t>T</t>
        </is>
      </c>
      <c r="DN142" s="95" t="n">
        <v>8</v>
      </c>
      <c r="DO142" s="95" t="n">
        <v>14</v>
      </c>
    </row>
    <row r="143" ht="13" customHeight="1">
      <c r="A143" s="203" t="inlineStr">
        <is>
          <t>CMA-17</t>
        </is>
      </c>
      <c r="B143" s="260" t="inlineStr">
        <is>
          <t>CMA-17 JACHUCOPOSA</t>
        </is>
      </c>
      <c r="C143" s="254"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259" t="inlineStr">
        <is>
          <t>532MACMA</t>
        </is>
      </c>
      <c r="BL143" s="7" t="inlineStr">
        <is>
          <t>GMAP-SIGA</t>
        </is>
      </c>
      <c r="BM143" s="254" t="inlineStr">
        <is>
          <t>NF</t>
        </is>
      </c>
      <c r="BN143" s="266" t="inlineStr">
        <is>
          <t>Jachucoposa</t>
        </is>
      </c>
      <c r="BO143" s="254" t="inlineStr">
        <is>
          <t>SI</t>
        </is>
      </c>
      <c r="BP143" s="106" t="inlineStr">
        <is>
          <t>CMA-17 JACHUCOPOSA/NF</t>
        </is>
      </c>
      <c r="BQ143" s="106">
        <f>VLOOKUP(BP143,[1]AGUA!$1:$1048576,2,FALSE)</f>
        <v/>
      </c>
      <c r="BR143" s="106">
        <f>VLOOKUP(BP143,[1]AGUA!$1:$1048576,6,FALSE)</f>
        <v/>
      </c>
      <c r="BS143" s="106">
        <f>VLOOKUP(BP143,[1]AGUA!$1:$1048576,7,FALSE)</f>
        <v/>
      </c>
      <c r="BT143" s="106" t="n"/>
      <c r="BU143" s="251"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4" t="n"/>
      <c r="DB143" s="254" t="n"/>
      <c r="DC143" s="254" t="n"/>
      <c r="DD143" s="254" t="n"/>
      <c r="DE143" s="254" t="n"/>
      <c r="DF143" s="254" t="n"/>
      <c r="DG143" s="254" t="n"/>
      <c r="DH143" s="254" t="n"/>
      <c r="DI143" s="254" t="n"/>
      <c r="DJ143" s="254" t="inlineStr">
        <is>
          <t>M</t>
        </is>
      </c>
      <c r="DK143" s="254" t="n">
        <v>8</v>
      </c>
      <c r="DL143" s="95" t="n">
        <v>14</v>
      </c>
      <c r="DM143" s="254" t="n"/>
      <c r="DN143" s="95" t="n"/>
      <c r="DO143" s="95" t="n"/>
    </row>
    <row r="144" ht="13" customHeight="1">
      <c r="A144" s="203" t="inlineStr">
        <is>
          <t>CMA-17</t>
        </is>
      </c>
      <c r="B144" s="255" t="n"/>
      <c r="C144" s="255"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255" t="n"/>
      <c r="BL144" s="7" t="inlineStr">
        <is>
          <t>GMAP-SIGA</t>
        </is>
      </c>
      <c r="BM144" s="254" t="inlineStr">
        <is>
          <t>ASUB</t>
        </is>
      </c>
      <c r="BN144" s="266" t="inlineStr">
        <is>
          <t>Jachucoposa</t>
        </is>
      </c>
      <c r="BO144" s="254" t="inlineStr">
        <is>
          <t>SI</t>
        </is>
      </c>
      <c r="BP144" s="106" t="inlineStr">
        <is>
          <t>CMA-17 JACHUCOPOSA/ASUB</t>
        </is>
      </c>
      <c r="BQ144" s="106">
        <f>VLOOKUP(BP144,[1]AGUA!$1:$1048576,2,FALSE)</f>
        <v/>
      </c>
      <c r="BR144" s="106">
        <f>VLOOKUP(BP144,[1]AGUA!$1:$1048576,6,FALSE)</f>
        <v/>
      </c>
      <c r="BS144" s="106">
        <f>VLOOKUP(BP144,[1]AGUA!$1:$1048576,7,FALSE)</f>
        <v/>
      </c>
      <c r="BT144" s="106" t="n"/>
      <c r="BU144" s="252"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4" t="n"/>
      <c r="DB144" s="254" t="n"/>
      <c r="DC144" s="254" t="n"/>
      <c r="DD144" s="254" t="n"/>
      <c r="DE144" s="254" t="n"/>
      <c r="DF144" s="254" t="n"/>
      <c r="DG144" s="254" t="n"/>
      <c r="DH144" s="254" t="n"/>
      <c r="DI144" s="254" t="n"/>
      <c r="DJ144" s="254" t="n"/>
      <c r="DK144" s="254" t="n"/>
      <c r="DL144" s="95" t="n"/>
      <c r="DM144" s="254" t="inlineStr">
        <is>
          <t>T</t>
        </is>
      </c>
      <c r="DN144" s="95" t="n">
        <v>8</v>
      </c>
      <c r="DO144" s="95" t="n">
        <v>14</v>
      </c>
    </row>
    <row r="145" ht="13" customHeight="1">
      <c r="A145" s="203" t="inlineStr">
        <is>
          <t>CMA-18</t>
        </is>
      </c>
      <c r="B145" s="260" t="inlineStr">
        <is>
          <t>CMA-18 JACHUCOPOSA</t>
        </is>
      </c>
      <c r="C145" s="254"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259" t="inlineStr">
        <is>
          <t>532MACMA</t>
        </is>
      </c>
      <c r="BL145" s="7" t="inlineStr">
        <is>
          <t>GMAP-SIGA</t>
        </is>
      </c>
      <c r="BM145" s="254" t="inlineStr">
        <is>
          <t>NF</t>
        </is>
      </c>
      <c r="BN145" s="266" t="inlineStr">
        <is>
          <t>Jachucoposa</t>
        </is>
      </c>
      <c r="BO145" s="254" t="inlineStr">
        <is>
          <t>SI</t>
        </is>
      </c>
      <c r="BP145" s="106" t="inlineStr">
        <is>
          <t>CMA-18 JACHUCOPOSA/NF</t>
        </is>
      </c>
      <c r="BQ145" s="106">
        <f>VLOOKUP(BP145,[1]AGUA!$1:$1048576,2,FALSE)</f>
        <v/>
      </c>
      <c r="BR145" s="106">
        <f>VLOOKUP(BP145,[1]AGUA!$1:$1048576,6,FALSE)</f>
        <v/>
      </c>
      <c r="BS145" s="106">
        <f>VLOOKUP(BP145,[1]AGUA!$1:$1048576,7,FALSE)</f>
        <v/>
      </c>
      <c r="BT145" s="106" t="n"/>
      <c r="BU145" s="251"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4" t="n"/>
      <c r="DB145" s="254" t="n"/>
      <c r="DC145" s="254" t="n"/>
      <c r="DD145" s="254" t="n"/>
      <c r="DE145" s="254" t="n"/>
      <c r="DF145" s="254" t="n"/>
      <c r="DG145" s="254" t="n"/>
      <c r="DH145" s="254" t="n"/>
      <c r="DI145" s="254" t="n"/>
      <c r="DJ145" s="254" t="inlineStr">
        <is>
          <t>M</t>
        </is>
      </c>
      <c r="DK145" s="254" t="n">
        <v>8</v>
      </c>
      <c r="DL145" s="95" t="n">
        <v>14</v>
      </c>
      <c r="DM145" s="254" t="n"/>
      <c r="DN145" s="95" t="n"/>
      <c r="DO145" s="95" t="n"/>
    </row>
    <row r="146" ht="13" customHeight="1">
      <c r="A146" s="203" t="inlineStr">
        <is>
          <t>CMA-18</t>
        </is>
      </c>
      <c r="B146" s="255" t="n"/>
      <c r="C146" s="255"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255" t="n"/>
      <c r="BL146" s="7" t="inlineStr">
        <is>
          <t>GMAP-SIGA</t>
        </is>
      </c>
      <c r="BM146" s="254" t="inlineStr">
        <is>
          <t>ASUB</t>
        </is>
      </c>
      <c r="BN146" s="266" t="inlineStr">
        <is>
          <t>Jachucoposa</t>
        </is>
      </c>
      <c r="BO146" s="254" t="inlineStr">
        <is>
          <t>SI</t>
        </is>
      </c>
      <c r="BP146" s="106" t="inlineStr">
        <is>
          <t>CMA-18 JACHUCOPOSA/ASUB</t>
        </is>
      </c>
      <c r="BQ146" s="106">
        <f>VLOOKUP(BP146,[1]AGUA!$1:$1048576,2,FALSE)</f>
        <v/>
      </c>
      <c r="BR146" s="106">
        <f>VLOOKUP(BP146,[1]AGUA!$1:$1048576,6,FALSE)</f>
        <v/>
      </c>
      <c r="BS146" s="106">
        <f>VLOOKUP(BP146,[1]AGUA!$1:$1048576,7,FALSE)</f>
        <v/>
      </c>
      <c r="BT146" s="106" t="n"/>
      <c r="BU146" s="252"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4" t="n"/>
      <c r="DB146" s="254" t="n"/>
      <c r="DC146" s="254" t="n"/>
      <c r="DD146" s="254" t="n"/>
      <c r="DE146" s="254" t="n"/>
      <c r="DF146" s="254" t="n"/>
      <c r="DG146" s="254" t="n"/>
      <c r="DH146" s="254" t="n"/>
      <c r="DI146" s="254" t="n"/>
      <c r="DJ146" s="254" t="n"/>
      <c r="DK146" s="254" t="n"/>
      <c r="DL146" s="95" t="n"/>
      <c r="DM146" s="254" t="inlineStr">
        <is>
          <t>T</t>
        </is>
      </c>
      <c r="DN146" s="95" t="n">
        <v>8</v>
      </c>
      <c r="DO146" s="95" t="n">
        <v>14</v>
      </c>
    </row>
    <row r="147" ht="13" customHeight="1">
      <c r="A147" s="203" t="inlineStr">
        <is>
          <t>CMA-19</t>
        </is>
      </c>
      <c r="B147" s="260" t="inlineStr">
        <is>
          <t>CMA-19 JACHUCOPOSA</t>
        </is>
      </c>
      <c r="C147" s="254"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259" t="inlineStr">
        <is>
          <t>532MACMA</t>
        </is>
      </c>
      <c r="BL147" s="7" t="inlineStr">
        <is>
          <t>GMAP-SIGA</t>
        </is>
      </c>
      <c r="BM147" s="254" t="inlineStr">
        <is>
          <t>NF</t>
        </is>
      </c>
      <c r="BN147" s="266" t="inlineStr">
        <is>
          <t>Jachucoposa</t>
        </is>
      </c>
      <c r="BO147" s="254" t="inlineStr">
        <is>
          <t>SI</t>
        </is>
      </c>
      <c r="BP147" s="106" t="inlineStr">
        <is>
          <t>CMA-19 JACHUCOPOSA/NF</t>
        </is>
      </c>
      <c r="BQ147" s="106">
        <f>VLOOKUP(BP147,[1]AGUA!$1:$1048576,2,FALSE)</f>
        <v/>
      </c>
      <c r="BR147" s="106">
        <f>VLOOKUP(BP147,[1]AGUA!$1:$1048576,6,FALSE)</f>
        <v/>
      </c>
      <c r="BS147" s="106">
        <f>VLOOKUP(BP147,[1]AGUA!$1:$1048576,7,FALSE)</f>
        <v/>
      </c>
      <c r="BT147" s="106" t="n"/>
      <c r="BU147" s="251"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4" t="n"/>
      <c r="DB147" s="254" t="n"/>
      <c r="DC147" s="254" t="n"/>
      <c r="DD147" s="254" t="n"/>
      <c r="DE147" s="254" t="n"/>
      <c r="DF147" s="254" t="n"/>
      <c r="DG147" s="254" t="n"/>
      <c r="DH147" s="254" t="n"/>
      <c r="DI147" s="254" t="n"/>
      <c r="DJ147" s="254" t="inlineStr">
        <is>
          <t>M</t>
        </is>
      </c>
      <c r="DK147" s="254" t="n">
        <v>8</v>
      </c>
      <c r="DL147" s="95" t="n">
        <v>14</v>
      </c>
      <c r="DM147" s="254" t="n"/>
      <c r="DN147" s="95" t="n"/>
      <c r="DO147" s="95" t="n"/>
    </row>
    <row r="148" ht="13" customHeight="1">
      <c r="A148" s="203" t="inlineStr">
        <is>
          <t>CMA-19</t>
        </is>
      </c>
      <c r="B148" s="255" t="n"/>
      <c r="C148" s="255"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255" t="n"/>
      <c r="BL148" s="7" t="inlineStr">
        <is>
          <t>GMAP-SIGA</t>
        </is>
      </c>
      <c r="BM148" s="254" t="inlineStr">
        <is>
          <t>ASUB</t>
        </is>
      </c>
      <c r="BN148" s="266" t="inlineStr">
        <is>
          <t>Jachucoposa</t>
        </is>
      </c>
      <c r="BO148" s="254" t="inlineStr">
        <is>
          <t>SI</t>
        </is>
      </c>
      <c r="BP148" s="106" t="inlineStr">
        <is>
          <t>CMA-19 JACHUCOPOSA/ASUB</t>
        </is>
      </c>
      <c r="BQ148" s="106">
        <f>VLOOKUP(BP148,[1]AGUA!$1:$1048576,2,FALSE)</f>
        <v/>
      </c>
      <c r="BR148" s="106">
        <f>VLOOKUP(BP148,[1]AGUA!$1:$1048576,6,FALSE)</f>
        <v/>
      </c>
      <c r="BS148" s="106">
        <f>VLOOKUP(BP148,[1]AGUA!$1:$1048576,7,FALSE)</f>
        <v/>
      </c>
      <c r="BT148" s="106" t="n"/>
      <c r="BU148" s="252"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4" t="n"/>
      <c r="DB148" s="254" t="n"/>
      <c r="DC148" s="254" t="n"/>
      <c r="DD148" s="254" t="n"/>
      <c r="DE148" s="254" t="n"/>
      <c r="DF148" s="254" t="n"/>
      <c r="DG148" s="254" t="n"/>
      <c r="DH148" s="254" t="n"/>
      <c r="DI148" s="254" t="n"/>
      <c r="DJ148" s="254" t="n"/>
      <c r="DK148" s="254" t="n"/>
      <c r="DL148" s="95" t="n"/>
      <c r="DM148" s="254" t="inlineStr">
        <is>
          <t>T</t>
        </is>
      </c>
      <c r="DN148" s="95" t="n">
        <v>8</v>
      </c>
      <c r="DO148" s="95" t="n">
        <v>14</v>
      </c>
    </row>
    <row r="149" ht="13" customHeight="1">
      <c r="A149" s="203" t="inlineStr">
        <is>
          <t>CMA-20</t>
        </is>
      </c>
      <c r="B149" s="260" t="inlineStr">
        <is>
          <t>CMA-20 JACHUCOPOSA</t>
        </is>
      </c>
      <c r="C149" s="254"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259" t="inlineStr">
        <is>
          <t>532MACMA</t>
        </is>
      </c>
      <c r="BL149" s="7" t="inlineStr">
        <is>
          <t>GMAP-SIGA</t>
        </is>
      </c>
      <c r="BM149" s="254" t="inlineStr">
        <is>
          <t>NF</t>
        </is>
      </c>
      <c r="BN149" s="266" t="inlineStr">
        <is>
          <t>Jachucoposa</t>
        </is>
      </c>
      <c r="BO149" s="254" t="inlineStr">
        <is>
          <t>SI</t>
        </is>
      </c>
      <c r="BP149" s="106" t="inlineStr">
        <is>
          <t>CMA-20 JACHUCOPOSA/NF</t>
        </is>
      </c>
      <c r="BQ149" s="106">
        <f>VLOOKUP(BP149,[1]AGUA!$1:$1048576,2,FALSE)</f>
        <v/>
      </c>
      <c r="BR149" s="106">
        <f>VLOOKUP(BP149,[1]AGUA!$1:$1048576,6,FALSE)</f>
        <v/>
      </c>
      <c r="BS149" s="106">
        <f>VLOOKUP(BP149,[1]AGUA!$1:$1048576,7,FALSE)</f>
        <v/>
      </c>
      <c r="BT149" s="106" t="n"/>
      <c r="BU149" s="251"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4" t="n"/>
      <c r="DB149" s="254" t="n"/>
      <c r="DC149" s="254" t="n"/>
      <c r="DD149" s="254" t="n"/>
      <c r="DE149" s="254" t="n"/>
      <c r="DF149" s="254" t="n"/>
      <c r="DG149" s="254" t="n"/>
      <c r="DH149" s="254" t="n"/>
      <c r="DI149" s="254" t="n"/>
      <c r="DJ149" s="254" t="inlineStr">
        <is>
          <t>M</t>
        </is>
      </c>
      <c r="DK149" s="254" t="n">
        <v>8</v>
      </c>
      <c r="DL149" s="95" t="n">
        <v>14</v>
      </c>
      <c r="DM149" s="254" t="n"/>
      <c r="DN149" s="95" t="n"/>
      <c r="DO149" s="95" t="n"/>
    </row>
    <row r="150" ht="13" customHeight="1">
      <c r="A150" s="203" t="inlineStr">
        <is>
          <t>CMA-20</t>
        </is>
      </c>
      <c r="B150" s="255" t="n"/>
      <c r="C150" s="255"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255" t="n"/>
      <c r="BL150" s="7" t="inlineStr">
        <is>
          <t>GMAP-SIGA</t>
        </is>
      </c>
      <c r="BM150" s="254" t="inlineStr">
        <is>
          <t>ASUB</t>
        </is>
      </c>
      <c r="BN150" s="266" t="inlineStr">
        <is>
          <t>Jachucoposa</t>
        </is>
      </c>
      <c r="BO150" s="254" t="inlineStr">
        <is>
          <t>SI</t>
        </is>
      </c>
      <c r="BP150" s="106" t="inlineStr">
        <is>
          <t>CMA-20 JACHUCOPOSA/ASUB</t>
        </is>
      </c>
      <c r="BQ150" s="106">
        <f>VLOOKUP(BP150,[1]AGUA!$1:$1048576,2,FALSE)</f>
        <v/>
      </c>
      <c r="BR150" s="106">
        <f>VLOOKUP(BP150,[1]AGUA!$1:$1048576,6,FALSE)</f>
        <v/>
      </c>
      <c r="BS150" s="106">
        <f>VLOOKUP(BP150,[1]AGUA!$1:$1048576,7,FALSE)</f>
        <v/>
      </c>
      <c r="BT150" s="106" t="n"/>
      <c r="BU150" s="252"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4" t="n"/>
      <c r="DB150" s="254" t="n"/>
      <c r="DC150" s="254" t="n"/>
      <c r="DD150" s="254" t="n"/>
      <c r="DE150" s="254" t="n"/>
      <c r="DF150" s="254" t="n"/>
      <c r="DG150" s="254" t="n"/>
      <c r="DH150" s="254" t="n"/>
      <c r="DI150" s="254" t="n"/>
      <c r="DJ150" s="254" t="n"/>
      <c r="DK150" s="254" t="n"/>
      <c r="DL150" s="95" t="n"/>
      <c r="DM150" s="254" t="inlineStr">
        <is>
          <t>T</t>
        </is>
      </c>
      <c r="DN150" s="95" t="n">
        <v>8</v>
      </c>
      <c r="DO150" s="95" t="n">
        <v>14</v>
      </c>
    </row>
    <row r="151" ht="13" customHeight="1">
      <c r="A151" s="203" t="inlineStr">
        <is>
          <t>CMA-21</t>
        </is>
      </c>
      <c r="B151" s="260" t="inlineStr">
        <is>
          <t>CMA-21 JACHUCOPOSA</t>
        </is>
      </c>
      <c r="C151" s="254"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259" t="inlineStr">
        <is>
          <t>532MACMA</t>
        </is>
      </c>
      <c r="BL151" s="7" t="inlineStr">
        <is>
          <t>GMAP-SIGA</t>
        </is>
      </c>
      <c r="BM151" s="254" t="inlineStr">
        <is>
          <t>NF</t>
        </is>
      </c>
      <c r="BN151" s="266" t="inlineStr">
        <is>
          <t>Jachucoposa</t>
        </is>
      </c>
      <c r="BO151" s="254" t="inlineStr">
        <is>
          <t>SI</t>
        </is>
      </c>
      <c r="BP151" s="106" t="inlineStr">
        <is>
          <t>CMA-21 JACHUCOPOSA/NF</t>
        </is>
      </c>
      <c r="BQ151" s="106">
        <f>VLOOKUP(BP151,[1]AGUA!$1:$1048576,2,FALSE)</f>
        <v/>
      </c>
      <c r="BR151" s="106">
        <f>VLOOKUP(BP151,[1]AGUA!$1:$1048576,6,FALSE)</f>
        <v/>
      </c>
      <c r="BS151" s="106">
        <f>VLOOKUP(BP151,[1]AGUA!$1:$1048576,7,FALSE)</f>
        <v/>
      </c>
      <c r="BT151" s="106" t="n"/>
      <c r="BU151" s="251"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4" t="n"/>
      <c r="DB151" s="254" t="n"/>
      <c r="DC151" s="254" t="n"/>
      <c r="DD151" s="254" t="n"/>
      <c r="DE151" s="254" t="n"/>
      <c r="DF151" s="254" t="n"/>
      <c r="DG151" s="254" t="n"/>
      <c r="DH151" s="254" t="n"/>
      <c r="DI151" s="254" t="n"/>
      <c r="DJ151" s="254" t="inlineStr">
        <is>
          <t>M</t>
        </is>
      </c>
      <c r="DK151" s="254" t="n">
        <v>8</v>
      </c>
      <c r="DL151" s="95" t="n">
        <v>14</v>
      </c>
      <c r="DM151" s="254" t="n"/>
      <c r="DN151" s="95" t="n"/>
      <c r="DO151" s="95" t="n"/>
    </row>
    <row r="152" ht="13" customHeight="1">
      <c r="A152" s="203" t="inlineStr">
        <is>
          <t>CMA-21</t>
        </is>
      </c>
      <c r="B152" s="255" t="n"/>
      <c r="C152" s="255"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255" t="n"/>
      <c r="BL152" s="7" t="inlineStr">
        <is>
          <t>GMAP-SIGA</t>
        </is>
      </c>
      <c r="BM152" s="254" t="inlineStr">
        <is>
          <t>ASUB</t>
        </is>
      </c>
      <c r="BN152" s="266" t="inlineStr">
        <is>
          <t>Jachucoposa</t>
        </is>
      </c>
      <c r="BO152" s="254" t="inlineStr">
        <is>
          <t>SI</t>
        </is>
      </c>
      <c r="BP152" s="106" t="inlineStr">
        <is>
          <t>CMA-21 JACHUCOPOSA/ASUB</t>
        </is>
      </c>
      <c r="BQ152" s="106">
        <f>VLOOKUP(BP152,[1]AGUA!$1:$1048576,2,FALSE)</f>
        <v/>
      </c>
      <c r="BR152" s="106">
        <f>VLOOKUP(BP152,[1]AGUA!$1:$1048576,6,FALSE)</f>
        <v/>
      </c>
      <c r="BS152" s="106">
        <f>VLOOKUP(BP152,[1]AGUA!$1:$1048576,7,FALSE)</f>
        <v/>
      </c>
      <c r="BT152" s="106" t="n"/>
      <c r="BU152" s="252"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4" t="n"/>
      <c r="DB152" s="254" t="n"/>
      <c r="DC152" s="254" t="n"/>
      <c r="DD152" s="254" t="n"/>
      <c r="DE152" s="254" t="n"/>
      <c r="DF152" s="254" t="n"/>
      <c r="DG152" s="254" t="n"/>
      <c r="DH152" s="254" t="n"/>
      <c r="DI152" s="254" t="n"/>
      <c r="DJ152" s="254" t="n"/>
      <c r="DK152" s="254" t="n"/>
      <c r="DL152" s="95" t="n"/>
      <c r="DM152" s="254" t="inlineStr">
        <is>
          <t>T</t>
        </is>
      </c>
      <c r="DN152" s="95" t="n">
        <v>8</v>
      </c>
      <c r="DO152" s="95" t="n">
        <v>14</v>
      </c>
    </row>
    <row r="153" ht="13" customHeight="1">
      <c r="A153" s="203" t="inlineStr">
        <is>
          <t>CMA-22</t>
        </is>
      </c>
      <c r="B153" s="260" t="inlineStr">
        <is>
          <t>CMA-22 JACHUCOPOSA</t>
        </is>
      </c>
      <c r="C153" s="254"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259" t="inlineStr">
        <is>
          <t>532MACMA</t>
        </is>
      </c>
      <c r="BL153" s="7" t="inlineStr">
        <is>
          <t>GMAP-SIGA</t>
        </is>
      </c>
      <c r="BM153" s="254" t="inlineStr">
        <is>
          <t>NF</t>
        </is>
      </c>
      <c r="BN153" s="266" t="inlineStr">
        <is>
          <t>Jachucoposa</t>
        </is>
      </c>
      <c r="BO153" s="254" t="inlineStr">
        <is>
          <t>SI</t>
        </is>
      </c>
      <c r="BP153" s="106" t="inlineStr">
        <is>
          <t>CMA-22 JACHUCOPOSA/NF</t>
        </is>
      </c>
      <c r="BQ153" s="106">
        <f>VLOOKUP(BP153,[1]AGUA!$1:$1048576,2,FALSE)</f>
        <v/>
      </c>
      <c r="BR153" s="106">
        <f>VLOOKUP(BP153,[1]AGUA!$1:$1048576,6,FALSE)</f>
        <v/>
      </c>
      <c r="BS153" s="106">
        <f>VLOOKUP(BP153,[1]AGUA!$1:$1048576,7,FALSE)</f>
        <v/>
      </c>
      <c r="BT153" s="106" t="n"/>
      <c r="BU153" s="251"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4" t="n"/>
      <c r="DB153" s="254" t="n"/>
      <c r="DC153" s="254" t="n"/>
      <c r="DD153" s="254" t="n"/>
      <c r="DE153" s="254" t="n"/>
      <c r="DF153" s="254" t="n"/>
      <c r="DG153" s="254" t="n"/>
      <c r="DH153" s="254" t="n"/>
      <c r="DI153" s="254" t="n"/>
      <c r="DJ153" s="254" t="inlineStr">
        <is>
          <t>M</t>
        </is>
      </c>
      <c r="DK153" s="254" t="n">
        <v>8</v>
      </c>
      <c r="DL153" s="95" t="n">
        <v>14</v>
      </c>
      <c r="DM153" s="254" t="n"/>
      <c r="DN153" s="95" t="n"/>
      <c r="DO153" s="95" t="n"/>
    </row>
    <row r="154" ht="13" customHeight="1">
      <c r="A154" s="203" t="inlineStr">
        <is>
          <t>CMA-22</t>
        </is>
      </c>
      <c r="B154" s="255" t="n"/>
      <c r="C154" s="255"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255" t="n"/>
      <c r="BL154" s="7" t="inlineStr">
        <is>
          <t>GMAP-SIGA</t>
        </is>
      </c>
      <c r="BM154" s="254" t="inlineStr">
        <is>
          <t>ASUB</t>
        </is>
      </c>
      <c r="BN154" s="266" t="inlineStr">
        <is>
          <t>Jachucoposa</t>
        </is>
      </c>
      <c r="BO154" s="254" t="inlineStr">
        <is>
          <t>SI</t>
        </is>
      </c>
      <c r="BP154" s="106" t="inlineStr">
        <is>
          <t>CMA-22 JACHUCOPOSA/ASUB</t>
        </is>
      </c>
      <c r="BQ154" s="106">
        <f>VLOOKUP(BP154,[1]AGUA!$1:$1048576,2,FALSE)</f>
        <v/>
      </c>
      <c r="BR154" s="106">
        <f>VLOOKUP(BP154,[1]AGUA!$1:$1048576,6,FALSE)</f>
        <v/>
      </c>
      <c r="BS154" s="106">
        <f>VLOOKUP(BP154,[1]AGUA!$1:$1048576,7,FALSE)</f>
        <v/>
      </c>
      <c r="BT154" s="106" t="n"/>
      <c r="BU154" s="252"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4" t="n"/>
      <c r="DB154" s="254" t="n"/>
      <c r="DC154" s="254" t="n"/>
      <c r="DD154" s="254" t="n"/>
      <c r="DE154" s="254" t="n"/>
      <c r="DF154" s="254" t="n"/>
      <c r="DG154" s="254" t="n"/>
      <c r="DH154" s="254" t="n"/>
      <c r="DI154" s="254" t="n"/>
      <c r="DJ154" s="254" t="n"/>
      <c r="DK154" s="254" t="n"/>
      <c r="DL154" s="95" t="n"/>
      <c r="DM154" s="254" t="inlineStr">
        <is>
          <t>T</t>
        </is>
      </c>
      <c r="DN154" s="95" t="n">
        <v>8</v>
      </c>
      <c r="DO154" s="95" t="n">
        <v>14</v>
      </c>
    </row>
    <row r="155" ht="13" customHeight="1">
      <c r="A155" s="203" t="inlineStr">
        <is>
          <t>CMA-23</t>
        </is>
      </c>
      <c r="B155" s="260" t="inlineStr">
        <is>
          <t>CMA-23 JACHUCOPOSA</t>
        </is>
      </c>
      <c r="C155" s="254"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259" t="inlineStr">
        <is>
          <t>532MACMA</t>
        </is>
      </c>
      <c r="BL155" s="7" t="inlineStr">
        <is>
          <t>GMAP-SIGA</t>
        </is>
      </c>
      <c r="BM155" s="254" t="inlineStr">
        <is>
          <t>NF</t>
        </is>
      </c>
      <c r="BN155" s="266" t="inlineStr">
        <is>
          <t>Jachucoposa</t>
        </is>
      </c>
      <c r="BO155" s="254" t="inlineStr">
        <is>
          <t>SI</t>
        </is>
      </c>
      <c r="BP155" s="106" t="inlineStr">
        <is>
          <t>CMA-23 JACHUCOPOSA/NF</t>
        </is>
      </c>
      <c r="BQ155" s="106">
        <f>VLOOKUP(BP155,[1]AGUA!$1:$1048576,2,FALSE)</f>
        <v/>
      </c>
      <c r="BR155" s="106">
        <f>VLOOKUP(BP155,[1]AGUA!$1:$1048576,6,FALSE)</f>
        <v/>
      </c>
      <c r="BS155" s="106">
        <f>VLOOKUP(BP155,[1]AGUA!$1:$1048576,7,FALSE)</f>
        <v/>
      </c>
      <c r="BT155" s="106" t="n"/>
      <c r="BU155" s="251"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4" t="n"/>
      <c r="DB155" s="254" t="n"/>
      <c r="DC155" s="254" t="n"/>
      <c r="DD155" s="254" t="n"/>
      <c r="DE155" s="254" t="n"/>
      <c r="DF155" s="254" t="n"/>
      <c r="DG155" s="254" t="n"/>
      <c r="DH155" s="254" t="n"/>
      <c r="DI155" s="254" t="n"/>
      <c r="DJ155" s="254" t="inlineStr">
        <is>
          <t>M</t>
        </is>
      </c>
      <c r="DK155" s="254" t="n">
        <v>8</v>
      </c>
      <c r="DL155" s="95" t="n">
        <v>14</v>
      </c>
      <c r="DM155" s="254" t="n"/>
      <c r="DN155" s="95" t="n"/>
      <c r="DO155" s="95" t="n"/>
    </row>
    <row r="156" ht="13" customHeight="1">
      <c r="A156" s="203" t="inlineStr">
        <is>
          <t>CMA-23</t>
        </is>
      </c>
      <c r="B156" s="255" t="n"/>
      <c r="C156" s="255"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255" t="n"/>
      <c r="BL156" s="7" t="inlineStr">
        <is>
          <t>GMAP-SIGA</t>
        </is>
      </c>
      <c r="BM156" s="254" t="inlineStr">
        <is>
          <t>ASUB</t>
        </is>
      </c>
      <c r="BN156" s="266" t="inlineStr">
        <is>
          <t>Jachucoposa</t>
        </is>
      </c>
      <c r="BO156" s="254" t="inlineStr">
        <is>
          <t>SI</t>
        </is>
      </c>
      <c r="BP156" s="106" t="inlineStr">
        <is>
          <t>CMA-23 JACHUCOPOSA/ASUB</t>
        </is>
      </c>
      <c r="BQ156" s="106">
        <f>VLOOKUP(BP156,[1]AGUA!$1:$1048576,2,FALSE)</f>
        <v/>
      </c>
      <c r="BR156" s="106">
        <f>VLOOKUP(BP156,[1]AGUA!$1:$1048576,6,FALSE)</f>
        <v/>
      </c>
      <c r="BS156" s="106">
        <f>VLOOKUP(BP156,[1]AGUA!$1:$1048576,7,FALSE)</f>
        <v/>
      </c>
      <c r="BT156" s="106" t="n"/>
      <c r="BU156" s="252"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4" t="n"/>
      <c r="DB156" s="254" t="n"/>
      <c r="DC156" s="254" t="n"/>
      <c r="DD156" s="254" t="n"/>
      <c r="DE156" s="254" t="n"/>
      <c r="DF156" s="254" t="n"/>
      <c r="DG156" s="254" t="n"/>
      <c r="DH156" s="254" t="n"/>
      <c r="DI156" s="254" t="n"/>
      <c r="DJ156" s="254" t="n"/>
      <c r="DK156" s="254" t="n"/>
      <c r="DL156" s="95" t="n"/>
      <c r="DM156" s="254" t="inlineStr">
        <is>
          <t>T</t>
        </is>
      </c>
      <c r="DN156" s="95" t="n">
        <v>8</v>
      </c>
      <c r="DO156" s="95" t="n">
        <v>14</v>
      </c>
    </row>
    <row r="157" ht="13" customHeight="1">
      <c r="A157" s="203" t="inlineStr">
        <is>
          <t>CMA-24</t>
        </is>
      </c>
      <c r="B157" s="260" t="inlineStr">
        <is>
          <t>CMA-24 JACHUCOPOSA</t>
        </is>
      </c>
      <c r="C157" s="254"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259" t="inlineStr">
        <is>
          <t>532MACMA</t>
        </is>
      </c>
      <c r="BL157" s="7" t="inlineStr">
        <is>
          <t>GMAP-SIGA</t>
        </is>
      </c>
      <c r="BM157" s="254" t="inlineStr">
        <is>
          <t>NF</t>
        </is>
      </c>
      <c r="BN157" s="266" t="inlineStr">
        <is>
          <t>Jachucoposa</t>
        </is>
      </c>
      <c r="BO157" s="254" t="inlineStr">
        <is>
          <t>SI</t>
        </is>
      </c>
      <c r="BP157" s="106" t="inlineStr">
        <is>
          <t>CMA-24 JACHUCOPOSA/NF</t>
        </is>
      </c>
      <c r="BQ157" s="106">
        <f>VLOOKUP(BP157,[1]AGUA!$1:$1048576,2,FALSE)</f>
        <v/>
      </c>
      <c r="BR157" s="106">
        <f>VLOOKUP(BP157,[1]AGUA!$1:$1048576,6,FALSE)</f>
        <v/>
      </c>
      <c r="BS157" s="106">
        <f>VLOOKUP(BP157,[1]AGUA!$1:$1048576,7,FALSE)</f>
        <v/>
      </c>
      <c r="BT157" s="106" t="n"/>
      <c r="BU157" s="251"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4" t="n"/>
      <c r="DB157" s="254" t="n"/>
      <c r="DC157" s="254" t="n"/>
      <c r="DD157" s="254" t="n"/>
      <c r="DE157" s="254" t="n"/>
      <c r="DF157" s="254" t="n"/>
      <c r="DG157" s="254" t="n"/>
      <c r="DH157" s="254" t="n"/>
      <c r="DI157" s="254" t="n"/>
      <c r="DJ157" s="254" t="inlineStr">
        <is>
          <t>M</t>
        </is>
      </c>
      <c r="DK157" s="254" t="n">
        <v>8</v>
      </c>
      <c r="DL157" s="95" t="n">
        <v>14</v>
      </c>
      <c r="DM157" s="254" t="n"/>
      <c r="DN157" s="95" t="n"/>
      <c r="DO157" s="95" t="n"/>
    </row>
    <row r="158" ht="13" customHeight="1">
      <c r="A158" s="203" t="inlineStr">
        <is>
          <t>CMA-24</t>
        </is>
      </c>
      <c r="B158" s="255" t="n"/>
      <c r="C158" s="255"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255" t="n"/>
      <c r="BL158" s="7" t="inlineStr">
        <is>
          <t>GMAP-SIGA</t>
        </is>
      </c>
      <c r="BM158" s="254" t="inlineStr">
        <is>
          <t>ASUB</t>
        </is>
      </c>
      <c r="BN158" s="266" t="inlineStr">
        <is>
          <t>Jachucoposa</t>
        </is>
      </c>
      <c r="BO158" s="254" t="inlineStr">
        <is>
          <t>SI</t>
        </is>
      </c>
      <c r="BP158" s="106" t="inlineStr">
        <is>
          <t>CMA-24 JACHUCOPOSA/ASUB</t>
        </is>
      </c>
      <c r="BQ158" s="106">
        <f>VLOOKUP(BP158,[1]AGUA!$1:$1048576,2,FALSE)</f>
        <v/>
      </c>
      <c r="BR158" s="106">
        <f>VLOOKUP(BP158,[1]AGUA!$1:$1048576,6,FALSE)</f>
        <v/>
      </c>
      <c r="BS158" s="106">
        <f>VLOOKUP(BP158,[1]AGUA!$1:$1048576,7,FALSE)</f>
        <v/>
      </c>
      <c r="BT158" s="106" t="n"/>
      <c r="BU158" s="252"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4" t="n"/>
      <c r="DB158" s="254" t="n"/>
      <c r="DC158" s="254" t="n"/>
      <c r="DD158" s="254" t="n"/>
      <c r="DE158" s="254" t="n"/>
      <c r="DF158" s="254" t="n"/>
      <c r="DG158" s="254" t="n"/>
      <c r="DH158" s="254" t="n"/>
      <c r="DI158" s="254" t="n"/>
      <c r="DJ158" s="254" t="n"/>
      <c r="DK158" s="254" t="n"/>
      <c r="DL158" s="95" t="n"/>
      <c r="DM158" s="254" t="inlineStr">
        <is>
          <t>T</t>
        </is>
      </c>
      <c r="DN158" s="95" t="n">
        <v>8</v>
      </c>
      <c r="DO158" s="95" t="n">
        <v>14</v>
      </c>
    </row>
    <row r="159" ht="13" customHeight="1">
      <c r="A159" s="203" t="inlineStr">
        <is>
          <t>CMA-25</t>
        </is>
      </c>
      <c r="B159" s="260" t="inlineStr">
        <is>
          <t>CMA-25 JACHUCOPOSA</t>
        </is>
      </c>
      <c r="C159" s="254"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259" t="inlineStr">
        <is>
          <t>532MACMA</t>
        </is>
      </c>
      <c r="BL159" s="7" t="inlineStr">
        <is>
          <t>GMAP-SIGA</t>
        </is>
      </c>
      <c r="BM159" s="254" t="inlineStr">
        <is>
          <t>NF</t>
        </is>
      </c>
      <c r="BN159" s="266" t="inlineStr">
        <is>
          <t>Jachucoposa</t>
        </is>
      </c>
      <c r="BO159" s="254" t="inlineStr">
        <is>
          <t>SI</t>
        </is>
      </c>
      <c r="BP159" s="106" t="inlineStr">
        <is>
          <t>CMA-25 JACHUCOPOSA/NF</t>
        </is>
      </c>
      <c r="BQ159" s="106">
        <f>VLOOKUP(BP159,[1]AGUA!$1:$1048576,2,FALSE)</f>
        <v/>
      </c>
      <c r="BR159" s="106">
        <f>VLOOKUP(BP159,[1]AGUA!$1:$1048576,6,FALSE)</f>
        <v/>
      </c>
      <c r="BS159" s="106">
        <f>VLOOKUP(BP159,[1]AGUA!$1:$1048576,7,FALSE)</f>
        <v/>
      </c>
      <c r="BT159" s="106" t="n"/>
      <c r="BU159" s="251"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4" t="n"/>
      <c r="DB159" s="254" t="n"/>
      <c r="DC159" s="254" t="n"/>
      <c r="DD159" s="254" t="n"/>
      <c r="DE159" s="254" t="n"/>
      <c r="DF159" s="254" t="n"/>
      <c r="DG159" s="254" t="n"/>
      <c r="DH159" s="254" t="n"/>
      <c r="DI159" s="254" t="n"/>
      <c r="DJ159" s="254" t="inlineStr">
        <is>
          <t>M</t>
        </is>
      </c>
      <c r="DK159" s="254" t="n">
        <v>8</v>
      </c>
      <c r="DL159" s="95" t="n">
        <v>14</v>
      </c>
      <c r="DM159" s="254" t="n"/>
      <c r="DN159" s="95" t="n"/>
      <c r="DO159" s="95" t="n"/>
    </row>
    <row r="160" ht="13" customHeight="1">
      <c r="A160" s="203" t="inlineStr">
        <is>
          <t>CMA-25</t>
        </is>
      </c>
      <c r="B160" s="255" t="n"/>
      <c r="C160" s="255"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255" t="n"/>
      <c r="BL160" s="7" t="inlineStr">
        <is>
          <t>GMAP-SIGA</t>
        </is>
      </c>
      <c r="BM160" s="254" t="inlineStr">
        <is>
          <t>ASUB</t>
        </is>
      </c>
      <c r="BN160" s="266" t="inlineStr">
        <is>
          <t>Jachucoposa</t>
        </is>
      </c>
      <c r="BO160" s="254" t="inlineStr">
        <is>
          <t>SI</t>
        </is>
      </c>
      <c r="BP160" s="106" t="inlineStr">
        <is>
          <t>CMA-25 JACHUCOPOSA/ASUB</t>
        </is>
      </c>
      <c r="BQ160" s="106">
        <f>VLOOKUP(BP160,[1]AGUA!$1:$1048576,2,FALSE)</f>
        <v/>
      </c>
      <c r="BR160" s="106">
        <f>VLOOKUP(BP160,[1]AGUA!$1:$1048576,6,FALSE)</f>
        <v/>
      </c>
      <c r="BS160" s="106">
        <f>VLOOKUP(BP160,[1]AGUA!$1:$1048576,7,FALSE)</f>
        <v/>
      </c>
      <c r="BT160" s="106" t="n"/>
      <c r="BU160" s="252"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4" t="n"/>
      <c r="DB160" s="254" t="n"/>
      <c r="DC160" s="254" t="n"/>
      <c r="DD160" s="254" t="n"/>
      <c r="DE160" s="254" t="n"/>
      <c r="DF160" s="254" t="n"/>
      <c r="DG160" s="254" t="n"/>
      <c r="DH160" s="254" t="n"/>
      <c r="DI160" s="254" t="n"/>
      <c r="DJ160" s="254" t="n"/>
      <c r="DK160" s="254" t="n"/>
      <c r="DL160" s="95" t="n"/>
      <c r="DM160" s="254" t="inlineStr">
        <is>
          <t>T</t>
        </is>
      </c>
      <c r="DN160" s="95" t="n">
        <v>8</v>
      </c>
      <c r="DO160" s="95" t="n">
        <v>14</v>
      </c>
    </row>
    <row r="161" ht="13" customHeight="1">
      <c r="A161" s="203" t="inlineStr">
        <is>
          <t>CMA-26</t>
        </is>
      </c>
      <c r="B161" s="260" t="inlineStr">
        <is>
          <t>CMA-26 JACHUCOPOSA</t>
        </is>
      </c>
      <c r="C161" s="254"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259" t="inlineStr">
        <is>
          <t>532MACMA</t>
        </is>
      </c>
      <c r="BK161" s="61" t="n"/>
      <c r="BL161" s="7" t="inlineStr">
        <is>
          <t>GMAP-SIGA</t>
        </is>
      </c>
      <c r="BM161" s="254" t="inlineStr">
        <is>
          <t>NF</t>
        </is>
      </c>
      <c r="BN161" s="266" t="inlineStr">
        <is>
          <t>Jachucoposa</t>
        </is>
      </c>
      <c r="BO161" s="254" t="inlineStr">
        <is>
          <t>SI</t>
        </is>
      </c>
      <c r="BP161" s="106" t="inlineStr">
        <is>
          <t>CMA-26 JACHUCOPOSA/NF</t>
        </is>
      </c>
      <c r="BQ161" s="106">
        <f>VLOOKUP(BP161,[1]AGUA!$1:$1048576,2,FALSE)</f>
        <v/>
      </c>
      <c r="BR161" s="106">
        <f>VLOOKUP(BP161,[1]AGUA!$1:$1048576,6,FALSE)</f>
        <v/>
      </c>
      <c r="BS161" s="106">
        <f>VLOOKUP(BP161,[1]AGUA!$1:$1048576,7,FALSE)</f>
        <v/>
      </c>
      <c r="BT161" s="106" t="n"/>
      <c r="BU161" s="251"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4" t="n"/>
      <c r="DB161" s="254" t="n"/>
      <c r="DC161" s="254" t="n"/>
      <c r="DD161" s="254" t="n"/>
      <c r="DE161" s="254" t="n"/>
      <c r="DF161" s="254" t="n"/>
      <c r="DG161" s="254" t="n"/>
      <c r="DH161" s="254" t="n"/>
      <c r="DI161" s="254" t="n"/>
      <c r="DJ161" s="254" t="inlineStr">
        <is>
          <t>M</t>
        </is>
      </c>
      <c r="DK161" s="254" t="n">
        <v>8</v>
      </c>
      <c r="DL161" s="95" t="n">
        <v>14</v>
      </c>
      <c r="DM161" s="254" t="n"/>
      <c r="DN161" s="95" t="n"/>
      <c r="DO161" s="95" t="n"/>
    </row>
    <row r="162" ht="13" customHeight="1">
      <c r="A162" s="203" t="inlineStr">
        <is>
          <t>CMA-26</t>
        </is>
      </c>
      <c r="B162" s="255" t="n"/>
      <c r="C162" s="255"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255" t="n"/>
      <c r="BK162" s="61" t="n"/>
      <c r="BL162" s="7" t="inlineStr">
        <is>
          <t>GMAP-SIGA</t>
        </is>
      </c>
      <c r="BM162" s="254" t="inlineStr">
        <is>
          <t>ASUB</t>
        </is>
      </c>
      <c r="BN162" s="266" t="inlineStr">
        <is>
          <t>Jachucoposa</t>
        </is>
      </c>
      <c r="BO162" s="254" t="inlineStr">
        <is>
          <t>SI</t>
        </is>
      </c>
      <c r="BP162" s="106" t="inlineStr">
        <is>
          <t>CMA-26 JACHUCOPOSA/ASUB</t>
        </is>
      </c>
      <c r="BQ162" s="106">
        <f>VLOOKUP(BP162,[1]AGUA!$1:$1048576,2,FALSE)</f>
        <v/>
      </c>
      <c r="BR162" s="106">
        <f>VLOOKUP(BP162,[1]AGUA!$1:$1048576,6,FALSE)</f>
        <v/>
      </c>
      <c r="BS162" s="106">
        <f>VLOOKUP(BP162,[1]AGUA!$1:$1048576,7,FALSE)</f>
        <v/>
      </c>
      <c r="BT162" s="106" t="n"/>
      <c r="BU162" s="252"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4" t="n"/>
      <c r="DB162" s="254" t="n"/>
      <c r="DC162" s="254" t="n"/>
      <c r="DD162" s="254" t="n"/>
      <c r="DE162" s="254" t="n"/>
      <c r="DF162" s="254" t="n"/>
      <c r="DG162" s="254" t="n"/>
      <c r="DH162" s="254" t="n"/>
      <c r="DI162" s="254" t="n"/>
      <c r="DJ162" s="254" t="n"/>
      <c r="DK162" s="254" t="n"/>
      <c r="DL162" s="95" t="n"/>
      <c r="DM162" s="254" t="inlineStr">
        <is>
          <t>T</t>
        </is>
      </c>
      <c r="DN162" s="95" t="n">
        <v>8</v>
      </c>
      <c r="DO162" s="95" t="n">
        <v>14</v>
      </c>
    </row>
    <row r="163" ht="13" customHeight="1">
      <c r="A163" s="205" t="inlineStr">
        <is>
          <t>CMA-27</t>
        </is>
      </c>
      <c r="B163" s="260" t="inlineStr">
        <is>
          <t>CMA-27 JACHUCOPOSA</t>
        </is>
      </c>
      <c r="C163" s="254"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259" t="inlineStr">
        <is>
          <t>532MACMA</t>
        </is>
      </c>
      <c r="BL163" s="7" t="inlineStr">
        <is>
          <t>GMAP-SIGA</t>
        </is>
      </c>
      <c r="BM163" s="254" t="inlineStr">
        <is>
          <t>NF</t>
        </is>
      </c>
      <c r="BN163" s="266" t="inlineStr">
        <is>
          <t>Jachucoposa</t>
        </is>
      </c>
      <c r="BO163" s="254"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1"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4" t="n"/>
      <c r="DC163" s="254" t="n"/>
      <c r="DD163" s="254" t="n"/>
      <c r="DE163" s="254" t="n"/>
      <c r="DF163" s="254" t="n"/>
      <c r="DG163" s="254" t="n"/>
      <c r="DH163" s="254" t="n"/>
      <c r="DI163" s="254" t="n"/>
      <c r="DJ163" s="254" t="inlineStr">
        <is>
          <t>M</t>
        </is>
      </c>
      <c r="DK163" s="254" t="n">
        <v>15</v>
      </c>
      <c r="DL163" s="95" t="n">
        <v>28</v>
      </c>
      <c r="DM163" s="254" t="n"/>
      <c r="DN163" s="95" t="n"/>
      <c r="DO163" s="95" t="n"/>
    </row>
    <row r="164" ht="13" customHeight="1">
      <c r="A164" s="203" t="inlineStr">
        <is>
          <t>CMA-27</t>
        </is>
      </c>
      <c r="B164" s="255" t="n"/>
      <c r="C164" s="255"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255" t="n"/>
      <c r="BL164" s="7" t="inlineStr">
        <is>
          <t>GMAP-SIGA</t>
        </is>
      </c>
      <c r="BM164" s="254" t="inlineStr">
        <is>
          <t>ASUB</t>
        </is>
      </c>
      <c r="BN164" s="266" t="inlineStr">
        <is>
          <t>Jachucoposa</t>
        </is>
      </c>
      <c r="BO164" s="254" t="inlineStr">
        <is>
          <t>SI / PMAP</t>
        </is>
      </c>
      <c r="BP164" s="106" t="inlineStr">
        <is>
          <t>CMA-27 JACHUCOPOSA/ASUB</t>
        </is>
      </c>
      <c r="BQ164" s="106">
        <f>VLOOKUP(BP164,[1]AGUA!$1:$1048576,2,FALSE)</f>
        <v/>
      </c>
      <c r="BR164" s="106">
        <f>VLOOKUP(BP164,[1]AGUA!$1:$1048576,6,FALSE)</f>
        <v/>
      </c>
      <c r="BS164" s="106">
        <f>VLOOKUP(BP164,[1]AGUA!$1:$1048576,7,FALSE)</f>
        <v/>
      </c>
      <c r="BT164" s="106" t="n"/>
      <c r="BU164" s="252"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4" t="n"/>
      <c r="DB164" s="254" t="n"/>
      <c r="DC164" s="254" t="n"/>
      <c r="DD164" s="254" t="n"/>
      <c r="DE164" s="254" t="n"/>
      <c r="DF164" s="254" t="n"/>
      <c r="DG164" s="254" t="n"/>
      <c r="DH164" s="254" t="n"/>
      <c r="DI164" s="254" t="n"/>
      <c r="DJ164" s="254" t="n"/>
      <c r="DK164" s="254" t="n"/>
      <c r="DL164" s="95" t="n"/>
      <c r="DM164" s="254" t="inlineStr">
        <is>
          <t>T</t>
        </is>
      </c>
      <c r="DN164" s="95" t="n">
        <v>8</v>
      </c>
      <c r="DO164" s="95" t="n">
        <v>14</v>
      </c>
    </row>
    <row r="165" ht="13" customHeight="1">
      <c r="A165" s="203" t="inlineStr">
        <is>
          <t>CMA-28</t>
        </is>
      </c>
      <c r="B165" s="260"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259" t="inlineStr">
        <is>
          <t>532MACMA</t>
        </is>
      </c>
      <c r="BL165" s="61" t="inlineStr">
        <is>
          <t>GMAP-SIGA</t>
        </is>
      </c>
      <c r="BM165" s="254" t="inlineStr">
        <is>
          <t>NF</t>
        </is>
      </c>
      <c r="BN165" s="266" t="inlineStr">
        <is>
          <t>Jachucoposa</t>
        </is>
      </c>
      <c r="BO165" s="254"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4" t="n"/>
      <c r="DB165" s="254" t="n"/>
      <c r="DC165" s="254" t="n"/>
      <c r="DD165" s="254" t="n"/>
      <c r="DE165" s="254" t="n"/>
      <c r="DF165" s="254" t="n"/>
      <c r="DG165" s="254" t="n"/>
      <c r="DH165" s="254" t="n"/>
      <c r="DI165" s="254" t="n"/>
      <c r="DJ165" s="254" t="inlineStr">
        <is>
          <t>M</t>
        </is>
      </c>
      <c r="DK165" s="254" t="n">
        <v>8</v>
      </c>
      <c r="DL165" s="95" t="n">
        <v>14</v>
      </c>
      <c r="DM165" s="169" t="inlineStr">
        <is>
          <t>SE ELIMINO</t>
        </is>
      </c>
      <c r="DN165" s="95" t="n"/>
      <c r="DO165" s="95" t="n"/>
    </row>
    <row r="166" ht="13.5" customHeight="1">
      <c r="A166" s="203" t="inlineStr">
        <is>
          <t>CMW-01</t>
        </is>
      </c>
      <c r="B166" s="260"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259" t="inlineStr">
        <is>
          <t>532MACMW</t>
        </is>
      </c>
      <c r="BL166" s="61" t="inlineStr">
        <is>
          <t>GMAP-SIGA</t>
        </is>
      </c>
      <c r="BM166" s="254" t="inlineStr">
        <is>
          <t>NF</t>
        </is>
      </c>
      <c r="BN166" s="266"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4" t="n"/>
      <c r="DB166" s="254" t="n"/>
      <c r="DC166" s="254" t="n"/>
      <c r="DD166" s="254" t="n"/>
      <c r="DE166" s="254" t="n"/>
      <c r="DF166" s="254" t="n"/>
      <c r="DG166" s="254" t="n"/>
      <c r="DH166" s="254" t="n"/>
      <c r="DI166" s="254" t="n"/>
      <c r="DJ166" s="254" t="inlineStr">
        <is>
          <t>M</t>
        </is>
      </c>
      <c r="DK166" s="254" t="n">
        <v>8</v>
      </c>
      <c r="DL166" s="95" t="n">
        <v>14</v>
      </c>
      <c r="DM166" s="254" t="n"/>
      <c r="DN166" s="95" t="n"/>
      <c r="DO166" s="95" t="n"/>
    </row>
    <row r="167" ht="13" customHeight="1">
      <c r="A167" s="203" t="inlineStr">
        <is>
          <t>CMW-02</t>
        </is>
      </c>
      <c r="B167" s="260"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259" t="inlineStr">
        <is>
          <t>532MACMW</t>
        </is>
      </c>
      <c r="BL167" s="61" t="inlineStr">
        <is>
          <t>GMAP-SIGA</t>
        </is>
      </c>
      <c r="BM167" s="254" t="inlineStr">
        <is>
          <t>NF</t>
        </is>
      </c>
      <c r="BN167" s="266"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4" t="n"/>
      <c r="DB167" s="254" t="n"/>
      <c r="DC167" s="254" t="n"/>
      <c r="DD167" s="254" t="n"/>
      <c r="DE167" s="254" t="n"/>
      <c r="DF167" s="254" t="n"/>
      <c r="DG167" s="254" t="n"/>
      <c r="DH167" s="254" t="n"/>
      <c r="DI167" s="254" t="n"/>
      <c r="DJ167" s="254" t="inlineStr">
        <is>
          <t>M</t>
        </is>
      </c>
      <c r="DK167" s="254" t="n">
        <v>8</v>
      </c>
      <c r="DL167" s="95" t="n">
        <v>14</v>
      </c>
      <c r="DM167" s="254" t="n"/>
      <c r="DN167" s="95" t="n"/>
      <c r="DO167" s="95" t="n"/>
    </row>
    <row r="168" ht="12.65" customHeight="1">
      <c r="A168" s="205" t="inlineStr">
        <is>
          <t>CMW-03</t>
        </is>
      </c>
      <c r="B168" s="260"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259" t="inlineStr">
        <is>
          <t>532MACMW</t>
        </is>
      </c>
      <c r="BL168" s="61" t="inlineStr">
        <is>
          <t>GMAP-SIGA</t>
        </is>
      </c>
      <c r="BM168" s="254" t="inlineStr">
        <is>
          <t>NF</t>
        </is>
      </c>
      <c r="BN168" s="266" t="inlineStr">
        <is>
          <t>Coposa Norte</t>
        </is>
      </c>
      <c r="BO168" s="254"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4" t="n"/>
      <c r="DC168" s="254" t="n"/>
      <c r="DD168" s="254" t="n"/>
      <c r="DE168" s="254" t="n"/>
      <c r="DF168" s="254" t="n"/>
      <c r="DG168" s="254" t="n"/>
      <c r="DH168" s="254" t="n"/>
      <c r="DI168" s="254" t="n"/>
      <c r="DJ168" s="254" t="inlineStr">
        <is>
          <t>M</t>
        </is>
      </c>
      <c r="DK168" s="254" t="n">
        <v>15</v>
      </c>
      <c r="DL168" s="95" t="n">
        <v>28</v>
      </c>
      <c r="DM168" s="254" t="n"/>
      <c r="DN168" s="95" t="n"/>
      <c r="DO168" s="95" t="n"/>
    </row>
    <row r="169" ht="12.65" customHeight="1">
      <c r="A169" s="203" t="inlineStr">
        <is>
          <t>CMW-04</t>
        </is>
      </c>
      <c r="B169" s="260"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259" t="inlineStr">
        <is>
          <t>532MACMW</t>
        </is>
      </c>
      <c r="BL169" s="61" t="inlineStr">
        <is>
          <t>GMAP-SIGA</t>
        </is>
      </c>
      <c r="BM169" s="254" t="inlineStr">
        <is>
          <t>NF</t>
        </is>
      </c>
      <c r="BN169" s="266"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4" t="n"/>
      <c r="DB169" s="254" t="n"/>
      <c r="DC169" s="254" t="n"/>
      <c r="DD169" s="254" t="n"/>
      <c r="DE169" s="254" t="n"/>
      <c r="DF169" s="254" t="n"/>
      <c r="DG169" s="254" t="n"/>
      <c r="DH169" s="254" t="n"/>
      <c r="DI169" s="254" t="n"/>
      <c r="DJ169" s="254" t="inlineStr">
        <is>
          <t>M</t>
        </is>
      </c>
      <c r="DK169" s="254" t="n">
        <v>8</v>
      </c>
      <c r="DL169" s="95" t="n">
        <v>14</v>
      </c>
      <c r="DM169" s="254" t="n"/>
      <c r="DN169" s="95" t="n"/>
      <c r="DO169" s="95" t="n"/>
    </row>
    <row r="170" ht="13.5" customHeight="1">
      <c r="A170" s="203" t="inlineStr">
        <is>
          <t>CMW-05B</t>
        </is>
      </c>
      <c r="B170" s="260"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259" t="inlineStr">
        <is>
          <t>532MACMW</t>
        </is>
      </c>
      <c r="BL170" s="61" t="inlineStr">
        <is>
          <t>GMAP-SIGA</t>
        </is>
      </c>
      <c r="BM170" s="254" t="inlineStr">
        <is>
          <t>NF</t>
        </is>
      </c>
      <c r="BN170" s="266"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4" t="n"/>
      <c r="DB170" s="254" t="n"/>
      <c r="DC170" s="254" t="n"/>
      <c r="DD170" s="254" t="n"/>
      <c r="DE170" s="254" t="n"/>
      <c r="DF170" s="254" t="n"/>
      <c r="DG170" s="254" t="n"/>
      <c r="DH170" s="254" t="n"/>
      <c r="DI170" s="254" t="n"/>
      <c r="DJ170" s="254" t="inlineStr">
        <is>
          <t>M</t>
        </is>
      </c>
      <c r="DK170" s="254" t="n">
        <v>9</v>
      </c>
      <c r="DL170" s="95" t="n">
        <v>15</v>
      </c>
      <c r="DM170" s="254" t="n"/>
      <c r="DN170" s="95" t="n"/>
      <c r="DO170" s="95" t="n"/>
    </row>
    <row r="171" ht="13" customHeight="1">
      <c r="A171" s="203" t="inlineStr">
        <is>
          <t>CMW-06</t>
        </is>
      </c>
      <c r="B171" s="260"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259" t="inlineStr">
        <is>
          <t>532MACMW</t>
        </is>
      </c>
      <c r="BL171" s="61" t="inlineStr">
        <is>
          <t>GMAP-SIGA</t>
        </is>
      </c>
      <c r="BM171" s="254" t="inlineStr">
        <is>
          <t>NF</t>
        </is>
      </c>
      <c r="BN171" s="266" t="inlineStr">
        <is>
          <t>Coposa Centro</t>
        </is>
      </c>
      <c r="BO171" s="254"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4" t="n"/>
      <c r="DB171" s="254" t="n"/>
      <c r="DC171" s="254" t="n"/>
      <c r="DD171" s="254" t="n"/>
      <c r="DE171" s="254" t="n"/>
      <c r="DF171" s="254" t="n"/>
      <c r="DG171" s="254" t="n"/>
      <c r="DH171" s="254" t="n"/>
      <c r="DI171" s="254" t="n"/>
      <c r="DJ171" s="254" t="inlineStr">
        <is>
          <t>TD</t>
        </is>
      </c>
      <c r="DK171" s="254" t="n">
        <v>22</v>
      </c>
      <c r="DL171" s="95" t="n">
        <v>28</v>
      </c>
      <c r="DM171" s="254" t="n"/>
      <c r="DN171" s="95" t="n"/>
      <c r="DO171" s="95" t="n"/>
    </row>
    <row r="172" ht="13" customHeight="1">
      <c r="A172" s="205" t="inlineStr">
        <is>
          <t>CMW-08</t>
        </is>
      </c>
      <c r="B172" s="260"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259" t="inlineStr">
        <is>
          <t>532MACMW</t>
        </is>
      </c>
      <c r="BL172" s="61" t="inlineStr">
        <is>
          <t>GMAP-SIGA</t>
        </is>
      </c>
      <c r="BM172" s="254" t="inlineStr">
        <is>
          <t>NF</t>
        </is>
      </c>
      <c r="BN172" s="266"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4" t="n"/>
      <c r="DC172" s="254" t="n"/>
      <c r="DD172" s="254" t="n"/>
      <c r="DE172" s="254" t="n"/>
      <c r="DF172" s="254" t="n"/>
      <c r="DG172" s="254" t="n"/>
      <c r="DH172" s="254" t="n"/>
      <c r="DI172" s="254" t="n"/>
      <c r="DJ172" s="254" t="inlineStr">
        <is>
          <t>Q</t>
        </is>
      </c>
      <c r="DK172" s="226" t="inlineStr">
        <is>
          <t>1- 15</t>
        </is>
      </c>
      <c r="DL172" s="226" t="inlineStr">
        <is>
          <t>14-28</t>
        </is>
      </c>
      <c r="DM172" s="254" t="n"/>
      <c r="DN172" s="95" t="n"/>
      <c r="DO172" s="95" t="n"/>
    </row>
    <row r="173" ht="13" customHeight="1">
      <c r="A173" s="203" t="inlineStr">
        <is>
          <t>CMW-09</t>
        </is>
      </c>
      <c r="B173" s="260"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4" t="inlineStr">
        <is>
          <t>NF</t>
        </is>
      </c>
      <c r="BN173" s="266"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4" t="n"/>
      <c r="DB173" s="254" t="n"/>
      <c r="DC173" s="254" t="n"/>
      <c r="DD173" s="254" t="n"/>
      <c r="DE173" s="254" t="n"/>
      <c r="DF173" s="254" t="n"/>
      <c r="DG173" s="254" t="n"/>
      <c r="DH173" s="254" t="n"/>
      <c r="DI173" s="254" t="n"/>
      <c r="DJ173" s="254" t="inlineStr">
        <is>
          <t>M</t>
        </is>
      </c>
      <c r="DK173" s="254" t="n">
        <v>8</v>
      </c>
      <c r="DL173" s="95" t="n">
        <v>14</v>
      </c>
      <c r="DM173" s="254" t="n"/>
      <c r="DN173" s="95" t="n"/>
      <c r="DO173" s="95" t="n"/>
    </row>
    <row r="174" ht="13" customHeight="1">
      <c r="A174" s="205" t="inlineStr">
        <is>
          <t>CMW-11</t>
        </is>
      </c>
      <c r="B174" s="260"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259" t="inlineStr">
        <is>
          <t>532MACMW</t>
        </is>
      </c>
      <c r="BL174" s="61" t="inlineStr">
        <is>
          <t>GMAP-SIGA</t>
        </is>
      </c>
      <c r="BM174" s="254" t="inlineStr">
        <is>
          <t>NF</t>
        </is>
      </c>
      <c r="BN174" s="266" t="inlineStr">
        <is>
          <t>Coposa Centro</t>
        </is>
      </c>
      <c r="BO174" s="254"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4" t="n"/>
      <c r="DC174" s="254" t="n"/>
      <c r="DD174" s="254" t="n"/>
      <c r="DE174" s="254" t="n"/>
      <c r="DF174" s="254" t="n"/>
      <c r="DG174" s="254" t="n"/>
      <c r="DH174" s="254" t="n"/>
      <c r="DI174" s="254" t="n"/>
      <c r="DJ174" s="254" t="inlineStr">
        <is>
          <t>M</t>
        </is>
      </c>
      <c r="DK174" s="254" t="n">
        <v>15</v>
      </c>
      <c r="DL174" s="95" t="n">
        <v>28</v>
      </c>
      <c r="DM174" s="254" t="n"/>
      <c r="DN174" s="95" t="n"/>
      <c r="DO174" s="95" t="n"/>
    </row>
    <row r="175" ht="13" customHeight="1">
      <c r="A175" s="203" t="inlineStr">
        <is>
          <t>CMW-12</t>
        </is>
      </c>
      <c r="B175" s="260"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259" t="inlineStr">
        <is>
          <t>532MACMW</t>
        </is>
      </c>
      <c r="BL175" s="61" t="inlineStr">
        <is>
          <t>GMAP-SIGA</t>
        </is>
      </c>
      <c r="BM175" s="254" t="inlineStr">
        <is>
          <t>NF</t>
        </is>
      </c>
      <c r="BN175" s="266"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4" t="n"/>
      <c r="DB175" s="254" t="n"/>
      <c r="DC175" s="254" t="n"/>
      <c r="DD175" s="254" t="n"/>
      <c r="DE175" s="254" t="n"/>
      <c r="DF175" s="254" t="n"/>
      <c r="DG175" s="254" t="n"/>
      <c r="DH175" s="254" t="n"/>
      <c r="DI175" s="254" t="n"/>
      <c r="DJ175" s="254" t="inlineStr">
        <is>
          <t>M</t>
        </is>
      </c>
      <c r="DK175" s="254" t="n">
        <v>8</v>
      </c>
      <c r="DL175" s="95" t="n">
        <v>14</v>
      </c>
      <c r="DM175" s="254" t="n"/>
      <c r="DN175" s="95" t="n"/>
      <c r="DO175" s="95" t="n"/>
    </row>
    <row r="176" ht="13" customHeight="1">
      <c r="A176" s="203" t="inlineStr">
        <is>
          <t>CMW-13</t>
        </is>
      </c>
      <c r="B176" s="260"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259" t="inlineStr">
        <is>
          <t>532MACMW</t>
        </is>
      </c>
      <c r="BL176" s="61" t="inlineStr">
        <is>
          <t>GMAP-SIGA</t>
        </is>
      </c>
      <c r="BM176" s="254" t="inlineStr">
        <is>
          <t>NF</t>
        </is>
      </c>
      <c r="BN176" s="266" t="inlineStr">
        <is>
          <t>Coposa Centro</t>
        </is>
      </c>
      <c r="BO176" s="254"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4" t="n"/>
      <c r="DB176" s="254" t="n"/>
      <c r="DC176" s="254" t="n"/>
      <c r="DD176" s="254" t="n"/>
      <c r="DE176" s="254" t="n"/>
      <c r="DF176" s="254" t="n"/>
      <c r="DG176" s="254" t="n"/>
      <c r="DH176" s="254" t="n"/>
      <c r="DI176" s="254" t="n"/>
      <c r="DJ176" s="254" t="inlineStr">
        <is>
          <t>M</t>
        </is>
      </c>
      <c r="DK176" s="254" t="n">
        <v>22</v>
      </c>
      <c r="DL176" s="95" t="n">
        <v>28</v>
      </c>
      <c r="DM176" s="254" t="n"/>
      <c r="DN176" s="95" t="n"/>
      <c r="DO176" s="95" t="n"/>
    </row>
    <row r="177" ht="13" customHeight="1">
      <c r="A177" s="203" t="inlineStr">
        <is>
          <t>CMW-13B</t>
        </is>
      </c>
      <c r="B177" s="260"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259" t="inlineStr">
        <is>
          <t>532MACMW</t>
        </is>
      </c>
      <c r="BL177" s="61" t="inlineStr">
        <is>
          <t>GMAP-SIGA</t>
        </is>
      </c>
      <c r="BM177" s="254" t="inlineStr">
        <is>
          <t>NF</t>
        </is>
      </c>
      <c r="BN177" s="266" t="inlineStr">
        <is>
          <t>Coposa Centro</t>
        </is>
      </c>
      <c r="BO177" s="254"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4" t="n"/>
      <c r="DB177" s="254" t="n"/>
      <c r="DC177" s="254" t="n"/>
      <c r="DD177" s="254" t="n"/>
      <c r="DE177" s="254" t="n"/>
      <c r="DF177" s="254" t="n"/>
      <c r="DG177" s="254" t="n"/>
      <c r="DH177" s="254" t="n"/>
      <c r="DI177" s="254" t="n"/>
      <c r="DJ177" s="254" t="inlineStr">
        <is>
          <t>TD</t>
        </is>
      </c>
      <c r="DK177" s="254" t="n">
        <v>22</v>
      </c>
      <c r="DL177" s="95" t="n">
        <v>28</v>
      </c>
      <c r="DM177" s="254" t="n"/>
      <c r="DN177" s="95" t="n"/>
      <c r="DO177" s="95" t="n"/>
    </row>
    <row r="178" ht="13" customHeight="1">
      <c r="A178" s="205" t="inlineStr">
        <is>
          <t>CMW-15</t>
        </is>
      </c>
      <c r="B178" s="260"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259" t="inlineStr">
        <is>
          <t>532MACMW</t>
        </is>
      </c>
      <c r="BL178" s="61" t="inlineStr">
        <is>
          <t>GMAP-SIGA</t>
        </is>
      </c>
      <c r="BM178" s="254" t="inlineStr">
        <is>
          <t>NF</t>
        </is>
      </c>
      <c r="BN178" s="266" t="inlineStr">
        <is>
          <t>Coposa Centro</t>
        </is>
      </c>
      <c r="BO178" s="254"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4" t="n"/>
      <c r="DC178" s="254" t="n"/>
      <c r="DD178" s="254" t="n"/>
      <c r="DE178" s="254" t="n"/>
      <c r="DF178" s="254" t="n"/>
      <c r="DG178" s="254" t="n"/>
      <c r="DH178" s="254" t="n"/>
      <c r="DI178" s="254" t="n"/>
      <c r="DJ178" s="254" t="inlineStr">
        <is>
          <t xml:space="preserve">S </t>
        </is>
      </c>
      <c r="DK178" s="254" t="n">
        <v>15</v>
      </c>
      <c r="DL178" s="95" t="n">
        <v>28</v>
      </c>
      <c r="DM178" s="254" t="n"/>
      <c r="DN178" s="95" t="n"/>
      <c r="DO178" s="95" t="n"/>
    </row>
    <row r="179" ht="13" customHeight="1">
      <c r="A179" s="215" t="inlineStr">
        <is>
          <t>CMW-17B</t>
        </is>
      </c>
      <c r="B179" s="260"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259" t="n"/>
      <c r="BL179" s="61" t="n"/>
      <c r="BM179" s="254" t="inlineStr">
        <is>
          <t>NF</t>
        </is>
      </c>
      <c r="BN179" s="266" t="inlineStr">
        <is>
          <t>Coposa Centro</t>
        </is>
      </c>
      <c r="BO179" s="254"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4" t="n"/>
      <c r="DC179" s="254" t="n"/>
      <c r="DD179" s="254" t="n"/>
      <c r="DE179" s="254" t="n"/>
      <c r="DF179" s="254" t="n"/>
      <c r="DG179" s="254" t="n"/>
      <c r="DH179" s="254" t="n"/>
      <c r="DI179" s="254" t="n"/>
      <c r="DJ179" s="254" t="n"/>
      <c r="DK179" s="254" t="n"/>
      <c r="DL179" s="95" t="n"/>
      <c r="DM179" s="254" t="n"/>
      <c r="DN179" s="95" t="n"/>
      <c r="DO179" s="95" t="n"/>
    </row>
    <row r="180" ht="13" customHeight="1">
      <c r="A180" s="205" t="inlineStr">
        <is>
          <t>CMW-18</t>
        </is>
      </c>
      <c r="B180" s="260"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259" t="inlineStr">
        <is>
          <t>532MACMW</t>
        </is>
      </c>
      <c r="BL180" s="61" t="inlineStr">
        <is>
          <t>GMAP-SIGA</t>
        </is>
      </c>
      <c r="BM180" s="254" t="inlineStr">
        <is>
          <t>NF</t>
        </is>
      </c>
      <c r="BN180" s="266" t="inlineStr">
        <is>
          <t>Coposa Centro</t>
        </is>
      </c>
      <c r="BO180" s="254"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4" t="n"/>
      <c r="DC180" s="254" t="n"/>
      <c r="DD180" s="254" t="n"/>
      <c r="DE180" s="254" t="n"/>
      <c r="DF180" s="254" t="n"/>
      <c r="DG180" s="254" t="n"/>
      <c r="DH180" s="254" t="n"/>
      <c r="DI180" s="254" t="n"/>
      <c r="DJ180" s="254" t="inlineStr">
        <is>
          <t>M</t>
        </is>
      </c>
      <c r="DK180" s="254" t="n">
        <v>15</v>
      </c>
      <c r="DL180" s="95" t="n">
        <v>28</v>
      </c>
      <c r="DM180" s="254" t="n"/>
      <c r="DN180" s="95" t="n"/>
      <c r="DO180" s="95" t="n"/>
    </row>
    <row r="181" ht="13" customHeight="1">
      <c r="A181" s="205" t="inlineStr">
        <is>
          <t>CMW-20</t>
        </is>
      </c>
      <c r="B181" s="260"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259" t="inlineStr">
        <is>
          <t>532MACMW</t>
        </is>
      </c>
      <c r="BL181" s="61" t="inlineStr">
        <is>
          <t>GMAP-SIGA</t>
        </is>
      </c>
      <c r="BM181" s="254" t="inlineStr">
        <is>
          <t>NF</t>
        </is>
      </c>
      <c r="BN181" s="266" t="inlineStr">
        <is>
          <t>Coposa Centro</t>
        </is>
      </c>
      <c r="BO181" s="254"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4" t="n"/>
      <c r="DC181" s="254" t="n"/>
      <c r="DD181" s="254" t="n"/>
      <c r="DE181" s="254" t="n"/>
      <c r="DF181" s="254" t="n"/>
      <c r="DG181" s="254" t="n"/>
      <c r="DH181" s="254" t="n"/>
      <c r="DI181" s="254" t="n"/>
      <c r="DJ181" s="254" t="inlineStr">
        <is>
          <t>M</t>
        </is>
      </c>
      <c r="DK181" s="254" t="n">
        <v>15</v>
      </c>
      <c r="DL181" s="95" t="n">
        <v>28</v>
      </c>
      <c r="DM181" s="254" t="n"/>
      <c r="DN181" s="95" t="n"/>
      <c r="DO181" s="95" t="n"/>
    </row>
    <row r="182" ht="13" customHeight="1">
      <c r="A182" s="215" t="inlineStr">
        <is>
          <t>CMW-21</t>
        </is>
      </c>
      <c r="B182" s="260"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259" t="inlineStr">
        <is>
          <t>532MACMW</t>
        </is>
      </c>
      <c r="BL182" s="61" t="inlineStr">
        <is>
          <t>GMAP-SIGA</t>
        </is>
      </c>
      <c r="BM182" s="254" t="inlineStr">
        <is>
          <t>NF</t>
        </is>
      </c>
      <c r="BN182" s="266" t="inlineStr">
        <is>
          <t>Coposa Centro</t>
        </is>
      </c>
      <c r="BO182" s="254"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4" t="n"/>
      <c r="DB182" s="254" t="n"/>
      <c r="DC182" s="254" t="n"/>
      <c r="DD182" s="254" t="n"/>
      <c r="DE182" s="254" t="n"/>
      <c r="DF182" s="254" t="n"/>
      <c r="DG182" s="254" t="n"/>
      <c r="DH182" s="254" t="n"/>
      <c r="DI182" s="254" t="n"/>
      <c r="DJ182" s="254" t="inlineStr">
        <is>
          <t>M</t>
        </is>
      </c>
      <c r="DK182" s="254" t="n">
        <v>22</v>
      </c>
      <c r="DL182" s="95" t="n">
        <v>28</v>
      </c>
      <c r="DM182" s="254" t="n"/>
      <c r="DN182" s="95" t="n"/>
      <c r="DO182" s="95" t="n"/>
    </row>
    <row r="183" ht="13" customHeight="1">
      <c r="A183" s="203" t="inlineStr">
        <is>
          <t>CMW-22</t>
        </is>
      </c>
      <c r="B183" s="260"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259" t="inlineStr">
        <is>
          <t>532MACMW</t>
        </is>
      </c>
      <c r="BL183" s="61" t="inlineStr">
        <is>
          <t>GMAP-SIGA</t>
        </is>
      </c>
      <c r="BM183" s="254" t="inlineStr">
        <is>
          <t>NF</t>
        </is>
      </c>
      <c r="BN183" s="266" t="inlineStr">
        <is>
          <t>Coposa Centro</t>
        </is>
      </c>
      <c r="BO183" s="254"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4" t="n"/>
      <c r="DB183" s="254" t="n"/>
      <c r="DC183" s="254" t="n"/>
      <c r="DD183" s="254" t="n"/>
      <c r="DE183" s="254" t="n"/>
      <c r="DF183" s="254" t="n"/>
      <c r="DG183" s="254" t="n"/>
      <c r="DH183" s="254" t="n"/>
      <c r="DI183" s="254" t="n"/>
      <c r="DJ183" s="254" t="inlineStr">
        <is>
          <t>TD</t>
        </is>
      </c>
      <c r="DK183" s="254" t="n">
        <v>22</v>
      </c>
      <c r="DL183" s="95" t="n">
        <v>28</v>
      </c>
      <c r="DM183" s="254" t="n"/>
      <c r="DN183" s="95" t="n"/>
      <c r="DO183" s="95" t="n"/>
    </row>
    <row r="184" ht="13" customHeight="1">
      <c r="A184" s="203" t="inlineStr">
        <is>
          <t>CMW-22</t>
        </is>
      </c>
      <c r="B184" s="260"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259" t="n"/>
      <c r="BL184" s="61" t="n"/>
      <c r="BM184" s="254" t="inlineStr">
        <is>
          <t>ASUB</t>
        </is>
      </c>
      <c r="BN184" s="266" t="inlineStr">
        <is>
          <t>Jachucoposa</t>
        </is>
      </c>
      <c r="BO184" s="254"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4" t="n"/>
      <c r="DB184" s="254" t="n"/>
      <c r="DC184" s="254" t="n"/>
      <c r="DD184" s="254" t="n"/>
      <c r="DE184" s="254" t="n"/>
      <c r="DF184" s="254" t="n"/>
      <c r="DG184" s="254" t="n"/>
      <c r="DH184" s="254" t="n"/>
      <c r="DI184" s="254" t="n"/>
      <c r="DJ184" s="254" t="n"/>
      <c r="DK184" s="254" t="n"/>
      <c r="DL184" s="95" t="n"/>
      <c r="DM184" s="254" t="n"/>
      <c r="DN184" s="95" t="n"/>
      <c r="DO184" s="95" t="n"/>
    </row>
    <row r="185" ht="13" customHeight="1">
      <c r="A185" s="205" t="inlineStr">
        <is>
          <t>CMW-23</t>
        </is>
      </c>
      <c r="B185" s="260"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259" t="inlineStr">
        <is>
          <t>532MACMW</t>
        </is>
      </c>
      <c r="BL185" s="61" t="inlineStr">
        <is>
          <t>GMAP-SIGA</t>
        </is>
      </c>
      <c r="BM185" s="254" t="inlineStr">
        <is>
          <t>NF</t>
        </is>
      </c>
      <c r="BN185" s="266" t="inlineStr">
        <is>
          <t>Coposa Centro</t>
        </is>
      </c>
      <c r="BO185" s="254"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4" t="n"/>
      <c r="DC185" s="254" t="n"/>
      <c r="DD185" s="254" t="n"/>
      <c r="DE185" s="254" t="n"/>
      <c r="DF185" s="254" t="n"/>
      <c r="DG185" s="254" t="n"/>
      <c r="DH185" s="254" t="n"/>
      <c r="DI185" s="254" t="n"/>
      <c r="DJ185" s="254" t="inlineStr">
        <is>
          <t>S</t>
        </is>
      </c>
      <c r="DK185" s="254" t="n">
        <v>15</v>
      </c>
      <c r="DL185" s="95" t="n">
        <v>28</v>
      </c>
      <c r="DM185" s="254" t="n"/>
      <c r="DN185" s="95" t="n"/>
      <c r="DO185" s="95" t="n"/>
    </row>
    <row r="186" ht="13" customHeight="1">
      <c r="A186" s="203" t="inlineStr">
        <is>
          <t>CMW-25</t>
        </is>
      </c>
      <c r="B186" s="260"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259" t="inlineStr">
        <is>
          <t>532MACMW</t>
        </is>
      </c>
      <c r="BL186" s="61" t="inlineStr">
        <is>
          <t>GMAP-SIGA</t>
        </is>
      </c>
      <c r="BM186" s="254" t="inlineStr">
        <is>
          <t>NF</t>
        </is>
      </c>
      <c r="BN186" s="266" t="inlineStr">
        <is>
          <t>Coposa Centro</t>
        </is>
      </c>
      <c r="BO186" s="254"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4" t="n"/>
      <c r="DB186" s="254" t="n"/>
      <c r="DC186" s="254" t="n"/>
      <c r="DD186" s="254" t="n"/>
      <c r="DE186" s="254" t="n"/>
      <c r="DF186" s="254" t="n"/>
      <c r="DG186" s="254" t="n"/>
      <c r="DH186" s="254" t="n"/>
      <c r="DI186" s="254" t="n"/>
      <c r="DJ186" s="254" t="inlineStr">
        <is>
          <t>M</t>
        </is>
      </c>
      <c r="DK186" s="254" t="n">
        <v>22</v>
      </c>
      <c r="DL186" s="95" t="n">
        <v>28</v>
      </c>
      <c r="DM186" s="254" t="n"/>
      <c r="DN186" s="95" t="n"/>
      <c r="DO186" s="95" t="n"/>
    </row>
    <row r="187" ht="13" customHeight="1">
      <c r="A187" s="203" t="inlineStr">
        <is>
          <t>CMW-27</t>
        </is>
      </c>
      <c r="B187" s="260"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259" t="inlineStr">
        <is>
          <t>532MACMW</t>
        </is>
      </c>
      <c r="BL187" s="61" t="inlineStr">
        <is>
          <t>GMAP-SIGA</t>
        </is>
      </c>
      <c r="BM187" s="254" t="inlineStr">
        <is>
          <t>NF</t>
        </is>
      </c>
      <c r="BN187" s="266" t="inlineStr">
        <is>
          <t>Coposa Centro</t>
        </is>
      </c>
      <c r="BO187" s="254"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4" t="n"/>
      <c r="DB187" s="254" t="n"/>
      <c r="DC187" s="254" t="n"/>
      <c r="DD187" s="254" t="n"/>
      <c r="DE187" s="254" t="n"/>
      <c r="DF187" s="254" t="n"/>
      <c r="DG187" s="254" t="n"/>
      <c r="DH187" s="254" t="n"/>
      <c r="DI187" s="254" t="n"/>
      <c r="DJ187" s="254" t="inlineStr">
        <is>
          <t>M</t>
        </is>
      </c>
      <c r="DK187" s="254" t="n">
        <v>22</v>
      </c>
      <c r="DL187" s="95" t="n">
        <v>28</v>
      </c>
      <c r="DM187" s="254" t="n"/>
      <c r="DN187" s="95" t="n"/>
      <c r="DO187" s="95" t="n"/>
    </row>
    <row r="188" ht="13" customHeight="1">
      <c r="A188" s="203" t="inlineStr">
        <is>
          <t>CMW-29B</t>
        </is>
      </c>
      <c r="B188" s="260"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259" t="inlineStr">
        <is>
          <t>532MACMW</t>
        </is>
      </c>
      <c r="BL188" s="61" t="inlineStr">
        <is>
          <t>GMAP-SIGA</t>
        </is>
      </c>
      <c r="BM188" s="254" t="inlineStr">
        <is>
          <t>NF</t>
        </is>
      </c>
      <c r="BN188" s="266" t="inlineStr">
        <is>
          <t>Coposa Centro</t>
        </is>
      </c>
      <c r="BO188" s="254"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4" t="n"/>
      <c r="DB188" s="254" t="n"/>
      <c r="DC188" s="254" t="n"/>
      <c r="DD188" s="254" t="n"/>
      <c r="DE188" s="254" t="n"/>
      <c r="DF188" s="254" t="n"/>
      <c r="DG188" s="254" t="n"/>
      <c r="DH188" s="254" t="n"/>
      <c r="DI188" s="254" t="n"/>
      <c r="DJ188" s="254" t="inlineStr">
        <is>
          <t>TD</t>
        </is>
      </c>
      <c r="DK188" s="254" t="n">
        <v>22</v>
      </c>
      <c r="DL188" s="95" t="n">
        <v>28</v>
      </c>
      <c r="DM188" s="254" t="n"/>
      <c r="DN188" s="95" t="n"/>
      <c r="DO188" s="95" t="n"/>
    </row>
    <row r="189" ht="13" customHeight="1">
      <c r="A189" s="203" t="inlineStr">
        <is>
          <t>CMW-30</t>
        </is>
      </c>
      <c r="B189" s="260"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259" t="inlineStr">
        <is>
          <t>532MACMW</t>
        </is>
      </c>
      <c r="BL189" s="61" t="inlineStr">
        <is>
          <t>GMAP-SIGA</t>
        </is>
      </c>
      <c r="BM189" s="254" t="inlineStr">
        <is>
          <t>NF</t>
        </is>
      </c>
      <c r="BN189" s="266" t="inlineStr">
        <is>
          <t>Coposa Centro</t>
        </is>
      </c>
      <c r="BO189" s="254"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4" t="n"/>
      <c r="DB189" s="254" t="n"/>
      <c r="DC189" s="254" t="n"/>
      <c r="DD189" s="254" t="n"/>
      <c r="DE189" s="254" t="n"/>
      <c r="DF189" s="254" t="n"/>
      <c r="DG189" s="254" t="n"/>
      <c r="DH189" s="254" t="n"/>
      <c r="DI189" s="254" t="n"/>
      <c r="DJ189" s="254" t="inlineStr">
        <is>
          <t>M</t>
        </is>
      </c>
      <c r="DK189" s="254" t="n">
        <v>22</v>
      </c>
      <c r="DL189" s="95" t="n">
        <v>28</v>
      </c>
      <c r="DM189" s="254" t="n"/>
      <c r="DN189" s="95" t="n"/>
      <c r="DO189" s="95" t="n"/>
    </row>
    <row r="190" ht="13" customHeight="1">
      <c r="A190" s="205" t="inlineStr">
        <is>
          <t>CMW-32</t>
        </is>
      </c>
      <c r="B190" s="260"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259" t="inlineStr">
        <is>
          <t>532MACMW</t>
        </is>
      </c>
      <c r="BL190" s="61" t="inlineStr">
        <is>
          <t>GMAP-SIGA</t>
        </is>
      </c>
      <c r="BM190" s="254" t="inlineStr">
        <is>
          <t>NF</t>
        </is>
      </c>
      <c r="BN190" s="266" t="inlineStr">
        <is>
          <t>Coposa Centro</t>
        </is>
      </c>
      <c r="BO190" s="254"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4" t="n"/>
      <c r="DC190" s="254" t="n"/>
      <c r="DD190" s="254" t="n"/>
      <c r="DE190" s="254" t="n"/>
      <c r="DF190" s="254" t="n"/>
      <c r="DG190" s="254" t="n"/>
      <c r="DH190" s="254" t="n"/>
      <c r="DI190" s="254" t="n"/>
      <c r="DJ190" s="254" t="inlineStr">
        <is>
          <t>T</t>
        </is>
      </c>
      <c r="DK190" s="254" t="n">
        <v>15</v>
      </c>
      <c r="DL190" s="95" t="n">
        <v>28</v>
      </c>
      <c r="DM190" s="254" t="n"/>
      <c r="DN190" s="95" t="n"/>
      <c r="DO190" s="95" t="n"/>
    </row>
    <row r="191" ht="13" customHeight="1">
      <c r="A191" s="203" t="inlineStr">
        <is>
          <t>CMW-33</t>
        </is>
      </c>
      <c r="B191" s="260"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259" t="inlineStr">
        <is>
          <t>532MACMW</t>
        </is>
      </c>
      <c r="BL191" s="61" t="inlineStr">
        <is>
          <t>GMAP-SIGA</t>
        </is>
      </c>
      <c r="BM191" s="254" t="inlineStr">
        <is>
          <t>NF</t>
        </is>
      </c>
      <c r="BN191" s="266" t="inlineStr">
        <is>
          <t>Coposa Centro</t>
        </is>
      </c>
      <c r="BO191" s="254"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4" t="n"/>
      <c r="DB191" s="254" t="n"/>
      <c r="DC191" s="254" t="n"/>
      <c r="DD191" s="254" t="n"/>
      <c r="DE191" s="254" t="n"/>
      <c r="DF191" s="254" t="n"/>
      <c r="DG191" s="254" t="n"/>
      <c r="DH191" s="254" t="n"/>
      <c r="DI191" s="254" t="n"/>
      <c r="DJ191" s="254" t="inlineStr">
        <is>
          <t>TD</t>
        </is>
      </c>
      <c r="DK191" s="254" t="n">
        <v>22</v>
      </c>
      <c r="DL191" s="95" t="n">
        <v>28</v>
      </c>
      <c r="DM191" s="254" t="n"/>
      <c r="DN191" s="95" t="n"/>
      <c r="DO191" s="95" t="n"/>
    </row>
    <row r="192" ht="13" customHeight="1">
      <c r="A192" s="203" t="inlineStr">
        <is>
          <t>CMW-36</t>
        </is>
      </c>
      <c r="B192" s="260"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259" t="inlineStr">
        <is>
          <t>532MACMW</t>
        </is>
      </c>
      <c r="BL192" s="61" t="inlineStr">
        <is>
          <t>GMAP-SIGA</t>
        </is>
      </c>
      <c r="BM192" s="254" t="inlineStr">
        <is>
          <t>NF</t>
        </is>
      </c>
      <c r="BN192" s="266" t="inlineStr">
        <is>
          <t>Coposa Centro</t>
        </is>
      </c>
      <c r="BO192" s="254"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4" t="n"/>
      <c r="DB192" s="254" t="n"/>
      <c r="DC192" s="254" t="n"/>
      <c r="DD192" s="254" t="n"/>
      <c r="DE192" s="254" t="n"/>
      <c r="DF192" s="254" t="n"/>
      <c r="DG192" s="254" t="n"/>
      <c r="DH192" s="254" t="n"/>
      <c r="DI192" s="254" t="n"/>
      <c r="DJ192" s="254" t="inlineStr">
        <is>
          <t>M</t>
        </is>
      </c>
      <c r="DK192" s="254" t="n">
        <v>22</v>
      </c>
      <c r="DL192" s="95" t="n">
        <v>28</v>
      </c>
      <c r="DM192" s="254" t="n"/>
      <c r="DN192" s="95" t="n"/>
      <c r="DO192" s="95" t="n"/>
    </row>
    <row r="193" ht="13" customHeight="1">
      <c r="A193" s="205" t="inlineStr">
        <is>
          <t>CO-1</t>
        </is>
      </c>
      <c r="B193" s="260"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4" t="inlineStr">
        <is>
          <t>NF</t>
        </is>
      </c>
      <c r="BN193" s="266" t="inlineStr">
        <is>
          <t>Jachucoposa</t>
        </is>
      </c>
      <c r="BO193" s="254" t="inlineStr">
        <is>
          <t>SI</t>
        </is>
      </c>
      <c r="BP193" s="254"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4" t="n"/>
      <c r="DC193" s="254" t="n"/>
      <c r="DD193" s="254" t="n"/>
      <c r="DE193" s="254" t="n"/>
      <c r="DF193" s="254" t="n"/>
      <c r="DG193" s="254" t="n"/>
      <c r="DH193" s="254" t="n"/>
      <c r="DI193" s="254" t="n"/>
      <c r="DJ193" s="254" t="inlineStr">
        <is>
          <t>M</t>
        </is>
      </c>
      <c r="DK193" s="254" t="n">
        <v>15</v>
      </c>
      <c r="DL193" s="95" t="n">
        <v>28</v>
      </c>
      <c r="DM193" s="254" t="n"/>
      <c r="DN193" s="95" t="n"/>
      <c r="DO193" s="95" t="n"/>
    </row>
    <row r="194" ht="13" customHeight="1">
      <c r="A194" s="203" t="inlineStr">
        <is>
          <t>CO-1</t>
        </is>
      </c>
      <c r="B194" s="260"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4" t="inlineStr">
        <is>
          <t>ASUB</t>
        </is>
      </c>
      <c r="BN194" s="266" t="inlineStr">
        <is>
          <t>Jachucoposa</t>
        </is>
      </c>
      <c r="BO194" s="254" t="inlineStr">
        <is>
          <t>SI</t>
        </is>
      </c>
      <c r="BP194" s="254"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4" t="n"/>
      <c r="DB194" s="254" t="n"/>
      <c r="DC194" s="254" t="n"/>
      <c r="DD194" s="254" t="n"/>
      <c r="DE194" s="254" t="n"/>
      <c r="DF194" s="254" t="n"/>
      <c r="DG194" s="254" t="n"/>
      <c r="DH194" s="254" t="n"/>
      <c r="DI194" s="254" t="n"/>
      <c r="DJ194" s="254" t="n"/>
      <c r="DK194" s="254" t="n"/>
      <c r="DL194" s="95" t="n"/>
      <c r="DM194" s="254" t="inlineStr">
        <is>
          <t>TD</t>
        </is>
      </c>
      <c r="DN194" s="95" t="n">
        <v>15</v>
      </c>
      <c r="DO194" s="95" t="n">
        <v>28</v>
      </c>
    </row>
    <row r="195" ht="13" customHeight="1">
      <c r="A195" s="205" t="inlineStr">
        <is>
          <t>CO-2</t>
        </is>
      </c>
      <c r="B195" s="260"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4" t="inlineStr">
        <is>
          <t>NF</t>
        </is>
      </c>
      <c r="BN195" s="266" t="inlineStr">
        <is>
          <t>Jachucoposa</t>
        </is>
      </c>
      <c r="BO195" s="254" t="inlineStr">
        <is>
          <t>SI</t>
        </is>
      </c>
      <c r="BP195" s="254"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4" t="n"/>
      <c r="DC195" s="254" t="n"/>
      <c r="DD195" s="254" t="n"/>
      <c r="DE195" s="254" t="n"/>
      <c r="DF195" s="254" t="n"/>
      <c r="DG195" s="254" t="n"/>
      <c r="DH195" s="254" t="n"/>
      <c r="DI195" s="254" t="n"/>
      <c r="DJ195" s="254" t="n"/>
      <c r="DK195" s="254" t="n"/>
      <c r="DL195" s="95" t="n"/>
      <c r="DM195" s="254" t="n"/>
      <c r="DN195" s="95" t="n"/>
      <c r="DO195" s="95" t="n"/>
    </row>
    <row r="196" ht="13" customHeight="1">
      <c r="A196" s="203" t="inlineStr">
        <is>
          <t>CO-2</t>
        </is>
      </c>
      <c r="B196" s="260"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4" t="inlineStr">
        <is>
          <t>ASUB</t>
        </is>
      </c>
      <c r="BN196" s="266" t="inlineStr">
        <is>
          <t>Jachucoposa</t>
        </is>
      </c>
      <c r="BO196" s="254" t="inlineStr">
        <is>
          <t>SI</t>
        </is>
      </c>
      <c r="BP196" s="254"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4" t="n"/>
      <c r="DB196" s="254" t="n"/>
      <c r="DC196" s="254" t="n"/>
      <c r="DD196" s="254" t="n"/>
      <c r="DE196" s="254" t="n"/>
      <c r="DF196" s="254" t="n"/>
      <c r="DG196" s="254" t="n"/>
      <c r="DH196" s="254" t="n"/>
      <c r="DI196" s="254" t="n"/>
      <c r="DJ196" s="254" t="n"/>
      <c r="DK196" s="254" t="n"/>
      <c r="DL196" s="95" t="n"/>
      <c r="DM196" s="254" t="n"/>
      <c r="DN196" s="95" t="n"/>
      <c r="DO196" s="95" t="n"/>
    </row>
    <row r="197" ht="13" customHeight="1">
      <c r="A197" s="203" t="inlineStr">
        <is>
          <t>CP-01-I</t>
        </is>
      </c>
      <c r="B197" s="260"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259" t="inlineStr">
        <is>
          <t>532MACP</t>
        </is>
      </c>
      <c r="BL197" s="61" t="inlineStr">
        <is>
          <t>GMAP-SIGA</t>
        </is>
      </c>
      <c r="BM197" s="254" t="inlineStr">
        <is>
          <t>NF</t>
        </is>
      </c>
      <c r="BN197" s="106" t="inlineStr">
        <is>
          <t>Falla Pabellón</t>
        </is>
      </c>
      <c r="BO197" s="254"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4" t="n"/>
      <c r="DB197" s="254" t="n"/>
      <c r="DC197" s="254" t="n"/>
      <c r="DD197" s="254" t="n"/>
      <c r="DE197" s="254" t="n"/>
      <c r="DF197" s="254" t="n"/>
      <c r="DG197" s="254" t="n"/>
      <c r="DH197" s="254" t="n"/>
      <c r="DI197" s="254" t="n"/>
      <c r="DJ197" s="254" t="inlineStr">
        <is>
          <t>M</t>
        </is>
      </c>
      <c r="DK197" s="254" t="n">
        <v>15</v>
      </c>
      <c r="DL197" s="95" t="n">
        <v>21</v>
      </c>
      <c r="DM197" s="254" t="n"/>
      <c r="DN197" s="95" t="n"/>
      <c r="DO197" s="95" t="n"/>
    </row>
    <row r="198" ht="13" customHeight="1">
      <c r="A198" s="203" t="inlineStr">
        <is>
          <t>CP-02-C</t>
        </is>
      </c>
      <c r="B198" s="260"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259" t="inlineStr">
        <is>
          <t>532MACP</t>
        </is>
      </c>
      <c r="BL198" s="61" t="inlineStr">
        <is>
          <t>GMAP-SIGA</t>
        </is>
      </c>
      <c r="BM198" s="254" t="inlineStr">
        <is>
          <t>NF</t>
        </is>
      </c>
      <c r="BN198" s="106" t="inlineStr">
        <is>
          <t>Falla Pabellón</t>
        </is>
      </c>
      <c r="BO198" s="254"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4" t="n"/>
      <c r="DB198" s="254" t="n"/>
      <c r="DC198" s="254" t="n"/>
      <c r="DD198" s="254" t="n"/>
      <c r="DE198" s="254" t="n"/>
      <c r="DF198" s="254" t="n"/>
      <c r="DG198" s="254" t="n"/>
      <c r="DH198" s="254" t="n"/>
      <c r="DI198" s="254" t="n"/>
      <c r="DJ198" s="254" t="inlineStr">
        <is>
          <t>M</t>
        </is>
      </c>
      <c r="DK198" s="254" t="n">
        <v>15</v>
      </c>
      <c r="DL198" s="95" t="n">
        <v>21</v>
      </c>
      <c r="DM198" s="254" t="n"/>
      <c r="DN198" s="95" t="n"/>
      <c r="DO198" s="95" t="n"/>
    </row>
    <row r="199" ht="13" customHeight="1">
      <c r="A199" s="203" t="inlineStr">
        <is>
          <t>CP-03-M</t>
        </is>
      </c>
      <c r="B199" s="260"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61" t="inlineStr">
        <is>
          <t>532MACP</t>
        </is>
      </c>
      <c r="BL199" s="61" t="inlineStr">
        <is>
          <t>GTAM</t>
        </is>
      </c>
      <c r="BM199" s="254" t="inlineStr">
        <is>
          <t>NF</t>
        </is>
      </c>
      <c r="BN199" s="106" t="inlineStr">
        <is>
          <t>Falla Pabellón</t>
        </is>
      </c>
      <c r="BO199" s="254"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4" t="n"/>
      <c r="DB199" s="254" t="n"/>
      <c r="DC199" s="254" t="n"/>
      <c r="DD199" s="254" t="n"/>
      <c r="DE199" s="254" t="n"/>
      <c r="DF199" s="254" t="n"/>
      <c r="DG199" s="254" t="n"/>
      <c r="DH199" s="254" t="n"/>
      <c r="DI199" s="254" t="n"/>
      <c r="DJ199" s="254" t="inlineStr">
        <is>
          <t>M</t>
        </is>
      </c>
      <c r="DK199" s="254" t="n">
        <v>15</v>
      </c>
      <c r="DL199" s="95" t="n">
        <v>21</v>
      </c>
      <c r="DM199" s="254" t="n"/>
      <c r="DN199" s="95" t="n"/>
      <c r="DO199" s="95" t="n"/>
    </row>
    <row r="200" ht="13" customHeight="1">
      <c r="A200" s="203" t="inlineStr">
        <is>
          <t>CP-04-L</t>
        </is>
      </c>
      <c r="B200" s="260"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259" t="inlineStr">
        <is>
          <t>532MACP</t>
        </is>
      </c>
      <c r="BL200" s="61" t="inlineStr">
        <is>
          <t>GMAP-SIGA</t>
        </is>
      </c>
      <c r="BM200" s="254" t="inlineStr">
        <is>
          <t>NF</t>
        </is>
      </c>
      <c r="BN200" s="106" t="inlineStr">
        <is>
          <t>Falla Pabellón</t>
        </is>
      </c>
      <c r="BO200" s="254"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4" t="n"/>
      <c r="DB200" s="254" t="n"/>
      <c r="DC200" s="254" t="n"/>
      <c r="DD200" s="254" t="n"/>
      <c r="DE200" s="254" t="n"/>
      <c r="DF200" s="254" t="n"/>
      <c r="DG200" s="254" t="n"/>
      <c r="DH200" s="254" t="n"/>
      <c r="DI200" s="254" t="n"/>
      <c r="DJ200" s="254" t="inlineStr">
        <is>
          <t>M</t>
        </is>
      </c>
      <c r="DK200" s="254" t="n">
        <v>15</v>
      </c>
      <c r="DL200" s="95" t="n">
        <v>21</v>
      </c>
      <c r="DM200" s="254" t="n"/>
      <c r="DN200" s="95" t="n"/>
      <c r="DO200" s="95" t="n"/>
    </row>
    <row r="201" ht="13" customHeight="1">
      <c r="A201" s="203" t="inlineStr">
        <is>
          <t>CP-04-L</t>
        </is>
      </c>
      <c r="B201" s="260"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259" t="n"/>
      <c r="BL201" s="61" t="n"/>
      <c r="BM201" s="254" t="inlineStr">
        <is>
          <t>ASUB</t>
        </is>
      </c>
      <c r="BN201" s="106" t="inlineStr">
        <is>
          <t>Falla Pabellón</t>
        </is>
      </c>
      <c r="BO201" s="254"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4" t="n"/>
      <c r="DB201" s="254" t="n"/>
      <c r="DC201" s="254" t="n"/>
      <c r="DD201" s="254" t="n"/>
      <c r="DE201" s="254" t="n"/>
      <c r="DF201" s="254" t="n"/>
      <c r="DG201" s="254" t="n"/>
      <c r="DH201" s="254" t="n"/>
      <c r="DI201" s="254" t="n"/>
      <c r="DJ201" s="254" t="n"/>
      <c r="DK201" s="254" t="n"/>
      <c r="DL201" s="95" t="n"/>
      <c r="DM201" s="254" t="n"/>
      <c r="DN201" s="95" t="n"/>
      <c r="DO201" s="95" t="n"/>
    </row>
    <row r="202" ht="13" customHeight="1">
      <c r="A202" s="203" t="inlineStr">
        <is>
          <t>CP-05-H</t>
        </is>
      </c>
      <c r="B202" s="260"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259" t="inlineStr">
        <is>
          <t>532MACP</t>
        </is>
      </c>
      <c r="BL202" s="61" t="inlineStr">
        <is>
          <t>GMAP-SIGA</t>
        </is>
      </c>
      <c r="BM202" s="254" t="inlineStr">
        <is>
          <t>NF</t>
        </is>
      </c>
      <c r="BN202" s="106" t="inlineStr">
        <is>
          <t>Falla Pabellón</t>
        </is>
      </c>
      <c r="BO202" s="254"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4" t="n"/>
      <c r="DB202" s="254" t="n"/>
      <c r="DC202" s="254" t="n"/>
      <c r="DD202" s="254" t="n"/>
      <c r="DE202" s="254" t="n"/>
      <c r="DF202" s="254" t="n"/>
      <c r="DG202" s="254" t="n"/>
      <c r="DH202" s="254" t="n"/>
      <c r="DI202" s="254" t="n"/>
      <c r="DJ202" s="254" t="inlineStr">
        <is>
          <t>M</t>
        </is>
      </c>
      <c r="DK202" s="254" t="n">
        <v>15</v>
      </c>
      <c r="DL202" s="95" t="n">
        <v>21</v>
      </c>
      <c r="DM202" s="254" t="n"/>
      <c r="DN202" s="95" t="n"/>
      <c r="DO202" s="95" t="n"/>
    </row>
    <row r="203" ht="13" customHeight="1">
      <c r="A203" s="203" t="inlineStr">
        <is>
          <t>CP-06-J</t>
        </is>
      </c>
      <c r="B203" s="260"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259" t="inlineStr">
        <is>
          <t>532MACP</t>
        </is>
      </c>
      <c r="BL203" s="61" t="inlineStr">
        <is>
          <t>GMAP-SIGA</t>
        </is>
      </c>
      <c r="BM203" s="254" t="inlineStr">
        <is>
          <t>NF</t>
        </is>
      </c>
      <c r="BN203" s="106" t="inlineStr">
        <is>
          <t>Falla Pabellón</t>
        </is>
      </c>
      <c r="BO203" s="254"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4" t="n"/>
      <c r="DB203" s="254" t="n"/>
      <c r="DC203" s="254" t="n"/>
      <c r="DD203" s="254" t="n"/>
      <c r="DE203" s="254" t="n"/>
      <c r="DF203" s="254" t="n"/>
      <c r="DG203" s="254" t="n"/>
      <c r="DH203" s="254" t="n"/>
      <c r="DI203" s="254" t="n"/>
      <c r="DJ203" s="254" t="inlineStr">
        <is>
          <t>M</t>
        </is>
      </c>
      <c r="DK203" s="254" t="n">
        <v>15</v>
      </c>
      <c r="DL203" s="95" t="n">
        <v>21</v>
      </c>
      <c r="DM203" s="254" t="n"/>
      <c r="DN203" s="95" t="n"/>
      <c r="DO203" s="95" t="n"/>
    </row>
    <row r="204" ht="13" customHeight="1">
      <c r="A204" s="203" t="inlineStr">
        <is>
          <t>CP-07-F</t>
        </is>
      </c>
      <c r="B204" s="260"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259" t="inlineStr">
        <is>
          <t>532MACP</t>
        </is>
      </c>
      <c r="BL204" s="61" t="inlineStr">
        <is>
          <t>GMAP-SIGA</t>
        </is>
      </c>
      <c r="BM204" s="254" t="inlineStr">
        <is>
          <t>NF</t>
        </is>
      </c>
      <c r="BN204" s="106" t="inlineStr">
        <is>
          <t>Falla Pabellón</t>
        </is>
      </c>
      <c r="BO204" s="254"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4" t="n"/>
      <c r="DB204" s="254" t="n"/>
      <c r="DC204" s="254" t="n"/>
      <c r="DD204" s="254" t="n"/>
      <c r="DE204" s="254" t="n"/>
      <c r="DF204" s="254" t="n"/>
      <c r="DG204" s="254" t="n"/>
      <c r="DH204" s="254" t="n"/>
      <c r="DI204" s="254" t="n"/>
      <c r="DJ204" s="254" t="inlineStr">
        <is>
          <t>M</t>
        </is>
      </c>
      <c r="DK204" s="254" t="n">
        <v>15</v>
      </c>
      <c r="DL204" s="95" t="n">
        <v>21</v>
      </c>
      <c r="DM204" s="254" t="n"/>
      <c r="DN204" s="95" t="n"/>
      <c r="DO204" s="95" t="n"/>
    </row>
    <row r="205" ht="13" customHeight="1">
      <c r="A205" s="203" t="inlineStr">
        <is>
          <t>CP-08-D</t>
        </is>
      </c>
      <c r="B205" s="260"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259" t="inlineStr">
        <is>
          <t>532MACP</t>
        </is>
      </c>
      <c r="BL205" s="61" t="inlineStr">
        <is>
          <t>GMAP-SIGA</t>
        </is>
      </c>
      <c r="BM205" s="254" t="inlineStr">
        <is>
          <t>NF</t>
        </is>
      </c>
      <c r="BN205" s="106" t="inlineStr">
        <is>
          <t>Falla Pabellón</t>
        </is>
      </c>
      <c r="BO205" s="254"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4" t="n"/>
      <c r="DB205" s="254" t="n"/>
      <c r="DC205" s="254" t="n"/>
      <c r="DD205" s="254" t="n"/>
      <c r="DE205" s="254" t="n"/>
      <c r="DF205" s="254" t="n"/>
      <c r="DG205" s="254" t="n"/>
      <c r="DH205" s="254" t="n"/>
      <c r="DI205" s="254" t="n"/>
      <c r="DJ205" s="254" t="inlineStr">
        <is>
          <t>M</t>
        </is>
      </c>
      <c r="DK205" s="254" t="n">
        <v>15</v>
      </c>
      <c r="DL205" s="95" t="n">
        <v>21</v>
      </c>
      <c r="DM205" s="254" t="n"/>
      <c r="DN205" s="95" t="n"/>
      <c r="DO205" s="95" t="n"/>
    </row>
    <row r="206" ht="13" customHeight="1">
      <c r="A206" s="203" t="inlineStr">
        <is>
          <t>CP-09-G</t>
        </is>
      </c>
      <c r="B206" s="260"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259" t="inlineStr">
        <is>
          <t>532MACP</t>
        </is>
      </c>
      <c r="BL206" s="61" t="inlineStr">
        <is>
          <t>GMAP-SIGA</t>
        </is>
      </c>
      <c r="BM206" s="254" t="inlineStr">
        <is>
          <t>NF</t>
        </is>
      </c>
      <c r="BN206" s="106" t="inlineStr">
        <is>
          <t>Falla Pabellón</t>
        </is>
      </c>
      <c r="BO206" s="254"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4" t="n"/>
      <c r="DB206" s="254" t="n"/>
      <c r="DC206" s="254" t="n"/>
      <c r="DD206" s="254" t="n"/>
      <c r="DE206" s="254" t="n"/>
      <c r="DF206" s="254" t="n"/>
      <c r="DG206" s="254" t="n"/>
      <c r="DH206" s="254" t="n"/>
      <c r="DI206" s="254" t="n"/>
      <c r="DJ206" s="254" t="inlineStr">
        <is>
          <t>M</t>
        </is>
      </c>
      <c r="DK206" s="254" t="n">
        <v>15</v>
      </c>
      <c r="DL206" s="95" t="n">
        <v>21</v>
      </c>
      <c r="DM206" s="254" t="n"/>
      <c r="DN206" s="95" t="n"/>
      <c r="DO206" s="95" t="n"/>
    </row>
    <row r="207" ht="13" customHeight="1">
      <c r="A207" s="203" t="inlineStr">
        <is>
          <t>CP-10-B</t>
        </is>
      </c>
      <c r="B207" s="260"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259" t="inlineStr">
        <is>
          <t>532MACP</t>
        </is>
      </c>
      <c r="BL207" s="61" t="inlineStr">
        <is>
          <t>GMAP-SIGA</t>
        </is>
      </c>
      <c r="BM207" s="254" t="inlineStr">
        <is>
          <t>NF</t>
        </is>
      </c>
      <c r="BN207" s="106" t="inlineStr">
        <is>
          <t>Falla Pabellón</t>
        </is>
      </c>
      <c r="BO207" s="254"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4" t="n"/>
      <c r="DB207" s="254" t="n"/>
      <c r="DC207" s="254" t="n"/>
      <c r="DD207" s="254" t="n"/>
      <c r="DE207" s="254" t="n"/>
      <c r="DF207" s="254" t="n"/>
      <c r="DG207" s="254" t="n"/>
      <c r="DH207" s="254" t="n"/>
      <c r="DI207" s="254" t="n"/>
      <c r="DJ207" s="254" t="inlineStr">
        <is>
          <t>M</t>
        </is>
      </c>
      <c r="DK207" s="254" t="n">
        <v>15</v>
      </c>
      <c r="DL207" s="95" t="n">
        <v>21</v>
      </c>
      <c r="DM207" s="254" t="n"/>
      <c r="DN207" s="95" t="n"/>
      <c r="DO207" s="95" t="n"/>
    </row>
    <row r="208" ht="13" customHeight="1">
      <c r="A208" s="203" t="inlineStr">
        <is>
          <t>CP-11-E</t>
        </is>
      </c>
      <c r="B208" s="260"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259" t="inlineStr">
        <is>
          <t>532MACP</t>
        </is>
      </c>
      <c r="BL208" s="61" t="inlineStr">
        <is>
          <t>GMAP-SIGA</t>
        </is>
      </c>
      <c r="BM208" s="254" t="inlineStr">
        <is>
          <t>NF</t>
        </is>
      </c>
      <c r="BN208" s="106" t="inlineStr">
        <is>
          <t>Falla Pabellón</t>
        </is>
      </c>
      <c r="BO208" s="254"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4" t="n"/>
      <c r="DB208" s="254" t="n"/>
      <c r="DC208" s="254" t="n"/>
      <c r="DD208" s="254" t="n"/>
      <c r="DE208" s="254" t="n"/>
      <c r="DF208" s="254" t="n"/>
      <c r="DG208" s="254" t="n"/>
      <c r="DH208" s="254" t="n"/>
      <c r="DI208" s="254" t="n"/>
      <c r="DJ208" s="254" t="inlineStr">
        <is>
          <t>M</t>
        </is>
      </c>
      <c r="DK208" s="254" t="n">
        <v>15</v>
      </c>
      <c r="DL208" s="95" t="n">
        <v>21</v>
      </c>
      <c r="DM208" s="254" t="n"/>
      <c r="DN208" s="95" t="n"/>
      <c r="DO208" s="95" t="n"/>
    </row>
    <row r="209" ht="13" customHeight="1">
      <c r="A209" s="203" t="inlineStr">
        <is>
          <t>CP-12-K</t>
        </is>
      </c>
      <c r="B209" s="260"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259" t="inlineStr">
        <is>
          <t>532MACP</t>
        </is>
      </c>
      <c r="BL209" s="61" t="inlineStr">
        <is>
          <t>GMAP-SIGA</t>
        </is>
      </c>
      <c r="BM209" s="254" t="inlineStr">
        <is>
          <t>NF</t>
        </is>
      </c>
      <c r="BN209" s="106" t="inlineStr">
        <is>
          <t>Falla Pabellón</t>
        </is>
      </c>
      <c r="BO209" s="254"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4" t="n"/>
      <c r="DB209" s="254" t="n"/>
      <c r="DC209" s="254" t="n"/>
      <c r="DD209" s="254" t="n"/>
      <c r="DE209" s="254" t="n"/>
      <c r="DF209" s="254" t="n"/>
      <c r="DG209" s="254" t="n"/>
      <c r="DH209" s="254" t="n"/>
      <c r="DI209" s="254" t="n"/>
      <c r="DJ209" s="254" t="inlineStr">
        <is>
          <t>M</t>
        </is>
      </c>
      <c r="DK209" s="254" t="n">
        <v>15</v>
      </c>
      <c r="DL209" s="95" t="n">
        <v>21</v>
      </c>
      <c r="DM209" s="254" t="n"/>
      <c r="DN209" s="95" t="n"/>
      <c r="DO209" s="95" t="n"/>
    </row>
    <row r="210" ht="13" customHeight="1">
      <c r="A210" s="203" t="inlineStr">
        <is>
          <t>CP-13-A</t>
        </is>
      </c>
      <c r="B210" s="260"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259" t="inlineStr">
        <is>
          <t>532MACP</t>
        </is>
      </c>
      <c r="BL210" s="61" t="inlineStr">
        <is>
          <t>GMAP-SIGA</t>
        </is>
      </c>
      <c r="BM210" s="254" t="inlineStr">
        <is>
          <t>NF</t>
        </is>
      </c>
      <c r="BN210" s="106" t="inlineStr">
        <is>
          <t>Falla Pabellón</t>
        </is>
      </c>
      <c r="BO210" s="254"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4" t="n"/>
      <c r="DB210" s="254" t="n"/>
      <c r="DC210" s="254" t="n"/>
      <c r="DD210" s="254" t="n"/>
      <c r="DE210" s="254" t="n"/>
      <c r="DF210" s="254" t="n"/>
      <c r="DG210" s="254" t="n"/>
      <c r="DH210" s="254" t="n"/>
      <c r="DI210" s="254" t="n"/>
      <c r="DJ210" s="254" t="inlineStr">
        <is>
          <t>M</t>
        </is>
      </c>
      <c r="DK210" s="254" t="n">
        <v>15</v>
      </c>
      <c r="DL210" s="95" t="n">
        <v>21</v>
      </c>
      <c r="DM210" s="254" t="n"/>
      <c r="DN210" s="95" t="n"/>
      <c r="DO210" s="95" t="n"/>
    </row>
    <row r="211" ht="13" customHeight="1">
      <c r="A211" s="203" t="inlineStr">
        <is>
          <t>CPMA-01</t>
        </is>
      </c>
      <c r="B211" s="260"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259" t="inlineStr">
        <is>
          <t>532MACPMA</t>
        </is>
      </c>
      <c r="BL211" s="61" t="inlineStr">
        <is>
          <t>GMAP-SIGA</t>
        </is>
      </c>
      <c r="BM211" s="254" t="inlineStr">
        <is>
          <t>NF</t>
        </is>
      </c>
      <c r="BN211" s="266" t="inlineStr">
        <is>
          <t>Jachucoposa</t>
        </is>
      </c>
      <c r="BO211" s="254"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4" t="n"/>
      <c r="DB211" s="254" t="n"/>
      <c r="DC211" s="254" t="n"/>
      <c r="DD211" s="254" t="n"/>
      <c r="DE211" s="254" t="n"/>
      <c r="DF211" s="254" t="n"/>
      <c r="DG211" s="254" t="n"/>
      <c r="DH211" s="254" t="n"/>
      <c r="DI211" s="254" t="n"/>
      <c r="DJ211" s="254" t="inlineStr">
        <is>
          <t>M</t>
        </is>
      </c>
      <c r="DK211" s="254" t="n">
        <v>1</v>
      </c>
      <c r="DL211" s="95" t="n">
        <v>7</v>
      </c>
      <c r="DM211" s="169" t="inlineStr">
        <is>
          <t>SE ELIMINO</t>
        </is>
      </c>
      <c r="DN211" s="95" t="n"/>
      <c r="DO211" s="95" t="n"/>
    </row>
    <row r="212" ht="13" customHeight="1">
      <c r="A212" s="215" t="inlineStr">
        <is>
          <t>CPMA-02</t>
        </is>
      </c>
      <c r="B212" s="260"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259" t="n"/>
      <c r="BL212" s="61" t="n"/>
      <c r="BM212" s="254" t="inlineStr">
        <is>
          <t>NF</t>
        </is>
      </c>
      <c r="BN212" s="266" t="inlineStr">
        <is>
          <t>Jachucoposa</t>
        </is>
      </c>
      <c r="BO212" s="254"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4" t="n"/>
      <c r="DB212" s="254" t="n"/>
      <c r="DC212" s="254" t="n"/>
      <c r="DD212" s="254" t="n"/>
      <c r="DE212" s="254" t="n"/>
      <c r="DF212" s="254" t="n"/>
      <c r="DG212" s="254" t="n"/>
      <c r="DH212" s="254" t="n"/>
      <c r="DI212" s="254" t="n"/>
      <c r="DJ212" s="254" t="n"/>
      <c r="DK212" s="254" t="n"/>
      <c r="DL212" s="95" t="n"/>
      <c r="DM212" s="169" t="n"/>
      <c r="DN212" s="95" t="n"/>
      <c r="DO212" s="95" t="n"/>
    </row>
    <row r="213" ht="11.15" customHeight="1">
      <c r="A213" s="215" t="inlineStr">
        <is>
          <t>CPS-01</t>
        </is>
      </c>
      <c r="B213" s="260"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259" t="inlineStr">
        <is>
          <t>532MACPS</t>
        </is>
      </c>
      <c r="BL213" s="61" t="inlineStr">
        <is>
          <t>GMAP-SIGA</t>
        </is>
      </c>
      <c r="BM213" s="254" t="inlineStr">
        <is>
          <t>NF</t>
        </is>
      </c>
      <c r="BN213" s="266" t="inlineStr">
        <is>
          <t>Jachucoposa</t>
        </is>
      </c>
      <c r="BO213" s="254"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4" t="n"/>
      <c r="DB213" s="254" t="n"/>
      <c r="DC213" s="254" t="n"/>
      <c r="DD213" s="254" t="n"/>
      <c r="DE213" s="254" t="n"/>
      <c r="DF213" s="254" t="n"/>
      <c r="DG213" s="254" t="n"/>
      <c r="DH213" s="254" t="n"/>
      <c r="DI213" s="254" t="n"/>
      <c r="DJ213" s="254" t="inlineStr">
        <is>
          <t>TD</t>
        </is>
      </c>
      <c r="DK213" s="254" t="n">
        <v>15</v>
      </c>
      <c r="DL213" s="95" t="n">
        <v>21</v>
      </c>
      <c r="DM213" s="254" t="n"/>
      <c r="DN213" s="95" t="n"/>
      <c r="DO213" s="95" t="n"/>
    </row>
    <row r="214" ht="13" customHeight="1">
      <c r="A214" s="215" t="inlineStr">
        <is>
          <t>CPS-02</t>
        </is>
      </c>
      <c r="B214" s="260"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259" t="inlineStr">
        <is>
          <t>532MACPS</t>
        </is>
      </c>
      <c r="BL214" s="61" t="inlineStr">
        <is>
          <t>GMAP-SIGA</t>
        </is>
      </c>
      <c r="BM214" s="254" t="inlineStr">
        <is>
          <t>NF</t>
        </is>
      </c>
      <c r="BN214" s="266" t="inlineStr">
        <is>
          <t>Jachucoposa</t>
        </is>
      </c>
      <c r="BO214" s="254"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4" t="n"/>
      <c r="DB214" s="254" t="n"/>
      <c r="DC214" s="254" t="n"/>
      <c r="DD214" s="254" t="n"/>
      <c r="DE214" s="254" t="n"/>
      <c r="DF214" s="254" t="n"/>
      <c r="DG214" s="254" t="n"/>
      <c r="DH214" s="254" t="n"/>
      <c r="DI214" s="254" t="n"/>
      <c r="DJ214" s="254" t="inlineStr">
        <is>
          <t>TD</t>
        </is>
      </c>
      <c r="DK214" s="254" t="n">
        <v>15</v>
      </c>
      <c r="DL214" s="95" t="n">
        <v>21</v>
      </c>
      <c r="DM214" s="254" t="n"/>
      <c r="DN214" s="95" t="n"/>
      <c r="DO214" s="95" t="n"/>
    </row>
    <row r="215" ht="13" customHeight="1">
      <c r="A215" s="215" t="inlineStr">
        <is>
          <t>CPS-03</t>
        </is>
      </c>
      <c r="B215" s="260"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259" t="inlineStr">
        <is>
          <t>532MACPS</t>
        </is>
      </c>
      <c r="BL215" s="61" t="inlineStr">
        <is>
          <t>GMAP-SIGA</t>
        </is>
      </c>
      <c r="BM215" s="254" t="inlineStr">
        <is>
          <t>NF</t>
        </is>
      </c>
      <c r="BN215" s="266" t="inlineStr">
        <is>
          <t>Jachucoposa</t>
        </is>
      </c>
      <c r="BO215" s="254"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4" t="n"/>
      <c r="DB215" s="254" t="n"/>
      <c r="DC215" s="254" t="n"/>
      <c r="DD215" s="254" t="n"/>
      <c r="DE215" s="254" t="n"/>
      <c r="DF215" s="254" t="n"/>
      <c r="DG215" s="254" t="n"/>
      <c r="DH215" s="254" t="n"/>
      <c r="DI215" s="254" t="n"/>
      <c r="DJ215" s="254" t="inlineStr">
        <is>
          <t>T</t>
        </is>
      </c>
      <c r="DK215" s="254" t="n">
        <v>15</v>
      </c>
      <c r="DL215" s="95" t="n">
        <v>21</v>
      </c>
      <c r="DM215" s="254" t="n"/>
      <c r="DN215" s="95" t="n"/>
      <c r="DO215" s="95" t="n"/>
    </row>
    <row r="216" ht="13" customHeight="1">
      <c r="A216" s="215" t="inlineStr">
        <is>
          <t>CPS-04</t>
        </is>
      </c>
      <c r="B216" s="260"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259" t="inlineStr">
        <is>
          <t>532MACPS</t>
        </is>
      </c>
      <c r="BL216" s="61" t="inlineStr">
        <is>
          <t>GMAP-SIGA</t>
        </is>
      </c>
      <c r="BM216" s="254" t="inlineStr">
        <is>
          <t>NF</t>
        </is>
      </c>
      <c r="BN216" s="266" t="inlineStr">
        <is>
          <t>Jachucoposa</t>
        </is>
      </c>
      <c r="BO216" s="254"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4" t="n"/>
      <c r="DB216" s="254" t="n"/>
      <c r="DC216" s="254" t="n"/>
      <c r="DD216" s="254" t="n"/>
      <c r="DE216" s="254" t="n"/>
      <c r="DF216" s="254" t="n"/>
      <c r="DG216" s="254" t="n"/>
      <c r="DH216" s="254" t="n"/>
      <c r="DI216" s="254" t="n"/>
      <c r="DJ216" s="254" t="inlineStr">
        <is>
          <t>T</t>
        </is>
      </c>
      <c r="DK216" s="254" t="n">
        <v>15</v>
      </c>
      <c r="DL216" s="95" t="n">
        <v>21</v>
      </c>
      <c r="DM216" s="254" t="n"/>
      <c r="DN216" s="95" t="n"/>
      <c r="DO216" s="95" t="n"/>
    </row>
    <row r="217" ht="13" customHeight="1">
      <c r="A217" s="215" t="inlineStr">
        <is>
          <t>CPS-05</t>
        </is>
      </c>
      <c r="B217" s="260"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259" t="inlineStr">
        <is>
          <t>532MACPS</t>
        </is>
      </c>
      <c r="BL217" s="61" t="inlineStr">
        <is>
          <t>GMAP-SIGA</t>
        </is>
      </c>
      <c r="BM217" s="254" t="inlineStr">
        <is>
          <t>NF</t>
        </is>
      </c>
      <c r="BN217" s="266" t="inlineStr">
        <is>
          <t>Jachucoposa</t>
        </is>
      </c>
      <c r="BO217" s="254"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4" t="n"/>
      <c r="DB217" s="254" t="n"/>
      <c r="DC217" s="254" t="n"/>
      <c r="DD217" s="254" t="n"/>
      <c r="DE217" s="254" t="n"/>
      <c r="DF217" s="254" t="n"/>
      <c r="DG217" s="254" t="n"/>
      <c r="DH217" s="254" t="n"/>
      <c r="DI217" s="254" t="n"/>
      <c r="DJ217" s="254" t="inlineStr">
        <is>
          <t>T</t>
        </is>
      </c>
      <c r="DK217" s="254" t="n">
        <v>15</v>
      </c>
      <c r="DL217" s="95" t="n">
        <v>21</v>
      </c>
      <c r="DM217" s="254" t="n"/>
      <c r="DN217" s="95" t="n"/>
      <c r="DO217" s="95" t="n"/>
    </row>
    <row r="218" ht="13" customHeight="1">
      <c r="A218" s="215" t="inlineStr">
        <is>
          <t>CPS-06</t>
        </is>
      </c>
      <c r="B218" s="260"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259" t="inlineStr">
        <is>
          <t>532MACPS</t>
        </is>
      </c>
      <c r="BL218" s="61" t="inlineStr">
        <is>
          <t>GMAP-SIGA</t>
        </is>
      </c>
      <c r="BM218" s="254" t="inlineStr">
        <is>
          <t>NF</t>
        </is>
      </c>
      <c r="BN218" s="266" t="inlineStr">
        <is>
          <t>Jachucoposa</t>
        </is>
      </c>
      <c r="BO218" s="254"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4" t="n"/>
      <c r="DB218" s="254" t="n"/>
      <c r="DC218" s="254" t="n"/>
      <c r="DD218" s="254" t="n"/>
      <c r="DE218" s="254" t="n"/>
      <c r="DF218" s="254" t="n"/>
      <c r="DG218" s="254" t="n"/>
      <c r="DH218" s="254" t="n"/>
      <c r="DI218" s="254" t="n"/>
      <c r="DJ218" s="254" t="inlineStr">
        <is>
          <t>T</t>
        </is>
      </c>
      <c r="DK218" s="254" t="n">
        <v>15</v>
      </c>
      <c r="DL218" s="95" t="n">
        <v>21</v>
      </c>
      <c r="DM218" s="254" t="n"/>
      <c r="DN218" s="95" t="n"/>
      <c r="DO218" s="95" t="n"/>
    </row>
    <row r="219" ht="13" customHeight="1">
      <c r="A219" s="215" t="inlineStr">
        <is>
          <t>CPS-07</t>
        </is>
      </c>
      <c r="B219" s="260"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259" t="inlineStr">
        <is>
          <t>532MACPS</t>
        </is>
      </c>
      <c r="BL219" s="61" t="inlineStr">
        <is>
          <t>GMAP-SIGA</t>
        </is>
      </c>
      <c r="BM219" s="254" t="inlineStr">
        <is>
          <t>NF</t>
        </is>
      </c>
      <c r="BN219" s="266" t="inlineStr">
        <is>
          <t>Jachucoposa</t>
        </is>
      </c>
      <c r="BO219" s="254"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4" t="n"/>
      <c r="DB219" s="254" t="n"/>
      <c r="DC219" s="254" t="n"/>
      <c r="DD219" s="254" t="n"/>
      <c r="DE219" s="254" t="n"/>
      <c r="DF219" s="254" t="n"/>
      <c r="DG219" s="254" t="n"/>
      <c r="DH219" s="254" t="n"/>
      <c r="DI219" s="254" t="n"/>
      <c r="DJ219" s="254" t="inlineStr">
        <is>
          <t>T</t>
        </is>
      </c>
      <c r="DK219" s="254" t="n">
        <v>15</v>
      </c>
      <c r="DL219" s="95" t="n">
        <v>21</v>
      </c>
      <c r="DM219" s="254" t="n"/>
      <c r="DN219" s="95" t="n"/>
      <c r="DO219" s="95" t="n"/>
    </row>
    <row r="220" ht="13" customHeight="1">
      <c r="A220" s="215" t="inlineStr">
        <is>
          <t>CPS-09</t>
        </is>
      </c>
      <c r="B220" s="260"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259" t="inlineStr">
        <is>
          <t>532MACPS</t>
        </is>
      </c>
      <c r="BL220" s="61" t="inlineStr">
        <is>
          <t>GMAP-SIGA</t>
        </is>
      </c>
      <c r="BM220" s="254" t="inlineStr">
        <is>
          <t>NF</t>
        </is>
      </c>
      <c r="BN220" s="266" t="inlineStr">
        <is>
          <t>Jachucoposa</t>
        </is>
      </c>
      <c r="BO220" s="254"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4" t="n"/>
      <c r="DB220" s="254" t="n"/>
      <c r="DC220" s="254" t="n"/>
      <c r="DD220" s="254" t="n"/>
      <c r="DE220" s="254" t="n"/>
      <c r="DF220" s="254" t="n"/>
      <c r="DG220" s="254" t="n"/>
      <c r="DH220" s="254" t="n"/>
      <c r="DI220" s="254" t="n"/>
      <c r="DJ220" s="254" t="inlineStr">
        <is>
          <t>T</t>
        </is>
      </c>
      <c r="DK220" s="254" t="n">
        <v>15</v>
      </c>
      <c r="DL220" s="95" t="n">
        <v>21</v>
      </c>
      <c r="DM220" s="254" t="n"/>
      <c r="DN220" s="95" t="n"/>
      <c r="DO220" s="95" t="n"/>
    </row>
    <row r="221" ht="13" customHeight="1">
      <c r="A221" s="215" t="inlineStr">
        <is>
          <t>CPS-10</t>
        </is>
      </c>
      <c r="B221" s="260"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259" t="inlineStr">
        <is>
          <t>532MACPS</t>
        </is>
      </c>
      <c r="BL221" s="61" t="inlineStr">
        <is>
          <t>GMAP-SIGA</t>
        </is>
      </c>
      <c r="BM221" s="254" t="inlineStr">
        <is>
          <t>NF</t>
        </is>
      </c>
      <c r="BN221" s="266" t="inlineStr">
        <is>
          <t>Jachucoposa</t>
        </is>
      </c>
      <c r="BO221" s="254"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4" t="n"/>
      <c r="DB221" s="254" t="n"/>
      <c r="DC221" s="254" t="n"/>
      <c r="DD221" s="254" t="n"/>
      <c r="DE221" s="254" t="n"/>
      <c r="DF221" s="254" t="n"/>
      <c r="DG221" s="254" t="n"/>
      <c r="DH221" s="254" t="n"/>
      <c r="DI221" s="254" t="n"/>
      <c r="DJ221" s="254" t="inlineStr">
        <is>
          <t>T</t>
        </is>
      </c>
      <c r="DK221" s="254" t="n">
        <v>15</v>
      </c>
      <c r="DL221" s="95" t="n">
        <v>21</v>
      </c>
      <c r="DM221" s="254" t="n"/>
      <c r="DN221" s="95" t="n"/>
      <c r="DO221" s="95" t="n"/>
    </row>
    <row r="222" ht="13" customHeight="1">
      <c r="A222" s="215" t="inlineStr">
        <is>
          <t>CPS-11</t>
        </is>
      </c>
      <c r="B222" s="260"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259" t="inlineStr">
        <is>
          <t>532MACPS</t>
        </is>
      </c>
      <c r="BL222" s="61" t="inlineStr">
        <is>
          <t>GMAP-SIGA</t>
        </is>
      </c>
      <c r="BM222" s="254" t="inlineStr">
        <is>
          <t>NF</t>
        </is>
      </c>
      <c r="BN222" s="266" t="inlineStr">
        <is>
          <t>Jachucoposa</t>
        </is>
      </c>
      <c r="BO222" s="254"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4" t="n"/>
      <c r="DB222" s="254" t="n"/>
      <c r="DC222" s="254" t="n"/>
      <c r="DD222" s="254" t="n"/>
      <c r="DE222" s="254" t="n"/>
      <c r="DF222" s="254" t="n"/>
      <c r="DG222" s="254" t="n"/>
      <c r="DH222" s="254" t="n"/>
      <c r="DI222" s="254" t="n"/>
      <c r="DJ222" s="254" t="inlineStr">
        <is>
          <t>T</t>
        </is>
      </c>
      <c r="DK222" s="254" t="n">
        <v>15</v>
      </c>
      <c r="DL222" s="95" t="n">
        <v>21</v>
      </c>
      <c r="DM222" s="254" t="n"/>
      <c r="DN222" s="95" t="n"/>
      <c r="DO222" s="95" t="n"/>
    </row>
    <row r="223" ht="13" customHeight="1">
      <c r="A223" s="215" t="inlineStr">
        <is>
          <t>CPS-12</t>
        </is>
      </c>
      <c r="B223" s="260"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259" t="inlineStr">
        <is>
          <t>532MACPS</t>
        </is>
      </c>
      <c r="BL223" s="61" t="inlineStr">
        <is>
          <t>GMAP-SIGA</t>
        </is>
      </c>
      <c r="BM223" s="254" t="inlineStr">
        <is>
          <t>NF</t>
        </is>
      </c>
      <c r="BN223" s="266" t="inlineStr">
        <is>
          <t>Jachucoposa</t>
        </is>
      </c>
      <c r="BO223" s="254"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4" t="n"/>
      <c r="DB223" s="254" t="n"/>
      <c r="DC223" s="254" t="n"/>
      <c r="DD223" s="254" t="n"/>
      <c r="DE223" s="254" t="n"/>
      <c r="DF223" s="254" t="n"/>
      <c r="DG223" s="254" t="n"/>
      <c r="DH223" s="254" t="n"/>
      <c r="DI223" s="254" t="n"/>
      <c r="DJ223" s="254" t="inlineStr">
        <is>
          <t>T</t>
        </is>
      </c>
      <c r="DK223" s="254" t="n">
        <v>15</v>
      </c>
      <c r="DL223" s="95" t="n">
        <v>21</v>
      </c>
      <c r="DM223" s="254" t="n"/>
      <c r="DN223" s="95" t="n"/>
      <c r="DO223" s="95" t="n"/>
    </row>
    <row r="224" ht="13" customHeight="1">
      <c r="A224" s="215" t="inlineStr">
        <is>
          <t>CPS-13</t>
        </is>
      </c>
      <c r="B224" s="260"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259" t="inlineStr">
        <is>
          <t>532MACPS</t>
        </is>
      </c>
      <c r="BL224" s="61" t="inlineStr">
        <is>
          <t>GMAP-SIGA</t>
        </is>
      </c>
      <c r="BM224" s="254" t="inlineStr">
        <is>
          <t>NF</t>
        </is>
      </c>
      <c r="BN224" s="266" t="inlineStr">
        <is>
          <t>Jachucoposa</t>
        </is>
      </c>
      <c r="BO224" s="254"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4" t="n"/>
      <c r="DB224" s="254" t="n"/>
      <c r="DC224" s="254" t="n"/>
      <c r="DD224" s="254" t="n"/>
      <c r="DE224" s="254" t="n"/>
      <c r="DF224" s="254" t="n"/>
      <c r="DG224" s="254" t="n"/>
      <c r="DH224" s="254" t="n"/>
      <c r="DI224" s="254" t="n"/>
      <c r="DJ224" s="254" t="inlineStr">
        <is>
          <t>T</t>
        </is>
      </c>
      <c r="DK224" s="254" t="n">
        <v>15</v>
      </c>
      <c r="DL224" s="95" t="n">
        <v>21</v>
      </c>
      <c r="DM224" s="254" t="n"/>
      <c r="DN224" s="95" t="n"/>
      <c r="DO224" s="95" t="n"/>
    </row>
    <row r="225" ht="13" customHeight="1">
      <c r="A225" s="215" t="inlineStr">
        <is>
          <t>CPS-14</t>
        </is>
      </c>
      <c r="B225" s="260"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259" t="inlineStr">
        <is>
          <t>532MACPS</t>
        </is>
      </c>
      <c r="BL225" s="61" t="inlineStr">
        <is>
          <t>GMAP-SIGA</t>
        </is>
      </c>
      <c r="BM225" s="254" t="inlineStr">
        <is>
          <t>NF</t>
        </is>
      </c>
      <c r="BN225" s="266" t="inlineStr">
        <is>
          <t>Jachucoposa</t>
        </is>
      </c>
      <c r="BO225" s="254"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4" t="n"/>
      <c r="DB225" s="254" t="n"/>
      <c r="DC225" s="254" t="n"/>
      <c r="DD225" s="254" t="n"/>
      <c r="DE225" s="254" t="n"/>
      <c r="DF225" s="254" t="n"/>
      <c r="DG225" s="254" t="n"/>
      <c r="DH225" s="254" t="n"/>
      <c r="DI225" s="254" t="n"/>
      <c r="DJ225" s="254" t="inlineStr">
        <is>
          <t>T</t>
        </is>
      </c>
      <c r="DK225" s="254" t="n">
        <v>15</v>
      </c>
      <c r="DL225" s="95" t="n">
        <v>21</v>
      </c>
      <c r="DM225" s="254" t="n"/>
      <c r="DN225" s="95" t="n"/>
      <c r="DO225" s="95" t="n"/>
    </row>
    <row r="226" ht="13" customHeight="1">
      <c r="A226" s="215" t="inlineStr">
        <is>
          <t>CPS-15</t>
        </is>
      </c>
      <c r="B226" s="260"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259" t="inlineStr">
        <is>
          <t>532MACPS</t>
        </is>
      </c>
      <c r="BL226" s="61" t="inlineStr">
        <is>
          <t>GMAP-SIGA</t>
        </is>
      </c>
      <c r="BM226" s="254" t="inlineStr">
        <is>
          <t>NF</t>
        </is>
      </c>
      <c r="BN226" s="266" t="inlineStr">
        <is>
          <t>Jachucoposa</t>
        </is>
      </c>
      <c r="BO226" s="254"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4" t="n"/>
      <c r="DB226" s="254" t="n"/>
      <c r="DC226" s="254" t="n"/>
      <c r="DD226" s="254" t="n"/>
      <c r="DE226" s="254" t="n"/>
      <c r="DF226" s="254" t="n"/>
      <c r="DG226" s="254" t="n"/>
      <c r="DH226" s="254" t="n"/>
      <c r="DI226" s="254" t="n"/>
      <c r="DJ226" s="254" t="inlineStr">
        <is>
          <t>T</t>
        </is>
      </c>
      <c r="DK226" s="254" t="n">
        <v>15</v>
      </c>
      <c r="DL226" s="95" t="n">
        <v>21</v>
      </c>
      <c r="DM226" s="254" t="n"/>
      <c r="DN226" s="95" t="n"/>
      <c r="DO226" s="95" t="n"/>
    </row>
    <row r="227" ht="13" customHeight="1">
      <c r="A227" s="215" t="inlineStr">
        <is>
          <t>CPS-16</t>
        </is>
      </c>
      <c r="B227" s="260"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259" t="inlineStr">
        <is>
          <t>532MACPS</t>
        </is>
      </c>
      <c r="BL227" s="61" t="inlineStr">
        <is>
          <t>GMAP-SIGA</t>
        </is>
      </c>
      <c r="BM227" s="254" t="inlineStr">
        <is>
          <t>NF</t>
        </is>
      </c>
      <c r="BN227" s="266" t="inlineStr">
        <is>
          <t>Jachucoposa</t>
        </is>
      </c>
      <c r="BO227" s="254"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4" t="n"/>
      <c r="DB227" s="254" t="n"/>
      <c r="DC227" s="254" t="n"/>
      <c r="DD227" s="254" t="n"/>
      <c r="DE227" s="254" t="n"/>
      <c r="DF227" s="254" t="n"/>
      <c r="DG227" s="254" t="n"/>
      <c r="DH227" s="254" t="n"/>
      <c r="DI227" s="254" t="n"/>
      <c r="DJ227" s="254" t="inlineStr">
        <is>
          <t>T</t>
        </is>
      </c>
      <c r="DK227" s="254" t="n">
        <v>15</v>
      </c>
      <c r="DL227" s="95" t="n">
        <v>21</v>
      </c>
      <c r="DM227" s="254" t="n"/>
      <c r="DN227" s="95" t="n"/>
      <c r="DO227" s="95" t="n"/>
    </row>
    <row r="228" ht="13" customHeight="1">
      <c r="A228" s="215" t="inlineStr">
        <is>
          <t>CPS-17</t>
        </is>
      </c>
      <c r="B228" s="260"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259" t="inlineStr">
        <is>
          <t>532MACPS</t>
        </is>
      </c>
      <c r="BL228" s="61" t="inlineStr">
        <is>
          <t>GMAP-SIGA</t>
        </is>
      </c>
      <c r="BM228" s="254" t="inlineStr">
        <is>
          <t>NF</t>
        </is>
      </c>
      <c r="BN228" s="266" t="inlineStr">
        <is>
          <t>Jachucoposa</t>
        </is>
      </c>
      <c r="BO228" s="254"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4" t="n"/>
      <c r="DB228" s="254" t="n"/>
      <c r="DC228" s="254" t="n"/>
      <c r="DD228" s="254" t="n"/>
      <c r="DE228" s="254" t="n"/>
      <c r="DF228" s="254" t="n"/>
      <c r="DG228" s="254" t="n"/>
      <c r="DH228" s="254" t="n"/>
      <c r="DI228" s="254" t="n"/>
      <c r="DJ228" s="254" t="inlineStr">
        <is>
          <t>T</t>
        </is>
      </c>
      <c r="DK228" s="254" t="n">
        <v>15</v>
      </c>
      <c r="DL228" s="95" t="n">
        <v>21</v>
      </c>
      <c r="DM228" s="254" t="n"/>
      <c r="DN228" s="95" t="n"/>
      <c r="DO228" s="95" t="n"/>
    </row>
    <row r="229" ht="13" customHeight="1">
      <c r="A229" s="215" t="inlineStr">
        <is>
          <t>CPS-18</t>
        </is>
      </c>
      <c r="B229" s="260"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259" t="inlineStr">
        <is>
          <t>532MACPS</t>
        </is>
      </c>
      <c r="BL229" s="61" t="inlineStr">
        <is>
          <t>GMAP-SIGA</t>
        </is>
      </c>
      <c r="BM229" s="254" t="inlineStr">
        <is>
          <t>NF</t>
        </is>
      </c>
      <c r="BN229" s="266" t="inlineStr">
        <is>
          <t>Jachucoposa</t>
        </is>
      </c>
      <c r="BO229" s="254"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4" t="n"/>
      <c r="DB229" s="254" t="n"/>
      <c r="DC229" s="254" t="n"/>
      <c r="DD229" s="254" t="n"/>
      <c r="DE229" s="254" t="n"/>
      <c r="DF229" s="254" t="n"/>
      <c r="DG229" s="254" t="n"/>
      <c r="DH229" s="254" t="n"/>
      <c r="DI229" s="254" t="n"/>
      <c r="DJ229" s="254" t="inlineStr">
        <is>
          <t>T</t>
        </is>
      </c>
      <c r="DK229" s="254" t="n">
        <v>15</v>
      </c>
      <c r="DL229" s="95" t="n">
        <v>21</v>
      </c>
      <c r="DM229" s="254" t="n"/>
      <c r="DN229" s="95" t="n"/>
      <c r="DO229" s="95" t="n"/>
    </row>
    <row r="230" ht="13" customHeight="1">
      <c r="A230" s="215" t="inlineStr">
        <is>
          <t>CPS-19</t>
        </is>
      </c>
      <c r="B230" s="260"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259" t="inlineStr">
        <is>
          <t>532MACPS</t>
        </is>
      </c>
      <c r="BL230" s="61" t="inlineStr">
        <is>
          <t>GMAP-SIGA</t>
        </is>
      </c>
      <c r="BM230" s="254" t="inlineStr">
        <is>
          <t>NF</t>
        </is>
      </c>
      <c r="BN230" s="266" t="inlineStr">
        <is>
          <t>Jachucoposa</t>
        </is>
      </c>
      <c r="BO230" s="254"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4" t="n"/>
      <c r="DB230" s="254" t="n"/>
      <c r="DC230" s="254" t="n"/>
      <c r="DD230" s="254" t="n"/>
      <c r="DE230" s="254" t="n"/>
      <c r="DF230" s="254" t="n"/>
      <c r="DG230" s="254" t="n"/>
      <c r="DH230" s="254" t="n"/>
      <c r="DI230" s="254" t="n"/>
      <c r="DJ230" s="254" t="inlineStr">
        <is>
          <t>T</t>
        </is>
      </c>
      <c r="DK230" s="254" t="n">
        <v>15</v>
      </c>
      <c r="DL230" s="95" t="n">
        <v>21</v>
      </c>
      <c r="DM230" s="254" t="n"/>
      <c r="DN230" s="95" t="n"/>
      <c r="DO230" s="95" t="n"/>
    </row>
    <row r="231" ht="13" customHeight="1">
      <c r="A231" s="215" t="inlineStr">
        <is>
          <t>CPS-20</t>
        </is>
      </c>
      <c r="B231" s="260"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259" t="inlineStr">
        <is>
          <t>532MACPS</t>
        </is>
      </c>
      <c r="BL231" s="61" t="inlineStr">
        <is>
          <t>GMAP-SIGA</t>
        </is>
      </c>
      <c r="BM231" s="254" t="inlineStr">
        <is>
          <t>NF</t>
        </is>
      </c>
      <c r="BN231" s="266" t="inlineStr">
        <is>
          <t>Jachucoposa</t>
        </is>
      </c>
      <c r="BO231" s="254"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4" t="n"/>
      <c r="DB231" s="254" t="n"/>
      <c r="DC231" s="254" t="n"/>
      <c r="DD231" s="254" t="n"/>
      <c r="DE231" s="254" t="n"/>
      <c r="DF231" s="254" t="n"/>
      <c r="DG231" s="254" t="n"/>
      <c r="DH231" s="254" t="n"/>
      <c r="DI231" s="254" t="n"/>
      <c r="DJ231" s="254" t="inlineStr">
        <is>
          <t>M</t>
        </is>
      </c>
      <c r="DK231" s="254" t="n">
        <v>15</v>
      </c>
      <c r="DL231" s="95" t="n">
        <v>21</v>
      </c>
      <c r="DM231" s="254" t="n"/>
      <c r="DN231" s="95" t="n"/>
      <c r="DO231" s="95" t="n"/>
    </row>
    <row r="232" ht="13" customHeight="1">
      <c r="A232" s="215" t="inlineStr">
        <is>
          <t>CPS-21</t>
        </is>
      </c>
      <c r="B232" s="260"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259" t="inlineStr">
        <is>
          <t>532MACPS</t>
        </is>
      </c>
      <c r="BL232" s="61" t="inlineStr">
        <is>
          <t>GMAP-SIGA</t>
        </is>
      </c>
      <c r="BM232" s="254" t="inlineStr">
        <is>
          <t>NF</t>
        </is>
      </c>
      <c r="BN232" s="266" t="inlineStr">
        <is>
          <t>Jachucoposa</t>
        </is>
      </c>
      <c r="BO232" s="254"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4" t="n"/>
      <c r="DB232" s="254" t="n"/>
      <c r="DC232" s="254" t="n"/>
      <c r="DD232" s="254" t="n"/>
      <c r="DE232" s="254" t="n"/>
      <c r="DF232" s="254" t="n"/>
      <c r="DG232" s="254" t="n"/>
      <c r="DH232" s="254" t="n"/>
      <c r="DI232" s="254" t="n"/>
      <c r="DJ232" s="254" t="inlineStr">
        <is>
          <t>T</t>
        </is>
      </c>
      <c r="DK232" s="254" t="n">
        <v>15</v>
      </c>
      <c r="DL232" s="95" t="n">
        <v>21</v>
      </c>
      <c r="DM232" s="254" t="n"/>
      <c r="DN232" s="95" t="n"/>
      <c r="DO232" s="95" t="n"/>
    </row>
    <row r="233" ht="13" customHeight="1">
      <c r="A233" s="215" t="inlineStr">
        <is>
          <t>CPS-22</t>
        </is>
      </c>
      <c r="B233" s="260"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259" t="inlineStr">
        <is>
          <t>532MACPS</t>
        </is>
      </c>
      <c r="BL233" s="61" t="inlineStr">
        <is>
          <t>GMAP-SIGA</t>
        </is>
      </c>
      <c r="BM233" s="254" t="inlineStr">
        <is>
          <t>NF</t>
        </is>
      </c>
      <c r="BN233" s="266" t="inlineStr">
        <is>
          <t>Jachucoposa</t>
        </is>
      </c>
      <c r="BO233" s="254"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4" t="n"/>
      <c r="DB233" s="254" t="n"/>
      <c r="DC233" s="254" t="n"/>
      <c r="DD233" s="254" t="n"/>
      <c r="DE233" s="254" t="n"/>
      <c r="DF233" s="254" t="n"/>
      <c r="DG233" s="254" t="n"/>
      <c r="DH233" s="254" t="n"/>
      <c r="DI233" s="254" t="n"/>
      <c r="DJ233" s="254" t="inlineStr">
        <is>
          <t>T</t>
        </is>
      </c>
      <c r="DK233" s="254" t="n">
        <v>15</v>
      </c>
      <c r="DL233" s="95" t="n">
        <v>21</v>
      </c>
      <c r="DM233" s="254" t="n"/>
      <c r="DN233" s="95" t="n"/>
      <c r="DO233" s="95" t="n"/>
    </row>
    <row r="234" ht="13" customHeight="1">
      <c r="A234" s="203" t="inlineStr">
        <is>
          <t>CPS-23</t>
        </is>
      </c>
      <c r="B234" s="260"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259" t="inlineStr">
        <is>
          <t>532MACPS</t>
        </is>
      </c>
      <c r="BL234" s="61" t="inlineStr">
        <is>
          <t>GMAP-SIGA</t>
        </is>
      </c>
      <c r="BM234" s="254" t="inlineStr">
        <is>
          <t>NF</t>
        </is>
      </c>
      <c r="BN234" s="266" t="inlineStr">
        <is>
          <t>Jachucoposa</t>
        </is>
      </c>
      <c r="BO234" s="254"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4" t="n"/>
      <c r="DB234" s="254" t="n"/>
      <c r="DC234" s="254" t="n"/>
      <c r="DD234" s="254" t="n"/>
      <c r="DE234" s="254" t="n"/>
      <c r="DF234" s="254" t="n"/>
      <c r="DG234" s="254" t="n"/>
      <c r="DH234" s="254" t="n"/>
      <c r="DI234" s="254" t="n"/>
      <c r="DJ234" s="254" t="inlineStr">
        <is>
          <t>M</t>
        </is>
      </c>
      <c r="DK234" s="254" t="n">
        <v>15</v>
      </c>
      <c r="DL234" s="95" t="n">
        <v>21</v>
      </c>
      <c r="DM234" s="254" t="n"/>
      <c r="DN234" s="95" t="n"/>
      <c r="DO234" s="95" t="n"/>
    </row>
    <row r="235" ht="13" customHeight="1">
      <c r="A235" s="203" t="inlineStr">
        <is>
          <t>CPS-24</t>
        </is>
      </c>
      <c r="B235" s="260"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259" t="inlineStr">
        <is>
          <t>532MACPS</t>
        </is>
      </c>
      <c r="BL235" s="61" t="inlineStr">
        <is>
          <t>GMAP-SIGA</t>
        </is>
      </c>
      <c r="BM235" s="254" t="inlineStr">
        <is>
          <t>NF</t>
        </is>
      </c>
      <c r="BN235" s="266" t="inlineStr">
        <is>
          <t>Jachucoposa</t>
        </is>
      </c>
      <c r="BO235" s="254"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4" t="n"/>
      <c r="DB235" s="254" t="n"/>
      <c r="DC235" s="254" t="n"/>
      <c r="DD235" s="254" t="n"/>
      <c r="DE235" s="254" t="n"/>
      <c r="DF235" s="254" t="n"/>
      <c r="DG235" s="254" t="n"/>
      <c r="DH235" s="254" t="n"/>
      <c r="DI235" s="254" t="n"/>
      <c r="DJ235" s="254" t="inlineStr">
        <is>
          <t>T</t>
        </is>
      </c>
      <c r="DK235" s="254" t="n">
        <v>15</v>
      </c>
      <c r="DL235" s="95" t="n">
        <v>21</v>
      </c>
      <c r="DM235" s="254" t="n"/>
      <c r="DN235" s="95" t="n"/>
      <c r="DO235" s="95" t="n"/>
    </row>
    <row r="236" ht="13" customHeight="1">
      <c r="A236" s="203" t="inlineStr">
        <is>
          <t>CPS-25</t>
        </is>
      </c>
      <c r="B236" s="260"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259" t="inlineStr">
        <is>
          <t>532MACPS</t>
        </is>
      </c>
      <c r="BL236" s="61" t="inlineStr">
        <is>
          <t>GMAP-SIGA</t>
        </is>
      </c>
      <c r="BM236" s="254" t="inlineStr">
        <is>
          <t>NF</t>
        </is>
      </c>
      <c r="BN236" s="266" t="inlineStr">
        <is>
          <t>Jachucoposa</t>
        </is>
      </c>
      <c r="BO236" s="254"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4" t="n"/>
      <c r="DB236" s="254" t="n"/>
      <c r="DC236" s="254" t="n"/>
      <c r="DD236" s="254" t="n"/>
      <c r="DE236" s="254" t="n"/>
      <c r="DF236" s="254" t="n"/>
      <c r="DG236" s="254" t="n"/>
      <c r="DH236" s="254" t="n"/>
      <c r="DI236" s="254" t="n"/>
      <c r="DJ236" s="254" t="inlineStr">
        <is>
          <t>T</t>
        </is>
      </c>
      <c r="DK236" s="254" t="n">
        <v>15</v>
      </c>
      <c r="DL236" s="95" t="n">
        <v>21</v>
      </c>
      <c r="DM236" s="254" t="n"/>
      <c r="DN236" s="95" t="n"/>
      <c r="DO236" s="95" t="n"/>
    </row>
    <row r="237" ht="13" customHeight="1">
      <c r="A237" s="203" t="inlineStr">
        <is>
          <t>CPS-26</t>
        </is>
      </c>
      <c r="B237" s="260"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259" t="inlineStr">
        <is>
          <t>532MACPS</t>
        </is>
      </c>
      <c r="BL237" s="61" t="inlineStr">
        <is>
          <t>GMAP-SIGA</t>
        </is>
      </c>
      <c r="BM237" s="254" t="inlineStr">
        <is>
          <t>NF</t>
        </is>
      </c>
      <c r="BN237" s="266" t="inlineStr">
        <is>
          <t>Jachucoposa</t>
        </is>
      </c>
      <c r="BO237" s="254"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4" t="n"/>
      <c r="DB237" s="254" t="n"/>
      <c r="DC237" s="254" t="n"/>
      <c r="DD237" s="254" t="n"/>
      <c r="DE237" s="254" t="n"/>
      <c r="DF237" s="254" t="n"/>
      <c r="DG237" s="254" t="n"/>
      <c r="DH237" s="254" t="n"/>
      <c r="DI237" s="254" t="n"/>
      <c r="DJ237" s="254" t="inlineStr">
        <is>
          <t>T</t>
        </is>
      </c>
      <c r="DK237" s="254" t="n">
        <v>15</v>
      </c>
      <c r="DL237" s="95" t="n">
        <v>21</v>
      </c>
      <c r="DM237" s="254" t="n"/>
      <c r="DN237" s="95" t="n"/>
      <c r="DO237" s="95" t="n"/>
    </row>
    <row r="238" ht="13" customHeight="1">
      <c r="A238" s="215" t="inlineStr">
        <is>
          <t>CPS-27</t>
        </is>
      </c>
      <c r="B238" s="260"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259" t="inlineStr">
        <is>
          <t>532MACPS</t>
        </is>
      </c>
      <c r="BL238" s="61" t="inlineStr">
        <is>
          <t>GMAP-SIGA</t>
        </is>
      </c>
      <c r="BM238" s="254" t="inlineStr">
        <is>
          <t>NF</t>
        </is>
      </c>
      <c r="BN238" s="266" t="inlineStr">
        <is>
          <t>Jachucoposa</t>
        </is>
      </c>
      <c r="BO238" s="254"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4" t="n"/>
      <c r="DB238" s="254" t="n"/>
      <c r="DC238" s="254" t="n"/>
      <c r="DD238" s="254" t="n"/>
      <c r="DE238" s="254" t="n"/>
      <c r="DF238" s="254" t="n"/>
      <c r="DG238" s="254" t="n"/>
      <c r="DH238" s="254" t="n"/>
      <c r="DI238" s="254" t="n"/>
      <c r="DJ238" s="254" t="inlineStr">
        <is>
          <t>T</t>
        </is>
      </c>
      <c r="DK238" s="254" t="n">
        <v>15</v>
      </c>
      <c r="DL238" s="95" t="n">
        <v>21</v>
      </c>
      <c r="DM238" s="254" t="n"/>
      <c r="DN238" s="95" t="n"/>
      <c r="DO238" s="95" t="n"/>
    </row>
    <row r="239" ht="13" customHeight="1">
      <c r="A239" s="215" t="inlineStr">
        <is>
          <t>CPS-28</t>
        </is>
      </c>
      <c r="B239" s="260"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259" t="inlineStr">
        <is>
          <t>532MACPS</t>
        </is>
      </c>
      <c r="BL239" s="61" t="inlineStr">
        <is>
          <t>GMAP-SIGA</t>
        </is>
      </c>
      <c r="BM239" s="254" t="inlineStr">
        <is>
          <t>NF</t>
        </is>
      </c>
      <c r="BN239" s="266" t="inlineStr">
        <is>
          <t>Jachucoposa</t>
        </is>
      </c>
      <c r="BO239" s="254"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4" t="n"/>
      <c r="DB239" s="254" t="n"/>
      <c r="DC239" s="254" t="n"/>
      <c r="DD239" s="254" t="n"/>
      <c r="DE239" s="254" t="n"/>
      <c r="DF239" s="254" t="n"/>
      <c r="DG239" s="254" t="n"/>
      <c r="DH239" s="254" t="n"/>
      <c r="DI239" s="254" t="n"/>
      <c r="DJ239" s="254" t="inlineStr">
        <is>
          <t>T</t>
        </is>
      </c>
      <c r="DK239" s="254" t="n">
        <v>15</v>
      </c>
      <c r="DL239" s="95" t="n">
        <v>21</v>
      </c>
      <c r="DM239" s="254" t="n"/>
      <c r="DN239" s="95" t="n"/>
      <c r="DO239" s="95" t="n"/>
    </row>
    <row r="240" ht="13" customHeight="1">
      <c r="A240" s="215" t="inlineStr">
        <is>
          <t>CPS-33</t>
        </is>
      </c>
      <c r="B240" s="260"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259" t="inlineStr">
        <is>
          <t>532MACPS</t>
        </is>
      </c>
      <c r="BL240" s="61" t="inlineStr">
        <is>
          <t>GMAP-SIGA</t>
        </is>
      </c>
      <c r="BM240" s="254" t="inlineStr">
        <is>
          <t>NF</t>
        </is>
      </c>
      <c r="BN240" s="266" t="inlineStr">
        <is>
          <t>Jachucoposa</t>
        </is>
      </c>
      <c r="BO240" s="254"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4" t="n"/>
      <c r="DB240" s="254" t="n"/>
      <c r="DC240" s="254" t="n"/>
      <c r="DD240" s="254" t="n"/>
      <c r="DE240" s="254" t="n"/>
      <c r="DF240" s="254" t="n"/>
      <c r="DG240" s="254" t="n"/>
      <c r="DH240" s="254" t="n"/>
      <c r="DI240" s="254" t="n"/>
      <c r="DJ240" s="254" t="inlineStr">
        <is>
          <t>T</t>
        </is>
      </c>
      <c r="DK240" s="254" t="n">
        <v>15</v>
      </c>
      <c r="DL240" s="95" t="n">
        <v>21</v>
      </c>
      <c r="DM240" s="254" t="n"/>
      <c r="DN240" s="95" t="n"/>
      <c r="DO240" s="95" t="n"/>
    </row>
    <row r="241" ht="13" customHeight="1">
      <c r="A241" s="215" t="inlineStr">
        <is>
          <t>CPS-34</t>
        </is>
      </c>
      <c r="B241" s="260"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259" t="inlineStr">
        <is>
          <t>532MACPS</t>
        </is>
      </c>
      <c r="BL241" s="61" t="inlineStr">
        <is>
          <t>GMAP-SIGA</t>
        </is>
      </c>
      <c r="BM241" s="254" t="inlineStr">
        <is>
          <t>NF</t>
        </is>
      </c>
      <c r="BN241" s="266" t="inlineStr">
        <is>
          <t>Jachucoposa</t>
        </is>
      </c>
      <c r="BO241" s="254"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4" t="n"/>
      <c r="DB241" s="254" t="n"/>
      <c r="DC241" s="254" t="n"/>
      <c r="DD241" s="254" t="n"/>
      <c r="DE241" s="254" t="n"/>
      <c r="DF241" s="254" t="n"/>
      <c r="DG241" s="254" t="n"/>
      <c r="DH241" s="254" t="n"/>
      <c r="DI241" s="254" t="n"/>
      <c r="DJ241" s="254" t="inlineStr">
        <is>
          <t>T</t>
        </is>
      </c>
      <c r="DK241" s="254" t="n">
        <v>15</v>
      </c>
      <c r="DL241" s="95" t="n">
        <v>21</v>
      </c>
      <c r="DM241" s="254" t="n"/>
      <c r="DN241" s="95" t="n"/>
      <c r="DO241" s="95" t="n"/>
    </row>
    <row r="242" ht="13" customHeight="1">
      <c r="A242" s="215" t="inlineStr">
        <is>
          <t>CPS-35</t>
        </is>
      </c>
      <c r="B242" s="260"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259" t="inlineStr">
        <is>
          <t>532MACPS</t>
        </is>
      </c>
      <c r="BL242" s="61" t="inlineStr">
        <is>
          <t>GMAP-SIGA</t>
        </is>
      </c>
      <c r="BM242" s="254" t="inlineStr">
        <is>
          <t>NF</t>
        </is>
      </c>
      <c r="BN242" s="266" t="inlineStr">
        <is>
          <t>Jachucoposa</t>
        </is>
      </c>
      <c r="BO242" s="254"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4" t="n"/>
      <c r="DB242" s="254" t="n"/>
      <c r="DC242" s="254" t="n"/>
      <c r="DD242" s="254" t="n"/>
      <c r="DE242" s="254" t="n"/>
      <c r="DF242" s="254" t="n"/>
      <c r="DG242" s="254" t="n"/>
      <c r="DH242" s="254" t="n"/>
      <c r="DI242" s="254" t="n"/>
      <c r="DJ242" s="254" t="inlineStr">
        <is>
          <t>T</t>
        </is>
      </c>
      <c r="DK242" s="254" t="n">
        <v>15</v>
      </c>
      <c r="DL242" s="95" t="n">
        <v>21</v>
      </c>
      <c r="DM242" s="254" t="n"/>
      <c r="DN242" s="95" t="n"/>
      <c r="DO242" s="95" t="n"/>
    </row>
    <row r="243" ht="13" customHeight="1">
      <c r="A243" s="215" t="inlineStr">
        <is>
          <t>CPS-36</t>
        </is>
      </c>
      <c r="B243" s="260"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259" t="inlineStr">
        <is>
          <t>532MACPS</t>
        </is>
      </c>
      <c r="BL243" s="61" t="inlineStr">
        <is>
          <t>GMAP-SIGA</t>
        </is>
      </c>
      <c r="BM243" s="254" t="inlineStr">
        <is>
          <t>NF</t>
        </is>
      </c>
      <c r="BN243" s="266" t="inlineStr">
        <is>
          <t>Jachucoposa</t>
        </is>
      </c>
      <c r="BO243" s="254"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4" t="n"/>
      <c r="DB243" s="254" t="n"/>
      <c r="DC243" s="254" t="n"/>
      <c r="DD243" s="254" t="n"/>
      <c r="DE243" s="254" t="n"/>
      <c r="DF243" s="254" t="n"/>
      <c r="DG243" s="254" t="n"/>
      <c r="DH243" s="254" t="n"/>
      <c r="DI243" s="254" t="n"/>
      <c r="DJ243" s="254" t="inlineStr">
        <is>
          <t>T</t>
        </is>
      </c>
      <c r="DK243" s="254" t="n">
        <v>15</v>
      </c>
      <c r="DL243" s="95" t="n">
        <v>21</v>
      </c>
      <c r="DM243" s="254" t="n"/>
      <c r="DN243" s="95" t="n"/>
      <c r="DO243" s="95" t="n"/>
    </row>
    <row r="244" ht="13" customHeight="1">
      <c r="A244" s="215" t="inlineStr">
        <is>
          <t>CPS-37</t>
        </is>
      </c>
      <c r="B244" s="260"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259" t="inlineStr">
        <is>
          <t>532MACPS</t>
        </is>
      </c>
      <c r="BL244" s="61" t="inlineStr">
        <is>
          <t>GMAP-SIGA</t>
        </is>
      </c>
      <c r="BM244" s="254" t="inlineStr">
        <is>
          <t>NF</t>
        </is>
      </c>
      <c r="BN244" s="266" t="inlineStr">
        <is>
          <t>Jachucoposa</t>
        </is>
      </c>
      <c r="BO244" s="254"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4" t="n"/>
      <c r="DB244" s="254" t="n"/>
      <c r="DC244" s="254" t="n"/>
      <c r="DD244" s="254" t="n"/>
      <c r="DE244" s="254" t="n"/>
      <c r="DF244" s="254" t="n"/>
      <c r="DG244" s="254" t="n"/>
      <c r="DH244" s="254" t="n"/>
      <c r="DI244" s="254" t="n"/>
      <c r="DJ244" s="254" t="inlineStr">
        <is>
          <t>T</t>
        </is>
      </c>
      <c r="DK244" s="254" t="n">
        <v>15</v>
      </c>
      <c r="DL244" s="95" t="n">
        <v>21</v>
      </c>
      <c r="DM244" s="254" t="n"/>
      <c r="DN244" s="95" t="n"/>
      <c r="DO244" s="95" t="n"/>
    </row>
    <row r="245" ht="13" customHeight="1">
      <c r="A245" s="215" t="inlineStr">
        <is>
          <t>CPS-38</t>
        </is>
      </c>
      <c r="B245" s="260"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259" t="inlineStr">
        <is>
          <t>532MACPS</t>
        </is>
      </c>
      <c r="BL245" s="61" t="inlineStr">
        <is>
          <t>GMAP-SIGA</t>
        </is>
      </c>
      <c r="BM245" s="254" t="inlineStr">
        <is>
          <t>NF</t>
        </is>
      </c>
      <c r="BN245" s="266" t="inlineStr">
        <is>
          <t>Jachucoposa</t>
        </is>
      </c>
      <c r="BO245" s="254"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4" t="n"/>
      <c r="DB245" s="254" t="n"/>
      <c r="DC245" s="254" t="n"/>
      <c r="DD245" s="254" t="n"/>
      <c r="DE245" s="254" t="n"/>
      <c r="DF245" s="254" t="n"/>
      <c r="DG245" s="254" t="n"/>
      <c r="DH245" s="254" t="n"/>
      <c r="DI245" s="254" t="n"/>
      <c r="DJ245" s="254" t="inlineStr">
        <is>
          <t>T</t>
        </is>
      </c>
      <c r="DK245" s="254" t="n">
        <v>15</v>
      </c>
      <c r="DL245" s="95" t="n">
        <v>21</v>
      </c>
      <c r="DM245" s="254" t="n"/>
      <c r="DN245" s="95" t="n"/>
      <c r="DO245" s="95" t="n"/>
    </row>
    <row r="246" ht="13" customHeight="1">
      <c r="A246" s="215" t="inlineStr">
        <is>
          <t>CPS-40</t>
        </is>
      </c>
      <c r="B246" s="260"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259" t="inlineStr">
        <is>
          <t>532MACPS</t>
        </is>
      </c>
      <c r="BL246" s="61" t="inlineStr">
        <is>
          <t>GMAP-SIGA</t>
        </is>
      </c>
      <c r="BM246" s="254" t="inlineStr">
        <is>
          <t>NF</t>
        </is>
      </c>
      <c r="BN246" s="266" t="inlineStr">
        <is>
          <t>Jachucoposa</t>
        </is>
      </c>
      <c r="BO246" s="254"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4" t="n"/>
      <c r="DB246" s="254" t="n"/>
      <c r="DC246" s="254" t="n"/>
      <c r="DD246" s="254" t="n"/>
      <c r="DE246" s="254" t="n"/>
      <c r="DF246" s="254" t="n"/>
      <c r="DG246" s="254" t="n"/>
      <c r="DH246" s="254" t="n"/>
      <c r="DI246" s="254" t="n"/>
      <c r="DJ246" s="254" t="inlineStr">
        <is>
          <t>T</t>
        </is>
      </c>
      <c r="DK246" s="254" t="n">
        <v>15</v>
      </c>
      <c r="DL246" s="95" t="n">
        <v>21</v>
      </c>
      <c r="DM246" s="254" t="n"/>
      <c r="DN246" s="95" t="n"/>
      <c r="DO246" s="95" t="n"/>
    </row>
    <row r="247" ht="13" customHeight="1">
      <c r="A247" s="215" t="inlineStr">
        <is>
          <t>CPS-41</t>
        </is>
      </c>
      <c r="B247" s="260"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259" t="inlineStr">
        <is>
          <t>532MACPS</t>
        </is>
      </c>
      <c r="BL247" s="61" t="inlineStr">
        <is>
          <t>GMAP-SIGA</t>
        </is>
      </c>
      <c r="BM247" s="254" t="inlineStr">
        <is>
          <t>NF</t>
        </is>
      </c>
      <c r="BN247" s="266" t="inlineStr">
        <is>
          <t>Jachucoposa</t>
        </is>
      </c>
      <c r="BO247" s="254"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4" t="n"/>
      <c r="DB247" s="254" t="n"/>
      <c r="DC247" s="254" t="n"/>
      <c r="DD247" s="254" t="n"/>
      <c r="DE247" s="254" t="n"/>
      <c r="DF247" s="254" t="n"/>
      <c r="DG247" s="254" t="n"/>
      <c r="DH247" s="254" t="n"/>
      <c r="DI247" s="254" t="n"/>
      <c r="DJ247" s="254" t="inlineStr">
        <is>
          <t>T</t>
        </is>
      </c>
      <c r="DK247" s="254" t="n">
        <v>15</v>
      </c>
      <c r="DL247" s="95" t="n">
        <v>21</v>
      </c>
      <c r="DM247" s="254" t="n"/>
      <c r="DN247" s="95" t="n"/>
      <c r="DO247" s="95" t="n"/>
    </row>
    <row r="248" ht="13" customHeight="1">
      <c r="A248" s="215" t="inlineStr">
        <is>
          <t>CPS-43</t>
        </is>
      </c>
      <c r="B248" s="260"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259" t="inlineStr">
        <is>
          <t>532MACPS</t>
        </is>
      </c>
      <c r="BL248" s="61" t="inlineStr">
        <is>
          <t>GMAP-SIGA</t>
        </is>
      </c>
      <c r="BM248" s="254" t="inlineStr">
        <is>
          <t>NF</t>
        </is>
      </c>
      <c r="BN248" s="266" t="inlineStr">
        <is>
          <t>Jachucoposa</t>
        </is>
      </c>
      <c r="BO248" s="254"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4" t="n"/>
      <c r="DB248" s="254" t="n"/>
      <c r="DC248" s="254" t="n"/>
      <c r="DD248" s="254" t="n"/>
      <c r="DE248" s="254" t="n"/>
      <c r="DF248" s="254" t="n"/>
      <c r="DG248" s="254" t="n"/>
      <c r="DH248" s="254" t="n"/>
      <c r="DI248" s="254" t="n"/>
      <c r="DJ248" s="254" t="inlineStr">
        <is>
          <t>T</t>
        </is>
      </c>
      <c r="DK248" s="254" t="n">
        <v>15</v>
      </c>
      <c r="DL248" s="95" t="n">
        <v>21</v>
      </c>
      <c r="DM248" s="254" t="n"/>
      <c r="DN248" s="95" t="n"/>
      <c r="DO248" s="95" t="n"/>
    </row>
    <row r="249" ht="13" customHeight="1">
      <c r="A249" s="215" t="inlineStr">
        <is>
          <t>CPS-44</t>
        </is>
      </c>
      <c r="B249" s="260"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259" t="inlineStr">
        <is>
          <t>532MACPS</t>
        </is>
      </c>
      <c r="BL249" s="61" t="inlineStr">
        <is>
          <t>GMAP-SIGA</t>
        </is>
      </c>
      <c r="BM249" s="254" t="inlineStr">
        <is>
          <t>NF</t>
        </is>
      </c>
      <c r="BN249" s="266" t="inlineStr">
        <is>
          <t>Jachucoposa</t>
        </is>
      </c>
      <c r="BO249" s="254"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4" t="n"/>
      <c r="DB249" s="254" t="n"/>
      <c r="DC249" s="254" t="n"/>
      <c r="DD249" s="254" t="n"/>
      <c r="DE249" s="254" t="n"/>
      <c r="DF249" s="254" t="n"/>
      <c r="DG249" s="254" t="n"/>
      <c r="DH249" s="254" t="n"/>
      <c r="DI249" s="254" t="n"/>
      <c r="DJ249" s="254" t="inlineStr">
        <is>
          <t>T</t>
        </is>
      </c>
      <c r="DK249" s="254" t="n">
        <v>15</v>
      </c>
      <c r="DL249" s="95" t="n">
        <v>21</v>
      </c>
      <c r="DM249" s="254" t="n"/>
      <c r="DN249" s="95" t="n"/>
      <c r="DO249" s="95" t="n"/>
    </row>
    <row r="250" ht="13" customHeight="1">
      <c r="A250" s="215" t="inlineStr">
        <is>
          <t>CPS-45</t>
        </is>
      </c>
      <c r="B250" s="260"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259" t="inlineStr">
        <is>
          <t>532MACPS</t>
        </is>
      </c>
      <c r="BL250" s="61" t="inlineStr">
        <is>
          <t>GMAP-SIGA</t>
        </is>
      </c>
      <c r="BM250" s="254" t="inlineStr">
        <is>
          <t>NF</t>
        </is>
      </c>
      <c r="BN250" s="266" t="inlineStr">
        <is>
          <t>Jachucoposa</t>
        </is>
      </c>
      <c r="BO250" s="254"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4" t="n"/>
      <c r="DB250" s="254" t="n"/>
      <c r="DC250" s="254" t="n"/>
      <c r="DD250" s="254" t="n"/>
      <c r="DE250" s="254" t="n"/>
      <c r="DF250" s="254" t="n"/>
      <c r="DG250" s="254" t="n"/>
      <c r="DH250" s="254" t="n"/>
      <c r="DI250" s="254" t="n"/>
      <c r="DJ250" s="254" t="inlineStr">
        <is>
          <t>T</t>
        </is>
      </c>
      <c r="DK250" s="254" t="n">
        <v>15</v>
      </c>
      <c r="DL250" s="95" t="n">
        <v>21</v>
      </c>
      <c r="DM250" s="254" t="n"/>
      <c r="DN250" s="95" t="n"/>
      <c r="DO250" s="95" t="n"/>
    </row>
    <row r="251" ht="13" customHeight="1">
      <c r="A251" s="215" t="inlineStr">
        <is>
          <t>CPS-46</t>
        </is>
      </c>
      <c r="B251" s="260"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259" t="inlineStr">
        <is>
          <t>532MACPS</t>
        </is>
      </c>
      <c r="BL251" s="61" t="inlineStr">
        <is>
          <t>GMAP-SIGA</t>
        </is>
      </c>
      <c r="BM251" s="254" t="inlineStr">
        <is>
          <t>NF</t>
        </is>
      </c>
      <c r="BN251" s="266" t="inlineStr">
        <is>
          <t>Jachucoposa</t>
        </is>
      </c>
      <c r="BO251" s="254"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4" t="n"/>
      <c r="DB251" s="254" t="n"/>
      <c r="DC251" s="254" t="n"/>
      <c r="DD251" s="254" t="n"/>
      <c r="DE251" s="254" t="n"/>
      <c r="DF251" s="254" t="n"/>
      <c r="DG251" s="254" t="n"/>
      <c r="DH251" s="254" t="n"/>
      <c r="DI251" s="254" t="n"/>
      <c r="DJ251" s="254" t="inlineStr">
        <is>
          <t>T</t>
        </is>
      </c>
      <c r="DK251" s="254" t="n">
        <v>15</v>
      </c>
      <c r="DL251" s="95" t="n">
        <v>21</v>
      </c>
      <c r="DM251" s="254" t="n"/>
      <c r="DN251" s="95" t="n"/>
      <c r="DO251" s="95" t="n"/>
    </row>
    <row r="252" ht="13" customHeight="1">
      <c r="A252" s="215" t="inlineStr">
        <is>
          <t>CPS-47</t>
        </is>
      </c>
      <c r="B252" s="260"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259" t="inlineStr">
        <is>
          <t>532MACPS</t>
        </is>
      </c>
      <c r="BL252" s="61" t="inlineStr">
        <is>
          <t>GMAP-SIGA</t>
        </is>
      </c>
      <c r="BM252" s="254" t="inlineStr">
        <is>
          <t>NF</t>
        </is>
      </c>
      <c r="BN252" s="266" t="inlineStr">
        <is>
          <t>Jachucoposa</t>
        </is>
      </c>
      <c r="BO252" s="254"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4" t="n"/>
      <c r="DB252" s="254" t="n"/>
      <c r="DC252" s="254" t="n"/>
      <c r="DD252" s="254" t="n"/>
      <c r="DE252" s="254" t="n"/>
      <c r="DF252" s="254" t="n"/>
      <c r="DG252" s="254" t="n"/>
      <c r="DH252" s="254" t="n"/>
      <c r="DI252" s="254" t="n"/>
      <c r="DJ252" s="254" t="inlineStr">
        <is>
          <t>T</t>
        </is>
      </c>
      <c r="DK252" s="254" t="n">
        <v>15</v>
      </c>
      <c r="DL252" s="95" t="n">
        <v>21</v>
      </c>
      <c r="DM252" s="254" t="n"/>
      <c r="DN252" s="95" t="n"/>
      <c r="DO252" s="95" t="n"/>
    </row>
    <row r="253" ht="13" customHeight="1">
      <c r="A253" s="215" t="inlineStr">
        <is>
          <t>CPS-48</t>
        </is>
      </c>
      <c r="B253" s="260"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259" t="inlineStr">
        <is>
          <t>532MACPS</t>
        </is>
      </c>
      <c r="BL253" s="61" t="inlineStr">
        <is>
          <t>GMAP-SIGA</t>
        </is>
      </c>
      <c r="BM253" s="254" t="inlineStr">
        <is>
          <t>NF</t>
        </is>
      </c>
      <c r="BN253" s="266" t="inlineStr">
        <is>
          <t>Jachucoposa</t>
        </is>
      </c>
      <c r="BO253" s="254"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4" t="n"/>
      <c r="DB253" s="254" t="n"/>
      <c r="DC253" s="254" t="n"/>
      <c r="DD253" s="254" t="n"/>
      <c r="DE253" s="254" t="n"/>
      <c r="DF253" s="254" t="n"/>
      <c r="DG253" s="254" t="n"/>
      <c r="DH253" s="254" t="n"/>
      <c r="DI253" s="254" t="n"/>
      <c r="DJ253" s="254" t="inlineStr">
        <is>
          <t>T</t>
        </is>
      </c>
      <c r="DK253" s="254" t="n">
        <v>15</v>
      </c>
      <c r="DL253" s="95" t="n">
        <v>21</v>
      </c>
      <c r="DM253" s="254" t="n"/>
      <c r="DN253" s="95" t="n"/>
      <c r="DO253" s="95" t="n"/>
    </row>
    <row r="254" ht="13" customHeight="1">
      <c r="A254" s="215" t="inlineStr">
        <is>
          <t>CPS-49</t>
        </is>
      </c>
      <c r="B254" s="260"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259" t="inlineStr">
        <is>
          <t>532MACPS</t>
        </is>
      </c>
      <c r="BL254" s="61" t="inlineStr">
        <is>
          <t>GMAP-SIGA</t>
        </is>
      </c>
      <c r="BM254" s="254" t="inlineStr">
        <is>
          <t>NF</t>
        </is>
      </c>
      <c r="BN254" s="266" t="inlineStr">
        <is>
          <t>Jachucoposa</t>
        </is>
      </c>
      <c r="BO254" s="254"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4" t="n"/>
      <c r="DB254" s="254" t="n"/>
      <c r="DC254" s="254" t="n"/>
      <c r="DD254" s="254" t="n"/>
      <c r="DE254" s="254" t="n"/>
      <c r="DF254" s="254" t="n"/>
      <c r="DG254" s="254" t="n"/>
      <c r="DH254" s="254" t="n"/>
      <c r="DI254" s="254" t="n"/>
      <c r="DJ254" s="254" t="inlineStr">
        <is>
          <t>T</t>
        </is>
      </c>
      <c r="DK254" s="254" t="n">
        <v>15</v>
      </c>
      <c r="DL254" s="95" t="n">
        <v>21</v>
      </c>
      <c r="DM254" s="254" t="n"/>
      <c r="DN254" s="95" t="n"/>
      <c r="DO254" s="95" t="n"/>
    </row>
    <row r="255" ht="13" customHeight="1">
      <c r="A255" s="215" t="inlineStr">
        <is>
          <t>CPS-50</t>
        </is>
      </c>
      <c r="B255" s="260"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259" t="inlineStr">
        <is>
          <t>532MACPS</t>
        </is>
      </c>
      <c r="BL255" s="61" t="inlineStr">
        <is>
          <t>GMAP-SIGA</t>
        </is>
      </c>
      <c r="BM255" s="254" t="inlineStr">
        <is>
          <t>NF</t>
        </is>
      </c>
      <c r="BN255" s="266" t="inlineStr">
        <is>
          <t>Jachucoposa</t>
        </is>
      </c>
      <c r="BO255" s="254"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4" t="n"/>
      <c r="DB255" s="254" t="n"/>
      <c r="DC255" s="254" t="n"/>
      <c r="DD255" s="254" t="n"/>
      <c r="DE255" s="254" t="n"/>
      <c r="DF255" s="254" t="n"/>
      <c r="DG255" s="254" t="n"/>
      <c r="DH255" s="254" t="n"/>
      <c r="DI255" s="254" t="n"/>
      <c r="DJ255" s="254" t="inlineStr">
        <is>
          <t>T</t>
        </is>
      </c>
      <c r="DK255" s="254" t="n">
        <v>15</v>
      </c>
      <c r="DL255" s="95" t="n">
        <v>21</v>
      </c>
      <c r="DM255" s="254" t="n"/>
      <c r="DN255" s="95" t="n"/>
      <c r="DO255" s="95" t="n"/>
    </row>
    <row r="256" ht="13" customHeight="1">
      <c r="A256" s="215" t="inlineStr">
        <is>
          <t>CPS-54</t>
        </is>
      </c>
      <c r="B256" s="260"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259" t="inlineStr">
        <is>
          <t>532MACPS</t>
        </is>
      </c>
      <c r="BL256" s="61" t="inlineStr">
        <is>
          <t>GMAP-SIGA</t>
        </is>
      </c>
      <c r="BM256" s="254" t="inlineStr">
        <is>
          <t>NF</t>
        </is>
      </c>
      <c r="BN256" s="266" t="inlineStr">
        <is>
          <t>Jachucoposa</t>
        </is>
      </c>
      <c r="BO256" s="254"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4" t="n"/>
      <c r="DB256" s="254" t="n"/>
      <c r="DC256" s="254" t="n"/>
      <c r="DD256" s="254" t="n"/>
      <c r="DE256" s="254" t="n"/>
      <c r="DF256" s="254" t="n"/>
      <c r="DG256" s="254" t="n"/>
      <c r="DH256" s="254" t="n"/>
      <c r="DI256" s="254" t="n"/>
      <c r="DJ256" s="254" t="inlineStr">
        <is>
          <t>M</t>
        </is>
      </c>
      <c r="DK256" s="254" t="n">
        <v>15</v>
      </c>
      <c r="DL256" s="95" t="n">
        <v>21</v>
      </c>
      <c r="DM256" s="254" t="n"/>
      <c r="DN256" s="95" t="n"/>
      <c r="DO256" s="95" t="n"/>
    </row>
    <row r="257" ht="14.5" customHeight="1">
      <c r="A257" s="215" t="inlineStr">
        <is>
          <t>CPS-55</t>
        </is>
      </c>
      <c r="B257" s="260"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259" t="inlineStr">
        <is>
          <t>532MACPS</t>
        </is>
      </c>
      <c r="BL257" s="61" t="inlineStr">
        <is>
          <t>GMAP-SIGA</t>
        </is>
      </c>
      <c r="BM257" s="254" t="inlineStr">
        <is>
          <t>NF</t>
        </is>
      </c>
      <c r="BN257" s="266" t="inlineStr">
        <is>
          <t>Jachucoposa</t>
        </is>
      </c>
      <c r="BO257" s="254"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4" t="n"/>
      <c r="DB257" s="254" t="n"/>
      <c r="DC257" s="254" t="n"/>
      <c r="DD257" s="254" t="n"/>
      <c r="DE257" s="254" t="n"/>
      <c r="DF257" s="254" t="n"/>
      <c r="DG257" s="254" t="n"/>
      <c r="DH257" s="254" t="n"/>
      <c r="DI257" s="254" t="n"/>
      <c r="DJ257" s="254" t="inlineStr">
        <is>
          <t>M</t>
        </is>
      </c>
      <c r="DK257" s="254" t="n">
        <v>15</v>
      </c>
      <c r="DL257" s="95" t="n">
        <v>21</v>
      </c>
      <c r="DM257" s="254" t="n"/>
      <c r="DN257" s="95" t="n"/>
      <c r="DO257" s="95" t="n"/>
    </row>
    <row r="258" ht="13" customHeight="1">
      <c r="A258" s="203" t="inlineStr">
        <is>
          <t>CPZ-01</t>
        </is>
      </c>
      <c r="B258" s="260"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259" t="inlineStr">
        <is>
          <t>532MACPZ</t>
        </is>
      </c>
      <c r="BL258" s="61" t="inlineStr">
        <is>
          <t>GMAP-SIGA</t>
        </is>
      </c>
      <c r="BM258" s="254" t="inlineStr">
        <is>
          <t>NF</t>
        </is>
      </c>
      <c r="BN258" s="266" t="inlineStr">
        <is>
          <t>Coposa sur</t>
        </is>
      </c>
      <c r="BO258" s="254"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4" t="n"/>
      <c r="DB258" s="254" t="n"/>
      <c r="DC258" s="254" t="n"/>
      <c r="DD258" s="254" t="n"/>
      <c r="DE258" s="254" t="n"/>
      <c r="DF258" s="254" t="n"/>
      <c r="DG258" s="254" t="n"/>
      <c r="DH258" s="254" t="n"/>
      <c r="DI258" s="254" t="n"/>
      <c r="DJ258" s="254" t="inlineStr">
        <is>
          <t>M</t>
        </is>
      </c>
      <c r="DK258" s="254" t="n">
        <v>22</v>
      </c>
      <c r="DL258" s="95" t="n">
        <v>28</v>
      </c>
      <c r="DM258" s="254" t="n"/>
      <c r="DN258" s="95" t="n"/>
      <c r="DO258" s="95" t="n"/>
    </row>
    <row r="259" ht="13" customHeight="1">
      <c r="A259" s="203" t="inlineStr">
        <is>
          <t>CPZ-03A</t>
        </is>
      </c>
      <c r="B259" s="260"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259" t="inlineStr">
        <is>
          <t>532MACPZ</t>
        </is>
      </c>
      <c r="BL259" s="61" t="inlineStr">
        <is>
          <t>GMAP-SIGA</t>
        </is>
      </c>
      <c r="BM259" s="254" t="inlineStr">
        <is>
          <t>NF</t>
        </is>
      </c>
      <c r="BN259" s="266"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4" t="n"/>
      <c r="DB259" s="254" t="n"/>
      <c r="DC259" s="254" t="n"/>
      <c r="DD259" s="254" t="n"/>
      <c r="DE259" s="254" t="n"/>
      <c r="DF259" s="254" t="n"/>
      <c r="DG259" s="254" t="n"/>
      <c r="DH259" s="254" t="n"/>
      <c r="DI259" s="254" t="n"/>
      <c r="DJ259" s="254" t="inlineStr">
        <is>
          <t>M</t>
        </is>
      </c>
      <c r="DK259" s="254" t="n">
        <v>8</v>
      </c>
      <c r="DL259" s="95" t="n">
        <v>14</v>
      </c>
      <c r="DM259" s="254" t="n"/>
      <c r="DN259" s="95" t="n"/>
      <c r="DO259" s="95" t="n"/>
    </row>
    <row r="260" ht="13" customHeight="1">
      <c r="A260" s="203" t="inlineStr">
        <is>
          <t>CPZ-03B1</t>
        </is>
      </c>
      <c r="B260" s="260"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259" t="inlineStr">
        <is>
          <t>532MACPZ</t>
        </is>
      </c>
      <c r="BL260" s="61" t="inlineStr">
        <is>
          <t>GMAP-SIGA</t>
        </is>
      </c>
      <c r="BM260" s="254" t="inlineStr">
        <is>
          <t>NF</t>
        </is>
      </c>
      <c r="BN260" s="266"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4" t="n"/>
      <c r="DB260" s="254" t="n"/>
      <c r="DC260" s="254" t="n"/>
      <c r="DD260" s="254" t="n"/>
      <c r="DE260" s="254" t="n"/>
      <c r="DF260" s="254" t="n"/>
      <c r="DG260" s="254" t="n"/>
      <c r="DH260" s="254" t="n"/>
      <c r="DI260" s="254" t="n"/>
      <c r="DJ260" s="254" t="inlineStr">
        <is>
          <t>M</t>
        </is>
      </c>
      <c r="DK260" s="254" t="n">
        <v>8</v>
      </c>
      <c r="DL260" s="95" t="n">
        <v>14</v>
      </c>
      <c r="DM260" s="254" t="n"/>
      <c r="DN260" s="95" t="n"/>
      <c r="DO260" s="95" t="n"/>
    </row>
    <row r="261" ht="12.65" customHeight="1">
      <c r="A261" s="205" t="inlineStr">
        <is>
          <t>CPZ-04A</t>
        </is>
      </c>
      <c r="B261" s="260"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259" t="inlineStr">
        <is>
          <t>532MACPZ</t>
        </is>
      </c>
      <c r="BL261" s="61" t="inlineStr">
        <is>
          <t>GMAP-SIGA</t>
        </is>
      </c>
      <c r="BM261" s="254" t="inlineStr">
        <is>
          <t>NF</t>
        </is>
      </c>
      <c r="BN261" s="266" t="inlineStr">
        <is>
          <t>Jachucoposa</t>
        </is>
      </c>
      <c r="BO261" s="254"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4" t="n"/>
      <c r="DC261" s="254" t="n"/>
      <c r="DD261" s="254" t="n"/>
      <c r="DE261" s="254" t="n"/>
      <c r="DF261" s="254" t="n"/>
      <c r="DG261" s="254" t="n"/>
      <c r="DH261" s="254" t="n"/>
      <c r="DI261" s="254" t="n"/>
      <c r="DJ261" s="168" t="inlineStr">
        <is>
          <t>S</t>
        </is>
      </c>
      <c r="DK261" s="254" t="n">
        <v>15</v>
      </c>
      <c r="DL261" s="95" t="n">
        <v>28</v>
      </c>
      <c r="DM261" s="254" t="n"/>
      <c r="DN261" s="95" t="n"/>
      <c r="DO261" s="95" t="n"/>
    </row>
    <row r="262" ht="13" customHeight="1">
      <c r="A262" s="205" t="inlineStr">
        <is>
          <t>CPZ-04B</t>
        </is>
      </c>
      <c r="B262" s="260"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259" t="inlineStr">
        <is>
          <t>532MACPZ</t>
        </is>
      </c>
      <c r="BL262" s="61" t="inlineStr">
        <is>
          <t>GMAP-SIGA</t>
        </is>
      </c>
      <c r="BM262" s="254" t="inlineStr">
        <is>
          <t>NF</t>
        </is>
      </c>
      <c r="BN262" s="266" t="inlineStr">
        <is>
          <t>Jachucoposa</t>
        </is>
      </c>
      <c r="BO262" s="254"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4" t="n"/>
      <c r="DC262" s="254" t="n"/>
      <c r="DD262" s="254" t="n"/>
      <c r="DE262" s="254" t="n"/>
      <c r="DF262" s="254" t="n"/>
      <c r="DG262" s="254" t="n"/>
      <c r="DH262" s="254" t="n"/>
      <c r="DI262" s="254" t="n"/>
      <c r="DJ262" s="168" t="inlineStr">
        <is>
          <t>S</t>
        </is>
      </c>
      <c r="DK262" s="254" t="n">
        <v>15</v>
      </c>
      <c r="DL262" s="95" t="n">
        <v>28</v>
      </c>
      <c r="DM262" s="254" t="n"/>
      <c r="DN262" s="95" t="n"/>
      <c r="DO262" s="95" t="n"/>
    </row>
    <row r="263" ht="13" customHeight="1">
      <c r="A263" s="205" t="inlineStr">
        <is>
          <t>CPZ-05A</t>
        </is>
      </c>
      <c r="B263" s="260"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259" t="inlineStr">
        <is>
          <t>532MACPZ</t>
        </is>
      </c>
      <c r="BL263" s="61" t="inlineStr">
        <is>
          <t>GMAP-SIGA</t>
        </is>
      </c>
      <c r="BM263" s="254" t="inlineStr">
        <is>
          <t>NF</t>
        </is>
      </c>
      <c r="BN263" s="266" t="inlineStr">
        <is>
          <t>Jachucoposa</t>
        </is>
      </c>
      <c r="BO263" s="254"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inlineStr">
        <is>
          <t>R</t>
        </is>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4" t="n"/>
      <c r="DC263" s="254" t="n"/>
      <c r="DD263" s="254" t="n"/>
      <c r="DE263" s="254" t="n"/>
      <c r="DF263" s="254" t="n"/>
      <c r="DG263" s="254" t="n"/>
      <c r="DH263" s="254" t="n"/>
      <c r="DI263" s="254" t="n"/>
      <c r="DJ263" s="254" t="inlineStr">
        <is>
          <t>Q</t>
        </is>
      </c>
      <c r="DK263" s="226" t="inlineStr">
        <is>
          <t>1- 15</t>
        </is>
      </c>
      <c r="DL263" s="226" t="inlineStr">
        <is>
          <t>14-28</t>
        </is>
      </c>
      <c r="DM263" s="254" t="n"/>
      <c r="DN263" s="95" t="n"/>
      <c r="DO263" s="95" t="n"/>
    </row>
    <row r="264" ht="16" customHeight="1">
      <c r="A264" s="205" t="inlineStr">
        <is>
          <t>CPZ-05B</t>
        </is>
      </c>
      <c r="B264" s="260"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259" t="inlineStr">
        <is>
          <t>532MACPZ</t>
        </is>
      </c>
      <c r="BL264" s="61" t="inlineStr">
        <is>
          <t>GMAP-SIGA</t>
        </is>
      </c>
      <c r="BM264" s="254" t="inlineStr">
        <is>
          <t>NF</t>
        </is>
      </c>
      <c r="BN264" s="266" t="inlineStr">
        <is>
          <t>Jachucoposa</t>
        </is>
      </c>
      <c r="BO264" s="254"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inlineStr">
        <is>
          <t>R</t>
        </is>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4" t="n"/>
      <c r="DC264" s="254" t="n"/>
      <c r="DD264" s="254" t="n"/>
      <c r="DE264" s="254" t="n"/>
      <c r="DF264" s="254" t="n"/>
      <c r="DG264" s="254" t="n"/>
      <c r="DH264" s="254" t="n"/>
      <c r="DI264" s="254" t="n"/>
      <c r="DJ264" s="254" t="inlineStr">
        <is>
          <t>Q</t>
        </is>
      </c>
      <c r="DK264" s="226" t="inlineStr">
        <is>
          <t>1- 15</t>
        </is>
      </c>
      <c r="DL264" s="226" t="inlineStr">
        <is>
          <t>14-28</t>
        </is>
      </c>
      <c r="DM264" s="254" t="n"/>
      <c r="DN264" s="95" t="n"/>
      <c r="DO264" s="95" t="n"/>
    </row>
    <row r="265" ht="12.5" customHeight="1">
      <c r="A265" s="203" t="inlineStr">
        <is>
          <t>CPZ-05B</t>
        </is>
      </c>
      <c r="B265" s="260"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259" t="n"/>
      <c r="BL265" s="61" t="n"/>
      <c r="BM265" s="254" t="inlineStr">
        <is>
          <t>ASUB</t>
        </is>
      </c>
      <c r="BN265" s="266" t="inlineStr">
        <is>
          <t>Jachucoposa</t>
        </is>
      </c>
      <c r="BO265" s="254"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4" t="n"/>
      <c r="DC265" s="254" t="n"/>
      <c r="DD265" s="254" t="n"/>
      <c r="DE265" s="254" t="n"/>
      <c r="DF265" s="254" t="n"/>
      <c r="DG265" s="254" t="n"/>
      <c r="DH265" s="254" t="n"/>
      <c r="DI265" s="254" t="n"/>
      <c r="DJ265" s="254" t="n"/>
      <c r="DK265" s="254" t="n"/>
      <c r="DL265" s="95" t="n"/>
      <c r="DM265" s="254" t="n"/>
      <c r="DN265" s="95" t="n"/>
      <c r="DO265" s="95" t="n"/>
    </row>
    <row r="266" ht="12" customHeight="1">
      <c r="A266" s="205" t="inlineStr">
        <is>
          <t>CPZ-06A</t>
        </is>
      </c>
      <c r="B266" s="260"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259" t="inlineStr">
        <is>
          <t>532MACPZ</t>
        </is>
      </c>
      <c r="BL266" s="61" t="inlineStr">
        <is>
          <t>GMAP-SIGA</t>
        </is>
      </c>
      <c r="BM266" s="254" t="inlineStr">
        <is>
          <t>NF</t>
        </is>
      </c>
      <c r="BN266" s="266" t="inlineStr">
        <is>
          <t>Jachucoposa</t>
        </is>
      </c>
      <c r="BO266" s="254"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inlineStr">
        <is>
          <t>R</t>
        </is>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4" t="n"/>
      <c r="DC266" s="254" t="n"/>
      <c r="DD266" s="254" t="n"/>
      <c r="DE266" s="254" t="n"/>
      <c r="DF266" s="254" t="n"/>
      <c r="DG266" s="254" t="n"/>
      <c r="DH266" s="254" t="n"/>
      <c r="DI266" s="254" t="n"/>
      <c r="DJ266" s="254" t="inlineStr">
        <is>
          <t>Q</t>
        </is>
      </c>
      <c r="DK266" s="226" t="inlineStr">
        <is>
          <t>1- 15</t>
        </is>
      </c>
      <c r="DL266" s="226" t="inlineStr">
        <is>
          <t>14-28</t>
        </is>
      </c>
      <c r="DM266" s="254" t="n"/>
      <c r="DN266" s="95" t="n"/>
      <c r="DO266" s="95" t="n"/>
    </row>
    <row r="267" ht="12" customHeight="1">
      <c r="A267" s="205" t="inlineStr">
        <is>
          <t>CPZ-06B</t>
        </is>
      </c>
      <c r="B267" s="260"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259" t="inlineStr">
        <is>
          <t>532MACPZ</t>
        </is>
      </c>
      <c r="BL267" s="61" t="inlineStr">
        <is>
          <t>GMAP-SIGA</t>
        </is>
      </c>
      <c r="BM267" s="254" t="inlineStr">
        <is>
          <t>NF</t>
        </is>
      </c>
      <c r="BN267" s="266" t="inlineStr">
        <is>
          <t>Jachucoposa</t>
        </is>
      </c>
      <c r="BO267" s="254"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inlineStr">
        <is>
          <t>R</t>
        </is>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4" t="n"/>
      <c r="DC267" s="254" t="n"/>
      <c r="DD267" s="254" t="n"/>
      <c r="DE267" s="254" t="n"/>
      <c r="DF267" s="254" t="n"/>
      <c r="DG267" s="254" t="n"/>
      <c r="DH267" s="254" t="n"/>
      <c r="DI267" s="254" t="n"/>
      <c r="DJ267" s="254" t="inlineStr">
        <is>
          <t>Q</t>
        </is>
      </c>
      <c r="DK267" s="226" t="inlineStr">
        <is>
          <t>1- 15</t>
        </is>
      </c>
      <c r="DL267" s="226" t="inlineStr">
        <is>
          <t>14-28</t>
        </is>
      </c>
      <c r="DM267" s="254" t="n"/>
      <c r="DN267" s="95" t="n"/>
      <c r="DO267" s="95" t="n"/>
    </row>
    <row r="268" ht="15" customHeight="1">
      <c r="A268" s="205" t="inlineStr">
        <is>
          <t>CPZ-07A</t>
        </is>
      </c>
      <c r="B268" s="260"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259" t="inlineStr">
        <is>
          <t>532MACPZ</t>
        </is>
      </c>
      <c r="BL268" s="61" t="inlineStr">
        <is>
          <t>GMAP-SIGA</t>
        </is>
      </c>
      <c r="BM268" s="254" t="inlineStr">
        <is>
          <t>NF</t>
        </is>
      </c>
      <c r="BN268" s="266" t="inlineStr">
        <is>
          <t>Jachucoposa</t>
        </is>
      </c>
      <c r="BO268" s="254"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4" t="n"/>
      <c r="DC268" s="254" t="n"/>
      <c r="DD268" s="254" t="n"/>
      <c r="DE268" s="254" t="n"/>
      <c r="DF268" s="254" t="n"/>
      <c r="DG268" s="254" t="n"/>
      <c r="DH268" s="254" t="n"/>
      <c r="DI268" s="254" t="n"/>
      <c r="DJ268" s="254" t="inlineStr">
        <is>
          <t>M</t>
        </is>
      </c>
      <c r="DK268" s="254" t="n">
        <v>15</v>
      </c>
      <c r="DL268" s="95" t="n">
        <v>21</v>
      </c>
      <c r="DM268" s="254" t="n"/>
      <c r="DN268" s="95" t="n"/>
      <c r="DO268" s="95" t="n"/>
    </row>
    <row r="269" ht="12.5" customHeight="1">
      <c r="A269" s="203" t="inlineStr">
        <is>
          <t>CPZ-07B</t>
        </is>
      </c>
      <c r="B269" s="260"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259" t="inlineStr">
        <is>
          <t>532MACPZ</t>
        </is>
      </c>
      <c r="BL269" s="61" t="inlineStr">
        <is>
          <t>GMAP-SIGA</t>
        </is>
      </c>
      <c r="BM269" s="254" t="inlineStr">
        <is>
          <t>NF</t>
        </is>
      </c>
      <c r="BN269" s="266" t="inlineStr">
        <is>
          <t>Jachucoposa</t>
        </is>
      </c>
      <c r="BO269" s="254"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4" t="n"/>
      <c r="DB269" s="254" t="n"/>
      <c r="DC269" s="254" t="n"/>
      <c r="DD269" s="254" t="n"/>
      <c r="DE269" s="254" t="n"/>
      <c r="DF269" s="254" t="n"/>
      <c r="DG269" s="254" t="n"/>
      <c r="DH269" s="254" t="n"/>
      <c r="DI269" s="254" t="n"/>
      <c r="DJ269" s="254" t="inlineStr">
        <is>
          <t>T</t>
        </is>
      </c>
      <c r="DK269" s="254" t="n">
        <v>15</v>
      </c>
      <c r="DL269" s="95" t="n">
        <v>21</v>
      </c>
      <c r="DM269" s="254" t="n"/>
      <c r="DN269" s="95" t="n"/>
      <c r="DO269" s="95" t="n"/>
    </row>
    <row r="270" ht="12.5" customHeight="1">
      <c r="A270" s="203" t="inlineStr">
        <is>
          <t>CPZ-07C</t>
        </is>
      </c>
      <c r="B270" s="260"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259" t="inlineStr">
        <is>
          <t>532MACPZ</t>
        </is>
      </c>
      <c r="BL270" s="61" t="inlineStr">
        <is>
          <t>GMAP-SIGA</t>
        </is>
      </c>
      <c r="BM270" s="254" t="inlineStr">
        <is>
          <t>NF</t>
        </is>
      </c>
      <c r="BN270" s="266" t="inlineStr">
        <is>
          <t>Jachucoposa</t>
        </is>
      </c>
      <c r="BO270" s="254"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4" t="n"/>
      <c r="DB270" s="254" t="n"/>
      <c r="DC270" s="254" t="n"/>
      <c r="DD270" s="254" t="n"/>
      <c r="DE270" s="254" t="n"/>
      <c r="DF270" s="254" t="n"/>
      <c r="DG270" s="254" t="n"/>
      <c r="DH270" s="254" t="n"/>
      <c r="DI270" s="254" t="n"/>
      <c r="DJ270" s="254" t="inlineStr">
        <is>
          <t>T</t>
        </is>
      </c>
      <c r="DK270" s="254" t="n">
        <v>15</v>
      </c>
      <c r="DL270" s="95" t="n">
        <v>21</v>
      </c>
      <c r="DM270" s="254" t="n"/>
      <c r="DN270" s="95" t="n"/>
      <c r="DO270" s="95" t="n"/>
    </row>
    <row r="271" ht="14.15" customHeight="1">
      <c r="A271" s="203" t="inlineStr">
        <is>
          <t>CPZ-08A</t>
        </is>
      </c>
      <c r="B271" s="260"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259" t="inlineStr">
        <is>
          <t>532MACPZ</t>
        </is>
      </c>
      <c r="BL271" s="61" t="inlineStr">
        <is>
          <t>GMAP-SIGA</t>
        </is>
      </c>
      <c r="BM271" s="254" t="inlineStr">
        <is>
          <t>NF</t>
        </is>
      </c>
      <c r="BN271" s="266" t="inlineStr">
        <is>
          <t>Jachucoposa</t>
        </is>
      </c>
      <c r="BO271" s="254"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4" t="n"/>
      <c r="DB271" s="254" t="n"/>
      <c r="DC271" s="254" t="n"/>
      <c r="DD271" s="254" t="n"/>
      <c r="DE271" s="254" t="n"/>
      <c r="DF271" s="254" t="n"/>
      <c r="DG271" s="254" t="n"/>
      <c r="DH271" s="254" t="n"/>
      <c r="DI271" s="254" t="n"/>
      <c r="DJ271" s="254" t="inlineStr">
        <is>
          <t>T</t>
        </is>
      </c>
      <c r="DK271" s="254" t="n">
        <v>15</v>
      </c>
      <c r="DL271" s="95" t="n">
        <v>21</v>
      </c>
      <c r="DM271" s="254" t="n"/>
      <c r="DN271" s="95" t="n"/>
      <c r="DO271" s="95" t="n"/>
    </row>
    <row r="272" ht="14.15" customHeight="1">
      <c r="A272" s="203" t="inlineStr">
        <is>
          <t>CPZ-08A</t>
        </is>
      </c>
      <c r="B272" s="260"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259" t="inlineStr">
        <is>
          <t>532MACPZ</t>
        </is>
      </c>
      <c r="BL272" s="61" t="inlineStr">
        <is>
          <t>GMAP-SIGA</t>
        </is>
      </c>
      <c r="BM272" s="254" t="inlineStr">
        <is>
          <t>ASUB</t>
        </is>
      </c>
      <c r="BN272" s="266" t="inlineStr">
        <is>
          <t>Jachucoposa</t>
        </is>
      </c>
      <c r="BO272" s="254"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4" t="n"/>
      <c r="DB272" s="254" t="n"/>
      <c r="DC272" s="254" t="n"/>
      <c r="DD272" s="254" t="n"/>
      <c r="DE272" s="254" t="n"/>
      <c r="DF272" s="254" t="n"/>
      <c r="DG272" s="254" t="n"/>
      <c r="DH272" s="254" t="n"/>
      <c r="DI272" s="254" t="n"/>
      <c r="DJ272" s="254" t="n"/>
      <c r="DK272" s="254" t="n"/>
      <c r="DL272" s="95" t="n"/>
      <c r="DM272" s="254" t="n"/>
      <c r="DN272" s="95" t="n"/>
      <c r="DO272" s="95" t="n"/>
    </row>
    <row r="273" ht="12.5" customHeight="1">
      <c r="A273" s="203" t="inlineStr">
        <is>
          <t>CPZ-08B</t>
        </is>
      </c>
      <c r="B273" s="260"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259" t="inlineStr">
        <is>
          <t>532MACPZ</t>
        </is>
      </c>
      <c r="BL273" s="61" t="inlineStr">
        <is>
          <t>GMAP-SIGA</t>
        </is>
      </c>
      <c r="BM273" s="254" t="inlineStr">
        <is>
          <t>NF</t>
        </is>
      </c>
      <c r="BN273" s="266" t="inlineStr">
        <is>
          <t>Jachucoposa</t>
        </is>
      </c>
      <c r="BO273" s="254"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4" t="n"/>
      <c r="DB273" s="254" t="n"/>
      <c r="DC273" s="254" t="n"/>
      <c r="DD273" s="254" t="n"/>
      <c r="DE273" s="254" t="n"/>
      <c r="DF273" s="254" t="n"/>
      <c r="DG273" s="254" t="n"/>
      <c r="DH273" s="254" t="n"/>
      <c r="DI273" s="254" t="n"/>
      <c r="DJ273" s="254" t="inlineStr">
        <is>
          <t>T</t>
        </is>
      </c>
      <c r="DK273" s="254" t="n">
        <v>15</v>
      </c>
      <c r="DL273" s="95" t="n">
        <v>21</v>
      </c>
      <c r="DM273" s="254" t="n"/>
      <c r="DN273" s="95" t="n"/>
      <c r="DO273" s="95" t="n"/>
    </row>
    <row r="274" ht="12" customHeight="1">
      <c r="A274" s="203" t="inlineStr">
        <is>
          <t>CPZ-08C</t>
        </is>
      </c>
      <c r="B274" s="260"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259" t="inlineStr">
        <is>
          <t>532MACPZ</t>
        </is>
      </c>
      <c r="BL274" s="61" t="inlineStr">
        <is>
          <t>GMAP-SIGA</t>
        </is>
      </c>
      <c r="BM274" s="254" t="inlineStr">
        <is>
          <t>NF</t>
        </is>
      </c>
      <c r="BN274" s="266" t="inlineStr">
        <is>
          <t>Jachucoposa</t>
        </is>
      </c>
      <c r="BO274" s="254"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4" t="n"/>
      <c r="DB274" s="254" t="n"/>
      <c r="DC274" s="254" t="n"/>
      <c r="DD274" s="254" t="n"/>
      <c r="DE274" s="254" t="n"/>
      <c r="DF274" s="254" t="n"/>
      <c r="DG274" s="254" t="n"/>
      <c r="DH274" s="254" t="n"/>
      <c r="DI274" s="254" t="n"/>
      <c r="DJ274" s="254" t="inlineStr">
        <is>
          <t>M</t>
        </is>
      </c>
      <c r="DK274" s="254" t="n">
        <v>15</v>
      </c>
      <c r="DL274" s="95" t="n">
        <v>21</v>
      </c>
      <c r="DM274" s="254" t="n"/>
      <c r="DN274" s="95" t="n"/>
      <c r="DO274" s="95" t="n"/>
    </row>
    <row r="275" ht="15" customHeight="1">
      <c r="A275" s="205" t="inlineStr">
        <is>
          <t>CPZ-10</t>
        </is>
      </c>
      <c r="B275" s="260"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259" t="inlineStr">
        <is>
          <t>532MACPZ</t>
        </is>
      </c>
      <c r="BL275" s="61" t="inlineStr">
        <is>
          <t>GMAP-SIGA</t>
        </is>
      </c>
      <c r="BM275" s="254" t="inlineStr">
        <is>
          <t>NF</t>
        </is>
      </c>
      <c r="BN275" s="106" t="inlineStr">
        <is>
          <t>Falla Pabellón</t>
        </is>
      </c>
      <c r="BO275" s="254"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4" t="n"/>
      <c r="DC275" s="254" t="n"/>
      <c r="DD275" s="254" t="n"/>
      <c r="DE275" s="254" t="n"/>
      <c r="DF275" s="254" t="n"/>
      <c r="DG275" s="254" t="n"/>
      <c r="DH275" s="254" t="n"/>
      <c r="DI275" s="254" t="n"/>
      <c r="DJ275" s="168" t="inlineStr">
        <is>
          <t>S</t>
        </is>
      </c>
      <c r="DK275" s="254" t="n">
        <v>15</v>
      </c>
      <c r="DL275" s="95" t="n">
        <v>28</v>
      </c>
      <c r="DM275" s="254" t="n"/>
      <c r="DN275" s="95" t="n"/>
      <c r="DO275" s="95" t="n"/>
    </row>
    <row r="276" ht="14.15" customHeight="1">
      <c r="A276" s="215" t="inlineStr">
        <is>
          <t>CPZ-11A</t>
        </is>
      </c>
      <c r="B276" s="260"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259" t="n"/>
      <c r="BL276" s="61" t="n"/>
      <c r="BM276" s="254" t="inlineStr">
        <is>
          <t>NF</t>
        </is>
      </c>
      <c r="BN276" s="106" t="inlineStr">
        <is>
          <t>Coposa Centro</t>
        </is>
      </c>
      <c r="BO276" s="254"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4" t="n"/>
      <c r="DC276" s="254" t="n"/>
      <c r="DD276" s="254" t="n"/>
      <c r="DE276" s="254" t="n"/>
      <c r="DF276" s="254" t="n"/>
      <c r="DG276" s="254" t="n"/>
      <c r="DH276" s="254" t="n"/>
      <c r="DI276" s="254" t="n"/>
      <c r="DJ276" s="168" t="n"/>
      <c r="DK276" s="254" t="n"/>
      <c r="DL276" s="95" t="n"/>
      <c r="DM276" s="254" t="n"/>
      <c r="DN276" s="95" t="n"/>
      <c r="DO276" s="95" t="n"/>
    </row>
    <row r="277" ht="15" customHeight="1">
      <c r="A277" s="215" t="inlineStr">
        <is>
          <t>CPZ-11A</t>
        </is>
      </c>
      <c r="B277" s="260"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259" t="n"/>
      <c r="BL277" s="61" t="n"/>
      <c r="BM277" s="254" t="inlineStr">
        <is>
          <t>ASUB</t>
        </is>
      </c>
      <c r="BN277" s="106" t="inlineStr">
        <is>
          <t>Coposa Centro</t>
        </is>
      </c>
      <c r="BO277" s="254"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4" t="n"/>
      <c r="DC277" s="254" t="n"/>
      <c r="DD277" s="254" t="n"/>
      <c r="DE277" s="254" t="n"/>
      <c r="DF277" s="254" t="n"/>
      <c r="DG277" s="254" t="n"/>
      <c r="DH277" s="254" t="n"/>
      <c r="DI277" s="254" t="n"/>
      <c r="DJ277" s="168" t="n"/>
      <c r="DK277" s="254" t="n"/>
      <c r="DL277" s="95" t="n"/>
      <c r="DM277" s="254" t="n"/>
      <c r="DN277" s="95" t="n"/>
      <c r="DO277" s="95" t="n"/>
    </row>
    <row r="278" ht="12" customHeight="1">
      <c r="A278" s="215" t="inlineStr">
        <is>
          <t>CPZ-11C</t>
        </is>
      </c>
      <c r="B278" s="260"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259" t="n"/>
      <c r="BL278" s="61" t="n"/>
      <c r="BM278" s="254" t="inlineStr">
        <is>
          <t>NF</t>
        </is>
      </c>
      <c r="BN278" s="106" t="inlineStr">
        <is>
          <t>Coposa Centro</t>
        </is>
      </c>
      <c r="BO278" s="254"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4" t="n"/>
      <c r="DC278" s="254" t="n"/>
      <c r="DD278" s="254" t="n"/>
      <c r="DE278" s="254" t="n"/>
      <c r="DF278" s="254" t="n"/>
      <c r="DG278" s="254" t="n"/>
      <c r="DH278" s="254" t="n"/>
      <c r="DI278" s="254" t="n"/>
      <c r="DJ278" s="168" t="n"/>
      <c r="DK278" s="254" t="n"/>
      <c r="DL278" s="95" t="n"/>
      <c r="DM278" s="254" t="n"/>
      <c r="DN278" s="95" t="n"/>
      <c r="DO278" s="95" t="n"/>
    </row>
    <row r="279" ht="12" customHeight="1">
      <c r="A279" s="215" t="inlineStr">
        <is>
          <t>CPZ-11C</t>
        </is>
      </c>
      <c r="B279" s="260"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259" t="n"/>
      <c r="BL279" s="61" t="n"/>
      <c r="BM279" s="254" t="inlineStr">
        <is>
          <t>ASUB</t>
        </is>
      </c>
      <c r="BN279" s="106" t="inlineStr">
        <is>
          <t>Coposa Centro</t>
        </is>
      </c>
      <c r="BO279" s="254"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4" t="n"/>
      <c r="DC279" s="254" t="n"/>
      <c r="DD279" s="254" t="n"/>
      <c r="DE279" s="254" t="n"/>
      <c r="DF279" s="254" t="n"/>
      <c r="DG279" s="254" t="n"/>
      <c r="DH279" s="254" t="n"/>
      <c r="DI279" s="254" t="n"/>
      <c r="DJ279" s="168" t="n"/>
      <c r="DK279" s="254" t="n"/>
      <c r="DL279" s="95" t="n"/>
      <c r="DM279" s="254" t="n"/>
      <c r="DN279" s="95" t="n"/>
      <c r="DO279" s="95" t="n"/>
    </row>
    <row r="280" ht="13.5" customHeight="1">
      <c r="A280" s="215" t="inlineStr">
        <is>
          <t>CPZ-13C</t>
        </is>
      </c>
      <c r="B280" s="260"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259" t="n"/>
      <c r="BL280" s="61" t="n"/>
      <c r="BM280" s="254" t="inlineStr">
        <is>
          <t>NF</t>
        </is>
      </c>
      <c r="BN280" s="106" t="inlineStr">
        <is>
          <t>Coposa Centro</t>
        </is>
      </c>
      <c r="BO280" s="254"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4" t="n"/>
      <c r="DC280" s="254" t="n"/>
      <c r="DD280" s="254" t="n"/>
      <c r="DE280" s="254" t="n"/>
      <c r="DF280" s="254" t="n"/>
      <c r="DG280" s="254" t="n"/>
      <c r="DH280" s="254" t="n"/>
      <c r="DI280" s="254" t="n"/>
      <c r="DJ280" s="168" t="n"/>
      <c r="DK280" s="254" t="n"/>
      <c r="DL280" s="95" t="n"/>
      <c r="DM280" s="254" t="n"/>
      <c r="DN280" s="95" t="n"/>
      <c r="DO280" s="95" t="n"/>
    </row>
    <row r="281" ht="14.15" customHeight="1">
      <c r="A281" s="215" t="inlineStr">
        <is>
          <t>CPZ-13C</t>
        </is>
      </c>
      <c r="B281" s="260"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259" t="n"/>
      <c r="BL281" s="61" t="n"/>
      <c r="BM281" s="254" t="inlineStr">
        <is>
          <t>ASUB</t>
        </is>
      </c>
      <c r="BN281" s="106" t="inlineStr">
        <is>
          <t>Coposa Centro</t>
        </is>
      </c>
      <c r="BO281" s="254"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4" t="n"/>
      <c r="DC281" s="254" t="n"/>
      <c r="DD281" s="254" t="n"/>
      <c r="DE281" s="254" t="n"/>
      <c r="DF281" s="254" t="n"/>
      <c r="DG281" s="254" t="n"/>
      <c r="DH281" s="254" t="n"/>
      <c r="DI281" s="254" t="n"/>
      <c r="DJ281" s="168" t="n"/>
      <c r="DK281" s="254" t="n"/>
      <c r="DL281" s="95" t="n"/>
      <c r="DM281" s="254" t="n"/>
      <c r="DN281" s="95" t="n"/>
      <c r="DO281" s="95" t="n"/>
    </row>
    <row r="282" ht="12.65" customHeight="1">
      <c r="A282" s="203" t="inlineStr">
        <is>
          <t>CPZ-16A</t>
        </is>
      </c>
      <c r="B282" s="260"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259" t="inlineStr">
        <is>
          <t>532MACPZ</t>
        </is>
      </c>
      <c r="BL282" s="61" t="inlineStr">
        <is>
          <t>GMAP-SIGA</t>
        </is>
      </c>
      <c r="BM282" s="254" t="inlineStr">
        <is>
          <t>NF</t>
        </is>
      </c>
      <c r="BN282" s="266" t="inlineStr">
        <is>
          <t>Jachucoposa</t>
        </is>
      </c>
      <c r="BO282" s="254"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4" t="n"/>
      <c r="DB282" s="254" t="n"/>
      <c r="DC282" s="254" t="n"/>
      <c r="DD282" s="254" t="n"/>
      <c r="DE282" s="254" t="n"/>
      <c r="DF282" s="254" t="n"/>
      <c r="DG282" s="254" t="n"/>
      <c r="DH282" s="254" t="n"/>
      <c r="DI282" s="254" t="n"/>
      <c r="DJ282" s="254" t="inlineStr">
        <is>
          <t>T</t>
        </is>
      </c>
      <c r="DK282" s="254" t="n">
        <v>15</v>
      </c>
      <c r="DL282" s="95" t="n">
        <v>21</v>
      </c>
      <c r="DM282" s="254" t="n"/>
      <c r="DN282" s="95" t="n"/>
      <c r="DO282" s="95" t="n"/>
    </row>
    <row r="283" ht="13" customHeight="1">
      <c r="A283" s="203" t="inlineStr">
        <is>
          <t>CPZ-16B</t>
        </is>
      </c>
      <c r="B283" s="260"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259" t="inlineStr">
        <is>
          <t>532MACPZ</t>
        </is>
      </c>
      <c r="BL283" s="61" t="inlineStr">
        <is>
          <t>GMAP-SIGA</t>
        </is>
      </c>
      <c r="BM283" s="254" t="inlineStr">
        <is>
          <t>NF</t>
        </is>
      </c>
      <c r="BN283" s="266" t="inlineStr">
        <is>
          <t>Jachucoposa</t>
        </is>
      </c>
      <c r="BO283" s="254"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4" t="n"/>
      <c r="DB283" s="254" t="n"/>
      <c r="DC283" s="254" t="n"/>
      <c r="DD283" s="254" t="n"/>
      <c r="DE283" s="254" t="n"/>
      <c r="DF283" s="254" t="n"/>
      <c r="DG283" s="254" t="n"/>
      <c r="DH283" s="254" t="n"/>
      <c r="DI283" s="254" t="n"/>
      <c r="DJ283" s="254" t="inlineStr">
        <is>
          <t>T</t>
        </is>
      </c>
      <c r="DK283" s="254" t="n">
        <v>15</v>
      </c>
      <c r="DL283" s="95" t="n">
        <v>21</v>
      </c>
      <c r="DM283" s="254" t="n"/>
      <c r="DN283" s="95" t="n"/>
      <c r="DO283" s="95" t="n"/>
    </row>
    <row r="284" ht="13" customHeight="1">
      <c r="A284" s="215" t="inlineStr">
        <is>
          <t>CPZ-16B</t>
        </is>
      </c>
      <c r="B284" s="260"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259" t="n"/>
      <c r="BL284" s="61" t="n"/>
      <c r="BM284" s="254" t="inlineStr">
        <is>
          <t>ASUB</t>
        </is>
      </c>
      <c r="BN284" s="266" t="inlineStr">
        <is>
          <t>Jachucoposa</t>
        </is>
      </c>
      <c r="BO284" s="254"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4" t="n"/>
      <c r="DB284" s="254" t="n"/>
      <c r="DC284" s="254" t="n"/>
      <c r="DD284" s="254" t="n"/>
      <c r="DE284" s="254" t="n"/>
      <c r="DF284" s="254" t="n"/>
      <c r="DG284" s="254" t="n"/>
      <c r="DH284" s="254" t="n"/>
      <c r="DI284" s="254" t="n"/>
      <c r="DJ284" s="254" t="n"/>
      <c r="DK284" s="254" t="n"/>
      <c r="DL284" s="95" t="n"/>
      <c r="DM284" s="254" t="n"/>
      <c r="DN284" s="95" t="n"/>
      <c r="DO284" s="95" t="n"/>
    </row>
    <row r="285" ht="13" customHeight="1">
      <c r="A285" s="203" t="inlineStr">
        <is>
          <t>CPZ-16C</t>
        </is>
      </c>
      <c r="B285" s="260"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259" t="inlineStr">
        <is>
          <t>532MACPZ</t>
        </is>
      </c>
      <c r="BL285" s="61" t="inlineStr">
        <is>
          <t>GMAP-SIGA</t>
        </is>
      </c>
      <c r="BM285" s="254" t="inlineStr">
        <is>
          <t>NF</t>
        </is>
      </c>
      <c r="BN285" s="266" t="inlineStr">
        <is>
          <t>Jachucoposa</t>
        </is>
      </c>
      <c r="BO285" s="254"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4" t="n"/>
      <c r="DB285" s="254" t="n"/>
      <c r="DC285" s="254" t="n"/>
      <c r="DD285" s="254" t="n"/>
      <c r="DE285" s="254" t="n"/>
      <c r="DF285" s="254" t="n"/>
      <c r="DG285" s="254" t="n"/>
      <c r="DH285" s="254" t="n"/>
      <c r="DI285" s="254" t="n"/>
      <c r="DJ285" s="254" t="inlineStr">
        <is>
          <t>T</t>
        </is>
      </c>
      <c r="DK285" s="254" t="n">
        <v>15</v>
      </c>
      <c r="DL285" s="95" t="n">
        <v>21</v>
      </c>
      <c r="DM285" s="254" t="n"/>
      <c r="DN285" s="95" t="n"/>
      <c r="DO285" s="95" t="n"/>
    </row>
    <row r="286" ht="13" customHeight="1">
      <c r="A286" s="203" t="inlineStr">
        <is>
          <t>CTP-01</t>
        </is>
      </c>
      <c r="B286" s="260"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259" t="inlineStr">
        <is>
          <t>532MACTP</t>
        </is>
      </c>
      <c r="BL286" s="61" t="inlineStr">
        <is>
          <t>GMAP-SIGA</t>
        </is>
      </c>
      <c r="BM286" s="254" t="inlineStr">
        <is>
          <t>NF</t>
        </is>
      </c>
      <c r="BN286" s="266"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4" t="n"/>
      <c r="DB286" s="254" t="n"/>
      <c r="DC286" s="254" t="n"/>
      <c r="DD286" s="254" t="n"/>
      <c r="DE286" s="254" t="n"/>
      <c r="DF286" s="254" t="n"/>
      <c r="DG286" s="254" t="n"/>
      <c r="DH286" s="254" t="n"/>
      <c r="DI286" s="254" t="n"/>
      <c r="DJ286" s="254" t="inlineStr">
        <is>
          <t>M</t>
        </is>
      </c>
      <c r="DK286" s="254" t="n">
        <v>8</v>
      </c>
      <c r="DL286" s="95" t="n">
        <v>14</v>
      </c>
      <c r="DM286" s="254" t="n"/>
      <c r="DN286" s="95" t="n"/>
      <c r="DO286" s="95" t="n"/>
    </row>
    <row r="287" ht="13" customHeight="1">
      <c r="A287" s="203" t="inlineStr">
        <is>
          <t>CTP-03</t>
        </is>
      </c>
      <c r="B287" s="260"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259" t="inlineStr">
        <is>
          <t>532MACTP</t>
        </is>
      </c>
      <c r="BL287" s="61" t="inlineStr">
        <is>
          <t>GMAP-SIGA</t>
        </is>
      </c>
      <c r="BM287" s="254" t="inlineStr">
        <is>
          <t>NF</t>
        </is>
      </c>
      <c r="BN287" s="266" t="inlineStr">
        <is>
          <t>Jachucoposa</t>
        </is>
      </c>
      <c r="BO287" s="254"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4" t="n"/>
      <c r="DB287" s="254" t="n"/>
      <c r="DC287" s="254" t="n"/>
      <c r="DD287" s="254" t="n"/>
      <c r="DE287" s="254" t="n"/>
      <c r="DF287" s="254" t="n"/>
      <c r="DG287" s="254" t="n"/>
      <c r="DH287" s="254" t="n"/>
      <c r="DI287" s="254" t="n"/>
      <c r="DJ287" s="254" t="inlineStr">
        <is>
          <t>SE ELIMINA</t>
        </is>
      </c>
      <c r="DK287" s="254" t="n"/>
      <c r="DL287" s="95" t="n"/>
      <c r="DM287" s="254" t="n"/>
      <c r="DN287" s="95" t="n"/>
      <c r="DO287" s="95" t="n"/>
    </row>
    <row r="288" ht="13" customHeight="1">
      <c r="A288" s="203" t="inlineStr">
        <is>
          <t>CWE-01</t>
        </is>
      </c>
      <c r="B288" s="260" t="inlineStr">
        <is>
          <t>CWE-01 FALLA PABELLON</t>
        </is>
      </c>
      <c r="C288" s="254"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259" t="inlineStr">
        <is>
          <t>532MACWE</t>
        </is>
      </c>
      <c r="BL288" s="7" t="inlineStr">
        <is>
          <t>GMAP-SIGA</t>
        </is>
      </c>
      <c r="BM288" s="254" t="inlineStr">
        <is>
          <t>NF</t>
        </is>
      </c>
      <c r="BN288" s="106" t="inlineStr">
        <is>
          <t>Falla Pabellón</t>
        </is>
      </c>
      <c r="BO288" s="254" t="inlineStr">
        <is>
          <t>SI</t>
        </is>
      </c>
      <c r="BP288" s="106" t="inlineStr">
        <is>
          <t>CWE-01 FALLA PABELLON/NF</t>
        </is>
      </c>
      <c r="BQ288" s="106">
        <f>VLOOKUP(BP288,[1]AGUA!$1:$1048576,2,FALSE)</f>
        <v/>
      </c>
      <c r="BR288" s="106">
        <f>VLOOKUP(BP288,[1]AGUA!$1:$1048576,6,FALSE)</f>
        <v/>
      </c>
      <c r="BS288" s="106">
        <f>VLOOKUP(BP288,[1]AGUA!$1:$1048576,7,FALSE)</f>
        <v/>
      </c>
      <c r="BT288" s="106" t="n"/>
      <c r="BU288" s="251"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4" t="n"/>
      <c r="DB288" s="254" t="n"/>
      <c r="DC288" s="254" t="n"/>
      <c r="DD288" s="254" t="n"/>
      <c r="DE288" s="254" t="n"/>
      <c r="DF288" s="254" t="n"/>
      <c r="DG288" s="254" t="n"/>
      <c r="DH288" s="254" t="n"/>
      <c r="DI288" s="254" t="n"/>
      <c r="DJ288" s="254" t="inlineStr">
        <is>
          <t>T</t>
        </is>
      </c>
      <c r="DK288" s="254" t="n">
        <v>15</v>
      </c>
      <c r="DL288" s="95" t="n">
        <v>21</v>
      </c>
      <c r="DM288" s="254" t="n"/>
      <c r="DN288" s="95" t="n"/>
      <c r="DO288" s="95" t="n"/>
    </row>
    <row r="289" ht="13" customHeight="1">
      <c r="A289" s="203" t="inlineStr">
        <is>
          <t>CWE-01</t>
        </is>
      </c>
      <c r="B289" s="255" t="n"/>
      <c r="C289" s="255"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255" t="n"/>
      <c r="BL289" s="7" t="inlineStr">
        <is>
          <t>GMAP-SIGA</t>
        </is>
      </c>
      <c r="BM289" s="168" t="inlineStr">
        <is>
          <t>ASUB</t>
        </is>
      </c>
      <c r="BN289" s="106" t="inlineStr">
        <is>
          <t>Falla Pabellón</t>
        </is>
      </c>
      <c r="BO289" s="254"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252"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4" t="n"/>
      <c r="DB289" s="254" t="n"/>
      <c r="DC289" s="254" t="n"/>
      <c r="DD289" s="254" t="n"/>
      <c r="DE289" s="254" t="n"/>
      <c r="DF289" s="254" t="n"/>
      <c r="DG289" s="254" t="n"/>
      <c r="DH289" s="254" t="n"/>
      <c r="DI289" s="254" t="n"/>
      <c r="DJ289" s="254" t="n"/>
      <c r="DK289" s="254" t="n"/>
      <c r="DL289" s="95" t="n"/>
      <c r="DM289" s="254" t="inlineStr">
        <is>
          <t>T</t>
        </is>
      </c>
      <c r="DN289" s="95" t="n">
        <v>15</v>
      </c>
      <c r="DO289" s="95" t="n">
        <v>21</v>
      </c>
    </row>
    <row r="290" ht="12" customHeight="1">
      <c r="A290" s="203" t="inlineStr">
        <is>
          <t>CWE-02A</t>
        </is>
      </c>
      <c r="B290" s="260" t="inlineStr">
        <is>
          <t>CWE-02A COPOSA SUR</t>
        </is>
      </c>
      <c r="C290" s="254"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259" t="inlineStr">
        <is>
          <t>532MACWE</t>
        </is>
      </c>
      <c r="BL290" s="7" t="inlineStr">
        <is>
          <t>GMAP-SIGA</t>
        </is>
      </c>
      <c r="BM290" s="254" t="inlineStr">
        <is>
          <t>NF</t>
        </is>
      </c>
      <c r="BN290" s="266" t="inlineStr">
        <is>
          <t>Coposa sur</t>
        </is>
      </c>
      <c r="BO290" s="254" t="inlineStr">
        <is>
          <t>SI</t>
        </is>
      </c>
      <c r="BP290" s="106" t="inlineStr">
        <is>
          <t>CWE-02A COPOSA SUR/NF</t>
        </is>
      </c>
      <c r="BQ290" s="106">
        <f>VLOOKUP(BP290,[1]AGUA!$1:$1048576,2,FALSE)</f>
        <v/>
      </c>
      <c r="BR290" s="106">
        <f>VLOOKUP(BP290,[1]AGUA!$1:$1048576,6,FALSE)</f>
        <v/>
      </c>
      <c r="BS290" s="106">
        <f>VLOOKUP(BP290,[1]AGUA!$1:$1048576,7,FALSE)</f>
        <v/>
      </c>
      <c r="BT290" s="106" t="n"/>
      <c r="BU290" s="251"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4" t="n"/>
      <c r="DB290" s="254" t="n"/>
      <c r="DC290" s="254" t="n"/>
      <c r="DD290" s="254" t="n"/>
      <c r="DE290" s="254" t="n"/>
      <c r="DF290" s="254" t="n"/>
      <c r="DG290" s="254" t="n"/>
      <c r="DH290" s="254" t="n"/>
      <c r="DI290" s="254" t="n"/>
      <c r="DJ290" s="254" t="inlineStr">
        <is>
          <t>T</t>
        </is>
      </c>
      <c r="DK290" s="254" t="n">
        <v>1</v>
      </c>
      <c r="DL290" s="95" t="n">
        <v>7</v>
      </c>
      <c r="DM290" s="254" t="n"/>
      <c r="DN290" s="95" t="n"/>
      <c r="DO290" s="95" t="n"/>
    </row>
    <row r="291" ht="18" customHeight="1">
      <c r="A291" s="203" t="inlineStr">
        <is>
          <t>CWE-02A</t>
        </is>
      </c>
      <c r="B291" s="255" t="n"/>
      <c r="C291" s="255"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255" t="n"/>
      <c r="BL291" s="7" t="inlineStr">
        <is>
          <t>GMAP-SIGA</t>
        </is>
      </c>
      <c r="BM291" s="254" t="inlineStr">
        <is>
          <t>ASUB</t>
        </is>
      </c>
      <c r="BN291" s="266" t="inlineStr">
        <is>
          <t>Coposa sur</t>
        </is>
      </c>
      <c r="BO291" s="254" t="inlineStr">
        <is>
          <t>SI</t>
        </is>
      </c>
      <c r="BP291" s="106" t="inlineStr">
        <is>
          <t>CWE-02A COPOSA SUR/ASUB</t>
        </is>
      </c>
      <c r="BQ291" s="106">
        <f>VLOOKUP(BP291,[1]AGUA!$1:$1048576,2,FALSE)</f>
        <v/>
      </c>
      <c r="BR291" s="106">
        <f>VLOOKUP(BP291,[1]AGUA!$1:$1048576,6,FALSE)</f>
        <v/>
      </c>
      <c r="BS291" s="106">
        <f>VLOOKUP(BP291,[1]AGUA!$1:$1048576,7,FALSE)</f>
        <v/>
      </c>
      <c r="BT291" s="106" t="n"/>
      <c r="BU291" s="252"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4" t="n"/>
      <c r="DB291" s="254" t="n"/>
      <c r="DC291" s="254" t="n"/>
      <c r="DD291" s="254" t="n"/>
      <c r="DE291" s="254" t="n"/>
      <c r="DF291" s="254" t="n"/>
      <c r="DG291" s="254" t="n"/>
      <c r="DH291" s="254" t="n"/>
      <c r="DI291" s="254" t="n"/>
      <c r="DJ291" s="254" t="n"/>
      <c r="DK291" s="254" t="n"/>
      <c r="DL291" s="95" t="n"/>
      <c r="DM291" s="254" t="inlineStr">
        <is>
          <t>T</t>
        </is>
      </c>
      <c r="DN291" s="95" t="n">
        <v>22</v>
      </c>
      <c r="DO291" s="95" t="n">
        <v>28</v>
      </c>
    </row>
    <row r="292" ht="12" customHeight="1">
      <c r="A292" s="203" t="inlineStr">
        <is>
          <t>CWE-03</t>
        </is>
      </c>
      <c r="B292" s="260"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259" t="inlineStr">
        <is>
          <t>532MACWE</t>
        </is>
      </c>
      <c r="BL292" s="61" t="inlineStr">
        <is>
          <t>GMAP-SIGA</t>
        </is>
      </c>
      <c r="BM292" s="254" t="inlineStr">
        <is>
          <t>NF</t>
        </is>
      </c>
      <c r="BN292" s="266" t="inlineStr">
        <is>
          <t>Coposa sur</t>
        </is>
      </c>
      <c r="BO292" s="254"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4" t="n"/>
      <c r="DB292" s="254" t="n"/>
      <c r="DC292" s="254" t="n"/>
      <c r="DD292" s="254" t="n"/>
      <c r="DE292" s="254" t="n"/>
      <c r="DF292" s="254" t="n"/>
      <c r="DG292" s="254" t="n"/>
      <c r="DH292" s="254" t="n"/>
      <c r="DI292" s="254" t="n"/>
      <c r="DJ292" s="254" t="inlineStr">
        <is>
          <t>M</t>
        </is>
      </c>
      <c r="DK292" s="254" t="n">
        <v>22</v>
      </c>
      <c r="DL292" s="95" t="n">
        <v>28</v>
      </c>
      <c r="DM292" s="254" t="n"/>
      <c r="DN292" s="95" t="n"/>
      <c r="DO292" s="95" t="n"/>
    </row>
    <row r="293" ht="13.5" customHeight="1">
      <c r="A293" s="205" t="inlineStr">
        <is>
          <t>CWE-05</t>
        </is>
      </c>
      <c r="B293" s="260"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259" t="inlineStr">
        <is>
          <t>532MACWE</t>
        </is>
      </c>
      <c r="BL293" s="61" t="inlineStr">
        <is>
          <t>GMAP-SIGA</t>
        </is>
      </c>
      <c r="BM293" s="254" t="inlineStr">
        <is>
          <t>NF</t>
        </is>
      </c>
      <c r="BN293" s="106" t="inlineStr">
        <is>
          <t>Falla Pabellón</t>
        </is>
      </c>
      <c r="BO293" s="254"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4" t="n"/>
      <c r="DC293" s="254" t="n"/>
      <c r="DD293" s="254" t="n"/>
      <c r="DE293" s="254" t="n"/>
      <c r="DF293" s="254" t="n"/>
      <c r="DG293" s="254" t="n"/>
      <c r="DH293" s="254" t="n"/>
      <c r="DI293" s="254" t="n"/>
      <c r="DJ293" s="168" t="inlineStr">
        <is>
          <t>S</t>
        </is>
      </c>
      <c r="DK293" s="254" t="n">
        <v>15</v>
      </c>
      <c r="DL293" s="95" t="n">
        <v>28</v>
      </c>
      <c r="DM293" s="254" t="n"/>
      <c r="DN293" s="95" t="n"/>
      <c r="DO293" s="95" t="n"/>
    </row>
    <row r="294" ht="14.5" customHeight="1">
      <c r="A294" s="203" t="inlineStr">
        <is>
          <t>CWE-06</t>
        </is>
      </c>
      <c r="B294" s="260" t="inlineStr">
        <is>
          <t>CWE-06 FALLA PABELLON</t>
        </is>
      </c>
      <c r="C294" s="254"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259" t="inlineStr">
        <is>
          <t>532MACWE</t>
        </is>
      </c>
      <c r="BL294" s="7" t="inlineStr">
        <is>
          <t>GMAP-SIGA</t>
        </is>
      </c>
      <c r="BM294" s="254" t="inlineStr">
        <is>
          <t>NF</t>
        </is>
      </c>
      <c r="BN294" s="106" t="inlineStr">
        <is>
          <t>Falla Pabellón</t>
        </is>
      </c>
      <c r="BO294" s="254" t="inlineStr">
        <is>
          <t>SI</t>
        </is>
      </c>
      <c r="BP294" s="106" t="inlineStr">
        <is>
          <t>CWE-06 FALLA PABELLON/NF</t>
        </is>
      </c>
      <c r="BQ294" s="106">
        <f>VLOOKUP(BP294,[1]AGUA!$1:$1048576,2,FALSE)</f>
        <v/>
      </c>
      <c r="BR294" s="106">
        <f>VLOOKUP(BP294,[1]AGUA!$1:$1048576,6,FALSE)</f>
        <v/>
      </c>
      <c r="BS294" s="106">
        <f>VLOOKUP(BP294,[1]AGUA!$1:$1048576,7,FALSE)</f>
        <v/>
      </c>
      <c r="BT294" s="106" t="n"/>
      <c r="BU294" s="251"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4" t="n"/>
      <c r="DB294" s="254" t="n"/>
      <c r="DC294" s="254" t="n"/>
      <c r="DD294" s="254" t="n"/>
      <c r="DE294" s="254" t="n"/>
      <c r="DF294" s="254" t="n"/>
      <c r="DG294" s="254" t="n"/>
      <c r="DH294" s="254" t="n"/>
      <c r="DI294" s="254" t="n"/>
      <c r="DJ294" s="254" t="inlineStr">
        <is>
          <t>T</t>
        </is>
      </c>
      <c r="DK294" s="254" t="n">
        <v>15</v>
      </c>
      <c r="DL294" s="95" t="n">
        <v>21</v>
      </c>
      <c r="DM294" s="254" t="n"/>
      <c r="DN294" s="95" t="n"/>
      <c r="DO294" s="95" t="n"/>
    </row>
    <row r="295" ht="12.5" customHeight="1">
      <c r="A295" s="203" t="inlineStr">
        <is>
          <t>CWE-06</t>
        </is>
      </c>
      <c r="B295" s="255" t="n"/>
      <c r="C295" s="255"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255" t="n"/>
      <c r="BL295" s="7" t="inlineStr">
        <is>
          <t>GMAP-SIGA</t>
        </is>
      </c>
      <c r="BM295" s="168" t="inlineStr">
        <is>
          <t>ASUB</t>
        </is>
      </c>
      <c r="BN295" s="106" t="inlineStr">
        <is>
          <t>Falla Pabellón</t>
        </is>
      </c>
      <c r="BO295" s="254" t="inlineStr">
        <is>
          <t>SI</t>
        </is>
      </c>
      <c r="BP295" s="106" t="inlineStr">
        <is>
          <t>CWE-06 FALLA PABELLON/ASUB</t>
        </is>
      </c>
      <c r="BQ295" s="106">
        <f>VLOOKUP(BP295,[1]AGUA!$1:$1048576,2,FALSE)</f>
        <v/>
      </c>
      <c r="BR295" s="106">
        <f>VLOOKUP(BP295,[1]AGUA!$1:$1048576,6,FALSE)</f>
        <v/>
      </c>
      <c r="BS295" s="106">
        <f>VLOOKUP(BP295,[1]AGUA!$1:$1048576,7,FALSE)</f>
        <v/>
      </c>
      <c r="BT295" s="106" t="n"/>
      <c r="BU295" s="252"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4" t="n"/>
      <c r="DB295" s="254" t="n"/>
      <c r="DC295" s="254" t="n"/>
      <c r="DD295" s="254" t="n"/>
      <c r="DE295" s="254" t="n"/>
      <c r="DF295" s="254" t="n"/>
      <c r="DG295" s="254" t="n"/>
      <c r="DH295" s="254" t="n"/>
      <c r="DI295" s="254" t="n"/>
      <c r="DJ295" s="254" t="n"/>
      <c r="DK295" s="254" t="n"/>
      <c r="DL295" s="95" t="n"/>
      <c r="DM295" s="254" t="inlineStr">
        <is>
          <t>T</t>
        </is>
      </c>
      <c r="DN295" s="95" t="n">
        <v>15</v>
      </c>
      <c r="DO295" s="95" t="n">
        <v>21</v>
      </c>
    </row>
    <row r="296" ht="12.5" customHeight="1">
      <c r="A296" s="203" t="inlineStr">
        <is>
          <t>CWE-07</t>
        </is>
      </c>
      <c r="B296" s="260" t="inlineStr">
        <is>
          <t>CWE-07 COPOSA SUR</t>
        </is>
      </c>
      <c r="C296" s="254"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259" t="inlineStr">
        <is>
          <t>532MACWE</t>
        </is>
      </c>
      <c r="BL296" s="7" t="inlineStr">
        <is>
          <t>GMAP-SIGA</t>
        </is>
      </c>
      <c r="BM296" s="254" t="inlineStr">
        <is>
          <t>NF</t>
        </is>
      </c>
      <c r="BN296" s="266"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1"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4" t="n"/>
      <c r="DB296" s="254" t="n"/>
      <c r="DC296" s="254" t="n"/>
      <c r="DD296" s="254" t="n"/>
      <c r="DE296" s="254" t="n"/>
      <c r="DF296" s="254" t="n"/>
      <c r="DG296" s="254" t="n"/>
      <c r="DH296" s="254" t="n"/>
      <c r="DI296" s="254" t="n"/>
      <c r="DJ296" s="254" t="inlineStr">
        <is>
          <t>M</t>
        </is>
      </c>
      <c r="DK296" s="254" t="n">
        <v>8</v>
      </c>
      <c r="DL296" s="95" t="n">
        <v>21</v>
      </c>
      <c r="DM296" s="254" t="n"/>
      <c r="DN296" s="95" t="n"/>
      <c r="DO296" s="95" t="n"/>
    </row>
    <row r="297" ht="13" customHeight="1">
      <c r="A297" s="203" t="inlineStr">
        <is>
          <t>CWE-07</t>
        </is>
      </c>
      <c r="B297" s="255" t="n"/>
      <c r="C297" s="255"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255" t="n"/>
      <c r="BL297" s="7" t="inlineStr">
        <is>
          <t>GMAP-SIGA</t>
        </is>
      </c>
      <c r="BM297" s="254" t="inlineStr">
        <is>
          <t>ASUB</t>
        </is>
      </c>
      <c r="BN297" s="266" t="inlineStr">
        <is>
          <t>Coposa sur</t>
        </is>
      </c>
      <c r="BO297" s="254" t="inlineStr">
        <is>
          <t>SI / PAT FRONTERA</t>
        </is>
      </c>
      <c r="BP297" s="106" t="inlineStr">
        <is>
          <t>CWE-07 COPOSA SUR/ASUB</t>
        </is>
      </c>
      <c r="BQ297" s="106">
        <f>VLOOKUP(BP297,[1]AGUA!$1:$1048576,2,FALSE)</f>
        <v/>
      </c>
      <c r="BR297" s="106">
        <f>VLOOKUP(BP297,[1]AGUA!$1:$1048576,6,FALSE)</f>
        <v/>
      </c>
      <c r="BS297" s="106">
        <f>VLOOKUP(BP297,[1]AGUA!$1:$1048576,7,FALSE)</f>
        <v/>
      </c>
      <c r="BT297" s="106" t="n"/>
      <c r="BU297" s="252"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4" t="n"/>
      <c r="DB297" s="254" t="n"/>
      <c r="DC297" s="254" t="n"/>
      <c r="DD297" s="254" t="n"/>
      <c r="DE297" s="254" t="n"/>
      <c r="DF297" s="254" t="n"/>
      <c r="DG297" s="254" t="n"/>
      <c r="DH297" s="254" t="n"/>
      <c r="DI297" s="254" t="n"/>
      <c r="DJ297" s="254" t="n"/>
      <c r="DK297" s="254" t="n"/>
      <c r="DL297" s="95" t="n"/>
      <c r="DM297" s="254" t="inlineStr">
        <is>
          <t>T</t>
        </is>
      </c>
      <c r="DN297" s="95" t="n">
        <v>8</v>
      </c>
      <c r="DO297" s="95" t="n">
        <v>14</v>
      </c>
    </row>
    <row r="298" ht="15" customHeight="1">
      <c r="A298" s="203" t="inlineStr">
        <is>
          <t>CWE-08</t>
        </is>
      </c>
      <c r="B298" s="260" t="inlineStr">
        <is>
          <t>CWE-08 COPOSA SUR</t>
        </is>
      </c>
      <c r="C298" s="254"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259" t="inlineStr">
        <is>
          <t>532MACWE</t>
        </is>
      </c>
      <c r="BL298" s="7" t="inlineStr">
        <is>
          <t>GMAP-SIGA</t>
        </is>
      </c>
      <c r="BM298" s="254" t="inlineStr">
        <is>
          <t>NF</t>
        </is>
      </c>
      <c r="BN298" s="266"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1"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4" t="n"/>
      <c r="DB298" s="254" t="n"/>
      <c r="DC298" s="254" t="n"/>
      <c r="DD298" s="254" t="n"/>
      <c r="DE298" s="254" t="n"/>
      <c r="DF298" s="254" t="n"/>
      <c r="DG298" s="254" t="n"/>
      <c r="DH298" s="254" t="n"/>
      <c r="DI298" s="254" t="n"/>
      <c r="DJ298" s="254" t="inlineStr">
        <is>
          <t>M</t>
        </is>
      </c>
      <c r="DK298" s="254" t="n">
        <v>8</v>
      </c>
      <c r="DL298" s="95" t="n">
        <v>14</v>
      </c>
      <c r="DM298" s="254" t="n"/>
      <c r="DN298" s="95" t="n"/>
      <c r="DO298" s="95" t="n"/>
    </row>
    <row r="299" ht="13" customHeight="1">
      <c r="A299" s="203" t="inlineStr">
        <is>
          <t>CWE-08</t>
        </is>
      </c>
      <c r="B299" s="255" t="n"/>
      <c r="C299" s="255"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255" t="n"/>
      <c r="BL299" s="7" t="inlineStr">
        <is>
          <t>GMAP-SIGA</t>
        </is>
      </c>
      <c r="BM299" s="254" t="inlineStr">
        <is>
          <t>ASUB</t>
        </is>
      </c>
      <c r="BN299" s="266" t="inlineStr">
        <is>
          <t>Coposa sur</t>
        </is>
      </c>
      <c r="BO299" s="254" t="inlineStr">
        <is>
          <t>SI / PAT FRONTERA</t>
        </is>
      </c>
      <c r="BP299" s="106" t="inlineStr">
        <is>
          <t>CWE-08 COPOSA SUR/ASUB</t>
        </is>
      </c>
      <c r="BQ299" s="106">
        <f>VLOOKUP(BP299,[1]AGUA!$1:$1048576,2,FALSE)</f>
        <v/>
      </c>
      <c r="BR299" s="106">
        <f>VLOOKUP(BP299,[1]AGUA!$1:$1048576,6,FALSE)</f>
        <v/>
      </c>
      <c r="BS299" s="106">
        <f>VLOOKUP(BP299,[1]AGUA!$1:$1048576,7,FALSE)</f>
        <v/>
      </c>
      <c r="BT299" s="106" t="n"/>
      <c r="BU299" s="252"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4" t="n"/>
      <c r="DB299" s="254" t="n"/>
      <c r="DC299" s="254" t="n"/>
      <c r="DD299" s="254" t="n"/>
      <c r="DE299" s="254" t="n"/>
      <c r="DF299" s="254" t="n"/>
      <c r="DG299" s="254" t="n"/>
      <c r="DH299" s="254" t="n"/>
      <c r="DI299" s="254" t="n"/>
      <c r="DJ299" s="254" t="n"/>
      <c r="DK299" s="254" t="n"/>
      <c r="DL299" s="95" t="n"/>
      <c r="DM299" s="254" t="inlineStr">
        <is>
          <t>T</t>
        </is>
      </c>
      <c r="DN299" s="254" t="n">
        <v>8</v>
      </c>
      <c r="DO299" s="95" t="n">
        <v>14</v>
      </c>
    </row>
    <row r="300" ht="13" customHeight="1">
      <c r="A300" s="203" t="inlineStr">
        <is>
          <t>CWE-09B</t>
        </is>
      </c>
      <c r="B300" s="260" t="inlineStr">
        <is>
          <t>CWE-09B COPOSA SUR</t>
        </is>
      </c>
      <c r="C300" s="254"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259" t="inlineStr">
        <is>
          <t>532MACWE</t>
        </is>
      </c>
      <c r="BL300" s="7" t="inlineStr">
        <is>
          <t>GMAP-SIGA</t>
        </is>
      </c>
      <c r="BM300" s="254" t="inlineStr">
        <is>
          <t>NF</t>
        </is>
      </c>
      <c r="BN300" s="266"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1"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4" t="n"/>
      <c r="DB300" s="254" t="n"/>
      <c r="DC300" s="254" t="n"/>
      <c r="DD300" s="254" t="n"/>
      <c r="DE300" s="254" t="n"/>
      <c r="DF300" s="254" t="n"/>
      <c r="DG300" s="254" t="n"/>
      <c r="DH300" s="254" t="n"/>
      <c r="DI300" s="254" t="n"/>
      <c r="DJ300" s="254" t="inlineStr">
        <is>
          <t>M</t>
        </is>
      </c>
      <c r="DK300" s="254" t="n">
        <v>8</v>
      </c>
      <c r="DL300" s="95" t="n">
        <v>14</v>
      </c>
      <c r="DM300" s="254" t="n"/>
      <c r="DN300" s="254" t="n"/>
      <c r="DO300" s="95" t="n"/>
    </row>
    <row r="301" ht="13" customHeight="1">
      <c r="A301" s="203" t="inlineStr">
        <is>
          <t>CWE-09B</t>
        </is>
      </c>
      <c r="B301" s="255" t="n"/>
      <c r="C301" s="255"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255" t="n"/>
      <c r="BL301" s="7" t="inlineStr">
        <is>
          <t>GMAP-SIGA</t>
        </is>
      </c>
      <c r="BM301" s="254" t="inlineStr">
        <is>
          <t>ASUB</t>
        </is>
      </c>
      <c r="BN301" s="266" t="inlineStr">
        <is>
          <t>Coposa sur</t>
        </is>
      </c>
      <c r="BO301" s="254" t="inlineStr">
        <is>
          <t>SI / PAT FRONTERA</t>
        </is>
      </c>
      <c r="BP301" s="106" t="inlineStr">
        <is>
          <t>CWE-09B COPOSA SUR/ASUB</t>
        </is>
      </c>
      <c r="BQ301" s="106">
        <f>VLOOKUP(BP301,[1]AGUA!$1:$1048576,2,FALSE)</f>
        <v/>
      </c>
      <c r="BR301" s="106">
        <f>VLOOKUP(BP301,[1]AGUA!$1:$1048576,6,FALSE)</f>
        <v/>
      </c>
      <c r="BS301" s="106">
        <f>VLOOKUP(BP301,[1]AGUA!$1:$1048576,7,FALSE)</f>
        <v/>
      </c>
      <c r="BT301" s="106" t="n"/>
      <c r="BU301" s="252"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4" t="n"/>
      <c r="DB301" s="254" t="n"/>
      <c r="DC301" s="254" t="n"/>
      <c r="DD301" s="254" t="n"/>
      <c r="DE301" s="254" t="n"/>
      <c r="DF301" s="254" t="n"/>
      <c r="DG301" s="254" t="n"/>
      <c r="DH301" s="254" t="n"/>
      <c r="DI301" s="254" t="n"/>
      <c r="DJ301" s="254" t="n"/>
      <c r="DK301" s="254" t="n"/>
      <c r="DL301" s="95" t="n"/>
      <c r="DM301" s="254" t="inlineStr">
        <is>
          <t>T</t>
        </is>
      </c>
      <c r="DN301" s="95" t="n">
        <v>8</v>
      </c>
      <c r="DO301" s="95" t="n">
        <v>14</v>
      </c>
    </row>
    <row r="302" ht="12.5" customHeight="1">
      <c r="A302" s="216" t="inlineStr">
        <is>
          <t>CWE-10A</t>
        </is>
      </c>
      <c r="B302" s="260"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259" t="inlineStr">
        <is>
          <t>532MACWE</t>
        </is>
      </c>
      <c r="BL302" s="61" t="inlineStr">
        <is>
          <t>GMAP-SIGA</t>
        </is>
      </c>
      <c r="BM302" s="254" t="inlineStr">
        <is>
          <t>NF</t>
        </is>
      </c>
      <c r="BN302" s="106" t="inlineStr">
        <is>
          <t>Falla Pabellón</t>
        </is>
      </c>
      <c r="BO302" s="254"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4" t="n"/>
      <c r="DD302" s="254" t="n"/>
      <c r="DE302" s="254" t="n"/>
      <c r="DF302" s="254" t="n"/>
      <c r="DG302" s="254" t="n"/>
      <c r="DH302" s="254" t="n"/>
      <c r="DI302" s="254" t="n"/>
      <c r="DJ302" s="254" t="inlineStr">
        <is>
          <t>M</t>
        </is>
      </c>
      <c r="DK302" s="254" t="n">
        <v>15</v>
      </c>
      <c r="DL302" s="95" t="n">
        <v>28</v>
      </c>
      <c r="DM302" s="254" t="n"/>
      <c r="DN302" s="95" t="n"/>
      <c r="DO302" s="95" t="n"/>
    </row>
    <row r="303" ht="13" customHeight="1">
      <c r="A303" s="205" t="inlineStr">
        <is>
          <t>CWE-10B</t>
        </is>
      </c>
      <c r="B303" s="260"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259" t="inlineStr">
        <is>
          <t>532MACWE</t>
        </is>
      </c>
      <c r="BL303" s="61" t="inlineStr">
        <is>
          <t>GMAP-SIGA</t>
        </is>
      </c>
      <c r="BM303" s="254" t="inlineStr">
        <is>
          <t>NF</t>
        </is>
      </c>
      <c r="BN303" s="106" t="inlineStr">
        <is>
          <t>Falla Pabellón</t>
        </is>
      </c>
      <c r="BO303" s="254"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4" t="n"/>
      <c r="DD303" s="254" t="n"/>
      <c r="DE303" s="254" t="n"/>
      <c r="DF303" s="254" t="n"/>
      <c r="DG303" s="254" t="n"/>
      <c r="DH303" s="254" t="n"/>
      <c r="DI303" s="254" t="n"/>
      <c r="DJ303" s="254" t="inlineStr">
        <is>
          <t>M</t>
        </is>
      </c>
      <c r="DK303" s="254" t="n">
        <v>15</v>
      </c>
      <c r="DL303" s="95" t="n">
        <v>28</v>
      </c>
      <c r="DM303" s="254" t="n"/>
      <c r="DN303" s="95" t="n"/>
      <c r="DO303" s="95" t="n"/>
    </row>
    <row r="304" ht="13" customHeight="1">
      <c r="A304" s="203" t="inlineStr">
        <is>
          <t>CWE-12</t>
        </is>
      </c>
      <c r="B304" s="260" t="inlineStr">
        <is>
          <t>CWE-12 JACHUCOPOSA</t>
        </is>
      </c>
      <c r="C304" s="254"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259" t="inlineStr">
        <is>
          <t>532MACWE</t>
        </is>
      </c>
      <c r="BL304" s="7" t="inlineStr">
        <is>
          <t>GMAP-SIGA</t>
        </is>
      </c>
      <c r="BM304" s="254" t="inlineStr">
        <is>
          <t>NF</t>
        </is>
      </c>
      <c r="BN304" s="266" t="inlineStr">
        <is>
          <t>Jachucoposa</t>
        </is>
      </c>
      <c r="BO304" s="254" t="inlineStr">
        <is>
          <t>SI</t>
        </is>
      </c>
      <c r="BP304" s="106" t="inlineStr">
        <is>
          <t>CWE-12 JACHUCOPOSA/NF</t>
        </is>
      </c>
      <c r="BQ304" s="106">
        <f>VLOOKUP(BP304,[1]AGUA!$1:$1048576,2,FALSE)</f>
        <v/>
      </c>
      <c r="BR304" s="106">
        <f>VLOOKUP(BP304,[1]AGUA!$1:$1048576,6,FALSE)</f>
        <v/>
      </c>
      <c r="BS304" s="106">
        <f>VLOOKUP(BP304,[1]AGUA!$1:$1048576,7,FALSE)</f>
        <v/>
      </c>
      <c r="BT304" s="106" t="n"/>
      <c r="BU304" s="251"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4" t="n"/>
      <c r="DB304" s="254" t="n"/>
      <c r="DC304" s="254" t="n"/>
      <c r="DD304" s="254" t="n"/>
      <c r="DE304" s="254" t="n"/>
      <c r="DF304" s="254" t="n"/>
      <c r="DG304" s="254" t="n"/>
      <c r="DH304" s="254" t="n"/>
      <c r="DI304" s="254" t="n"/>
      <c r="DJ304" s="254" t="inlineStr">
        <is>
          <t>T</t>
        </is>
      </c>
      <c r="DK304" s="254" t="n">
        <v>15</v>
      </c>
      <c r="DL304" s="95" t="n">
        <v>21</v>
      </c>
      <c r="DM304" s="254" t="n"/>
      <c r="DN304" s="95" t="n"/>
      <c r="DO304" s="95" t="n"/>
    </row>
    <row r="305" ht="13" customHeight="1">
      <c r="A305" s="203" t="inlineStr">
        <is>
          <t>CWE-12</t>
        </is>
      </c>
      <c r="B305" s="255" t="n"/>
      <c r="C305" s="255"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255" t="n"/>
      <c r="BL305" s="7" t="inlineStr">
        <is>
          <t>GMAP-SIGA</t>
        </is>
      </c>
      <c r="BM305" s="168" t="inlineStr">
        <is>
          <t>ASUB</t>
        </is>
      </c>
      <c r="BN305" s="266" t="inlineStr">
        <is>
          <t>Jachucoposa</t>
        </is>
      </c>
      <c r="BO305" s="254" t="inlineStr">
        <is>
          <t>SI</t>
        </is>
      </c>
      <c r="BP305" s="106" t="inlineStr">
        <is>
          <t>CWE-12 JACHUCOPOSA/ASUB</t>
        </is>
      </c>
      <c r="BQ305" s="106">
        <f>VLOOKUP(BP305,[1]AGUA!$1:$1048576,2,FALSE)</f>
        <v/>
      </c>
      <c r="BR305" s="106">
        <f>VLOOKUP(BP305,[1]AGUA!$1:$1048576,6,FALSE)</f>
        <v/>
      </c>
      <c r="BS305" s="106">
        <f>VLOOKUP(BP305,[1]AGUA!$1:$1048576,7,FALSE)</f>
        <v/>
      </c>
      <c r="BT305" s="106" t="n"/>
      <c r="BU305" s="252"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4" t="n"/>
      <c r="DB305" s="254" t="n"/>
      <c r="DC305" s="254" t="n"/>
      <c r="DD305" s="254" t="n"/>
      <c r="DE305" s="254" t="n"/>
      <c r="DF305" s="254" t="n"/>
      <c r="DG305" s="254" t="n"/>
      <c r="DH305" s="254" t="n"/>
      <c r="DI305" s="254" t="n"/>
      <c r="DJ305" s="254" t="n"/>
      <c r="DK305" s="254" t="n"/>
      <c r="DL305" s="95" t="n"/>
      <c r="DM305" s="254" t="inlineStr">
        <is>
          <t>T</t>
        </is>
      </c>
      <c r="DN305" s="95" t="n">
        <v>15</v>
      </c>
      <c r="DO305" s="95" t="n">
        <v>21</v>
      </c>
    </row>
    <row r="306" ht="13.5" customHeight="1">
      <c r="A306" s="203" t="inlineStr">
        <is>
          <t>CWE-15</t>
        </is>
      </c>
      <c r="B306" s="260"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259" t="inlineStr">
        <is>
          <t>532MACWE</t>
        </is>
      </c>
      <c r="BL306" s="7" t="inlineStr">
        <is>
          <t>GMAP-SIGA</t>
        </is>
      </c>
      <c r="BM306" s="254" t="inlineStr">
        <is>
          <t>NF</t>
        </is>
      </c>
      <c r="BN306" s="266"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4" t="n"/>
      <c r="DB306" s="254" t="n"/>
      <c r="DC306" s="254" t="n"/>
      <c r="DD306" s="254" t="n"/>
      <c r="DE306" s="254" t="n"/>
      <c r="DF306" s="254" t="n"/>
      <c r="DG306" s="254" t="n"/>
      <c r="DH306" s="254" t="n"/>
      <c r="DI306" s="254" t="n"/>
      <c r="DJ306" s="254" t="inlineStr">
        <is>
          <t>M</t>
        </is>
      </c>
      <c r="DK306" s="254" t="n">
        <v>8</v>
      </c>
      <c r="DL306" s="95" t="n">
        <v>14</v>
      </c>
      <c r="DM306" s="254" t="n"/>
      <c r="DN306" s="95" t="n"/>
      <c r="DO306" s="95" t="n"/>
    </row>
    <row r="307" ht="12.65" customHeight="1">
      <c r="A307" s="203" t="inlineStr">
        <is>
          <t>CWE-16</t>
        </is>
      </c>
      <c r="B307" s="260"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61" t="inlineStr">
        <is>
          <t>532MACWE</t>
        </is>
      </c>
      <c r="BL307" s="7" t="inlineStr">
        <is>
          <t>GMAP-SIGA</t>
        </is>
      </c>
      <c r="BM307" s="254" t="inlineStr">
        <is>
          <t>NF</t>
        </is>
      </c>
      <c r="BN307" s="266"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4" t="n"/>
      <c r="DB307" s="254" t="n"/>
      <c r="DC307" s="254" t="n"/>
      <c r="DD307" s="254" t="n"/>
      <c r="DE307" s="254" t="n"/>
      <c r="DF307" s="254" t="n"/>
      <c r="DG307" s="254" t="n"/>
      <c r="DH307" s="254" t="n"/>
      <c r="DI307" s="254" t="n"/>
      <c r="DJ307" s="254" t="inlineStr">
        <is>
          <t>M</t>
        </is>
      </c>
      <c r="DK307" s="254" t="n">
        <v>8</v>
      </c>
      <c r="DL307" s="95" t="n">
        <v>14</v>
      </c>
      <c r="DM307" s="254" t="n"/>
      <c r="DN307" s="95" t="n"/>
      <c r="DO307" s="95" t="n"/>
    </row>
    <row r="308" ht="13" customHeight="1">
      <c r="A308" s="203" t="inlineStr">
        <is>
          <t>CWE-18 (1)</t>
        </is>
      </c>
      <c r="B308" s="260"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259" t="inlineStr">
        <is>
          <t>532MACWE</t>
        </is>
      </c>
      <c r="BL308" s="61" t="inlineStr">
        <is>
          <t>GMAP-SIGA</t>
        </is>
      </c>
      <c r="BM308" s="254" t="inlineStr">
        <is>
          <t>NF</t>
        </is>
      </c>
      <c r="BN308" s="106" t="inlineStr">
        <is>
          <t>Falla Pabellón</t>
        </is>
      </c>
      <c r="BO308" s="254"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4" t="n"/>
      <c r="DB308" s="254" t="n"/>
      <c r="DC308" s="254" t="n"/>
      <c r="DD308" s="254" t="n"/>
      <c r="DE308" s="254" t="n"/>
      <c r="DF308" s="254" t="n"/>
      <c r="DG308" s="254" t="n"/>
      <c r="DH308" s="254" t="n"/>
      <c r="DI308" s="254" t="n"/>
      <c r="DJ308" s="254" t="inlineStr">
        <is>
          <t>T</t>
        </is>
      </c>
      <c r="DK308" s="254" t="n">
        <v>1</v>
      </c>
      <c r="DL308" s="95" t="n">
        <v>7</v>
      </c>
      <c r="DM308" s="254" t="n"/>
      <c r="DN308" s="95" t="n"/>
      <c r="DO308" s="95" t="n"/>
    </row>
    <row r="309" ht="13" customHeight="1">
      <c r="A309" s="203" t="inlineStr">
        <is>
          <t>CWE-18 (2)</t>
        </is>
      </c>
      <c r="B309" s="260"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259" t="inlineStr">
        <is>
          <t>532MACWE</t>
        </is>
      </c>
      <c r="BL309" s="61" t="inlineStr">
        <is>
          <t>GMAP-SIGA</t>
        </is>
      </c>
      <c r="BM309" s="254" t="inlineStr">
        <is>
          <t>NF</t>
        </is>
      </c>
      <c r="BN309" s="106" t="inlineStr">
        <is>
          <t>Falla Pabellón</t>
        </is>
      </c>
      <c r="BO309" s="254"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4" t="n"/>
      <c r="DB309" s="254" t="n"/>
      <c r="DC309" s="254" t="n"/>
      <c r="DD309" s="254" t="n"/>
      <c r="DE309" s="254" t="n"/>
      <c r="DF309" s="254" t="n"/>
      <c r="DG309" s="254" t="n"/>
      <c r="DH309" s="254" t="n"/>
      <c r="DI309" s="254" t="n"/>
      <c r="DJ309" s="254" t="inlineStr">
        <is>
          <t>T</t>
        </is>
      </c>
      <c r="DK309" s="254" t="n">
        <v>1</v>
      </c>
      <c r="DL309" s="95" t="n">
        <v>7</v>
      </c>
      <c r="DM309" s="254" t="n"/>
      <c r="DN309" s="95" t="n"/>
      <c r="DO309" s="95" t="n"/>
    </row>
    <row r="310" ht="14.5" customHeight="1">
      <c r="A310" s="205" t="inlineStr">
        <is>
          <t>CWE-19</t>
        </is>
      </c>
      <c r="B310" s="260" t="inlineStr">
        <is>
          <t>CWE-19 JACHUCOPOSA</t>
        </is>
      </c>
      <c r="C310" s="254"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259" t="inlineStr">
        <is>
          <t>532MACWE</t>
        </is>
      </c>
      <c r="BL310" s="7" t="inlineStr">
        <is>
          <t>GMAP-SIGA</t>
        </is>
      </c>
      <c r="BM310" s="254" t="inlineStr">
        <is>
          <t>NF</t>
        </is>
      </c>
      <c r="BN310" s="266" t="inlineStr">
        <is>
          <t>Jachucoposa</t>
        </is>
      </c>
      <c r="BO310" s="254"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1"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4" t="n"/>
      <c r="DC310" s="254" t="n"/>
      <c r="DD310" s="254" t="n"/>
      <c r="DE310" s="254" t="n"/>
      <c r="DF310" s="254" t="n"/>
      <c r="DG310" s="254" t="n"/>
      <c r="DH310" s="254" t="n"/>
      <c r="DI310" s="254" t="n"/>
      <c r="DJ310" s="254" t="inlineStr">
        <is>
          <t>M</t>
        </is>
      </c>
      <c r="DK310" s="254" t="n">
        <v>15</v>
      </c>
      <c r="DL310" s="95" t="n">
        <v>28</v>
      </c>
      <c r="DM310" s="254" t="n"/>
      <c r="DN310" s="95" t="n"/>
      <c r="DO310" s="95" t="n"/>
    </row>
    <row r="311" ht="12.5" customHeight="1">
      <c r="A311" s="203" t="inlineStr">
        <is>
          <t>CWE-19</t>
        </is>
      </c>
      <c r="B311" s="255" t="n"/>
      <c r="C311" s="255"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255" t="n"/>
      <c r="BL311" s="7" t="inlineStr">
        <is>
          <t>GMAP-SIGA</t>
        </is>
      </c>
      <c r="BM311" s="168" t="inlineStr">
        <is>
          <t>ASUB</t>
        </is>
      </c>
      <c r="BN311" s="266" t="inlineStr">
        <is>
          <t>Jachucoposa</t>
        </is>
      </c>
      <c r="BO311" s="254"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252"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4" t="n"/>
      <c r="DB311" s="254" t="n"/>
      <c r="DC311" s="254" t="n"/>
      <c r="DD311" s="254" t="n"/>
      <c r="DE311" s="254" t="n"/>
      <c r="DF311" s="254" t="n"/>
      <c r="DG311" s="254" t="n"/>
      <c r="DH311" s="254" t="n"/>
      <c r="DI311" s="254" t="n"/>
      <c r="DJ311" s="254" t="n"/>
      <c r="DK311" s="254" t="n"/>
      <c r="DL311" s="95" t="n"/>
      <c r="DM311" s="254" t="inlineStr">
        <is>
          <t>T</t>
        </is>
      </c>
      <c r="DN311" s="95" t="n">
        <v>15</v>
      </c>
      <c r="DO311" s="95" t="n">
        <v>21</v>
      </c>
    </row>
    <row r="312" ht="15" customHeight="1">
      <c r="A312" s="205" t="inlineStr">
        <is>
          <t>CWE-20</t>
        </is>
      </c>
      <c r="B312" s="260"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259" t="inlineStr">
        <is>
          <t>532MACWE</t>
        </is>
      </c>
      <c r="BL312" s="61" t="inlineStr">
        <is>
          <t>GMAP-SIGA</t>
        </is>
      </c>
      <c r="BM312" s="254" t="inlineStr">
        <is>
          <t>NF</t>
        </is>
      </c>
      <c r="BN312" s="266" t="inlineStr">
        <is>
          <t>Coposa sur</t>
        </is>
      </c>
      <c r="BO312" s="254"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4" t="n"/>
      <c r="DC312" s="254" t="n"/>
      <c r="DD312" s="254" t="n"/>
      <c r="DE312" s="254" t="n"/>
      <c r="DF312" s="254" t="n"/>
      <c r="DG312" s="254" t="n"/>
      <c r="DH312" s="254" t="n"/>
      <c r="DI312" s="254" t="n"/>
      <c r="DJ312" s="254" t="inlineStr">
        <is>
          <t>Q</t>
        </is>
      </c>
      <c r="DK312" s="226" t="inlineStr">
        <is>
          <t>1- 15</t>
        </is>
      </c>
      <c r="DL312" s="226" t="inlineStr">
        <is>
          <t>14-28</t>
        </is>
      </c>
      <c r="DM312" s="254" t="n"/>
      <c r="DN312" s="95" t="n"/>
      <c r="DO312" s="95" t="n"/>
    </row>
    <row r="313" ht="12.5" customHeight="1">
      <c r="A313" s="203" t="inlineStr">
        <is>
          <t>CWE-20</t>
        </is>
      </c>
      <c r="B313" s="260"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259" t="n"/>
      <c r="BL313" s="61" t="n"/>
      <c r="BM313" s="254" t="inlineStr">
        <is>
          <t>ASUB</t>
        </is>
      </c>
      <c r="BN313" s="266" t="inlineStr">
        <is>
          <t>Coposa sur</t>
        </is>
      </c>
      <c r="BO313" s="254"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4" t="n"/>
      <c r="DC313" s="254" t="n"/>
      <c r="DD313" s="254" t="n"/>
      <c r="DE313" s="254" t="n"/>
      <c r="DF313" s="254" t="n"/>
      <c r="DG313" s="254" t="n"/>
      <c r="DH313" s="254" t="n"/>
      <c r="DI313" s="254" t="n"/>
      <c r="DJ313" s="254" t="n"/>
      <c r="DK313" s="254" t="n"/>
      <c r="DL313" s="95" t="n"/>
      <c r="DM313" s="254" t="n"/>
      <c r="DN313" s="95" t="n"/>
      <c r="DO313" s="95" t="n"/>
    </row>
    <row r="314" ht="13" customHeight="1">
      <c r="A314" s="205" t="inlineStr">
        <is>
          <t>CWE-21</t>
        </is>
      </c>
      <c r="B314" s="260"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259" t="inlineStr">
        <is>
          <t>532MACWE</t>
        </is>
      </c>
      <c r="BL314" s="61" t="inlineStr">
        <is>
          <t>GMAP-SIGA</t>
        </is>
      </c>
      <c r="BM314" s="254" t="inlineStr">
        <is>
          <t>NF</t>
        </is>
      </c>
      <c r="BN314" s="266" t="inlineStr">
        <is>
          <t>Jachucoposa</t>
        </is>
      </c>
      <c r="BO314" s="254"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4" t="n"/>
      <c r="DC314" s="254" t="n"/>
      <c r="DD314" s="254" t="n"/>
      <c r="DE314" s="254" t="n"/>
      <c r="DF314" s="254" t="n"/>
      <c r="DG314" s="254" t="n"/>
      <c r="DH314" s="254" t="n"/>
      <c r="DI314" s="254" t="n"/>
      <c r="DJ314" s="254" t="inlineStr">
        <is>
          <t>M</t>
        </is>
      </c>
      <c r="DK314" s="254" t="n">
        <v>15</v>
      </c>
      <c r="DL314" s="95" t="n">
        <v>28</v>
      </c>
      <c r="DM314" s="254" t="n"/>
      <c r="DN314" s="95" t="n"/>
      <c r="DO314" s="95" t="n"/>
    </row>
    <row r="315" ht="12.65" customHeight="1">
      <c r="A315" s="203" t="inlineStr">
        <is>
          <t>CWE-22 (1)</t>
        </is>
      </c>
      <c r="B315" s="260"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259" t="inlineStr">
        <is>
          <t>532MACWE</t>
        </is>
      </c>
      <c r="BL315" s="61" t="inlineStr">
        <is>
          <t>GMAP-SIGA</t>
        </is>
      </c>
      <c r="BM315" s="254" t="inlineStr">
        <is>
          <t>NF</t>
        </is>
      </c>
      <c r="BN315" s="106" t="inlineStr">
        <is>
          <t>Falla Pabellón</t>
        </is>
      </c>
      <c r="BO315" s="254"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4" t="n"/>
      <c r="DB315" s="254" t="n"/>
      <c r="DC315" s="254" t="n"/>
      <c r="DD315" s="254" t="n"/>
      <c r="DE315" s="254" t="n"/>
      <c r="DF315" s="254" t="n"/>
      <c r="DG315" s="254" t="n"/>
      <c r="DH315" s="254" t="n"/>
      <c r="DI315" s="254" t="n"/>
      <c r="DJ315" s="254" t="inlineStr">
        <is>
          <t>T</t>
        </is>
      </c>
      <c r="DK315" s="254" t="n">
        <v>15</v>
      </c>
      <c r="DL315" s="95" t="n">
        <v>21</v>
      </c>
      <c r="DM315" s="254" t="n"/>
      <c r="DN315" s="95" t="n"/>
      <c r="DO315" s="95" t="n"/>
    </row>
    <row r="316" ht="13" customHeight="1">
      <c r="A316" s="203" t="inlineStr">
        <is>
          <t>CWE-22 (2)</t>
        </is>
      </c>
      <c r="B316" s="260"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259" t="inlineStr">
        <is>
          <t>532MACWE</t>
        </is>
      </c>
      <c r="BL316" s="61" t="inlineStr">
        <is>
          <t>GMAP-SIGA</t>
        </is>
      </c>
      <c r="BM316" s="254" t="inlineStr">
        <is>
          <t>NF</t>
        </is>
      </c>
      <c r="BN316" s="106" t="inlineStr">
        <is>
          <t>Falla Pabellón</t>
        </is>
      </c>
      <c r="BO316" s="254"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4" t="n"/>
      <c r="DB316" s="254" t="n"/>
      <c r="DC316" s="254" t="n"/>
      <c r="DD316" s="254" t="n"/>
      <c r="DE316" s="254" t="n"/>
      <c r="DF316" s="254" t="n"/>
      <c r="DG316" s="254" t="n"/>
      <c r="DH316" s="254" t="n"/>
      <c r="DI316" s="254" t="n"/>
      <c r="DJ316" s="254" t="inlineStr">
        <is>
          <t>T</t>
        </is>
      </c>
      <c r="DK316" s="254" t="n">
        <v>15</v>
      </c>
      <c r="DL316" s="95" t="n">
        <v>21</v>
      </c>
      <c r="DM316" s="254" t="n"/>
      <c r="DN316" s="95" t="n"/>
      <c r="DO316" s="95" t="n"/>
    </row>
    <row r="317" ht="13" customHeight="1">
      <c r="A317" s="203" t="inlineStr">
        <is>
          <t>CWE-22 (3)</t>
        </is>
      </c>
      <c r="B317" s="260"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259" t="inlineStr">
        <is>
          <t>532MACWE</t>
        </is>
      </c>
      <c r="BL317" s="61" t="inlineStr">
        <is>
          <t>GMAP-SIGA</t>
        </is>
      </c>
      <c r="BM317" s="254" t="inlineStr">
        <is>
          <t>NF</t>
        </is>
      </c>
      <c r="BN317" s="106" t="inlineStr">
        <is>
          <t>Falla Pabellón</t>
        </is>
      </c>
      <c r="BO317" s="254"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4" t="n"/>
      <c r="DB317" s="254" t="n"/>
      <c r="DC317" s="254" t="n"/>
      <c r="DD317" s="254" t="n"/>
      <c r="DE317" s="254" t="n"/>
      <c r="DF317" s="254" t="n"/>
      <c r="DG317" s="254" t="n"/>
      <c r="DH317" s="254" t="n"/>
      <c r="DI317" s="254" t="n"/>
      <c r="DJ317" s="254" t="inlineStr">
        <is>
          <t>T</t>
        </is>
      </c>
      <c r="DK317" s="254" t="n">
        <v>15</v>
      </c>
      <c r="DL317" s="95" t="n">
        <v>21</v>
      </c>
      <c r="DM317" s="254" t="n"/>
      <c r="DN317" s="95" t="n"/>
      <c r="DO317" s="95" t="n"/>
    </row>
    <row r="318" ht="13" customHeight="1">
      <c r="A318" s="203" t="inlineStr">
        <is>
          <t>CWE-22 (4)</t>
        </is>
      </c>
      <c r="B318" s="260"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259" t="inlineStr">
        <is>
          <t>532MACWE</t>
        </is>
      </c>
      <c r="BL318" s="61" t="inlineStr">
        <is>
          <t>GMAP-SIGA</t>
        </is>
      </c>
      <c r="BM318" s="254" t="inlineStr">
        <is>
          <t>NF</t>
        </is>
      </c>
      <c r="BN318" s="106" t="inlineStr">
        <is>
          <t>Falla Pabellón</t>
        </is>
      </c>
      <c r="BO318" s="254"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4" t="n"/>
      <c r="DB318" s="254" t="n"/>
      <c r="DC318" s="254" t="n"/>
      <c r="DD318" s="254" t="n"/>
      <c r="DE318" s="254" t="n"/>
      <c r="DF318" s="254" t="n"/>
      <c r="DG318" s="254" t="n"/>
      <c r="DH318" s="254" t="n"/>
      <c r="DI318" s="254" t="n"/>
      <c r="DJ318" s="254" t="inlineStr">
        <is>
          <t>T</t>
        </is>
      </c>
      <c r="DK318" s="254" t="n">
        <v>15</v>
      </c>
      <c r="DL318" s="95" t="n">
        <v>21</v>
      </c>
      <c r="DM318" s="254" t="n"/>
      <c r="DN318" s="95" t="n"/>
      <c r="DO318" s="95" t="n"/>
    </row>
    <row r="319" ht="13" customHeight="1">
      <c r="A319" s="203" t="inlineStr">
        <is>
          <t>CWE-23 (1)</t>
        </is>
      </c>
      <c r="B319" s="260"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259" t="inlineStr">
        <is>
          <t>532MACWE</t>
        </is>
      </c>
      <c r="BL319" s="61" t="inlineStr">
        <is>
          <t>GMAP-SIGA</t>
        </is>
      </c>
      <c r="BM319" s="254" t="inlineStr">
        <is>
          <t>NF</t>
        </is>
      </c>
      <c r="BN319" s="106" t="inlineStr">
        <is>
          <t>Falla Pabellón</t>
        </is>
      </c>
      <c r="BO319" s="254"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4" t="n"/>
      <c r="DB319" s="254" t="n"/>
      <c r="DC319" s="254" t="n"/>
      <c r="DD319" s="254" t="n"/>
      <c r="DE319" s="254" t="n"/>
      <c r="DF319" s="254" t="n"/>
      <c r="DG319" s="254" t="n"/>
      <c r="DH319" s="254" t="n"/>
      <c r="DI319" s="254" t="n"/>
      <c r="DJ319" s="254" t="inlineStr">
        <is>
          <t>T</t>
        </is>
      </c>
      <c r="DK319" s="254" t="n">
        <v>1</v>
      </c>
      <c r="DL319" s="95" t="n">
        <v>7</v>
      </c>
      <c r="DM319" s="254" t="n"/>
      <c r="DN319" s="95" t="n"/>
      <c r="DO319" s="95" t="n"/>
    </row>
    <row r="320" ht="13" customHeight="1">
      <c r="A320" s="203" t="inlineStr">
        <is>
          <t>CWE-23 (2)</t>
        </is>
      </c>
      <c r="B320" s="260"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259" t="inlineStr">
        <is>
          <t>532MACWE</t>
        </is>
      </c>
      <c r="BL320" s="61" t="inlineStr">
        <is>
          <t>GMAP-SIGA</t>
        </is>
      </c>
      <c r="BM320" s="254" t="inlineStr">
        <is>
          <t>NF</t>
        </is>
      </c>
      <c r="BN320" s="106" t="inlineStr">
        <is>
          <t>Falla Pabellón</t>
        </is>
      </c>
      <c r="BO320" s="254"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4" t="n"/>
      <c r="DB320" s="254" t="n"/>
      <c r="DC320" s="254" t="n"/>
      <c r="DD320" s="254" t="n"/>
      <c r="DE320" s="254" t="n"/>
      <c r="DF320" s="254" t="n"/>
      <c r="DG320" s="254" t="n"/>
      <c r="DH320" s="254" t="n"/>
      <c r="DI320" s="254" t="n"/>
      <c r="DJ320" s="254" t="inlineStr">
        <is>
          <t>T</t>
        </is>
      </c>
      <c r="DK320" s="254" t="n">
        <v>1</v>
      </c>
      <c r="DL320" s="95" t="n">
        <v>7</v>
      </c>
      <c r="DM320" s="254" t="n"/>
      <c r="DN320" s="95" t="n"/>
      <c r="DO320" s="95" t="n"/>
    </row>
    <row r="321" ht="13" customHeight="1">
      <c r="A321" s="203" t="inlineStr">
        <is>
          <t>CWE-23 (3)</t>
        </is>
      </c>
      <c r="B321" s="260"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259" t="inlineStr">
        <is>
          <t>532MACWE</t>
        </is>
      </c>
      <c r="BL321" s="61" t="inlineStr">
        <is>
          <t>GMAP-SIGA</t>
        </is>
      </c>
      <c r="BM321" s="254" t="inlineStr">
        <is>
          <t>NF</t>
        </is>
      </c>
      <c r="BN321" s="106" t="inlineStr">
        <is>
          <t>Falla Pabellón</t>
        </is>
      </c>
      <c r="BO321" s="254"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4" t="n"/>
      <c r="DB321" s="254" t="n"/>
      <c r="DC321" s="254" t="n"/>
      <c r="DD321" s="254" t="n"/>
      <c r="DE321" s="254" t="n"/>
      <c r="DF321" s="254" t="n"/>
      <c r="DG321" s="254" t="n"/>
      <c r="DH321" s="254" t="n"/>
      <c r="DI321" s="254" t="n"/>
      <c r="DJ321" s="254" t="inlineStr">
        <is>
          <t>T</t>
        </is>
      </c>
      <c r="DK321" s="254" t="n">
        <v>1</v>
      </c>
      <c r="DL321" s="95" t="n">
        <v>7</v>
      </c>
      <c r="DM321" s="254" t="n"/>
      <c r="DN321" s="95" t="n"/>
      <c r="DO321" s="95" t="n"/>
    </row>
    <row r="322" ht="13" customHeight="1">
      <c r="A322" s="203" t="inlineStr">
        <is>
          <t>CWE-23 (4)</t>
        </is>
      </c>
      <c r="B322" s="260"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259" t="inlineStr">
        <is>
          <t>532MACWE</t>
        </is>
      </c>
      <c r="BL322" s="61" t="inlineStr">
        <is>
          <t>GMAP-SIGA</t>
        </is>
      </c>
      <c r="BM322" s="254" t="inlineStr">
        <is>
          <t>NF</t>
        </is>
      </c>
      <c r="BN322" s="106" t="inlineStr">
        <is>
          <t>Falla Pabellón</t>
        </is>
      </c>
      <c r="BO322" s="254"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4" t="n"/>
      <c r="DB322" s="254" t="n"/>
      <c r="DC322" s="254" t="n"/>
      <c r="DD322" s="254" t="n"/>
      <c r="DE322" s="254" t="n"/>
      <c r="DF322" s="254" t="n"/>
      <c r="DG322" s="254" t="n"/>
      <c r="DH322" s="254" t="n"/>
      <c r="DI322" s="254" t="n"/>
      <c r="DJ322" s="254" t="inlineStr">
        <is>
          <t>T</t>
        </is>
      </c>
      <c r="DK322" s="254" t="n">
        <v>1</v>
      </c>
      <c r="DL322" s="95" t="n">
        <v>7</v>
      </c>
      <c r="DM322" s="254" t="n"/>
      <c r="DN322" s="95" t="n"/>
      <c r="DO322" s="95" t="n"/>
    </row>
    <row r="323" ht="13" customHeight="1">
      <c r="A323" s="203" t="inlineStr">
        <is>
          <t>CWE-24 (1)</t>
        </is>
      </c>
      <c r="B323" s="260"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259" t="inlineStr">
        <is>
          <t>532MACWE</t>
        </is>
      </c>
      <c r="BL323" s="61" t="inlineStr">
        <is>
          <t>GMAP-SIGA</t>
        </is>
      </c>
      <c r="BM323" s="254" t="inlineStr">
        <is>
          <t>NF</t>
        </is>
      </c>
      <c r="BN323" s="266" t="inlineStr">
        <is>
          <t>Jachucoposa</t>
        </is>
      </c>
      <c r="BO323" s="254"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4" t="n"/>
      <c r="DB323" s="254" t="n"/>
      <c r="DC323" s="254" t="n"/>
      <c r="DD323" s="254" t="n"/>
      <c r="DE323" s="254" t="n"/>
      <c r="DF323" s="254" t="n"/>
      <c r="DG323" s="254" t="n"/>
      <c r="DH323" s="254" t="n"/>
      <c r="DI323" s="254" t="n"/>
      <c r="DJ323" s="254" t="inlineStr">
        <is>
          <t>T</t>
        </is>
      </c>
      <c r="DK323" s="254" t="n">
        <v>8</v>
      </c>
      <c r="DL323" s="95" t="n">
        <v>14</v>
      </c>
      <c r="DM323" s="254" t="n"/>
      <c r="DN323" s="95" t="n"/>
      <c r="DO323" s="95" t="n"/>
    </row>
    <row r="324" ht="13" customHeight="1">
      <c r="A324" s="203" t="inlineStr">
        <is>
          <t>CWE-24 (2)</t>
        </is>
      </c>
      <c r="B324" s="260"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259" t="inlineStr">
        <is>
          <t>532MACWE</t>
        </is>
      </c>
      <c r="BL324" s="61" t="inlineStr">
        <is>
          <t>GMAP-SIGA</t>
        </is>
      </c>
      <c r="BM324" s="254" t="inlineStr">
        <is>
          <t>NF</t>
        </is>
      </c>
      <c r="BN324" s="266" t="inlineStr">
        <is>
          <t>Jachucoposa</t>
        </is>
      </c>
      <c r="BO324" s="254"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4" t="n"/>
      <c r="DB324" s="254" t="n"/>
      <c r="DC324" s="254" t="n"/>
      <c r="DD324" s="254" t="n"/>
      <c r="DE324" s="254" t="n"/>
      <c r="DF324" s="254" t="n"/>
      <c r="DG324" s="254" t="n"/>
      <c r="DH324" s="254" t="n"/>
      <c r="DI324" s="254" t="n"/>
      <c r="DJ324" s="254" t="inlineStr">
        <is>
          <t>T</t>
        </is>
      </c>
      <c r="DK324" s="254" t="n">
        <v>8</v>
      </c>
      <c r="DL324" s="95" t="n">
        <v>14</v>
      </c>
      <c r="DM324" s="254" t="n"/>
      <c r="DN324" s="95" t="n"/>
      <c r="DO324" s="95" t="n"/>
    </row>
    <row r="325" ht="13" customHeight="1">
      <c r="A325" s="203" t="inlineStr">
        <is>
          <t>CWE-24 (3)</t>
        </is>
      </c>
      <c r="B325" s="260"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259" t="inlineStr">
        <is>
          <t>532MACWE</t>
        </is>
      </c>
      <c r="BL325" s="61" t="inlineStr">
        <is>
          <t>GMAP-SIGA</t>
        </is>
      </c>
      <c r="BM325" s="254" t="inlineStr">
        <is>
          <t>NF</t>
        </is>
      </c>
      <c r="BN325" s="266" t="inlineStr">
        <is>
          <t>Jachucoposa</t>
        </is>
      </c>
      <c r="BO325" s="254"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4" t="n"/>
      <c r="DB325" s="254" t="n"/>
      <c r="DC325" s="254" t="n"/>
      <c r="DD325" s="254" t="n"/>
      <c r="DE325" s="254" t="n"/>
      <c r="DF325" s="254" t="n"/>
      <c r="DG325" s="254" t="n"/>
      <c r="DH325" s="254" t="n"/>
      <c r="DI325" s="254" t="n"/>
      <c r="DJ325" s="254" t="inlineStr">
        <is>
          <t>T</t>
        </is>
      </c>
      <c r="DK325" s="254" t="n">
        <v>8</v>
      </c>
      <c r="DL325" s="95" t="n">
        <v>14</v>
      </c>
      <c r="DM325" s="254" t="n"/>
      <c r="DN325" s="95" t="n"/>
      <c r="DO325" s="95" t="n"/>
    </row>
    <row r="326" ht="13" customHeight="1">
      <c r="A326" s="203" t="inlineStr">
        <is>
          <t>CWE-24 (4)</t>
        </is>
      </c>
      <c r="B326" s="260"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259" t="inlineStr">
        <is>
          <t>532MACWE</t>
        </is>
      </c>
      <c r="BL326" s="61" t="inlineStr">
        <is>
          <t>GMAP-SIGA</t>
        </is>
      </c>
      <c r="BM326" s="254" t="inlineStr">
        <is>
          <t>NF</t>
        </is>
      </c>
      <c r="BN326" s="266" t="inlineStr">
        <is>
          <t>Jachucoposa</t>
        </is>
      </c>
      <c r="BO326" s="254"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4" t="n"/>
      <c r="DB326" s="254" t="n"/>
      <c r="DC326" s="254" t="n"/>
      <c r="DD326" s="254" t="n"/>
      <c r="DE326" s="254" t="n"/>
      <c r="DF326" s="254" t="n"/>
      <c r="DG326" s="254" t="n"/>
      <c r="DH326" s="254" t="n"/>
      <c r="DI326" s="254" t="n"/>
      <c r="DJ326" s="254" t="inlineStr">
        <is>
          <t>T</t>
        </is>
      </c>
      <c r="DK326" s="254" t="n">
        <v>8</v>
      </c>
      <c r="DL326" s="95" t="n">
        <v>14</v>
      </c>
      <c r="DM326" s="254" t="n"/>
      <c r="DN326" s="95" t="n"/>
      <c r="DO326" s="95" t="n"/>
    </row>
    <row r="327" ht="13.5" customHeight="1">
      <c r="A327" s="205" t="inlineStr">
        <is>
          <t>CWE-25-1</t>
        </is>
      </c>
      <c r="B327" s="260"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259" t="inlineStr">
        <is>
          <t>532MACWE</t>
        </is>
      </c>
      <c r="BL327" s="61" t="inlineStr">
        <is>
          <t>GMAP-SIGA</t>
        </is>
      </c>
      <c r="BM327" s="254" t="inlineStr">
        <is>
          <t>NF</t>
        </is>
      </c>
      <c r="BN327" s="266"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4" t="n"/>
      <c r="DC327" s="254" t="n"/>
      <c r="DD327" s="254" t="n"/>
      <c r="DE327" s="254" t="n"/>
      <c r="DF327" s="254" t="n"/>
      <c r="DG327" s="254" t="n"/>
      <c r="DH327" s="254" t="n"/>
      <c r="DI327" s="254" t="n"/>
      <c r="DJ327" s="254" t="inlineStr">
        <is>
          <t>M</t>
        </is>
      </c>
      <c r="DK327" s="254" t="n">
        <v>15</v>
      </c>
      <c r="DL327" s="95" t="n">
        <v>28</v>
      </c>
      <c r="DM327" s="254" t="n"/>
      <c r="DN327" s="95" t="n"/>
      <c r="DO327" s="95" t="n"/>
    </row>
    <row r="328" ht="13" customHeight="1">
      <c r="A328" s="203" t="inlineStr">
        <is>
          <t>CWE-25-2</t>
        </is>
      </c>
      <c r="B328" s="260"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259" t="inlineStr">
        <is>
          <t>532MACWE</t>
        </is>
      </c>
      <c r="BL328" s="61" t="inlineStr">
        <is>
          <t>GMAP-SIGA</t>
        </is>
      </c>
      <c r="BM328" s="254" t="inlineStr">
        <is>
          <t>NF</t>
        </is>
      </c>
      <c r="BN328" s="266"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4" t="n"/>
      <c r="DB328" s="254" t="n"/>
      <c r="DC328" s="254" t="n"/>
      <c r="DD328" s="254" t="n"/>
      <c r="DE328" s="254" t="n"/>
      <c r="DF328" s="254" t="n"/>
      <c r="DG328" s="254" t="n"/>
      <c r="DH328" s="254" t="n"/>
      <c r="DI328" s="254" t="n"/>
      <c r="DJ328" s="254" t="inlineStr">
        <is>
          <t>M</t>
        </is>
      </c>
      <c r="DK328" s="254" t="n">
        <v>8</v>
      </c>
      <c r="DL328" s="95" t="n">
        <v>21</v>
      </c>
      <c r="DM328" s="254" t="n"/>
      <c r="DN328" s="95" t="n"/>
      <c r="DO328" s="95" t="n"/>
    </row>
    <row r="329" ht="13" customHeight="1">
      <c r="A329" s="203" t="inlineStr">
        <is>
          <t>CWE-25-3</t>
        </is>
      </c>
      <c r="B329" s="260"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259" t="inlineStr">
        <is>
          <t>532MACWE</t>
        </is>
      </c>
      <c r="BL329" s="61" t="inlineStr">
        <is>
          <t>GMAP-SIGA</t>
        </is>
      </c>
      <c r="BM329" s="254" t="inlineStr">
        <is>
          <t>NF</t>
        </is>
      </c>
      <c r="BN329" s="266"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4" t="n"/>
      <c r="DB329" s="254" t="n"/>
      <c r="DC329" s="254" t="n"/>
      <c r="DD329" s="254" t="n"/>
      <c r="DE329" s="254" t="n"/>
      <c r="DF329" s="254" t="n"/>
      <c r="DG329" s="254" t="n"/>
      <c r="DH329" s="254" t="n"/>
      <c r="DI329" s="254" t="n"/>
      <c r="DJ329" s="254" t="inlineStr">
        <is>
          <t>M</t>
        </is>
      </c>
      <c r="DK329" s="254" t="n">
        <v>8</v>
      </c>
      <c r="DL329" s="95" t="n">
        <v>21</v>
      </c>
      <c r="DM329" s="254" t="n"/>
      <c r="DN329" s="95" t="n"/>
      <c r="DO329" s="95" t="n"/>
    </row>
    <row r="330" ht="13" customHeight="1">
      <c r="A330" s="203" t="inlineStr">
        <is>
          <t>CWE-26</t>
        </is>
      </c>
      <c r="B330" s="260"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259" t="inlineStr">
        <is>
          <t>532MACWE</t>
        </is>
      </c>
      <c r="BL330" s="61" t="inlineStr">
        <is>
          <t>GMAP-SIGA</t>
        </is>
      </c>
      <c r="BM330" s="254" t="inlineStr">
        <is>
          <t>NF</t>
        </is>
      </c>
      <c r="BN330" s="106" t="inlineStr">
        <is>
          <t>Falla Pabellón</t>
        </is>
      </c>
      <c r="BO330" s="254"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4" t="n"/>
      <c r="DB330" s="254" t="n"/>
      <c r="DC330" s="254" t="n"/>
      <c r="DD330" s="254" t="n"/>
      <c r="DE330" s="254" t="n"/>
      <c r="DF330" s="254" t="n"/>
      <c r="DG330" s="254" t="n"/>
      <c r="DH330" s="254" t="n"/>
      <c r="DI330" s="254" t="n"/>
      <c r="DJ330" s="254" t="inlineStr">
        <is>
          <t>T</t>
        </is>
      </c>
      <c r="DK330" s="254" t="n">
        <v>15</v>
      </c>
      <c r="DL330" s="95" t="n">
        <v>21</v>
      </c>
      <c r="DM330" s="254" t="n"/>
      <c r="DN330" s="95" t="n"/>
      <c r="DO330" s="95" t="n"/>
    </row>
    <row r="331" ht="13" customHeight="1">
      <c r="A331" s="203" t="inlineStr">
        <is>
          <t>CWE-27</t>
        </is>
      </c>
      <c r="B331" s="260"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259" t="inlineStr">
        <is>
          <t>532MACWE</t>
        </is>
      </c>
      <c r="BL331" s="61" t="inlineStr">
        <is>
          <t>GMAP-SIGA</t>
        </is>
      </c>
      <c r="BM331" s="254" t="inlineStr">
        <is>
          <t>NF</t>
        </is>
      </c>
      <c r="BN331" s="106" t="inlineStr">
        <is>
          <t>Falla Pabellón</t>
        </is>
      </c>
      <c r="BO331" s="254"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4" t="n"/>
      <c r="DB331" s="254" t="n"/>
      <c r="DC331" s="254" t="n"/>
      <c r="DD331" s="254" t="n"/>
      <c r="DE331" s="254" t="n"/>
      <c r="DF331" s="254" t="n"/>
      <c r="DG331" s="254" t="n"/>
      <c r="DH331" s="254" t="n"/>
      <c r="DI331" s="254" t="n"/>
      <c r="DJ331" s="254" t="inlineStr">
        <is>
          <t>T</t>
        </is>
      </c>
      <c r="DK331" s="254" t="n">
        <v>15</v>
      </c>
      <c r="DL331" s="95" t="n">
        <v>21</v>
      </c>
      <c r="DM331" s="254" t="n"/>
      <c r="DN331" s="95" t="n"/>
      <c r="DO331" s="95" t="n"/>
    </row>
    <row r="332" ht="13" customHeight="1">
      <c r="A332" s="203" t="inlineStr">
        <is>
          <t>CWE-28</t>
        </is>
      </c>
      <c r="B332" s="260"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259" t="inlineStr">
        <is>
          <t>532MACWE</t>
        </is>
      </c>
      <c r="BL332" s="61" t="inlineStr">
        <is>
          <t>GMAP-SIGA</t>
        </is>
      </c>
      <c r="BM332" s="254" t="inlineStr">
        <is>
          <t>NF</t>
        </is>
      </c>
      <c r="BN332" s="106" t="inlineStr">
        <is>
          <t>Falla Pabellón</t>
        </is>
      </c>
      <c r="BO332" s="254"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4" t="n"/>
      <c r="DB332" s="254" t="n"/>
      <c r="DC332" s="254" t="n"/>
      <c r="DD332" s="254" t="n"/>
      <c r="DE332" s="254" t="n"/>
      <c r="DF332" s="254" t="n"/>
      <c r="DG332" s="254" t="n"/>
      <c r="DH332" s="254" t="n"/>
      <c r="DI332" s="254" t="n"/>
      <c r="DJ332" s="254" t="inlineStr">
        <is>
          <t>T</t>
        </is>
      </c>
      <c r="DK332" s="254" t="n">
        <v>15</v>
      </c>
      <c r="DL332" s="95" t="n">
        <v>21</v>
      </c>
      <c r="DM332" s="254" t="n"/>
      <c r="DN332" s="95" t="n"/>
      <c r="DO332" s="95" t="n"/>
    </row>
    <row r="333" ht="13" customHeight="1">
      <c r="A333" s="203" t="inlineStr">
        <is>
          <t>CWE-29</t>
        </is>
      </c>
      <c r="B333" s="260"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259" t="inlineStr">
        <is>
          <t>532MACWE</t>
        </is>
      </c>
      <c r="BL333" s="61" t="inlineStr">
        <is>
          <t>GMAP-SIGA</t>
        </is>
      </c>
      <c r="BM333" s="254" t="inlineStr">
        <is>
          <t>NF</t>
        </is>
      </c>
      <c r="BN333" s="106" t="inlineStr">
        <is>
          <t>Falla Pabellón</t>
        </is>
      </c>
      <c r="BO333" s="254"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4" t="n"/>
      <c r="DB333" s="254" t="n"/>
      <c r="DC333" s="254" t="n"/>
      <c r="DD333" s="254" t="n"/>
      <c r="DE333" s="254" t="n"/>
      <c r="DF333" s="254" t="n"/>
      <c r="DG333" s="254" t="n"/>
      <c r="DH333" s="254" t="n"/>
      <c r="DI333" s="254" t="n"/>
      <c r="DJ333" s="254" t="inlineStr">
        <is>
          <t>T</t>
        </is>
      </c>
      <c r="DK333" s="254" t="n">
        <v>15</v>
      </c>
      <c r="DL333" s="95" t="n">
        <v>21</v>
      </c>
      <c r="DM333" s="254" t="n"/>
      <c r="DN333" s="95" t="n"/>
      <c r="DO333" s="95" t="n"/>
    </row>
    <row r="334" ht="13" customHeight="1">
      <c r="A334" s="203" t="inlineStr">
        <is>
          <t>CWE-30</t>
        </is>
      </c>
      <c r="B334" s="260"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259" t="inlineStr">
        <is>
          <t>532MACWE</t>
        </is>
      </c>
      <c r="BL334" s="164" t="inlineStr">
        <is>
          <t>SERV PERSONAS</t>
        </is>
      </c>
      <c r="BM334" s="254" t="inlineStr">
        <is>
          <t>NF</t>
        </is>
      </c>
      <c r="BN334" s="266" t="inlineStr">
        <is>
          <t>Falla Pabellón (Aeródromo)</t>
        </is>
      </c>
      <c r="BO334" s="254"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4" t="n"/>
      <c r="DB334" s="254" t="n"/>
      <c r="DC334" s="254" t="n"/>
      <c r="DD334" s="254" t="n"/>
      <c r="DE334" s="254" t="n"/>
      <c r="DF334" s="254" t="n"/>
      <c r="DG334" s="254" t="n"/>
      <c r="DH334" s="254" t="n"/>
      <c r="DI334" s="254" t="n"/>
      <c r="DJ334" s="254" t="inlineStr">
        <is>
          <t>T</t>
        </is>
      </c>
      <c r="DK334" s="254" t="n">
        <v>15</v>
      </c>
      <c r="DL334" s="95" t="n">
        <v>21</v>
      </c>
      <c r="DM334" s="254" t="n"/>
      <c r="DN334" s="95" t="n"/>
      <c r="DO334" s="95" t="n"/>
    </row>
    <row r="335" ht="13" customHeight="1">
      <c r="A335" s="203" t="inlineStr">
        <is>
          <t>CWE-31</t>
        </is>
      </c>
      <c r="B335" s="260"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259" t="inlineStr">
        <is>
          <t>532MACWE</t>
        </is>
      </c>
      <c r="BL335" s="61" t="inlineStr">
        <is>
          <t>GMAP-SIGA</t>
        </is>
      </c>
      <c r="BM335" s="254" t="inlineStr">
        <is>
          <t>NF</t>
        </is>
      </c>
      <c r="BN335" s="106" t="inlineStr">
        <is>
          <t>Falla Pabellón</t>
        </is>
      </c>
      <c r="BO335" s="254"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4" t="n"/>
      <c r="DB335" s="254" t="n"/>
      <c r="DC335" s="254" t="n"/>
      <c r="DD335" s="254" t="n"/>
      <c r="DE335" s="254" t="n"/>
      <c r="DF335" s="254" t="n"/>
      <c r="DG335" s="254" t="n"/>
      <c r="DH335" s="254" t="n"/>
      <c r="DI335" s="254" t="n"/>
      <c r="DJ335" s="254" t="inlineStr">
        <is>
          <t>T</t>
        </is>
      </c>
      <c r="DK335" s="254" t="n">
        <v>15</v>
      </c>
      <c r="DL335" s="95" t="n">
        <v>21</v>
      </c>
      <c r="DM335" s="254" t="n"/>
      <c r="DN335" s="95" t="n"/>
      <c r="DO335" s="95" t="n"/>
    </row>
    <row r="336" ht="13" customHeight="1">
      <c r="A336" s="203" t="inlineStr">
        <is>
          <t>CWE-32</t>
        </is>
      </c>
      <c r="B336" s="260"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259" t="inlineStr">
        <is>
          <t>532MACWE</t>
        </is>
      </c>
      <c r="BL336" s="61" t="inlineStr">
        <is>
          <t>GMAP-SIGA</t>
        </is>
      </c>
      <c r="BM336" s="254" t="inlineStr">
        <is>
          <t>NF</t>
        </is>
      </c>
      <c r="BN336" s="106" t="inlineStr">
        <is>
          <t>Falla Pabellón</t>
        </is>
      </c>
      <c r="BO336" s="254"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4" t="n"/>
      <c r="DB336" s="254" t="n"/>
      <c r="DC336" s="254" t="n"/>
      <c r="DD336" s="254" t="n"/>
      <c r="DE336" s="254" t="n"/>
      <c r="DF336" s="254" t="n"/>
      <c r="DG336" s="254" t="n"/>
      <c r="DH336" s="254" t="n"/>
      <c r="DI336" s="254" t="n"/>
      <c r="DJ336" s="254" t="inlineStr">
        <is>
          <t>T</t>
        </is>
      </c>
      <c r="DK336" s="254" t="n">
        <v>15</v>
      </c>
      <c r="DL336" s="95" t="n">
        <v>21</v>
      </c>
      <c r="DM336" s="254" t="n"/>
      <c r="DN336" s="95" t="n"/>
      <c r="DO336" s="95" t="n"/>
    </row>
    <row r="337" ht="13" customHeight="1">
      <c r="A337" s="203" t="inlineStr">
        <is>
          <t>CWE-32</t>
        </is>
      </c>
      <c r="B337" s="260"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259" t="inlineStr">
        <is>
          <t>532MACWE</t>
        </is>
      </c>
      <c r="BL337" s="61" t="inlineStr">
        <is>
          <t>GMAP-SIGA</t>
        </is>
      </c>
      <c r="BM337" s="254" t="inlineStr">
        <is>
          <t>ASUB</t>
        </is>
      </c>
      <c r="BN337" s="106" t="inlineStr">
        <is>
          <t>Falla Pabellón</t>
        </is>
      </c>
      <c r="BO337" s="254"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4" t="n"/>
      <c r="DB337" s="254" t="n"/>
      <c r="DC337" s="254" t="n"/>
      <c r="DD337" s="254" t="n"/>
      <c r="DE337" s="254" t="n"/>
      <c r="DF337" s="254" t="n"/>
      <c r="DG337" s="254" t="n"/>
      <c r="DH337" s="254" t="n"/>
      <c r="DI337" s="254" t="n"/>
      <c r="DJ337" s="254" t="inlineStr">
        <is>
          <t>T</t>
        </is>
      </c>
      <c r="DK337" s="254" t="n">
        <v>15</v>
      </c>
      <c r="DL337" s="95" t="n">
        <v>21</v>
      </c>
      <c r="DM337" s="254" t="n"/>
      <c r="DN337" s="95" t="n"/>
      <c r="DO337" s="95" t="n"/>
    </row>
    <row r="338" ht="13" customHeight="1">
      <c r="A338" s="203" t="inlineStr">
        <is>
          <t>CWE-33</t>
        </is>
      </c>
      <c r="B338" s="260"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259" t="inlineStr">
        <is>
          <t>532MACWE</t>
        </is>
      </c>
      <c r="BL338" s="61" t="inlineStr">
        <is>
          <t>GMAP-SIGA</t>
        </is>
      </c>
      <c r="BM338" s="254" t="inlineStr">
        <is>
          <t>NF</t>
        </is>
      </c>
      <c r="BN338" s="106" t="inlineStr">
        <is>
          <t>Falla Pabellón</t>
        </is>
      </c>
      <c r="BO338" s="254"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4" t="n"/>
      <c r="DB338" s="254" t="n"/>
      <c r="DC338" s="254" t="n"/>
      <c r="DD338" s="254" t="n"/>
      <c r="DE338" s="254" t="n"/>
      <c r="DF338" s="254" t="n"/>
      <c r="DG338" s="254" t="n"/>
      <c r="DH338" s="254" t="n"/>
      <c r="DI338" s="254" t="n"/>
      <c r="DJ338" s="254" t="inlineStr">
        <is>
          <t>T</t>
        </is>
      </c>
      <c r="DK338" s="254" t="n">
        <v>15</v>
      </c>
      <c r="DL338" s="95" t="n">
        <v>21</v>
      </c>
      <c r="DM338" s="254" t="n"/>
      <c r="DN338" s="95" t="n"/>
      <c r="DO338" s="95" t="n"/>
    </row>
    <row r="339" ht="13.5" customHeight="1">
      <c r="A339" s="205" t="inlineStr">
        <is>
          <t>CWE-34</t>
        </is>
      </c>
      <c r="B339" s="260" t="inlineStr">
        <is>
          <t>CWE-34 JACHUCOPOSA</t>
        </is>
      </c>
      <c r="C339" s="254"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259" t="inlineStr">
        <is>
          <t>532MACWE</t>
        </is>
      </c>
      <c r="BL339" s="7" t="inlineStr">
        <is>
          <t>GMAP-SIGA</t>
        </is>
      </c>
      <c r="BM339" s="254" t="inlineStr">
        <is>
          <t>NF</t>
        </is>
      </c>
      <c r="BN339" s="266" t="inlineStr">
        <is>
          <t>Jachucoposa</t>
        </is>
      </c>
      <c r="BO339" s="254" t="inlineStr">
        <is>
          <t>SI / PMAP</t>
        </is>
      </c>
      <c r="BP339" s="106" t="inlineStr">
        <is>
          <t>CWE-34 JACHUCOPOSA/NF</t>
        </is>
      </c>
      <c r="BQ339" s="106">
        <f>VLOOKUP(BP339,[1]AGUA!$1:$1048576,2,FALSE)</f>
        <v/>
      </c>
      <c r="BR339" s="106">
        <f>VLOOKUP(BP339,[1]AGUA!$1:$1048576,6,FALSE)</f>
        <v/>
      </c>
      <c r="BS339" s="106">
        <f>VLOOKUP(BP339,[1]AGUA!$1:$1048576,7,FALSE)</f>
        <v/>
      </c>
      <c r="BT339" s="106" t="n"/>
      <c r="BU339" s="251"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4" t="n"/>
      <c r="DC339" s="254" t="n"/>
      <c r="DD339" s="254" t="n"/>
      <c r="DE339" s="254" t="n"/>
      <c r="DF339" s="254" t="n"/>
      <c r="DG339" s="254" t="n"/>
      <c r="DH339" s="254" t="n"/>
      <c r="DI339" s="254" t="n"/>
      <c r="DJ339" s="254" t="inlineStr">
        <is>
          <t>M</t>
        </is>
      </c>
      <c r="DK339" s="254" t="n">
        <v>15</v>
      </c>
      <c r="DL339" s="95" t="n">
        <v>28</v>
      </c>
      <c r="DM339" s="254" t="n"/>
      <c r="DN339" s="95" t="n"/>
      <c r="DO339" s="95" t="n"/>
    </row>
    <row r="340" ht="13" customHeight="1">
      <c r="A340" s="203" t="inlineStr">
        <is>
          <t>CWE-34</t>
        </is>
      </c>
      <c r="B340" s="255" t="n"/>
      <c r="C340" s="255"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255" t="n"/>
      <c r="BL340" s="7" t="inlineStr">
        <is>
          <t>GMAP-SIGA</t>
        </is>
      </c>
      <c r="BM340" s="168" t="inlineStr">
        <is>
          <t>ASUB</t>
        </is>
      </c>
      <c r="BN340" s="266" t="inlineStr">
        <is>
          <t>Jachucoposa</t>
        </is>
      </c>
      <c r="BO340" s="254" t="inlineStr">
        <is>
          <t>SI / PMAP</t>
        </is>
      </c>
      <c r="BP340" s="106" t="inlineStr">
        <is>
          <t>CWE-34 JACHUCOPOSA/ASUB</t>
        </is>
      </c>
      <c r="BQ340" s="106">
        <f>VLOOKUP(BP340,[1]AGUA!$1:$1048576,2,FALSE)</f>
        <v/>
      </c>
      <c r="BR340" s="106">
        <f>VLOOKUP(BP340,[1]AGUA!$1:$1048576,6,FALSE)</f>
        <v/>
      </c>
      <c r="BS340" s="106">
        <f>VLOOKUP(BP340,[1]AGUA!$1:$1048576,7,FALSE)</f>
        <v/>
      </c>
      <c r="BT340" s="106" t="n"/>
      <c r="BU340" s="252"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4" t="n"/>
      <c r="DB340" s="254" t="n"/>
      <c r="DC340" s="254" t="n"/>
      <c r="DD340" s="254" t="n"/>
      <c r="DE340" s="254" t="n"/>
      <c r="DF340" s="254" t="n"/>
      <c r="DG340" s="254" t="n"/>
      <c r="DH340" s="254" t="n"/>
      <c r="DI340" s="254" t="n"/>
      <c r="DJ340" s="254" t="n"/>
      <c r="DK340" s="254" t="n"/>
      <c r="DL340" s="95" t="n"/>
      <c r="DM340" s="254" t="inlineStr">
        <is>
          <t>T</t>
        </is>
      </c>
      <c r="DN340" s="95" t="n">
        <v>15</v>
      </c>
      <c r="DO340" s="95" t="n">
        <v>28</v>
      </c>
    </row>
    <row r="341" ht="13" customHeight="1">
      <c r="A341" s="203" t="inlineStr">
        <is>
          <t>CWE-35</t>
        </is>
      </c>
      <c r="B341" s="260" t="inlineStr">
        <is>
          <t>CWE-35 FALLA PABELLON</t>
        </is>
      </c>
      <c r="C341" s="254"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259" t="inlineStr">
        <is>
          <t>532MACWE</t>
        </is>
      </c>
      <c r="BL341" s="7" t="inlineStr">
        <is>
          <t>GTAM</t>
        </is>
      </c>
      <c r="BM341" s="254" t="inlineStr">
        <is>
          <t>NF</t>
        </is>
      </c>
      <c r="BN341" s="106" t="inlineStr">
        <is>
          <t>Falla Pabellón</t>
        </is>
      </c>
      <c r="BO341" s="254" t="inlineStr">
        <is>
          <t>SI</t>
        </is>
      </c>
      <c r="BP341" s="106" t="inlineStr">
        <is>
          <t>CWE-35 FALLA PABELLON/NF</t>
        </is>
      </c>
      <c r="BQ341" s="106">
        <f>VLOOKUP(BP341,[1]AGUA!$1:$1048576,2,FALSE)</f>
        <v/>
      </c>
      <c r="BR341" s="106">
        <f>VLOOKUP(BP341,[1]AGUA!$1:$1048576,6,FALSE)</f>
        <v/>
      </c>
      <c r="BS341" s="106">
        <f>VLOOKUP(BP341,[1]AGUA!$1:$1048576,7,FALSE)</f>
        <v/>
      </c>
      <c r="BT341" s="106" t="n"/>
      <c r="BU341" s="251"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4" t="n"/>
      <c r="DB341" s="254" t="n"/>
      <c r="DC341" s="254" t="n"/>
      <c r="DD341" s="254" t="n"/>
      <c r="DE341" s="254" t="n"/>
      <c r="DF341" s="254" t="n"/>
      <c r="DG341" s="254" t="n"/>
      <c r="DH341" s="254" t="n"/>
      <c r="DI341" s="254" t="n"/>
      <c r="DJ341" s="254" t="inlineStr">
        <is>
          <t>T</t>
        </is>
      </c>
      <c r="DK341" s="254" t="n">
        <v>8</v>
      </c>
      <c r="DL341" s="95" t="n">
        <v>14</v>
      </c>
      <c r="DM341" s="254" t="n"/>
      <c r="DN341" s="95" t="n"/>
      <c r="DO341" s="95" t="n"/>
    </row>
    <row r="342" ht="13" customHeight="1">
      <c r="A342" s="203" t="inlineStr">
        <is>
          <t>CWE-35</t>
        </is>
      </c>
      <c r="B342" s="255" t="n"/>
      <c r="C342" s="255"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255" t="n"/>
      <c r="BL342" s="7" t="inlineStr">
        <is>
          <t>GTAM</t>
        </is>
      </c>
      <c r="BM342" s="254" t="inlineStr">
        <is>
          <t>ASUB</t>
        </is>
      </c>
      <c r="BN342" s="106" t="inlineStr">
        <is>
          <t>Falla Pabellón</t>
        </is>
      </c>
      <c r="BO342" s="254" t="inlineStr">
        <is>
          <t>SI</t>
        </is>
      </c>
      <c r="BP342" s="106" t="inlineStr">
        <is>
          <t>CWE-35 FALLA PABELLON/ASUB</t>
        </is>
      </c>
      <c r="BQ342" s="106">
        <f>VLOOKUP(BP342,[1]AGUA!$1:$1048576,2,FALSE)</f>
        <v/>
      </c>
      <c r="BR342" s="106">
        <f>VLOOKUP(BP342,[1]AGUA!$1:$1048576,6,FALSE)</f>
        <v/>
      </c>
      <c r="BS342" s="106">
        <f>VLOOKUP(BP342,[1]AGUA!$1:$1048576,7,FALSE)</f>
        <v/>
      </c>
      <c r="BT342" s="106" t="n"/>
      <c r="BU342" s="252"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4" t="n"/>
      <c r="DB342" s="254" t="n"/>
      <c r="DC342" s="254" t="n"/>
      <c r="DD342" s="254" t="n"/>
      <c r="DE342" s="254" t="n"/>
      <c r="DF342" s="254" t="n"/>
      <c r="DG342" s="254" t="n"/>
      <c r="DH342" s="254" t="n"/>
      <c r="DI342" s="254" t="n"/>
      <c r="DJ342" s="254" t="n"/>
      <c r="DK342" s="254" t="n"/>
      <c r="DL342" s="95" t="n"/>
      <c r="DM342" s="254" t="inlineStr">
        <is>
          <t>T</t>
        </is>
      </c>
      <c r="DN342" s="95" t="n">
        <v>8</v>
      </c>
      <c r="DO342" s="95" t="n">
        <v>14</v>
      </c>
    </row>
    <row r="343" ht="13" customHeight="1">
      <c r="A343" s="205" t="inlineStr">
        <is>
          <t>CWE-38</t>
        </is>
      </c>
      <c r="B343" s="260" t="inlineStr">
        <is>
          <t>CWE-38 COPOSA NORTE</t>
        </is>
      </c>
      <c r="C343" s="254"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259" t="inlineStr">
        <is>
          <t>532MACWE</t>
        </is>
      </c>
      <c r="BL343" s="7" t="inlineStr">
        <is>
          <t>GMAP-SIGA</t>
        </is>
      </c>
      <c r="BM343" s="254" t="inlineStr">
        <is>
          <t>NF</t>
        </is>
      </c>
      <c r="BN343" s="266"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1"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4" t="n"/>
      <c r="DC343" s="254" t="n"/>
      <c r="DD343" s="254" t="n"/>
      <c r="DE343" s="254" t="n"/>
      <c r="DF343" s="254" t="n"/>
      <c r="DG343" s="254" t="n"/>
      <c r="DH343" s="254" t="n"/>
      <c r="DI343" s="254" t="n"/>
      <c r="DJ343" s="254" t="inlineStr">
        <is>
          <t>Q</t>
        </is>
      </c>
      <c r="DK343" s="226" t="inlineStr">
        <is>
          <t>1- 15</t>
        </is>
      </c>
      <c r="DL343" s="226" t="inlineStr">
        <is>
          <t>14-28</t>
        </is>
      </c>
      <c r="DM343" s="254" t="n"/>
      <c r="DN343" s="95" t="n"/>
      <c r="DO343" s="95" t="n"/>
    </row>
    <row r="344" ht="13" customHeight="1">
      <c r="A344" s="203" t="inlineStr">
        <is>
          <t>CWE-38</t>
        </is>
      </c>
      <c r="B344" s="255" t="n"/>
      <c r="C344" s="255"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255" t="n"/>
      <c r="BL344" s="7" t="inlineStr">
        <is>
          <t>GMAP-SIGA</t>
        </is>
      </c>
      <c r="BM344" s="168" t="inlineStr">
        <is>
          <t>ASUB</t>
        </is>
      </c>
      <c r="BN344" s="266" t="inlineStr">
        <is>
          <t>Coposa Norte</t>
        </is>
      </c>
      <c r="BO344" s="254"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252"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4" t="n"/>
      <c r="DB344" s="254" t="n"/>
      <c r="DC344" s="254" t="n"/>
      <c r="DD344" s="254" t="n"/>
      <c r="DE344" s="254" t="n"/>
      <c r="DF344" s="254" t="n"/>
      <c r="DG344" s="254" t="n"/>
      <c r="DH344" s="254" t="n"/>
      <c r="DI344" s="254" t="n"/>
      <c r="DJ344" s="254" t="n"/>
      <c r="DK344" s="254" t="n"/>
      <c r="DL344" s="95" t="n"/>
      <c r="DM344" s="254" t="inlineStr">
        <is>
          <t>T</t>
        </is>
      </c>
      <c r="DN344" s="95" t="n">
        <v>15</v>
      </c>
      <c r="DO344" s="95" t="n">
        <v>28</v>
      </c>
    </row>
    <row r="345" ht="12.65" customHeight="1">
      <c r="A345" s="205" t="inlineStr">
        <is>
          <t>CWP-01</t>
        </is>
      </c>
      <c r="B345" s="260"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259" t="inlineStr">
        <is>
          <t>532MACWP</t>
        </is>
      </c>
      <c r="BL345" s="61" t="inlineStr">
        <is>
          <t>GMAP-SIGA</t>
        </is>
      </c>
      <c r="BM345" s="254" t="inlineStr">
        <is>
          <t>NF</t>
        </is>
      </c>
      <c r="BN345" s="106" t="inlineStr">
        <is>
          <t>Falla Pabellón</t>
        </is>
      </c>
      <c r="BO345" s="254"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4" t="n"/>
      <c r="DC345" s="254" t="n"/>
      <c r="DD345" s="254" t="n"/>
      <c r="DE345" s="254" t="n"/>
      <c r="DF345" s="254" t="n"/>
      <c r="DG345" s="254" t="n"/>
      <c r="DH345" s="254" t="n"/>
      <c r="DI345" s="254" t="n"/>
      <c r="DJ345" s="254" t="inlineStr">
        <is>
          <t>Q</t>
        </is>
      </c>
      <c r="DK345" s="226" t="inlineStr">
        <is>
          <t>1- 15</t>
        </is>
      </c>
      <c r="DL345" s="226" t="inlineStr">
        <is>
          <t>14-28</t>
        </is>
      </c>
      <c r="DM345" s="254" t="n"/>
      <c r="DN345" s="95" t="n"/>
      <c r="DO345" s="95" t="n"/>
    </row>
    <row r="346" ht="12.65" customHeight="1">
      <c r="A346" s="203" t="inlineStr">
        <is>
          <t>CWP-02</t>
        </is>
      </c>
      <c r="B346" s="260"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259" t="inlineStr">
        <is>
          <t>532MACWP</t>
        </is>
      </c>
      <c r="BL346" s="61" t="inlineStr">
        <is>
          <t>GMAP-SIGA</t>
        </is>
      </c>
      <c r="BM346" s="254" t="inlineStr">
        <is>
          <t>NF</t>
        </is>
      </c>
      <c r="BN346" s="106" t="inlineStr">
        <is>
          <t>Falla Pabellón</t>
        </is>
      </c>
      <c r="BO346" s="254"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4" t="n"/>
      <c r="DB346" s="254" t="n"/>
      <c r="DC346" s="254" t="n"/>
      <c r="DD346" s="254" t="n"/>
      <c r="DE346" s="254" t="n"/>
      <c r="DF346" s="254" t="n"/>
      <c r="DG346" s="254" t="n"/>
      <c r="DH346" s="254" t="n"/>
      <c r="DI346" s="254" t="n"/>
      <c r="DJ346" s="254" t="inlineStr">
        <is>
          <t>T</t>
        </is>
      </c>
      <c r="DK346" s="254" t="n">
        <v>15</v>
      </c>
      <c r="DL346" s="95" t="n">
        <v>21</v>
      </c>
      <c r="DM346" s="254" t="n"/>
      <c r="DN346" s="95" t="n"/>
      <c r="DO346" s="95" t="n"/>
    </row>
    <row r="347" ht="12.65" customHeight="1">
      <c r="A347" s="203" t="inlineStr">
        <is>
          <t>CWP-03</t>
        </is>
      </c>
      <c r="B347" s="260"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259" t="inlineStr">
        <is>
          <t>532MACWP</t>
        </is>
      </c>
      <c r="BL347" s="61" t="inlineStr">
        <is>
          <t>GMAP-SIGA</t>
        </is>
      </c>
      <c r="BM347" s="254" t="inlineStr">
        <is>
          <t>NF</t>
        </is>
      </c>
      <c r="BN347" s="106" t="inlineStr">
        <is>
          <t>Falla Pabellón</t>
        </is>
      </c>
      <c r="BO347" s="254"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4" t="n"/>
      <c r="DB347" s="254" t="n"/>
      <c r="DC347" s="254" t="n"/>
      <c r="DD347" s="254" t="n"/>
      <c r="DE347" s="254" t="n"/>
      <c r="DF347" s="254" t="n"/>
      <c r="DG347" s="254" t="n"/>
      <c r="DH347" s="254" t="n"/>
      <c r="DI347" s="254" t="n"/>
      <c r="DJ347" s="254" t="inlineStr">
        <is>
          <t>T</t>
        </is>
      </c>
      <c r="DK347" s="254" t="n">
        <v>15</v>
      </c>
      <c r="DL347" s="95" t="n">
        <v>21</v>
      </c>
      <c r="DM347" s="254" t="n"/>
      <c r="DN347" s="95" t="n"/>
      <c r="DO347" s="95" t="n"/>
    </row>
    <row r="348" ht="12.65" customHeight="1">
      <c r="A348" s="203" t="inlineStr">
        <is>
          <t>CWP-04</t>
        </is>
      </c>
      <c r="B348" s="260"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259" t="inlineStr">
        <is>
          <t>532MACWP</t>
        </is>
      </c>
      <c r="BL348" s="61" t="inlineStr">
        <is>
          <t>GMAP-SIGA</t>
        </is>
      </c>
      <c r="BM348" s="254" t="inlineStr">
        <is>
          <t>NF</t>
        </is>
      </c>
      <c r="BN348" s="266" t="inlineStr">
        <is>
          <t>Coposa sur</t>
        </is>
      </c>
      <c r="BO348" s="254"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4" t="n"/>
      <c r="DB348" s="254" t="n"/>
      <c r="DC348" s="254" t="n"/>
      <c r="DD348" s="254" t="n"/>
      <c r="DE348" s="254" t="n"/>
      <c r="DF348" s="254" t="n"/>
      <c r="DG348" s="254" t="n"/>
      <c r="DH348" s="254" t="n"/>
      <c r="DI348" s="254" t="n"/>
      <c r="DJ348" s="254" t="inlineStr">
        <is>
          <t>M</t>
        </is>
      </c>
      <c r="DK348" s="254" t="n">
        <v>22</v>
      </c>
      <c r="DL348" s="95" t="n">
        <v>28</v>
      </c>
      <c r="DM348" s="254" t="n"/>
      <c r="DN348" s="95" t="n"/>
      <c r="DO348" s="95" t="n"/>
    </row>
    <row r="349" ht="12.65" customHeight="1">
      <c r="A349" s="203" t="inlineStr">
        <is>
          <t>CWP-05</t>
        </is>
      </c>
      <c r="B349" s="260"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259" t="inlineStr">
        <is>
          <t>532MACWP</t>
        </is>
      </c>
      <c r="BL349" s="61" t="inlineStr">
        <is>
          <t>GMAP-SIGA</t>
        </is>
      </c>
      <c r="BM349" s="254" t="inlineStr">
        <is>
          <t>NF</t>
        </is>
      </c>
      <c r="BN349" s="106" t="inlineStr">
        <is>
          <t>Falla Pabellón</t>
        </is>
      </c>
      <c r="BO349" s="254"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4" t="n"/>
      <c r="DB349" s="254" t="n"/>
      <c r="DC349" s="254" t="n"/>
      <c r="DD349" s="254" t="n"/>
      <c r="DE349" s="254" t="n"/>
      <c r="DF349" s="254" t="n"/>
      <c r="DG349" s="254" t="n"/>
      <c r="DH349" s="254" t="n"/>
      <c r="DI349" s="254" t="n"/>
      <c r="DJ349" s="254" t="inlineStr">
        <is>
          <t>T</t>
        </is>
      </c>
      <c r="DK349" s="254" t="n">
        <v>15</v>
      </c>
      <c r="DL349" s="95" t="n">
        <v>21</v>
      </c>
      <c r="DM349" s="254" t="n"/>
      <c r="DN349" s="95" t="n"/>
      <c r="DO349" s="95" t="n"/>
    </row>
    <row r="350" ht="12.65" customHeight="1">
      <c r="A350" s="203" t="inlineStr">
        <is>
          <t>CWP-06</t>
        </is>
      </c>
      <c r="B350" s="260"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259" t="inlineStr">
        <is>
          <t>532MACWP</t>
        </is>
      </c>
      <c r="BL350" s="61" t="inlineStr">
        <is>
          <t>GMAP-SIGA</t>
        </is>
      </c>
      <c r="BM350" s="254" t="inlineStr">
        <is>
          <t>NF</t>
        </is>
      </c>
      <c r="BN350" s="106" t="inlineStr">
        <is>
          <t>Falla Pabellón</t>
        </is>
      </c>
      <c r="BO350" s="254"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4" t="n"/>
      <c r="DB350" s="254" t="n"/>
      <c r="DC350" s="254" t="n"/>
      <c r="DD350" s="254" t="n"/>
      <c r="DE350" s="254" t="n"/>
      <c r="DF350" s="254" t="n"/>
      <c r="DG350" s="254" t="n"/>
      <c r="DH350" s="254" t="n"/>
      <c r="DI350" s="254" t="n"/>
      <c r="DJ350" s="254" t="inlineStr">
        <is>
          <t>T</t>
        </is>
      </c>
      <c r="DK350" s="254" t="n">
        <v>15</v>
      </c>
      <c r="DL350" s="95" t="n">
        <v>21</v>
      </c>
      <c r="DM350" s="254" t="n"/>
      <c r="DN350" s="95" t="n"/>
      <c r="DO350" s="95" t="n"/>
    </row>
    <row r="351" ht="13" customHeight="1">
      <c r="A351" s="203" t="inlineStr">
        <is>
          <t>CWP-07A</t>
        </is>
      </c>
      <c r="B351" s="260"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259" t="inlineStr">
        <is>
          <t>532MACWP</t>
        </is>
      </c>
      <c r="BL351" s="61" t="inlineStr">
        <is>
          <t>GMAP-SIGA</t>
        </is>
      </c>
      <c r="BM351" s="254" t="inlineStr">
        <is>
          <t>NF</t>
        </is>
      </c>
      <c r="BN351" s="106" t="inlineStr">
        <is>
          <t>Falla Pabellón</t>
        </is>
      </c>
      <c r="BO351" s="254"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4" t="n"/>
      <c r="DB351" s="254" t="n"/>
      <c r="DC351" s="254" t="n"/>
      <c r="DD351" s="254" t="n"/>
      <c r="DE351" s="254" t="n"/>
      <c r="DF351" s="254" t="n"/>
      <c r="DG351" s="254" t="n"/>
      <c r="DH351" s="254" t="n"/>
      <c r="DI351" s="254" t="n"/>
      <c r="DJ351" s="254" t="inlineStr">
        <is>
          <t>T</t>
        </is>
      </c>
      <c r="DK351" s="254" t="n">
        <v>15</v>
      </c>
      <c r="DL351" s="95" t="n">
        <v>21</v>
      </c>
      <c r="DM351" s="254" t="n"/>
      <c r="DN351" s="95" t="n"/>
      <c r="DO351" s="95" t="n"/>
    </row>
    <row r="352" ht="13" customHeight="1">
      <c r="A352" s="203" t="inlineStr">
        <is>
          <t>CWP-08A</t>
        </is>
      </c>
      <c r="B352" s="260"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259" t="inlineStr">
        <is>
          <t>532MACWP</t>
        </is>
      </c>
      <c r="BL352" s="61" t="inlineStr">
        <is>
          <t>GMAP-SIGA</t>
        </is>
      </c>
      <c r="BM352" s="254" t="inlineStr">
        <is>
          <t>NF</t>
        </is>
      </c>
      <c r="BN352" s="106" t="inlineStr">
        <is>
          <t>Falla Pabellón</t>
        </is>
      </c>
      <c r="BO352" s="254"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4" t="n"/>
      <c r="DB352" s="254" t="n"/>
      <c r="DC352" s="254" t="n"/>
      <c r="DD352" s="254" t="n"/>
      <c r="DE352" s="254" t="n"/>
      <c r="DF352" s="254" t="n"/>
      <c r="DG352" s="254" t="n"/>
      <c r="DH352" s="254" t="n"/>
      <c r="DI352" s="254" t="n"/>
      <c r="DJ352" s="254" t="inlineStr">
        <is>
          <t>T</t>
        </is>
      </c>
      <c r="DK352" s="254" t="n">
        <v>15</v>
      </c>
      <c r="DL352" s="95" t="n">
        <v>21</v>
      </c>
      <c r="DM352" s="254" t="n"/>
      <c r="DN352" s="95" t="n"/>
      <c r="DO352" s="95" t="n"/>
    </row>
    <row r="353" ht="13" customHeight="1">
      <c r="A353" s="203" t="inlineStr">
        <is>
          <t>CWP-09</t>
        </is>
      </c>
      <c r="B353" s="260"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259" t="inlineStr">
        <is>
          <t>532MACWP</t>
        </is>
      </c>
      <c r="BL353" s="61" t="inlineStr">
        <is>
          <t>GMAP-SIGA</t>
        </is>
      </c>
      <c r="BM353" s="254" t="inlineStr">
        <is>
          <t>NF</t>
        </is>
      </c>
      <c r="BN353" s="266" t="inlineStr">
        <is>
          <t>Jachucoposa</t>
        </is>
      </c>
      <c r="BO353" s="254"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4" t="n"/>
      <c r="DB353" s="254" t="n"/>
      <c r="DC353" s="254" t="n"/>
      <c r="DD353" s="254" t="n"/>
      <c r="DE353" s="254" t="n"/>
      <c r="DF353" s="254" t="n"/>
      <c r="DG353" s="254" t="n"/>
      <c r="DH353" s="254" t="n"/>
      <c r="DI353" s="254" t="n"/>
      <c r="DJ353" s="254" t="inlineStr">
        <is>
          <t>T</t>
        </is>
      </c>
      <c r="DK353" s="254" t="n">
        <v>15</v>
      </c>
      <c r="DL353" s="95" t="n">
        <v>21</v>
      </c>
      <c r="DM353" s="254" t="n"/>
      <c r="DN353" s="95" t="n"/>
      <c r="DO353" s="95" t="n"/>
    </row>
    <row r="354" ht="13" customHeight="1">
      <c r="A354" s="203" t="inlineStr">
        <is>
          <t>CWP-09</t>
        </is>
      </c>
      <c r="B354" s="260"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259" t="inlineStr">
        <is>
          <t>532MACWP</t>
        </is>
      </c>
      <c r="BL354" s="61" t="inlineStr">
        <is>
          <t>GMAP-SIGA</t>
        </is>
      </c>
      <c r="BM354" s="254" t="inlineStr">
        <is>
          <t>ASUB</t>
        </is>
      </c>
      <c r="BN354" s="266" t="inlineStr">
        <is>
          <t>Jachucoposa</t>
        </is>
      </c>
      <c r="BO354" s="254"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4" t="n"/>
      <c r="DB354" s="254" t="n"/>
      <c r="DC354" s="254" t="n"/>
      <c r="DD354" s="254" t="n"/>
      <c r="DE354" s="254" t="n"/>
      <c r="DF354" s="254" t="n"/>
      <c r="DG354" s="254" t="n"/>
      <c r="DH354" s="254" t="n"/>
      <c r="DI354" s="254" t="n"/>
      <c r="DJ354" s="254" t="inlineStr">
        <is>
          <t>M</t>
        </is>
      </c>
      <c r="DK354" s="254" t="n">
        <v>15</v>
      </c>
      <c r="DL354" s="95" t="n">
        <v>21</v>
      </c>
      <c r="DM354" s="254" t="n"/>
      <c r="DN354" s="95" t="n"/>
      <c r="DO354" s="95" t="n"/>
    </row>
    <row r="355" ht="13" customHeight="1">
      <c r="A355" s="203" t="inlineStr">
        <is>
          <t>CWP-10</t>
        </is>
      </c>
      <c r="B355" s="260"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259" t="inlineStr">
        <is>
          <t>532MACWP</t>
        </is>
      </c>
      <c r="BL355" s="61" t="inlineStr">
        <is>
          <t>GMAP-SIGA</t>
        </is>
      </c>
      <c r="BM355" s="254" t="inlineStr">
        <is>
          <t>NF</t>
        </is>
      </c>
      <c r="BN355" s="106" t="inlineStr">
        <is>
          <t>Falla Pabellón</t>
        </is>
      </c>
      <c r="BO355" s="254"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4" t="n"/>
      <c r="DB355" s="254" t="n"/>
      <c r="DC355" s="254" t="n"/>
      <c r="DD355" s="254" t="n"/>
      <c r="DE355" s="254" t="n"/>
      <c r="DF355" s="254" t="n"/>
      <c r="DG355" s="254" t="n"/>
      <c r="DH355" s="254" t="n"/>
      <c r="DI355" s="254" t="n"/>
      <c r="DJ355" s="254" t="inlineStr">
        <is>
          <t>T</t>
        </is>
      </c>
      <c r="DK355" s="254" t="n">
        <v>15</v>
      </c>
      <c r="DL355" s="95" t="n">
        <v>21</v>
      </c>
      <c r="DM355" s="254" t="n"/>
      <c r="DN355" s="95" t="n"/>
      <c r="DO355" s="95" t="n"/>
    </row>
    <row r="356" ht="13" customHeight="1">
      <c r="A356" s="203" t="inlineStr">
        <is>
          <t>CWP-11</t>
        </is>
      </c>
      <c r="B356" s="260"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259" t="inlineStr">
        <is>
          <t>532MACWP</t>
        </is>
      </c>
      <c r="BL356" s="61" t="inlineStr">
        <is>
          <t>GMAP-SIGA</t>
        </is>
      </c>
      <c r="BM356" s="254" t="inlineStr">
        <is>
          <t>NF</t>
        </is>
      </c>
      <c r="BN356" s="106" t="inlineStr">
        <is>
          <t>Falla Pabellón</t>
        </is>
      </c>
      <c r="BO356" s="254"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4" t="n"/>
      <c r="DB356" s="254" t="n"/>
      <c r="DC356" s="254" t="n"/>
      <c r="DD356" s="254" t="n"/>
      <c r="DE356" s="254" t="n"/>
      <c r="DF356" s="254" t="n"/>
      <c r="DG356" s="254" t="n"/>
      <c r="DH356" s="254" t="n"/>
      <c r="DI356" s="254" t="n"/>
      <c r="DJ356" s="254" t="inlineStr">
        <is>
          <t>T</t>
        </is>
      </c>
      <c r="DK356" s="254" t="n">
        <v>15</v>
      </c>
      <c r="DL356" s="95" t="n">
        <v>21</v>
      </c>
      <c r="DM356" s="254" t="n"/>
      <c r="DN356" s="95" t="n"/>
      <c r="DO356" s="95" t="n"/>
    </row>
    <row r="357" ht="16" customHeight="1">
      <c r="A357" s="203" t="inlineStr">
        <is>
          <t>CWP-12</t>
        </is>
      </c>
      <c r="B357" s="260"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259" t="inlineStr">
        <is>
          <t>532MACWP</t>
        </is>
      </c>
      <c r="BL357" s="61" t="inlineStr">
        <is>
          <t>GMAP-SIGA</t>
        </is>
      </c>
      <c r="BM357" s="254" t="inlineStr">
        <is>
          <t>NF</t>
        </is>
      </c>
      <c r="BN357" s="106" t="inlineStr">
        <is>
          <t>Falla Pabellón</t>
        </is>
      </c>
      <c r="BO357" s="254"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4" t="n"/>
      <c r="DB357" s="254" t="n"/>
      <c r="DC357" s="254" t="n"/>
      <c r="DD357" s="254" t="n"/>
      <c r="DE357" s="254" t="n"/>
      <c r="DF357" s="254" t="n"/>
      <c r="DG357" s="254" t="n"/>
      <c r="DH357" s="254" t="n"/>
      <c r="DI357" s="254" t="n"/>
      <c r="DJ357" s="254" t="inlineStr">
        <is>
          <t>T</t>
        </is>
      </c>
      <c r="DK357" s="254" t="n">
        <v>15</v>
      </c>
      <c r="DL357" s="95" t="n">
        <v>21</v>
      </c>
      <c r="DM357" s="254" t="n"/>
      <c r="DN357" s="95" t="n"/>
      <c r="DO357" s="95" t="n"/>
    </row>
    <row r="358" ht="13" customHeight="1">
      <c r="A358" s="203" t="inlineStr">
        <is>
          <t>CWP-12</t>
        </is>
      </c>
      <c r="B358" s="260"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259" t="inlineStr">
        <is>
          <t>532MACWP</t>
        </is>
      </c>
      <c r="BL358" s="61" t="inlineStr">
        <is>
          <t>GMAP-SIGA</t>
        </is>
      </c>
      <c r="BM358" s="254" t="inlineStr">
        <is>
          <t>ASUB</t>
        </is>
      </c>
      <c r="BN358" s="106" t="inlineStr">
        <is>
          <t>Falla Pabellón</t>
        </is>
      </c>
      <c r="BO358" s="254"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4" t="n"/>
      <c r="DB358" s="254" t="n"/>
      <c r="DC358" s="254" t="n"/>
      <c r="DD358" s="254" t="n"/>
      <c r="DE358" s="254" t="n"/>
      <c r="DF358" s="254" t="n"/>
      <c r="DG358" s="254" t="n"/>
      <c r="DH358" s="254" t="n"/>
      <c r="DI358" s="254" t="n"/>
      <c r="DJ358" s="254" t="n"/>
      <c r="DK358" s="254" t="n"/>
      <c r="DL358" s="95" t="n"/>
      <c r="DM358" s="254" t="n"/>
      <c r="DN358" s="95" t="n"/>
      <c r="DO358" s="95" t="n"/>
    </row>
    <row r="359" ht="0.65" customHeight="1">
      <c r="A359" s="203" t="inlineStr">
        <is>
          <t>CWP-13</t>
        </is>
      </c>
      <c r="B359" s="260"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259" t="inlineStr">
        <is>
          <t>532MACWP</t>
        </is>
      </c>
      <c r="BL359" s="61" t="inlineStr">
        <is>
          <t>GMAP-SIGA</t>
        </is>
      </c>
      <c r="BM359" s="254" t="inlineStr">
        <is>
          <t>NF</t>
        </is>
      </c>
      <c r="BN359" s="106" t="inlineStr">
        <is>
          <t>Falla Pabellón</t>
        </is>
      </c>
      <c r="BO359" s="254"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4" t="n"/>
      <c r="DB359" s="254" t="n"/>
      <c r="DC359" s="254" t="n"/>
      <c r="DD359" s="254" t="n"/>
      <c r="DE359" s="254" t="n"/>
      <c r="DF359" s="254" t="n"/>
      <c r="DG359" s="254" t="n"/>
      <c r="DH359" s="254" t="n"/>
      <c r="DI359" s="254" t="n"/>
      <c r="DJ359" s="254" t="inlineStr">
        <is>
          <t>T</t>
        </is>
      </c>
      <c r="DK359" s="254" t="n">
        <v>15</v>
      </c>
      <c r="DL359" s="95" t="n">
        <v>21</v>
      </c>
      <c r="DM359" s="254" t="n"/>
      <c r="DN359" s="95" t="n"/>
      <c r="DO359" s="95" t="n"/>
    </row>
    <row r="360" ht="13" customHeight="1">
      <c r="A360" s="203" t="inlineStr">
        <is>
          <t>CWP-14</t>
        </is>
      </c>
      <c r="B360" s="260" t="inlineStr">
        <is>
          <t>CWP-14 FALLA PABELLON</t>
        </is>
      </c>
      <c r="C360" s="254"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259" t="inlineStr">
        <is>
          <t>532MACWP</t>
        </is>
      </c>
      <c r="BL360" s="7" t="inlineStr">
        <is>
          <t>GTAM</t>
        </is>
      </c>
      <c r="BM360" s="254" t="inlineStr">
        <is>
          <t>NF</t>
        </is>
      </c>
      <c r="BN360" s="106" t="inlineStr">
        <is>
          <t>Falla Pabellón</t>
        </is>
      </c>
      <c r="BO360" s="254" t="inlineStr">
        <is>
          <t>SI</t>
        </is>
      </c>
      <c r="BP360" s="106" t="inlineStr">
        <is>
          <t>CWP-14 FALLA PABELLON/NF</t>
        </is>
      </c>
      <c r="BQ360" s="106">
        <f>VLOOKUP(BP360,[1]AGUA!$1:$1048576,2,FALSE)</f>
        <v/>
      </c>
      <c r="BR360" s="106">
        <f>VLOOKUP(BP360,[1]AGUA!$1:$1048576,6,FALSE)</f>
        <v/>
      </c>
      <c r="BS360" s="106">
        <f>VLOOKUP(BP360,[1]AGUA!$1:$1048576,7,FALSE)</f>
        <v/>
      </c>
      <c r="BT360" s="106" t="n"/>
      <c r="BU360" s="251"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4" t="n"/>
      <c r="DB360" s="254" t="n"/>
      <c r="DC360" s="254" t="n"/>
      <c r="DD360" s="254" t="n"/>
      <c r="DE360" s="254" t="n"/>
      <c r="DF360" s="254" t="n"/>
      <c r="DG360" s="254" t="n"/>
      <c r="DH360" s="254" t="n"/>
      <c r="DI360" s="254" t="n"/>
      <c r="DJ360" s="254" t="inlineStr">
        <is>
          <t>M</t>
        </is>
      </c>
      <c r="DK360" s="254" t="n">
        <v>15</v>
      </c>
      <c r="DL360" s="95" t="n">
        <v>21</v>
      </c>
      <c r="DM360" s="254" t="n"/>
      <c r="DN360" s="95" t="n"/>
      <c r="DO360" s="95" t="n"/>
    </row>
    <row r="361" ht="13" customHeight="1">
      <c r="A361" s="203" t="inlineStr">
        <is>
          <t>CWP-14</t>
        </is>
      </c>
      <c r="B361" s="255" t="n"/>
      <c r="C361" s="255"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255" t="n"/>
      <c r="BL361" s="7" t="inlineStr">
        <is>
          <t>GTAM</t>
        </is>
      </c>
      <c r="BM361" s="254" t="inlineStr">
        <is>
          <t>ASUB</t>
        </is>
      </c>
      <c r="BN361" s="106" t="inlineStr">
        <is>
          <t>Falla Pabellón</t>
        </is>
      </c>
      <c r="BO361" s="254" t="inlineStr">
        <is>
          <t>SI</t>
        </is>
      </c>
      <c r="BP361" s="106" t="inlineStr">
        <is>
          <t>CWP-14 FALLA PABELLON/ASUB</t>
        </is>
      </c>
      <c r="BQ361" s="106">
        <f>VLOOKUP(BP361,[1]AGUA!$1:$1048576,2,FALSE)</f>
        <v/>
      </c>
      <c r="BR361" s="106">
        <f>VLOOKUP(BP361,[1]AGUA!$1:$1048576,6,FALSE)</f>
        <v/>
      </c>
      <c r="BS361" s="106">
        <f>VLOOKUP(BP361,[1]AGUA!$1:$1048576,7,FALSE)</f>
        <v/>
      </c>
      <c r="BT361" s="106" t="n"/>
      <c r="BU361" s="252"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4" t="n"/>
      <c r="DB361" s="254" t="n"/>
      <c r="DC361" s="254" t="n"/>
      <c r="DD361" s="254" t="n"/>
      <c r="DE361" s="254" t="n"/>
      <c r="DF361" s="254" t="n"/>
      <c r="DG361" s="254" t="n"/>
      <c r="DH361" s="254" t="n"/>
      <c r="DI361" s="254" t="n"/>
      <c r="DJ361" s="254" t="n"/>
      <c r="DK361" s="254" t="n"/>
      <c r="DL361" s="95" t="n"/>
      <c r="DM361" s="254" t="inlineStr">
        <is>
          <t>T-A</t>
        </is>
      </c>
      <c r="DN361" s="95" t="n">
        <v>15</v>
      </c>
      <c r="DO361" s="95" t="n">
        <v>21</v>
      </c>
    </row>
    <row r="362" ht="13" customHeight="1">
      <c r="A362" s="203" t="inlineStr">
        <is>
          <t>DCN-02</t>
        </is>
      </c>
      <c r="B362" s="260"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259" t="inlineStr">
        <is>
          <t>532MADCN02</t>
        </is>
      </c>
      <c r="BL362" s="61" t="inlineStr">
        <is>
          <t>GMAP-SIGA</t>
        </is>
      </c>
      <c r="BM362" s="254" t="inlineStr">
        <is>
          <t>NF</t>
        </is>
      </c>
      <c r="BN362" s="266" t="inlineStr">
        <is>
          <t>Coposa Centro</t>
        </is>
      </c>
      <c r="BO362" s="254"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4" t="n"/>
      <c r="DB362" s="254" t="n"/>
      <c r="DC362" s="254" t="n"/>
      <c r="DD362" s="254" t="n"/>
      <c r="DE362" s="254" t="n"/>
      <c r="DF362" s="254" t="n"/>
      <c r="DG362" s="254" t="n"/>
      <c r="DH362" s="254" t="n"/>
      <c r="DI362" s="254" t="n"/>
      <c r="DJ362" s="254" t="inlineStr">
        <is>
          <t>T</t>
        </is>
      </c>
      <c r="DK362" s="254" t="n">
        <v>22</v>
      </c>
      <c r="DL362" s="95" t="n">
        <v>28</v>
      </c>
      <c r="DM362" s="254" t="n"/>
      <c r="DN362" s="95" t="n"/>
      <c r="DO362" s="95" t="n"/>
    </row>
    <row r="363" ht="13" customHeight="1">
      <c r="A363" s="203" t="inlineStr">
        <is>
          <t>DDH-62</t>
        </is>
      </c>
      <c r="B363" s="260"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259" t="inlineStr">
        <is>
          <t>532DERH62</t>
        </is>
      </c>
      <c r="BL363" s="61" t="inlineStr">
        <is>
          <t>GMAP-SIGA</t>
        </is>
      </c>
      <c r="BM363" s="254" t="inlineStr">
        <is>
          <t>NF</t>
        </is>
      </c>
      <c r="BN363" s="106" t="inlineStr">
        <is>
          <t>Falla Pabellón</t>
        </is>
      </c>
      <c r="BO363" s="254"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4" t="n"/>
      <c r="DB363" s="254" t="n"/>
      <c r="DC363" s="254" t="n"/>
      <c r="DD363" s="254" t="n"/>
      <c r="DE363" s="254" t="n"/>
      <c r="DF363" s="254" t="n"/>
      <c r="DG363" s="254" t="n"/>
      <c r="DH363" s="254" t="n"/>
      <c r="DI363" s="254" t="n"/>
      <c r="DJ363" s="254" t="inlineStr">
        <is>
          <t>T</t>
        </is>
      </c>
      <c r="DK363" s="254" t="n">
        <v>15</v>
      </c>
      <c r="DL363" s="95" t="n">
        <v>21</v>
      </c>
      <c r="DM363" s="254" t="n"/>
      <c r="DN363" s="95" t="n"/>
      <c r="DO363" s="95" t="n"/>
    </row>
    <row r="364" ht="13" customHeight="1">
      <c r="A364" s="203" t="inlineStr">
        <is>
          <t>DEC-01</t>
        </is>
      </c>
      <c r="B364" s="260"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259" t="inlineStr">
        <is>
          <t>532MADEC</t>
        </is>
      </c>
      <c r="BL364" s="61" t="inlineStr">
        <is>
          <t>GMAP-SIGA</t>
        </is>
      </c>
      <c r="BM364" s="254" t="inlineStr">
        <is>
          <t>NF</t>
        </is>
      </c>
      <c r="BN364" s="266" t="inlineStr">
        <is>
          <t>Portezuelo</t>
        </is>
      </c>
      <c r="BO364" s="254"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4" t="n"/>
      <c r="DB364" s="254" t="n"/>
      <c r="DC364" s="254" t="n"/>
      <c r="DD364" s="254" t="n"/>
      <c r="DE364" s="254" t="n"/>
      <c r="DF364" s="254" t="n"/>
      <c r="DG364" s="254" t="n"/>
      <c r="DH364" s="254" t="n"/>
      <c r="DI364" s="254" t="n"/>
      <c r="DJ364" s="254" t="inlineStr">
        <is>
          <t>M</t>
        </is>
      </c>
      <c r="DK364" s="254" t="n">
        <v>22</v>
      </c>
      <c r="DL364" s="95" t="n">
        <v>28</v>
      </c>
      <c r="DM364" s="254" t="n"/>
      <c r="DN364" s="95" t="n"/>
      <c r="DO364" s="95" t="n"/>
    </row>
    <row r="365" ht="13" customHeight="1">
      <c r="A365" s="203" t="inlineStr">
        <is>
          <t>DEC-02</t>
        </is>
      </c>
      <c r="B365" s="260"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259" t="inlineStr">
        <is>
          <t>532MADEC</t>
        </is>
      </c>
      <c r="BL365" s="61" t="inlineStr">
        <is>
          <t>GMAP-SIGA</t>
        </is>
      </c>
      <c r="BM365" s="254" t="inlineStr">
        <is>
          <t>NF</t>
        </is>
      </c>
      <c r="BN365" s="266" t="inlineStr">
        <is>
          <t>Portezuelo</t>
        </is>
      </c>
      <c r="BO365" s="254"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4" t="n"/>
      <c r="DB365" s="254" t="n"/>
      <c r="DC365" s="254" t="n"/>
      <c r="DD365" s="254" t="n"/>
      <c r="DE365" s="254" t="n"/>
      <c r="DF365" s="254" t="n"/>
      <c r="DG365" s="254" t="n"/>
      <c r="DH365" s="254" t="n"/>
      <c r="DI365" s="254" t="n"/>
      <c r="DJ365" s="254" t="inlineStr">
        <is>
          <t>M</t>
        </is>
      </c>
      <c r="DK365" s="254" t="n">
        <v>22</v>
      </c>
      <c r="DL365" s="95" t="n">
        <v>28</v>
      </c>
      <c r="DM365" s="254" t="n"/>
      <c r="DN365" s="95" t="n"/>
      <c r="DO365" s="95" t="n"/>
    </row>
    <row r="366" ht="13" customHeight="1">
      <c r="A366" s="203" t="inlineStr">
        <is>
          <t>DEC-03</t>
        </is>
      </c>
      <c r="B366" s="260"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259" t="inlineStr">
        <is>
          <t>532MADEC</t>
        </is>
      </c>
      <c r="BL366" s="61" t="inlineStr">
        <is>
          <t>GMAP-SIGA</t>
        </is>
      </c>
      <c r="BM366" s="254" t="inlineStr">
        <is>
          <t>NF</t>
        </is>
      </c>
      <c r="BN366" s="106" t="inlineStr">
        <is>
          <t>Falla Pabellón</t>
        </is>
      </c>
      <c r="BO366" s="254"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4" t="n"/>
      <c r="DB366" s="254" t="n"/>
      <c r="DC366" s="254" t="n"/>
      <c r="DD366" s="254" t="n"/>
      <c r="DE366" s="254" t="n"/>
      <c r="DF366" s="254" t="n"/>
      <c r="DG366" s="254" t="n"/>
      <c r="DH366" s="254" t="n"/>
      <c r="DI366" s="254" t="n"/>
      <c r="DJ366" s="254" t="inlineStr">
        <is>
          <t>T</t>
        </is>
      </c>
      <c r="DK366" s="254" t="n">
        <v>15</v>
      </c>
      <c r="DL366" s="95" t="n">
        <v>21</v>
      </c>
      <c r="DM366" s="254" t="n"/>
      <c r="DN366" s="95" t="n"/>
      <c r="DO366" s="95" t="n"/>
    </row>
    <row r="367" ht="13" customHeight="1">
      <c r="A367" s="203" t="inlineStr">
        <is>
          <t>DEC-04B</t>
        </is>
      </c>
      <c r="B367" s="260"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259" t="inlineStr">
        <is>
          <t>532MADEC</t>
        </is>
      </c>
      <c r="BL367" s="61" t="inlineStr">
        <is>
          <t>GMAP-SIGA</t>
        </is>
      </c>
      <c r="BM367" s="254" t="inlineStr">
        <is>
          <t>NF</t>
        </is>
      </c>
      <c r="BN367" s="266" t="inlineStr">
        <is>
          <t>Coposa Norte</t>
        </is>
      </c>
      <c r="BO367" s="254"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4" t="n"/>
      <c r="DB367" s="254" t="n"/>
      <c r="DC367" s="254" t="n"/>
      <c r="DD367" s="254" t="n"/>
      <c r="DE367" s="254" t="n"/>
      <c r="DF367" s="254" t="n"/>
      <c r="DG367" s="254" t="n"/>
      <c r="DH367" s="254" t="n"/>
      <c r="DI367" s="254" t="n"/>
      <c r="DJ367" s="254" t="inlineStr">
        <is>
          <t>M</t>
        </is>
      </c>
      <c r="DK367" s="254" t="n">
        <v>8</v>
      </c>
      <c r="DL367" s="95" t="n">
        <v>14</v>
      </c>
      <c r="DM367" s="254" t="n"/>
      <c r="DN367" s="95" t="n"/>
      <c r="DO367" s="95" t="n"/>
    </row>
    <row r="368" ht="13" customHeight="1">
      <c r="A368" s="203" t="inlineStr">
        <is>
          <t>DEC-05</t>
        </is>
      </c>
      <c r="B368" s="260"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259" t="inlineStr">
        <is>
          <t>532MADEC</t>
        </is>
      </c>
      <c r="BL368" s="61" t="inlineStr">
        <is>
          <t>GMAP-SIGA</t>
        </is>
      </c>
      <c r="BM368" s="254" t="inlineStr">
        <is>
          <t>NF</t>
        </is>
      </c>
      <c r="BN368" s="266" t="inlineStr">
        <is>
          <t>Coposa Centro</t>
        </is>
      </c>
      <c r="BO368" s="254"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4" t="n"/>
      <c r="DB368" s="254" t="n"/>
      <c r="DC368" s="254" t="n"/>
      <c r="DD368" s="254" t="n"/>
      <c r="DE368" s="254" t="n"/>
      <c r="DF368" s="254" t="n"/>
      <c r="DG368" s="254" t="n"/>
      <c r="DH368" s="254" t="n"/>
      <c r="DI368" s="254" t="n"/>
      <c r="DJ368" s="254" t="inlineStr">
        <is>
          <t>M</t>
        </is>
      </c>
      <c r="DK368" s="254" t="n">
        <v>22</v>
      </c>
      <c r="DL368" s="95" t="n">
        <v>28</v>
      </c>
      <c r="DM368" s="254" t="n"/>
      <c r="DN368" s="95" t="n"/>
      <c r="DO368" s="95" t="n"/>
    </row>
    <row r="369" ht="13" customHeight="1">
      <c r="A369" s="203" t="inlineStr">
        <is>
          <t>DEC-06B</t>
        </is>
      </c>
      <c r="B369" s="260"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259" t="inlineStr">
        <is>
          <t>532MADEC</t>
        </is>
      </c>
      <c r="BL369" s="61" t="inlineStr">
        <is>
          <t>GMAP-SIGA</t>
        </is>
      </c>
      <c r="BM369" s="254" t="inlineStr">
        <is>
          <t>NF</t>
        </is>
      </c>
      <c r="BN369" s="266" t="inlineStr">
        <is>
          <t>Coposa sur</t>
        </is>
      </c>
      <c r="BO369" s="254"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4" t="n"/>
      <c r="DB369" s="254" t="n"/>
      <c r="DC369" s="254" t="n"/>
      <c r="DD369" s="254" t="n"/>
      <c r="DE369" s="254" t="n"/>
      <c r="DF369" s="254" t="n"/>
      <c r="DG369" s="254" t="n"/>
      <c r="DH369" s="254" t="n"/>
      <c r="DI369" s="254" t="n"/>
      <c r="DJ369" s="254" t="inlineStr">
        <is>
          <t>M</t>
        </is>
      </c>
      <c r="DK369" s="254" t="n">
        <v>22</v>
      </c>
      <c r="DL369" s="95" t="n">
        <v>28</v>
      </c>
      <c r="DM369" s="254" t="n"/>
      <c r="DN369" s="95" t="n"/>
      <c r="DO369" s="95" t="n"/>
    </row>
    <row r="370" ht="13" customHeight="1">
      <c r="A370" s="203" t="inlineStr">
        <is>
          <t>DEC-06B</t>
        </is>
      </c>
      <c r="B370" s="260"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259" t="n"/>
      <c r="BL370" s="61" t="n"/>
      <c r="BM370" s="254" t="inlineStr">
        <is>
          <t>ASUB</t>
        </is>
      </c>
      <c r="BN370" s="266" t="inlineStr">
        <is>
          <t>Coposa sur</t>
        </is>
      </c>
      <c r="BO370" s="254"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4" t="n"/>
      <c r="DB370" s="254" t="n"/>
      <c r="DC370" s="254" t="n"/>
      <c r="DD370" s="254" t="n"/>
      <c r="DE370" s="254" t="n"/>
      <c r="DF370" s="254" t="n"/>
      <c r="DG370" s="254" t="n"/>
      <c r="DH370" s="254" t="n"/>
      <c r="DI370" s="254" t="n"/>
      <c r="DJ370" s="254" t="n"/>
      <c r="DK370" s="254" t="n"/>
      <c r="DL370" s="95" t="n"/>
      <c r="DM370" s="254" t="n"/>
      <c r="DN370" s="95" t="n"/>
      <c r="DO370" s="95" t="n"/>
    </row>
    <row r="371" ht="13" customHeight="1">
      <c r="A371" s="205" t="inlineStr">
        <is>
          <t>DPEC-04</t>
        </is>
      </c>
      <c r="B371" s="260"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259" t="inlineStr">
        <is>
          <t>532MADPEC</t>
        </is>
      </c>
      <c r="BL371" s="61" t="inlineStr">
        <is>
          <t>GMAP-SIGA</t>
        </is>
      </c>
      <c r="BM371" s="254" t="inlineStr">
        <is>
          <t>NF</t>
        </is>
      </c>
      <c r="BN371" s="266"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4" t="n"/>
      <c r="DC371" s="254" t="n"/>
      <c r="DD371" s="254" t="n"/>
      <c r="DE371" s="254" t="n"/>
      <c r="DF371" s="254" t="n"/>
      <c r="DG371" s="254" t="n"/>
      <c r="DH371" s="254" t="n"/>
      <c r="DI371" s="254" t="n"/>
      <c r="DJ371" s="254" t="inlineStr">
        <is>
          <t>Q</t>
        </is>
      </c>
      <c r="DK371" s="226" t="inlineStr">
        <is>
          <t>1- 15</t>
        </is>
      </c>
      <c r="DL371" s="226" t="inlineStr">
        <is>
          <t>14-28</t>
        </is>
      </c>
      <c r="DM371" s="254" t="n"/>
      <c r="DN371" s="95" t="n"/>
      <c r="DO371" s="95" t="n"/>
    </row>
    <row r="372" ht="13" customHeight="1">
      <c r="A372" s="203" t="inlineStr">
        <is>
          <t>DPEC-05</t>
        </is>
      </c>
      <c r="B372" s="260"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259" t="inlineStr">
        <is>
          <t>532MADPEC</t>
        </is>
      </c>
      <c r="BL372" s="61" t="inlineStr">
        <is>
          <t>GMAP-SIGA</t>
        </is>
      </c>
      <c r="BM372" s="254" t="inlineStr">
        <is>
          <t>NF</t>
        </is>
      </c>
      <c r="BN372" s="266" t="inlineStr">
        <is>
          <t>Coposa sur</t>
        </is>
      </c>
      <c r="BO372" s="254"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4" t="n"/>
      <c r="DB372" s="254" t="n"/>
      <c r="DC372" s="254" t="n"/>
      <c r="DD372" s="254" t="n"/>
      <c r="DE372" s="254" t="n"/>
      <c r="DF372" s="254" t="n"/>
      <c r="DG372" s="254" t="n"/>
      <c r="DH372" s="254" t="n"/>
      <c r="DI372" s="254" t="n"/>
      <c r="DJ372" s="254" t="inlineStr">
        <is>
          <t>T</t>
        </is>
      </c>
      <c r="DK372" s="254" t="n">
        <v>22</v>
      </c>
      <c r="DL372" s="95" t="n">
        <v>28</v>
      </c>
      <c r="DM372" s="254" t="n"/>
      <c r="DN372" s="95" t="n"/>
      <c r="DO372" s="95" t="n"/>
    </row>
    <row r="373" ht="13" customHeight="1">
      <c r="A373" s="203" t="inlineStr">
        <is>
          <t>DPEC-06</t>
        </is>
      </c>
      <c r="B373" s="260"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259" t="inlineStr">
        <is>
          <t>532MADPEC</t>
        </is>
      </c>
      <c r="BL373" s="61" t="inlineStr">
        <is>
          <t>GMAP-SIGA</t>
        </is>
      </c>
      <c r="BM373" s="254" t="inlineStr">
        <is>
          <t>NF</t>
        </is>
      </c>
      <c r="BN373" s="266" t="inlineStr">
        <is>
          <t>Coposa sur</t>
        </is>
      </c>
      <c r="BO373" s="254"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4" t="n"/>
      <c r="DB373" s="254" t="n"/>
      <c r="DC373" s="254" t="n"/>
      <c r="DD373" s="254" t="n"/>
      <c r="DE373" s="254" t="n"/>
      <c r="DF373" s="254" t="n"/>
      <c r="DG373" s="254" t="n"/>
      <c r="DH373" s="254" t="n"/>
      <c r="DI373" s="254" t="n"/>
      <c r="DJ373" s="254" t="inlineStr">
        <is>
          <t>T</t>
        </is>
      </c>
      <c r="DK373" s="254" t="n">
        <v>22</v>
      </c>
      <c r="DL373" s="95" t="n">
        <v>28</v>
      </c>
      <c r="DM373" s="254" t="n"/>
      <c r="DN373" s="95" t="n"/>
      <c r="DO373" s="95" t="n"/>
    </row>
    <row r="374" ht="13" customHeight="1">
      <c r="A374" s="205" t="inlineStr">
        <is>
          <t>DPEC-07</t>
        </is>
      </c>
      <c r="B374" s="260"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259" t="inlineStr">
        <is>
          <t>532MADPEC</t>
        </is>
      </c>
      <c r="BL374" s="61" t="inlineStr">
        <is>
          <t>GMAP-SIGA</t>
        </is>
      </c>
      <c r="BM374" s="254" t="inlineStr">
        <is>
          <t>NF</t>
        </is>
      </c>
      <c r="BN374" s="266" t="inlineStr">
        <is>
          <t>Coposa sur</t>
        </is>
      </c>
      <c r="BO374" s="254"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4" t="n"/>
      <c r="DC374" s="254" t="n"/>
      <c r="DD374" s="254" t="n"/>
      <c r="DE374" s="254" t="n"/>
      <c r="DF374" s="254" t="n"/>
      <c r="DG374" s="254" t="n"/>
      <c r="DH374" s="254" t="n"/>
      <c r="DI374" s="254" t="n"/>
      <c r="DJ374" s="254" t="inlineStr">
        <is>
          <t>T</t>
        </is>
      </c>
      <c r="DK374" s="254" t="n">
        <v>15</v>
      </c>
      <c r="DL374" s="95" t="n">
        <v>28</v>
      </c>
      <c r="DM374" s="254" t="n"/>
      <c r="DN374" s="95" t="n"/>
      <c r="DO374" s="95" t="n"/>
    </row>
    <row r="375" ht="13" customHeight="1">
      <c r="A375" s="203" t="inlineStr">
        <is>
          <t>DPEC-08</t>
        </is>
      </c>
      <c r="B375" s="260"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259" t="inlineStr">
        <is>
          <t>532MADPEC</t>
        </is>
      </c>
      <c r="BL375" s="61" t="inlineStr">
        <is>
          <t>GMAP-SIGA</t>
        </is>
      </c>
      <c r="BM375" s="254" t="inlineStr">
        <is>
          <t>NF</t>
        </is>
      </c>
      <c r="BN375" s="266" t="inlineStr">
        <is>
          <t>Coposa sur</t>
        </is>
      </c>
      <c r="BO375" s="254"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4" t="n"/>
      <c r="DB375" s="254" t="n"/>
      <c r="DC375" s="254" t="n"/>
      <c r="DD375" s="254" t="n"/>
      <c r="DE375" s="254" t="n"/>
      <c r="DF375" s="254" t="n"/>
      <c r="DG375" s="254" t="n"/>
      <c r="DH375" s="254" t="n"/>
      <c r="DI375" s="254" t="n"/>
      <c r="DJ375" s="254" t="inlineStr">
        <is>
          <t>M</t>
        </is>
      </c>
      <c r="DK375" s="254" t="n">
        <v>22</v>
      </c>
      <c r="DL375" s="95" t="n">
        <v>28</v>
      </c>
      <c r="DM375" s="254" t="n"/>
      <c r="DN375" s="95" t="n"/>
      <c r="DO375" s="95" t="n"/>
    </row>
    <row r="376" ht="13" customHeight="1">
      <c r="A376" s="203" t="inlineStr">
        <is>
          <t>DU-01</t>
        </is>
      </c>
      <c r="B376" s="260" t="inlineStr">
        <is>
          <t>DU-01 UJINA</t>
        </is>
      </c>
      <c r="C376" s="254"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259" t="inlineStr">
        <is>
          <t>532MADU</t>
        </is>
      </c>
      <c r="BL376" s="7" t="inlineStr">
        <is>
          <t>GMAP-SIGA</t>
        </is>
      </c>
      <c r="BM376" s="254" t="inlineStr">
        <is>
          <t>NF</t>
        </is>
      </c>
      <c r="BN376" s="266" t="inlineStr">
        <is>
          <t>Quebrada Represa</t>
        </is>
      </c>
      <c r="BO376" s="254" t="inlineStr">
        <is>
          <t>SI</t>
        </is>
      </c>
      <c r="BP376" s="106" t="inlineStr">
        <is>
          <t>DU-01 UJINA/NF</t>
        </is>
      </c>
      <c r="BQ376" s="106">
        <f>VLOOKUP(BP376,[1]AGUA!$1:$1048576,2,FALSE)</f>
        <v/>
      </c>
      <c r="BR376" s="106">
        <f>VLOOKUP(BP376,[1]AGUA!$1:$1048576,6,FALSE)</f>
        <v/>
      </c>
      <c r="BS376" s="106">
        <f>VLOOKUP(BP376,[1]AGUA!$1:$1048576,7,FALSE)</f>
        <v/>
      </c>
      <c r="BT376" s="106" t="n"/>
      <c r="BU376" s="292"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4" t="n"/>
      <c r="DB376" s="254" t="n"/>
      <c r="DC376" s="254" t="n"/>
      <c r="DD376" s="254" t="n"/>
      <c r="DE376" s="254" t="n"/>
      <c r="DF376" s="254" t="n"/>
      <c r="DG376" s="254" t="n"/>
      <c r="DH376" s="254" t="n"/>
      <c r="DI376" s="254" t="n"/>
      <c r="DJ376" s="254" t="inlineStr">
        <is>
          <t>M</t>
        </is>
      </c>
      <c r="DK376" s="254" t="n">
        <v>8</v>
      </c>
      <c r="DL376" s="95" t="n">
        <v>14</v>
      </c>
      <c r="DM376" s="254" t="n"/>
      <c r="DN376" s="95" t="n"/>
      <c r="DO376" s="95" t="n"/>
    </row>
    <row r="377" ht="13" customHeight="1">
      <c r="A377" s="203" t="inlineStr">
        <is>
          <t>DU-01</t>
        </is>
      </c>
      <c r="B377" s="255" t="n"/>
      <c r="C377" s="255"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255" t="n"/>
      <c r="BL377" s="7" t="inlineStr">
        <is>
          <t>GMAP-SIGA</t>
        </is>
      </c>
      <c r="BM377" s="254" t="inlineStr">
        <is>
          <t>ASUB</t>
        </is>
      </c>
      <c r="BN377" s="266" t="inlineStr">
        <is>
          <t>Quebrada Represa</t>
        </is>
      </c>
      <c r="BO377" s="254" t="inlineStr">
        <is>
          <t>SI</t>
        </is>
      </c>
      <c r="BP377" s="106" t="inlineStr">
        <is>
          <t>DU-01 UJINA/ASUB</t>
        </is>
      </c>
      <c r="BQ377" s="106">
        <f>VLOOKUP(BP377,[1]AGUA!$1:$1048576,2,FALSE)</f>
        <v/>
      </c>
      <c r="BR377" s="106">
        <f>VLOOKUP(BP377,[1]AGUA!$1:$1048576,6,FALSE)</f>
        <v/>
      </c>
      <c r="BS377" s="106">
        <f>VLOOKUP(BP377,[1]AGUA!$1:$1048576,7,FALSE)</f>
        <v/>
      </c>
      <c r="BT377" s="106" t="n"/>
      <c r="BU377" s="252"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4" t="n"/>
      <c r="DB377" s="254" t="n"/>
      <c r="DC377" s="254" t="n"/>
      <c r="DD377" s="254" t="n"/>
      <c r="DE377" s="254" t="n"/>
      <c r="DF377" s="254" t="n"/>
      <c r="DG377" s="254" t="n"/>
      <c r="DH377" s="254" t="n"/>
      <c r="DI377" s="254" t="n"/>
      <c r="DJ377" s="254" t="n"/>
      <c r="DK377" s="254" t="n"/>
      <c r="DL377" s="95" t="n"/>
      <c r="DM377" s="254" t="inlineStr">
        <is>
          <t>T</t>
        </is>
      </c>
      <c r="DN377" s="95" t="n">
        <v>8</v>
      </c>
      <c r="DO377" s="95" t="n">
        <v>14</v>
      </c>
    </row>
    <row r="378" ht="13" customHeight="1">
      <c r="A378" s="203" t="inlineStr">
        <is>
          <t>DU-02A</t>
        </is>
      </c>
      <c r="B378" s="260"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259" t="inlineStr">
        <is>
          <t>532MADU</t>
        </is>
      </c>
      <c r="BL378" s="7" t="inlineStr">
        <is>
          <t>GMAP-SIGA</t>
        </is>
      </c>
      <c r="BM378" s="254" t="inlineStr">
        <is>
          <t>NF</t>
        </is>
      </c>
      <c r="BN378" s="266" t="inlineStr">
        <is>
          <t>Quebrada Represa</t>
        </is>
      </c>
      <c r="BO378" s="254"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4" t="n"/>
      <c r="DB378" s="254" t="n"/>
      <c r="DC378" s="254" t="n"/>
      <c r="DD378" s="254" t="n"/>
      <c r="DE378" s="254" t="n"/>
      <c r="DF378" s="254" t="n"/>
      <c r="DG378" s="254" t="n"/>
      <c r="DH378" s="254" t="n"/>
      <c r="DI378" s="254" t="n"/>
      <c r="DJ378" s="254" t="inlineStr">
        <is>
          <t>M</t>
        </is>
      </c>
      <c r="DK378" s="254" t="n">
        <v>8</v>
      </c>
      <c r="DL378" s="95" t="n">
        <v>14</v>
      </c>
      <c r="DM378" s="254" t="n"/>
      <c r="DN378" s="95" t="n"/>
      <c r="DO378" s="95" t="n"/>
    </row>
    <row r="379" ht="13" customHeight="1">
      <c r="A379" s="203" t="inlineStr">
        <is>
          <t>DU-04</t>
        </is>
      </c>
      <c r="B379" s="260"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255" t="n"/>
      <c r="BL379" s="61" t="inlineStr">
        <is>
          <t>MINA</t>
        </is>
      </c>
      <c r="BM379" s="254" t="inlineStr">
        <is>
          <t>NF</t>
        </is>
      </c>
      <c r="BN379" s="266" t="inlineStr">
        <is>
          <t>Ujina</t>
        </is>
      </c>
      <c r="BO379" s="254"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4" t="n"/>
      <c r="DB379" s="254" t="n"/>
      <c r="DC379" s="254" t="n"/>
      <c r="DD379" s="254" t="n"/>
      <c r="DE379" s="254" t="n"/>
      <c r="DF379" s="254" t="n"/>
      <c r="DG379" s="254" t="n"/>
      <c r="DH379" s="254" t="n"/>
      <c r="DI379" s="254" t="n"/>
      <c r="DJ379" s="254" t="inlineStr">
        <is>
          <t>M</t>
        </is>
      </c>
      <c r="DK379" s="254" t="n">
        <v>8</v>
      </c>
      <c r="DL379" s="95" t="n">
        <v>14</v>
      </c>
      <c r="DM379" s="254" t="n"/>
      <c r="DN379" s="95" t="n"/>
      <c r="DO379" s="95" t="n"/>
    </row>
    <row r="380" ht="13" customHeight="1">
      <c r="A380" s="203" t="inlineStr">
        <is>
          <t>DU-05</t>
        </is>
      </c>
      <c r="B380" s="260"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259" t="inlineStr">
        <is>
          <t>532MADU</t>
        </is>
      </c>
      <c r="BL380" s="61" t="inlineStr">
        <is>
          <t>MINA</t>
        </is>
      </c>
      <c r="BM380" s="254" t="inlineStr">
        <is>
          <t>NF</t>
        </is>
      </c>
      <c r="BN380" s="266" t="inlineStr">
        <is>
          <t>Ujina</t>
        </is>
      </c>
      <c r="BO380" s="254"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4" t="n"/>
      <c r="DB380" s="254" t="n"/>
      <c r="DC380" s="254" t="n"/>
      <c r="DD380" s="254" t="n"/>
      <c r="DE380" s="254" t="n"/>
      <c r="DF380" s="254" t="n"/>
      <c r="DG380" s="254" t="n"/>
      <c r="DH380" s="254" t="n"/>
      <c r="DI380" s="254" t="n"/>
      <c r="DJ380" s="254" t="inlineStr">
        <is>
          <t>M</t>
        </is>
      </c>
      <c r="DK380" s="254" t="n">
        <v>8</v>
      </c>
      <c r="DL380" s="95" t="n">
        <v>14</v>
      </c>
      <c r="DM380" s="254" t="n"/>
      <c r="DN380" s="95" t="n"/>
      <c r="DO380" s="95" t="n"/>
    </row>
    <row r="381" ht="13" customHeight="1">
      <c r="A381" s="203" t="inlineStr">
        <is>
          <t>DU-06</t>
        </is>
      </c>
      <c r="B381" s="260"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255" t="n"/>
      <c r="BL381" s="61" t="inlineStr">
        <is>
          <t>MINA</t>
        </is>
      </c>
      <c r="BM381" s="254" t="inlineStr">
        <is>
          <t>NF</t>
        </is>
      </c>
      <c r="BN381" s="266" t="inlineStr">
        <is>
          <t>Ujina</t>
        </is>
      </c>
      <c r="BO381" s="254"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4" t="n"/>
      <c r="DB381" s="254" t="n"/>
      <c r="DC381" s="254" t="n"/>
      <c r="DD381" s="254" t="n"/>
      <c r="DE381" s="254" t="n"/>
      <c r="DF381" s="254" t="n"/>
      <c r="DG381" s="254" t="n"/>
      <c r="DH381" s="254" t="n"/>
      <c r="DI381" s="254" t="n"/>
      <c r="DJ381" s="254" t="inlineStr">
        <is>
          <t>M</t>
        </is>
      </c>
      <c r="DK381" s="254" t="n">
        <v>8</v>
      </c>
      <c r="DL381" s="95" t="n">
        <v>14</v>
      </c>
      <c r="DM381" s="254" t="n"/>
      <c r="DN381" s="95" t="n"/>
      <c r="DO381" s="95" t="n"/>
    </row>
    <row r="382" ht="13" customHeight="1">
      <c r="A382" s="203" t="inlineStr">
        <is>
          <t>EPC-01</t>
        </is>
      </c>
      <c r="B382" s="260"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259" t="inlineStr">
        <is>
          <t>532MAQCY</t>
        </is>
      </c>
      <c r="BL382" s="61" t="inlineStr">
        <is>
          <t>GMAP-SIGA</t>
        </is>
      </c>
      <c r="BM382" s="254" t="inlineStr">
        <is>
          <t>NF</t>
        </is>
      </c>
      <c r="BN382" s="266" t="inlineStr">
        <is>
          <t>Quebrada Caya</t>
        </is>
      </c>
      <c r="BO382" s="254"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4" t="n"/>
      <c r="DB382" s="254" t="n"/>
      <c r="DC382" s="254" t="n"/>
      <c r="DD382" s="254" t="n"/>
      <c r="DE382" s="254" t="n"/>
      <c r="DF382" s="254" t="n"/>
      <c r="DG382" s="254" t="n"/>
      <c r="DH382" s="254" t="n"/>
      <c r="DI382" s="254" t="n"/>
      <c r="DJ382" s="254" t="inlineStr">
        <is>
          <t>STRAL</t>
        </is>
      </c>
      <c r="DK382" s="254" t="n">
        <v>15</v>
      </c>
      <c r="DL382" s="95" t="n">
        <v>28</v>
      </c>
      <c r="DM382" s="254" t="n"/>
      <c r="DN382" s="95" t="n"/>
      <c r="DO382" s="95" t="n"/>
    </row>
    <row r="383" ht="13" customHeight="1">
      <c r="A383" s="203" t="inlineStr">
        <is>
          <t>GB-01</t>
        </is>
      </c>
      <c r="B383" s="260"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259" t="inlineStr">
        <is>
          <t>532MAQCY</t>
        </is>
      </c>
      <c r="BL383" s="61" t="inlineStr">
        <is>
          <t>GMAP-SIGA</t>
        </is>
      </c>
      <c r="BM383" s="254" t="inlineStr">
        <is>
          <t>NF</t>
        </is>
      </c>
      <c r="BN383" s="266" t="inlineStr">
        <is>
          <t>Quebrada Caya</t>
        </is>
      </c>
      <c r="BO383" s="254"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4" t="n"/>
      <c r="DB383" s="254" t="n"/>
      <c r="DC383" s="254" t="n"/>
      <c r="DD383" s="254" t="n"/>
      <c r="DE383" s="254" t="n"/>
      <c r="DF383" s="254" t="n"/>
      <c r="DG383" s="254" t="n"/>
      <c r="DH383" s="254" t="n"/>
      <c r="DI383" s="254" t="n"/>
      <c r="DJ383" s="254" t="inlineStr">
        <is>
          <t>STRAL</t>
        </is>
      </c>
      <c r="DK383" s="254" t="n">
        <v>15</v>
      </c>
      <c r="DL383" s="95" t="n">
        <v>28</v>
      </c>
      <c r="DM383" s="254" t="n"/>
      <c r="DN383" s="95" t="n"/>
      <c r="DO383" s="95" t="n"/>
    </row>
    <row r="384" ht="13" customHeight="1">
      <c r="A384" s="203" t="inlineStr">
        <is>
          <t>GB-02</t>
        </is>
      </c>
      <c r="B384" s="260"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259" t="inlineStr">
        <is>
          <t>532MAQCY</t>
        </is>
      </c>
      <c r="BL384" s="61" t="inlineStr">
        <is>
          <t>GMAP-SIGA</t>
        </is>
      </c>
      <c r="BM384" s="254" t="inlineStr">
        <is>
          <t>NF</t>
        </is>
      </c>
      <c r="BN384" s="266" t="inlineStr">
        <is>
          <t>Quebrada Caya</t>
        </is>
      </c>
      <c r="BO384" s="254"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4" t="n"/>
      <c r="DB384" s="254" t="n"/>
      <c r="DC384" s="254" t="n"/>
      <c r="DD384" s="254" t="n"/>
      <c r="DE384" s="254" t="n"/>
      <c r="DF384" s="254" t="n"/>
      <c r="DG384" s="254" t="n"/>
      <c r="DH384" s="254" t="n"/>
      <c r="DI384" s="254" t="n"/>
      <c r="DJ384" s="254" t="inlineStr">
        <is>
          <t xml:space="preserve">STRAL </t>
        </is>
      </c>
      <c r="DK384" s="254" t="n">
        <v>15</v>
      </c>
      <c r="DL384" s="95" t="n">
        <v>28</v>
      </c>
      <c r="DM384" s="254" t="n"/>
      <c r="DN384" s="95" t="n"/>
      <c r="DO384" s="95" t="n"/>
    </row>
    <row r="385" ht="13" customHeight="1">
      <c r="A385" s="203" t="inlineStr">
        <is>
          <t>GB-03</t>
        </is>
      </c>
      <c r="B385" s="260"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259" t="inlineStr">
        <is>
          <t>532MAQCY</t>
        </is>
      </c>
      <c r="BL385" s="61" t="inlineStr">
        <is>
          <t>GMAP-SIGA</t>
        </is>
      </c>
      <c r="BM385" s="254" t="inlineStr">
        <is>
          <t>NF</t>
        </is>
      </c>
      <c r="BN385" s="266" t="inlineStr">
        <is>
          <t>Quebrada Caya</t>
        </is>
      </c>
      <c r="BO385" s="254"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4" t="n"/>
      <c r="DB385" s="254" t="n"/>
      <c r="DC385" s="254" t="n"/>
      <c r="DD385" s="254" t="n"/>
      <c r="DE385" s="254" t="n"/>
      <c r="DF385" s="254" t="n"/>
      <c r="DG385" s="254" t="n"/>
      <c r="DH385" s="254" t="n"/>
      <c r="DI385" s="254" t="n"/>
      <c r="DJ385" s="254" t="inlineStr">
        <is>
          <t>STRAL</t>
        </is>
      </c>
      <c r="DK385" s="254" t="n">
        <v>15</v>
      </c>
      <c r="DL385" s="95" t="n">
        <v>28</v>
      </c>
      <c r="DM385" s="254" t="n"/>
      <c r="DN385" s="95" t="n"/>
      <c r="DO385" s="95" t="n"/>
    </row>
    <row r="386" ht="13" customHeight="1">
      <c r="A386" s="203" t="inlineStr">
        <is>
          <t>GB-05</t>
        </is>
      </c>
      <c r="B386" s="260"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259" t="inlineStr">
        <is>
          <t>532MAQCY</t>
        </is>
      </c>
      <c r="BL386" s="61" t="inlineStr">
        <is>
          <t>GMAP-SIGA</t>
        </is>
      </c>
      <c r="BM386" s="254" t="inlineStr">
        <is>
          <t>NF</t>
        </is>
      </c>
      <c r="BN386" s="266" t="inlineStr">
        <is>
          <t>Quebrada Caya</t>
        </is>
      </c>
      <c r="BO386" s="254"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4" t="n"/>
      <c r="DB386" s="254" t="n"/>
      <c r="DC386" s="254" t="n"/>
      <c r="DD386" s="254" t="n"/>
      <c r="DE386" s="254" t="n"/>
      <c r="DF386" s="254" t="n"/>
      <c r="DG386" s="254" t="n"/>
      <c r="DH386" s="254" t="n"/>
      <c r="DI386" s="254" t="n"/>
      <c r="DJ386" s="254" t="inlineStr">
        <is>
          <t>STRAL</t>
        </is>
      </c>
      <c r="DK386" s="254" t="n">
        <v>15</v>
      </c>
      <c r="DL386" s="95" t="n">
        <v>28</v>
      </c>
      <c r="DM386" s="254" t="n"/>
      <c r="DN386" s="95" t="n"/>
      <c r="DO386" s="95" t="n"/>
    </row>
    <row r="387" ht="13" customHeight="1">
      <c r="A387" s="203" t="inlineStr">
        <is>
          <t>GB-06</t>
        </is>
      </c>
      <c r="B387" s="260"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259" t="inlineStr">
        <is>
          <t>532MAQCY</t>
        </is>
      </c>
      <c r="BL387" s="61" t="inlineStr">
        <is>
          <t>GMAP-SIGA</t>
        </is>
      </c>
      <c r="BM387" s="254" t="inlineStr">
        <is>
          <t>NF</t>
        </is>
      </c>
      <c r="BN387" s="266" t="inlineStr">
        <is>
          <t>Quebrada Caya</t>
        </is>
      </c>
      <c r="BO387" s="254"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4" t="n"/>
      <c r="DB387" s="254" t="n"/>
      <c r="DC387" s="254" t="n"/>
      <c r="DD387" s="254" t="n"/>
      <c r="DE387" s="254" t="n"/>
      <c r="DF387" s="254" t="n"/>
      <c r="DG387" s="254" t="n"/>
      <c r="DH387" s="254" t="n"/>
      <c r="DI387" s="254" t="n"/>
      <c r="DJ387" s="254" t="inlineStr">
        <is>
          <t>STRAL</t>
        </is>
      </c>
      <c r="DK387" s="254" t="n">
        <v>15</v>
      </c>
      <c r="DL387" s="95" t="n">
        <v>28</v>
      </c>
      <c r="DM387" s="254" t="n"/>
      <c r="DN387" s="95" t="n"/>
      <c r="DO387" s="95" t="n"/>
    </row>
    <row r="388" ht="13" customHeight="1">
      <c r="A388" s="203" t="inlineStr">
        <is>
          <t>HPS-01</t>
        </is>
      </c>
      <c r="B388" s="260"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259" t="inlineStr">
        <is>
          <t>532MAHPS</t>
        </is>
      </c>
      <c r="BL388" s="61" t="inlineStr">
        <is>
          <t>GMAP-SIGA</t>
        </is>
      </c>
      <c r="BM388" s="254" t="inlineStr">
        <is>
          <t>NF</t>
        </is>
      </c>
      <c r="BN388" s="266" t="inlineStr">
        <is>
          <t>Huasco</t>
        </is>
      </c>
      <c r="BO388" s="254"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4" t="n"/>
      <c r="DB388" s="254" t="n"/>
      <c r="DC388" s="254" t="n"/>
      <c r="DD388" s="254" t="n"/>
      <c r="DE388" s="254" t="n"/>
      <c r="DF388" s="254" t="n"/>
      <c r="DG388" s="254" t="n"/>
      <c r="DH388" s="254" t="n"/>
      <c r="DI388" s="254" t="n"/>
      <c r="DJ388" s="254" t="inlineStr">
        <is>
          <t>E</t>
        </is>
      </c>
      <c r="DK388" s="254" t="n">
        <v>15</v>
      </c>
      <c r="DL388" s="95" t="n">
        <v>28</v>
      </c>
      <c r="DM388" s="254" t="n"/>
      <c r="DN388" s="95" t="n"/>
      <c r="DO388" s="95" t="n"/>
    </row>
    <row r="389" ht="13" customHeight="1">
      <c r="A389" s="203" t="inlineStr">
        <is>
          <t>HPS-11</t>
        </is>
      </c>
      <c r="B389" s="260"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259" t="inlineStr">
        <is>
          <t>532MAHPS</t>
        </is>
      </c>
      <c r="BL389" s="61" t="inlineStr">
        <is>
          <t>GMAP-SIGA</t>
        </is>
      </c>
      <c r="BM389" s="254" t="inlineStr">
        <is>
          <t>NF</t>
        </is>
      </c>
      <c r="BN389" s="266" t="inlineStr">
        <is>
          <t>Huasco</t>
        </is>
      </c>
      <c r="BO389" s="254"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4" t="n"/>
      <c r="DB389" s="254" t="n"/>
      <c r="DC389" s="254" t="n"/>
      <c r="DD389" s="254" t="n"/>
      <c r="DE389" s="254" t="n"/>
      <c r="DF389" s="254" t="n"/>
      <c r="DG389" s="254" t="n"/>
      <c r="DH389" s="254" t="n"/>
      <c r="DI389" s="254" t="n"/>
      <c r="DJ389" s="254" t="inlineStr">
        <is>
          <t>TF</t>
        </is>
      </c>
      <c r="DK389" s="254" t="n">
        <v>15</v>
      </c>
      <c r="DL389" s="95" t="n">
        <v>28</v>
      </c>
      <c r="DM389" s="254" t="n"/>
      <c r="DN389" s="95" t="n"/>
      <c r="DO389" s="95" t="n"/>
    </row>
    <row r="390" ht="13" customHeight="1">
      <c r="A390" s="203" t="inlineStr">
        <is>
          <t>HPS-12</t>
        </is>
      </c>
      <c r="B390" s="260"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259" t="inlineStr">
        <is>
          <t>532MAHPS</t>
        </is>
      </c>
      <c r="BL390" s="61" t="inlineStr">
        <is>
          <t>GMAP-SIGA</t>
        </is>
      </c>
      <c r="BM390" s="254" t="inlineStr">
        <is>
          <t>NF</t>
        </is>
      </c>
      <c r="BN390" s="266" t="inlineStr">
        <is>
          <t>Huasco</t>
        </is>
      </c>
      <c r="BO390" s="254"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4" t="n"/>
      <c r="DB390" s="254" t="n"/>
      <c r="DC390" s="254" t="n"/>
      <c r="DD390" s="254" t="n"/>
      <c r="DE390" s="254" t="n"/>
      <c r="DF390" s="254" t="n"/>
      <c r="DG390" s="254" t="n"/>
      <c r="DH390" s="254" t="n"/>
      <c r="DI390" s="254" t="n"/>
      <c r="DJ390" s="254" t="inlineStr">
        <is>
          <t>TF</t>
        </is>
      </c>
      <c r="DK390" s="254" t="n">
        <v>15</v>
      </c>
      <c r="DL390" s="95" t="n">
        <v>28</v>
      </c>
      <c r="DM390" s="254" t="n"/>
      <c r="DN390" s="95" t="n"/>
      <c r="DO390" s="95" t="n"/>
    </row>
    <row r="391" ht="13" customHeight="1">
      <c r="A391" s="203" t="inlineStr">
        <is>
          <t>HPS-14</t>
        </is>
      </c>
      <c r="B391" s="260"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259" t="inlineStr">
        <is>
          <t>532MAHPS</t>
        </is>
      </c>
      <c r="BL391" s="61" t="inlineStr">
        <is>
          <t>GMAP-SIGA</t>
        </is>
      </c>
      <c r="BM391" s="254" t="inlineStr">
        <is>
          <t>NF</t>
        </is>
      </c>
      <c r="BN391" s="266" t="inlineStr">
        <is>
          <t>Huasco</t>
        </is>
      </c>
      <c r="BO391" s="254"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4" t="n"/>
      <c r="DB391" s="254" t="n"/>
      <c r="DC391" s="254" t="n"/>
      <c r="DD391" s="254" t="n"/>
      <c r="DE391" s="254" t="n"/>
      <c r="DF391" s="254" t="n"/>
      <c r="DG391" s="254" t="n"/>
      <c r="DH391" s="254" t="n"/>
      <c r="DI391" s="254" t="n"/>
      <c r="DJ391" s="254" t="inlineStr">
        <is>
          <t>TF</t>
        </is>
      </c>
      <c r="DK391" s="254" t="n">
        <v>15</v>
      </c>
      <c r="DL391" s="95" t="n">
        <v>28</v>
      </c>
      <c r="DM391" s="254" t="n"/>
      <c r="DN391" s="95" t="n"/>
      <c r="DO391" s="95" t="n"/>
    </row>
    <row r="392" ht="13" customHeight="1">
      <c r="A392" s="203" t="inlineStr">
        <is>
          <t>HPS-36</t>
        </is>
      </c>
      <c r="B392" s="260"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259" t="inlineStr">
        <is>
          <t>532MAHPS</t>
        </is>
      </c>
      <c r="BL392" s="61" t="inlineStr">
        <is>
          <t>GMAP-SIGA</t>
        </is>
      </c>
      <c r="BM392" s="254" t="inlineStr">
        <is>
          <t>NF</t>
        </is>
      </c>
      <c r="BN392" s="266" t="inlineStr">
        <is>
          <t>Huasco</t>
        </is>
      </c>
      <c r="BO392" s="254"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4" t="n"/>
      <c r="DB392" s="254" t="n"/>
      <c r="DC392" s="254" t="n"/>
      <c r="DD392" s="254" t="n"/>
      <c r="DE392" s="254" t="n"/>
      <c r="DF392" s="254" t="n"/>
      <c r="DG392" s="254" t="n"/>
      <c r="DH392" s="254" t="n"/>
      <c r="DI392" s="254" t="n"/>
      <c r="DJ392" s="254" t="inlineStr">
        <is>
          <t>TF</t>
        </is>
      </c>
      <c r="DK392" s="254" t="n">
        <v>15</v>
      </c>
      <c r="DL392" s="95" t="n">
        <v>28</v>
      </c>
      <c r="DM392" s="254" t="n"/>
      <c r="DN392" s="95" t="n"/>
      <c r="DO392" s="95" t="n"/>
    </row>
    <row r="393" ht="13" customHeight="1">
      <c r="A393" s="203" t="inlineStr">
        <is>
          <t>HPS-38</t>
        </is>
      </c>
      <c r="B393" s="260"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259" t="inlineStr">
        <is>
          <t>532MAHPS</t>
        </is>
      </c>
      <c r="BL393" s="61" t="inlineStr">
        <is>
          <t>GMAP-SIGA</t>
        </is>
      </c>
      <c r="BM393" s="254" t="inlineStr">
        <is>
          <t>NF</t>
        </is>
      </c>
      <c r="BN393" s="266" t="inlineStr">
        <is>
          <t>Huasco</t>
        </is>
      </c>
      <c r="BO393" s="254"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4" t="n"/>
      <c r="DB393" s="254" t="n"/>
      <c r="DC393" s="254" t="n"/>
      <c r="DD393" s="254" t="n"/>
      <c r="DE393" s="254" t="n"/>
      <c r="DF393" s="254" t="n"/>
      <c r="DG393" s="254" t="n"/>
      <c r="DH393" s="254" t="n"/>
      <c r="DI393" s="254" t="n"/>
      <c r="DJ393" s="254" t="inlineStr">
        <is>
          <t>TF</t>
        </is>
      </c>
      <c r="DK393" s="254" t="n">
        <v>15</v>
      </c>
      <c r="DL393" s="95" t="n">
        <v>28</v>
      </c>
      <c r="DM393" s="254" t="n"/>
      <c r="DN393" s="95" t="n"/>
      <c r="DO393" s="95" t="n"/>
    </row>
    <row r="394" ht="13.5" customHeight="1">
      <c r="A394" s="203" t="inlineStr">
        <is>
          <t>HPS-39A</t>
        </is>
      </c>
      <c r="B394" s="260"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259" t="inlineStr">
        <is>
          <t>532MAHPS</t>
        </is>
      </c>
      <c r="BL394" s="61" t="inlineStr">
        <is>
          <t>GMAP-SIGA</t>
        </is>
      </c>
      <c r="BM394" s="254" t="inlineStr">
        <is>
          <t>NF</t>
        </is>
      </c>
      <c r="BN394" s="266" t="inlineStr">
        <is>
          <t>Huasco</t>
        </is>
      </c>
      <c r="BO394" s="254"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4" t="n"/>
      <c r="DB394" s="254" t="n"/>
      <c r="DC394" s="254" t="n"/>
      <c r="DD394" s="254" t="n"/>
      <c r="DE394" s="254" t="n"/>
      <c r="DF394" s="254" t="n"/>
      <c r="DG394" s="254" t="n"/>
      <c r="DH394" s="254" t="n"/>
      <c r="DI394" s="254" t="n"/>
      <c r="DJ394" s="254" t="inlineStr">
        <is>
          <t>TF</t>
        </is>
      </c>
      <c r="DK394" s="254" t="n">
        <v>15</v>
      </c>
      <c r="DL394" s="95" t="n">
        <v>28</v>
      </c>
      <c r="DM394" s="254" t="n"/>
      <c r="DN394" s="95" t="n"/>
      <c r="DO394" s="95" t="n"/>
    </row>
    <row r="395" ht="13" customHeight="1">
      <c r="A395" s="203" t="inlineStr">
        <is>
          <t>HPS-39B</t>
        </is>
      </c>
      <c r="B395" s="260"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259" t="inlineStr">
        <is>
          <t>532MAHPS</t>
        </is>
      </c>
      <c r="BL395" s="61" t="inlineStr">
        <is>
          <t>GMAP-SIGA</t>
        </is>
      </c>
      <c r="BM395" s="254" t="inlineStr">
        <is>
          <t>NF</t>
        </is>
      </c>
      <c r="BN395" s="266" t="inlineStr">
        <is>
          <t>Huasco</t>
        </is>
      </c>
      <c r="BO395" s="254"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4" t="n"/>
      <c r="DB395" s="254" t="n"/>
      <c r="DC395" s="254" t="n"/>
      <c r="DD395" s="254" t="n"/>
      <c r="DE395" s="254" t="n"/>
      <c r="DF395" s="254" t="n"/>
      <c r="DG395" s="254" t="n"/>
      <c r="DH395" s="254" t="n"/>
      <c r="DI395" s="254" t="n"/>
      <c r="DJ395" s="254" t="inlineStr">
        <is>
          <t>TF</t>
        </is>
      </c>
      <c r="DK395" s="254" t="n">
        <v>15</v>
      </c>
      <c r="DL395" s="95" t="n">
        <v>28</v>
      </c>
      <c r="DM395" s="254" t="n"/>
      <c r="DN395" s="95" t="n"/>
      <c r="DO395" s="95" t="n"/>
    </row>
    <row r="396" ht="13" customHeight="1">
      <c r="A396" s="203" t="inlineStr">
        <is>
          <t>HPS-40B</t>
        </is>
      </c>
      <c r="B396" s="260"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259" t="inlineStr">
        <is>
          <t>532MAHPS</t>
        </is>
      </c>
      <c r="BL396" s="61" t="inlineStr">
        <is>
          <t>GMAP-SIGA</t>
        </is>
      </c>
      <c r="BM396" s="254" t="inlineStr">
        <is>
          <t>NF</t>
        </is>
      </c>
      <c r="BN396" s="266" t="inlineStr">
        <is>
          <t>Huasco</t>
        </is>
      </c>
      <c r="BO396" s="254"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4" t="n"/>
      <c r="DB396" s="254" t="n"/>
      <c r="DC396" s="254" t="n"/>
      <c r="DD396" s="254" t="n"/>
      <c r="DE396" s="254" t="n"/>
      <c r="DF396" s="254" t="n"/>
      <c r="DG396" s="254" t="n"/>
      <c r="DH396" s="254" t="n"/>
      <c r="DI396" s="254" t="n"/>
      <c r="DJ396" s="254" t="inlineStr">
        <is>
          <t>TF</t>
        </is>
      </c>
      <c r="DK396" s="254" t="n">
        <v>15</v>
      </c>
      <c r="DL396" s="95" t="n">
        <v>28</v>
      </c>
      <c r="DM396" s="254" t="n"/>
      <c r="DN396" s="95" t="n"/>
      <c r="DO396" s="95" t="n"/>
    </row>
    <row r="397" ht="13" customHeight="1">
      <c r="A397" s="203" t="inlineStr">
        <is>
          <t>HUA-P01</t>
        </is>
      </c>
      <c r="B397" s="260"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259" t="inlineStr">
        <is>
          <t>532MHUAP01</t>
        </is>
      </c>
      <c r="BL397" s="61" t="inlineStr">
        <is>
          <t>GMAP-SIGA</t>
        </is>
      </c>
      <c r="BM397" s="254" t="inlineStr">
        <is>
          <t>NF</t>
        </is>
      </c>
      <c r="BN397" s="266" t="inlineStr">
        <is>
          <t>Huasco</t>
        </is>
      </c>
      <c r="BO397" s="254"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4" t="n"/>
      <c r="DB397" s="254" t="n"/>
      <c r="DC397" s="254" t="n"/>
      <c r="DD397" s="254" t="n"/>
      <c r="DE397" s="254" t="n"/>
      <c r="DF397" s="254" t="n"/>
      <c r="DG397" s="254" t="n"/>
      <c r="DH397" s="254" t="n"/>
      <c r="DI397" s="254" t="n"/>
      <c r="DJ397" s="254" t="inlineStr">
        <is>
          <t>STRAL</t>
        </is>
      </c>
      <c r="DK397" s="254" t="n">
        <v>15</v>
      </c>
      <c r="DL397" s="95" t="n">
        <v>28</v>
      </c>
      <c r="DM397" s="254" t="n"/>
      <c r="DN397" s="95" t="n"/>
      <c r="DO397" s="95" t="n"/>
    </row>
    <row r="398" ht="13" customHeight="1">
      <c r="A398" s="205" t="inlineStr">
        <is>
          <t>JA-1</t>
        </is>
      </c>
      <c r="B398" s="260"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4" t="inlineStr">
        <is>
          <t>NF</t>
        </is>
      </c>
      <c r="BN398" s="266" t="inlineStr">
        <is>
          <t>Jachucoposa</t>
        </is>
      </c>
      <c r="BO398" s="254" t="inlineStr">
        <is>
          <t>SI</t>
        </is>
      </c>
      <c r="BP398" s="254"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4" t="n"/>
      <c r="DC398" s="254" t="n"/>
      <c r="DD398" s="254" t="n"/>
      <c r="DE398" s="254" t="n"/>
      <c r="DF398" s="254" t="n"/>
      <c r="DG398" s="254" t="n"/>
      <c r="DH398" s="254" t="n"/>
      <c r="DI398" s="254" t="n"/>
      <c r="DJ398" s="254" t="inlineStr">
        <is>
          <t>M</t>
        </is>
      </c>
      <c r="DK398" s="254" t="n">
        <v>1</v>
      </c>
      <c r="DL398" s="95" t="n">
        <v>15</v>
      </c>
      <c r="DM398" s="254" t="n"/>
      <c r="DN398" s="95" t="n"/>
      <c r="DO398" s="95" t="n"/>
    </row>
    <row r="399" ht="13" customHeight="1">
      <c r="A399" s="203" t="inlineStr">
        <is>
          <t>JA-1</t>
        </is>
      </c>
      <c r="B399" s="260"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4" t="inlineStr">
        <is>
          <t>ASUB</t>
        </is>
      </c>
      <c r="BN399" s="266" t="inlineStr">
        <is>
          <t>Jachucoposa</t>
        </is>
      </c>
      <c r="BO399" s="254" t="inlineStr">
        <is>
          <t>SI</t>
        </is>
      </c>
      <c r="BP399" s="254"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4" t="n"/>
      <c r="DB399" s="254" t="n"/>
      <c r="DC399" s="254" t="n"/>
      <c r="DD399" s="254" t="n"/>
      <c r="DE399" s="254" t="n"/>
      <c r="DF399" s="254" t="n"/>
      <c r="DG399" s="254" t="n"/>
      <c r="DH399" s="254" t="n"/>
      <c r="DI399" s="254" t="n"/>
      <c r="DJ399" s="254" t="n"/>
      <c r="DK399" s="254" t="n"/>
      <c r="DL399" s="95" t="n"/>
      <c r="DM399" s="254" t="inlineStr">
        <is>
          <t>TD</t>
        </is>
      </c>
      <c r="DN399" s="95" t="n">
        <v>1</v>
      </c>
      <c r="DO399" s="95" t="n">
        <v>15</v>
      </c>
    </row>
    <row r="400" ht="13" customHeight="1">
      <c r="A400" s="205" t="inlineStr">
        <is>
          <t>JA-2</t>
        </is>
      </c>
      <c r="B400" s="260"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4" t="inlineStr">
        <is>
          <t>NF</t>
        </is>
      </c>
      <c r="BN400" s="266" t="inlineStr">
        <is>
          <t>Jachucoposa</t>
        </is>
      </c>
      <c r="BO400" s="254" t="inlineStr">
        <is>
          <t>SI</t>
        </is>
      </c>
      <c r="BP400" s="254"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4" t="n"/>
      <c r="DC400" s="254" t="n"/>
      <c r="DD400" s="254" t="n"/>
      <c r="DE400" s="254" t="n"/>
      <c r="DF400" s="254" t="n"/>
      <c r="DG400" s="254" t="n"/>
      <c r="DH400" s="254" t="n"/>
      <c r="DI400" s="254" t="n"/>
      <c r="DJ400" s="254" t="inlineStr">
        <is>
          <t>M</t>
        </is>
      </c>
      <c r="DK400" s="254" t="n">
        <v>1</v>
      </c>
      <c r="DL400" s="95" t="n">
        <v>15</v>
      </c>
      <c r="DM400" s="254" t="n"/>
      <c r="DN400" s="95" t="n"/>
      <c r="DO400" s="95" t="n"/>
    </row>
    <row r="401" ht="13" customHeight="1">
      <c r="A401" s="203" t="inlineStr">
        <is>
          <t>JA-2</t>
        </is>
      </c>
      <c r="B401" s="260"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4" t="inlineStr">
        <is>
          <t>ASUB</t>
        </is>
      </c>
      <c r="BN401" s="266" t="inlineStr">
        <is>
          <t>Jachucoposa</t>
        </is>
      </c>
      <c r="BO401" s="254" t="inlineStr">
        <is>
          <t>SI</t>
        </is>
      </c>
      <c r="BP401" s="254"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4" t="n"/>
      <c r="DB401" s="254" t="n"/>
      <c r="DC401" s="254" t="n"/>
      <c r="DD401" s="254" t="n"/>
      <c r="DE401" s="254" t="n"/>
      <c r="DF401" s="254" t="n"/>
      <c r="DG401" s="254" t="n"/>
      <c r="DH401" s="254" t="n"/>
      <c r="DI401" s="254" t="n"/>
      <c r="DJ401" s="254" t="n"/>
      <c r="DK401" s="254" t="n"/>
      <c r="DL401" s="95" t="n"/>
      <c r="DM401" s="254" t="inlineStr">
        <is>
          <t>TD</t>
        </is>
      </c>
      <c r="DN401" s="95" t="n">
        <v>1</v>
      </c>
      <c r="DO401" s="95" t="n">
        <v>15</v>
      </c>
    </row>
    <row r="402" ht="13" customHeight="1">
      <c r="A402" s="218" t="inlineStr">
        <is>
          <t>LPDC-01B</t>
        </is>
      </c>
      <c r="B402" s="260" t="inlineStr">
        <is>
          <t>LPDC-01 LIXIVIACIÓN</t>
        </is>
      </c>
      <c r="C402" s="254"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61" t="inlineStr">
        <is>
          <t>430LPDC-01</t>
        </is>
      </c>
      <c r="BL402" s="7" t="inlineStr">
        <is>
          <t>LIXIVIACIÓN</t>
        </is>
      </c>
      <c r="BM402" s="254" t="inlineStr">
        <is>
          <t>NF</t>
        </is>
      </c>
      <c r="BN402" s="266" t="inlineStr">
        <is>
          <t>Lixiviación</t>
        </is>
      </c>
      <c r="BO402" s="254" t="inlineStr">
        <is>
          <t>SI</t>
        </is>
      </c>
      <c r="BP402" s="106" t="inlineStr">
        <is>
          <t>LPDC-01 LIXIVIACIÓN/NF</t>
        </is>
      </c>
      <c r="BQ402" s="106">
        <f>VLOOKUP(BP402,[1]AGUA!$1:$1048576,2,FALSE)</f>
        <v/>
      </c>
      <c r="BR402" s="106">
        <f>VLOOKUP(BP402,[1]AGUA!$1:$1048576,6,FALSE)</f>
        <v/>
      </c>
      <c r="BS402" s="106">
        <f>VLOOKUP(BP402,[1]AGUA!$1:$1048576,7,FALSE)</f>
        <v/>
      </c>
      <c r="BT402" s="106" t="n"/>
      <c r="BU402" s="267"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4" t="n"/>
      <c r="DB402" s="254" t="n"/>
      <c r="DC402" s="254" t="n"/>
      <c r="DD402" s="254" t="n"/>
      <c r="DE402" s="254" t="n"/>
      <c r="DF402" s="254" t="n"/>
      <c r="DG402" s="254" t="n"/>
      <c r="DH402" s="254" t="n"/>
      <c r="DI402" s="254" t="n"/>
      <c r="DJ402" s="254" t="inlineStr">
        <is>
          <t>M</t>
        </is>
      </c>
      <c r="DK402" s="254" t="n">
        <v>1</v>
      </c>
      <c r="DL402" s="95" t="n">
        <v>7</v>
      </c>
      <c r="DM402" s="254" t="n"/>
      <c r="DN402" s="95" t="n"/>
      <c r="DO402" s="95" t="n"/>
    </row>
    <row r="403" ht="13" customHeight="1">
      <c r="A403" s="218" t="inlineStr">
        <is>
          <t>LPDC-01B</t>
        </is>
      </c>
      <c r="B403" s="255" t="n"/>
      <c r="C403" s="255"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255" t="n"/>
      <c r="BL403" s="7" t="inlineStr">
        <is>
          <t>LIXIVIACIÓN</t>
        </is>
      </c>
      <c r="BM403" s="254" t="inlineStr">
        <is>
          <t>ASUB</t>
        </is>
      </c>
      <c r="BN403" s="266" t="inlineStr">
        <is>
          <t>Lixiviación</t>
        </is>
      </c>
      <c r="BO403" s="254" t="inlineStr">
        <is>
          <t>SI</t>
        </is>
      </c>
      <c r="BP403" s="106" t="inlineStr">
        <is>
          <t>LPDC-01 LIXIVIACIÓN/ASUB</t>
        </is>
      </c>
      <c r="BQ403" s="106">
        <f>VLOOKUP(BP403,[1]AGUA!$1:$1048576,2,FALSE)</f>
        <v/>
      </c>
      <c r="BR403" s="106">
        <f>VLOOKUP(BP403,[1]AGUA!$1:$1048576,6,FALSE)</f>
        <v/>
      </c>
      <c r="BS403" s="106">
        <f>VLOOKUP(BP403,[1]AGUA!$1:$1048576,7,FALSE)</f>
        <v/>
      </c>
      <c r="BT403" s="106" t="n"/>
      <c r="BU403" s="252"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4" t="n"/>
      <c r="DB403" s="254" t="n"/>
      <c r="DC403" s="254" t="n"/>
      <c r="DD403" s="254" t="n"/>
      <c r="DE403" s="254" t="n"/>
      <c r="DF403" s="254" t="n"/>
      <c r="DG403" s="254" t="n"/>
      <c r="DH403" s="254" t="n"/>
      <c r="DI403" s="254" t="n"/>
      <c r="DJ403" s="254" t="n"/>
      <c r="DK403" s="254" t="n"/>
      <c r="DL403" s="95" t="n"/>
      <c r="DM403" s="254" t="inlineStr">
        <is>
          <t>M</t>
        </is>
      </c>
      <c r="DN403" s="95" t="n">
        <v>1</v>
      </c>
      <c r="DO403" s="95" t="n">
        <v>7</v>
      </c>
    </row>
    <row r="404" ht="13" customHeight="1">
      <c r="A404" s="203" t="inlineStr">
        <is>
          <t>LPDC-02</t>
        </is>
      </c>
      <c r="B404" s="260" t="inlineStr">
        <is>
          <t>LPDC-02 LIXIVIACIÓN</t>
        </is>
      </c>
      <c r="C404" s="254"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61" t="inlineStr">
        <is>
          <t>430LPDC-02</t>
        </is>
      </c>
      <c r="BL404" s="7" t="inlineStr">
        <is>
          <t>LIXIVIACIÓN</t>
        </is>
      </c>
      <c r="BM404" s="254" t="inlineStr">
        <is>
          <t>NF</t>
        </is>
      </c>
      <c r="BN404" s="266" t="inlineStr">
        <is>
          <t>Lixiviación</t>
        </is>
      </c>
      <c r="BO404" s="254" t="inlineStr">
        <is>
          <t>SI</t>
        </is>
      </c>
      <c r="BP404" s="106" t="inlineStr">
        <is>
          <t>LPDC-02 LIXIVIACIÓN/NF</t>
        </is>
      </c>
      <c r="BQ404" s="106">
        <f>VLOOKUP(BP404,[1]AGUA!$1:$1048576,2,FALSE)</f>
        <v/>
      </c>
      <c r="BR404" s="106">
        <f>VLOOKUP(BP404,[1]AGUA!$1:$1048576,6,FALSE)</f>
        <v/>
      </c>
      <c r="BS404" s="106">
        <f>VLOOKUP(BP404,[1]AGUA!$1:$1048576,7,FALSE)</f>
        <v/>
      </c>
      <c r="BT404" s="106" t="n"/>
      <c r="BU404" s="251"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4" t="n"/>
      <c r="DB404" s="254" t="n"/>
      <c r="DC404" s="254" t="n"/>
      <c r="DD404" s="254" t="n"/>
      <c r="DE404" s="254" t="n"/>
      <c r="DF404" s="254" t="n"/>
      <c r="DG404" s="254" t="n"/>
      <c r="DH404" s="254" t="n"/>
      <c r="DI404" s="254" t="n"/>
      <c r="DJ404" s="254" t="inlineStr">
        <is>
          <t>M</t>
        </is>
      </c>
      <c r="DK404" s="254" t="n">
        <v>1</v>
      </c>
      <c r="DL404" s="95" t="n">
        <v>7</v>
      </c>
      <c r="DM404" s="254" t="n"/>
      <c r="DN404" s="95" t="n"/>
      <c r="DO404" s="95" t="n"/>
    </row>
    <row r="405" ht="13" customHeight="1">
      <c r="A405" s="218" t="inlineStr">
        <is>
          <t>LPDC-02</t>
        </is>
      </c>
      <c r="B405" s="255" t="n"/>
      <c r="C405" s="255"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255" t="n"/>
      <c r="BL405" s="7" t="inlineStr">
        <is>
          <t>LIXIVIACIÓN</t>
        </is>
      </c>
      <c r="BM405" s="254" t="inlineStr">
        <is>
          <t>ASUB</t>
        </is>
      </c>
      <c r="BN405" s="266" t="inlineStr">
        <is>
          <t>Lixiviación</t>
        </is>
      </c>
      <c r="BO405" s="254" t="inlineStr">
        <is>
          <t>SI</t>
        </is>
      </c>
      <c r="BP405" s="106" t="inlineStr">
        <is>
          <t>LPDC-02 LIXIVIACIÓN/ASUB</t>
        </is>
      </c>
      <c r="BQ405" s="106">
        <f>VLOOKUP(BP405,[1]AGUA!$1:$1048576,2,FALSE)</f>
        <v/>
      </c>
      <c r="BR405" s="106">
        <f>VLOOKUP(BP405,[1]AGUA!$1:$1048576,6,FALSE)</f>
        <v/>
      </c>
      <c r="BS405" s="106">
        <f>VLOOKUP(BP405,[1]AGUA!$1:$1048576,7,FALSE)</f>
        <v/>
      </c>
      <c r="BT405" s="106" t="n"/>
      <c r="BU405" s="252"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4" t="n"/>
      <c r="DB405" s="254" t="n"/>
      <c r="DC405" s="254" t="n"/>
      <c r="DD405" s="254" t="n"/>
      <c r="DE405" s="254" t="n"/>
      <c r="DF405" s="254" t="n"/>
      <c r="DG405" s="254" t="n"/>
      <c r="DH405" s="254" t="n"/>
      <c r="DI405" s="254" t="n"/>
      <c r="DJ405" s="254" t="n"/>
      <c r="DK405" s="254" t="n"/>
      <c r="DL405" s="95" t="n"/>
      <c r="DM405" s="254" t="inlineStr">
        <is>
          <t>M</t>
        </is>
      </c>
      <c r="DN405" s="95" t="n">
        <v>1</v>
      </c>
      <c r="DO405" s="95" t="n">
        <v>7</v>
      </c>
    </row>
    <row r="406" ht="13" customHeight="1">
      <c r="A406" s="218" t="inlineStr">
        <is>
          <t>LPDC-03</t>
        </is>
      </c>
      <c r="B406" s="260" t="inlineStr">
        <is>
          <t>LPDC-03 LIXIVIACIÓN</t>
        </is>
      </c>
      <c r="C406" s="254"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61" t="inlineStr">
        <is>
          <t>430LPDC-03</t>
        </is>
      </c>
      <c r="BL406" s="7" t="inlineStr">
        <is>
          <t>LIXIVIACIÓN</t>
        </is>
      </c>
      <c r="BM406" s="254" t="inlineStr">
        <is>
          <t>NF</t>
        </is>
      </c>
      <c r="BN406" s="266" t="inlineStr">
        <is>
          <t>Lixiviación</t>
        </is>
      </c>
      <c r="BO406" s="254" t="inlineStr">
        <is>
          <t>SI</t>
        </is>
      </c>
      <c r="BP406" s="106" t="inlineStr">
        <is>
          <t>LPDC-03 LIXIVIACIÓN/NF</t>
        </is>
      </c>
      <c r="BQ406" s="106">
        <f>VLOOKUP(BP406,[1]AGUA!$1:$1048576,2,FALSE)</f>
        <v/>
      </c>
      <c r="BR406" s="106">
        <f>VLOOKUP(BP406,[1]AGUA!$1:$1048576,6,FALSE)</f>
        <v/>
      </c>
      <c r="BS406" s="106">
        <f>VLOOKUP(BP406,[1]AGUA!$1:$1048576,7,FALSE)</f>
        <v/>
      </c>
      <c r="BT406" s="106" t="n"/>
      <c r="BU406" s="251"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4" t="n"/>
      <c r="DB406" s="254" t="n"/>
      <c r="DC406" s="254" t="n"/>
      <c r="DD406" s="254" t="n"/>
      <c r="DE406" s="254" t="n"/>
      <c r="DF406" s="254" t="n"/>
      <c r="DG406" s="254" t="n"/>
      <c r="DH406" s="254" t="n"/>
      <c r="DI406" s="254" t="n"/>
      <c r="DJ406" s="254" t="inlineStr">
        <is>
          <t>M</t>
        </is>
      </c>
      <c r="DK406" s="254" t="n">
        <v>1</v>
      </c>
      <c r="DL406" s="95" t="n">
        <v>7</v>
      </c>
      <c r="DM406" s="254" t="n"/>
      <c r="DN406" s="95" t="n"/>
      <c r="DO406" s="95" t="n"/>
    </row>
    <row r="407" ht="13" customHeight="1">
      <c r="A407" s="218" t="inlineStr">
        <is>
          <t>LPDC-03</t>
        </is>
      </c>
      <c r="B407" s="255" t="n"/>
      <c r="C407" s="255"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255" t="n"/>
      <c r="BL407" s="7" t="inlineStr">
        <is>
          <t>LIXIVIACIÓN</t>
        </is>
      </c>
      <c r="BM407" s="254" t="inlineStr">
        <is>
          <t>ASUB</t>
        </is>
      </c>
      <c r="BN407" s="266" t="inlineStr">
        <is>
          <t>Lixiviación</t>
        </is>
      </c>
      <c r="BO407" s="254" t="inlineStr">
        <is>
          <t>SI</t>
        </is>
      </c>
      <c r="BP407" s="106" t="inlineStr">
        <is>
          <t>LPDC-03 LIXIVIACIÓN/ASUB</t>
        </is>
      </c>
      <c r="BQ407" s="106">
        <f>VLOOKUP(BP407,[1]AGUA!$1:$1048576,2,FALSE)</f>
        <v/>
      </c>
      <c r="BR407" s="106">
        <f>VLOOKUP(BP407,[1]AGUA!$1:$1048576,6,FALSE)</f>
        <v/>
      </c>
      <c r="BS407" s="106">
        <f>VLOOKUP(BP407,[1]AGUA!$1:$1048576,7,FALSE)</f>
        <v/>
      </c>
      <c r="BT407" s="106" t="n"/>
      <c r="BU407" s="252"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4" t="n"/>
      <c r="DB407" s="254" t="n"/>
      <c r="DC407" s="254" t="n"/>
      <c r="DD407" s="254" t="n"/>
      <c r="DE407" s="254" t="n"/>
      <c r="DF407" s="254" t="n"/>
      <c r="DG407" s="254" t="n"/>
      <c r="DH407" s="254" t="n"/>
      <c r="DI407" s="254" t="n"/>
      <c r="DJ407" s="254" t="n"/>
      <c r="DK407" s="254" t="n"/>
      <c r="DL407" s="95" t="n"/>
      <c r="DM407" s="254" t="inlineStr">
        <is>
          <t>M</t>
        </is>
      </c>
      <c r="DN407" s="95" t="n">
        <v>1</v>
      </c>
      <c r="DO407" s="95" t="n">
        <v>7</v>
      </c>
    </row>
    <row r="408" ht="13" customHeight="1">
      <c r="A408" s="203" t="inlineStr">
        <is>
          <t>LPDC-04</t>
        </is>
      </c>
      <c r="B408" s="260" t="inlineStr">
        <is>
          <t>LPDC-04 LIXIVIACIÓN</t>
        </is>
      </c>
      <c r="C408" s="254"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61" t="inlineStr">
        <is>
          <t>430LPDC-04</t>
        </is>
      </c>
      <c r="BL408" s="7" t="inlineStr">
        <is>
          <t>LIXIVIACIÓN</t>
        </is>
      </c>
      <c r="BM408" s="254" t="inlineStr">
        <is>
          <t>NF</t>
        </is>
      </c>
      <c r="BN408" s="266" t="inlineStr">
        <is>
          <t>Lixiviación</t>
        </is>
      </c>
      <c r="BO408" s="254" t="inlineStr">
        <is>
          <t>SI</t>
        </is>
      </c>
      <c r="BP408" s="106" t="inlineStr">
        <is>
          <t>LPDC-04 LIXIVIACIÓN/NF</t>
        </is>
      </c>
      <c r="BQ408" s="106">
        <f>VLOOKUP(BP408,[1]AGUA!$1:$1048576,2,FALSE)</f>
        <v/>
      </c>
      <c r="BR408" s="106">
        <f>VLOOKUP(BP408,[1]AGUA!$1:$1048576,6,FALSE)</f>
        <v/>
      </c>
      <c r="BS408" s="106">
        <f>VLOOKUP(BP408,[1]AGUA!$1:$1048576,7,FALSE)</f>
        <v/>
      </c>
      <c r="BT408" s="106" t="n"/>
      <c r="BU408" s="251"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4" t="n"/>
      <c r="DB408" s="254" t="n"/>
      <c r="DC408" s="254" t="n"/>
      <c r="DD408" s="254" t="n"/>
      <c r="DE408" s="254" t="n"/>
      <c r="DF408" s="254" t="n"/>
      <c r="DG408" s="254" t="n"/>
      <c r="DH408" s="254" t="n"/>
      <c r="DI408" s="254" t="n"/>
      <c r="DJ408" s="254" t="inlineStr">
        <is>
          <t>M</t>
        </is>
      </c>
      <c r="DK408" s="254" t="n">
        <v>1</v>
      </c>
      <c r="DL408" s="95" t="n">
        <v>7</v>
      </c>
      <c r="DM408" s="254" t="n"/>
      <c r="DN408" s="95" t="n"/>
      <c r="DO408" s="95" t="n"/>
    </row>
    <row r="409" ht="13" customHeight="1">
      <c r="A409" s="218" t="inlineStr">
        <is>
          <t>LPDC-04</t>
        </is>
      </c>
      <c r="B409" s="255" t="n"/>
      <c r="C409" s="255"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255" t="n"/>
      <c r="BL409" s="7" t="inlineStr">
        <is>
          <t>LIXIVIACIÓN</t>
        </is>
      </c>
      <c r="BM409" s="254" t="inlineStr">
        <is>
          <t>ASUB</t>
        </is>
      </c>
      <c r="BN409" s="266" t="inlineStr">
        <is>
          <t>Lixiviación</t>
        </is>
      </c>
      <c r="BO409" s="254" t="inlineStr">
        <is>
          <t>SI</t>
        </is>
      </c>
      <c r="BP409" s="106" t="inlineStr">
        <is>
          <t>LPDC-04 LIXIVIACIÓN/ASUB</t>
        </is>
      </c>
      <c r="BQ409" s="106">
        <f>VLOOKUP(BP409,[1]AGUA!$1:$1048576,2,FALSE)</f>
        <v/>
      </c>
      <c r="BR409" s="106">
        <f>VLOOKUP(BP409,[1]AGUA!$1:$1048576,6,FALSE)</f>
        <v/>
      </c>
      <c r="BS409" s="106">
        <f>VLOOKUP(BP409,[1]AGUA!$1:$1048576,7,FALSE)</f>
        <v/>
      </c>
      <c r="BT409" s="106" t="n"/>
      <c r="BU409" s="252"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4" t="n"/>
      <c r="DB409" s="254" t="n"/>
      <c r="DC409" s="254" t="n"/>
      <c r="DD409" s="254" t="n"/>
      <c r="DE409" s="254" t="n"/>
      <c r="DF409" s="254" t="n"/>
      <c r="DG409" s="254" t="n"/>
      <c r="DH409" s="254" t="n"/>
      <c r="DI409" s="254" t="n"/>
      <c r="DJ409" s="254" t="n"/>
      <c r="DK409" s="254" t="n"/>
      <c r="DL409" s="95" t="n"/>
      <c r="DM409" s="254" t="inlineStr">
        <is>
          <t>M</t>
        </is>
      </c>
      <c r="DN409" s="95" t="n">
        <v>1</v>
      </c>
      <c r="DO409" s="95" t="n">
        <v>7</v>
      </c>
    </row>
    <row r="410" ht="13" customHeight="1">
      <c r="A410" s="218" t="inlineStr">
        <is>
          <t>LPDC-05</t>
        </is>
      </c>
      <c r="B410" s="260" t="inlineStr">
        <is>
          <t>LPDC-05 LIXIVIACIÓN</t>
        </is>
      </c>
      <c r="C410" s="254"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61" t="inlineStr">
        <is>
          <t>430LPDC-05</t>
        </is>
      </c>
      <c r="BL410" s="7" t="inlineStr">
        <is>
          <t>LIXIVIACIÓN</t>
        </is>
      </c>
      <c r="BM410" s="254" t="inlineStr">
        <is>
          <t>NF</t>
        </is>
      </c>
      <c r="BN410" s="266" t="inlineStr">
        <is>
          <t>Lixiviación</t>
        </is>
      </c>
      <c r="BO410" s="254" t="inlineStr">
        <is>
          <t>SI</t>
        </is>
      </c>
      <c r="BP410" s="106" t="inlineStr">
        <is>
          <t>LPDC-05 LIXIVIACIÓN/NF</t>
        </is>
      </c>
      <c r="BQ410" s="106">
        <f>VLOOKUP(BP410,[1]AGUA!$1:$1048576,2,FALSE)</f>
        <v/>
      </c>
      <c r="BR410" s="106">
        <f>VLOOKUP(BP410,[1]AGUA!$1:$1048576,6,FALSE)</f>
        <v/>
      </c>
      <c r="BS410" s="106">
        <f>VLOOKUP(BP410,[1]AGUA!$1:$1048576,7,FALSE)</f>
        <v/>
      </c>
      <c r="BT410" s="106" t="n"/>
      <c r="BU410" s="251"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4" t="n"/>
      <c r="DB410" s="254" t="n"/>
      <c r="DC410" s="254" t="n"/>
      <c r="DD410" s="254" t="n"/>
      <c r="DE410" s="254" t="n"/>
      <c r="DF410" s="254" t="n"/>
      <c r="DG410" s="254" t="n"/>
      <c r="DH410" s="254" t="n"/>
      <c r="DI410" s="254" t="n"/>
      <c r="DJ410" s="254" t="inlineStr">
        <is>
          <t>M</t>
        </is>
      </c>
      <c r="DK410" s="254" t="n">
        <v>1</v>
      </c>
      <c r="DL410" s="95" t="n">
        <v>7</v>
      </c>
      <c r="DM410" s="254" t="n"/>
      <c r="DN410" s="95" t="n"/>
      <c r="DO410" s="95" t="n"/>
    </row>
    <row r="411" ht="13" customHeight="1">
      <c r="A411" s="218" t="inlineStr">
        <is>
          <t>LPDC-05</t>
        </is>
      </c>
      <c r="B411" s="255" t="n"/>
      <c r="C411" s="255"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255" t="n"/>
      <c r="BL411" s="7" t="inlineStr">
        <is>
          <t>LIXIVIACIÓN</t>
        </is>
      </c>
      <c r="BM411" s="254" t="inlineStr">
        <is>
          <t>ASUB</t>
        </is>
      </c>
      <c r="BN411" s="266" t="inlineStr">
        <is>
          <t>Lixiviación</t>
        </is>
      </c>
      <c r="BO411" s="254" t="inlineStr">
        <is>
          <t>SI</t>
        </is>
      </c>
      <c r="BP411" s="106" t="inlineStr">
        <is>
          <t>LPDC-05 LIXIVIACIÓN/ASUB</t>
        </is>
      </c>
      <c r="BQ411" s="106">
        <f>VLOOKUP(BP411,[1]AGUA!$1:$1048576,2,FALSE)</f>
        <v/>
      </c>
      <c r="BR411" s="106">
        <f>VLOOKUP(BP411,[1]AGUA!$1:$1048576,6,FALSE)</f>
        <v/>
      </c>
      <c r="BS411" s="106">
        <f>VLOOKUP(BP411,[1]AGUA!$1:$1048576,7,FALSE)</f>
        <v/>
      </c>
      <c r="BT411" s="106" t="n"/>
      <c r="BU411" s="252"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4" t="n"/>
      <c r="DB411" s="254" t="n"/>
      <c r="DC411" s="254" t="n"/>
      <c r="DD411" s="254" t="n"/>
      <c r="DE411" s="254" t="n"/>
      <c r="DF411" s="254" t="n"/>
      <c r="DG411" s="254" t="n"/>
      <c r="DH411" s="254" t="n"/>
      <c r="DI411" s="254" t="n"/>
      <c r="DJ411" s="254" t="n"/>
      <c r="DK411" s="254" t="n"/>
      <c r="DL411" s="95" t="n"/>
      <c r="DM411" s="254" t="inlineStr">
        <is>
          <t>M</t>
        </is>
      </c>
      <c r="DN411" s="95" t="n">
        <v>1</v>
      </c>
      <c r="DO411" s="95" t="n">
        <v>7</v>
      </c>
    </row>
    <row r="412" ht="13" customHeight="1">
      <c r="A412" s="218" t="inlineStr">
        <is>
          <t>LPDC-06</t>
        </is>
      </c>
      <c r="B412" s="260" t="inlineStr">
        <is>
          <t>LPDC-06 LIXIVIACIÓN</t>
        </is>
      </c>
      <c r="C412" s="254"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61" t="inlineStr">
        <is>
          <t>430LPDC-06</t>
        </is>
      </c>
      <c r="BL412" s="7" t="inlineStr">
        <is>
          <t>LIXIVIACIÓN</t>
        </is>
      </c>
      <c r="BM412" s="254" t="inlineStr">
        <is>
          <t>NF</t>
        </is>
      </c>
      <c r="BN412" s="266" t="inlineStr">
        <is>
          <t>Lixiviación</t>
        </is>
      </c>
      <c r="BO412" s="254" t="inlineStr">
        <is>
          <t>SI</t>
        </is>
      </c>
      <c r="BP412" s="106" t="inlineStr">
        <is>
          <t>LPDC-06 LIXIVIACIÓN/NF</t>
        </is>
      </c>
      <c r="BQ412" s="106">
        <f>VLOOKUP(BP412,[1]AGUA!$1:$1048576,2,FALSE)</f>
        <v/>
      </c>
      <c r="BR412" s="106">
        <f>VLOOKUP(BP412,[1]AGUA!$1:$1048576,6,FALSE)</f>
        <v/>
      </c>
      <c r="BS412" s="106">
        <f>VLOOKUP(BP412,[1]AGUA!$1:$1048576,7,FALSE)</f>
        <v/>
      </c>
      <c r="BT412" s="106" t="n"/>
      <c r="BU412" s="251"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4" t="n"/>
      <c r="DB412" s="254" t="n"/>
      <c r="DC412" s="254" t="n"/>
      <c r="DD412" s="254" t="n"/>
      <c r="DE412" s="254" t="n"/>
      <c r="DF412" s="254" t="n"/>
      <c r="DG412" s="254" t="n"/>
      <c r="DH412" s="254" t="n"/>
      <c r="DI412" s="254" t="n"/>
      <c r="DJ412" s="254" t="inlineStr">
        <is>
          <t>M</t>
        </is>
      </c>
      <c r="DK412" s="254" t="n">
        <v>1</v>
      </c>
      <c r="DL412" s="95" t="n">
        <v>7</v>
      </c>
      <c r="DM412" s="254" t="n"/>
      <c r="DN412" s="95" t="n"/>
      <c r="DO412" s="95" t="n"/>
    </row>
    <row r="413" ht="13" customHeight="1">
      <c r="A413" s="218" t="inlineStr">
        <is>
          <t>LPDC-06</t>
        </is>
      </c>
      <c r="B413" s="255" t="n"/>
      <c r="C413" s="255"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255" t="n"/>
      <c r="BL413" s="7" t="inlineStr">
        <is>
          <t>LIXIVIACIÓN</t>
        </is>
      </c>
      <c r="BM413" s="254" t="inlineStr">
        <is>
          <t>ASUB</t>
        </is>
      </c>
      <c r="BN413" s="266" t="inlineStr">
        <is>
          <t>Lixiviación</t>
        </is>
      </c>
      <c r="BO413" s="254" t="inlineStr">
        <is>
          <t>SI</t>
        </is>
      </c>
      <c r="BP413" s="106" t="inlineStr">
        <is>
          <t>LPDC-06 LIXIVIACIÓN/ASUB</t>
        </is>
      </c>
      <c r="BQ413" s="106">
        <f>VLOOKUP(BP413,[1]AGUA!$1:$1048576,2,FALSE)</f>
        <v/>
      </c>
      <c r="BR413" s="106">
        <f>VLOOKUP(BP413,[1]AGUA!$1:$1048576,6,FALSE)</f>
        <v/>
      </c>
      <c r="BS413" s="106">
        <f>VLOOKUP(BP413,[1]AGUA!$1:$1048576,7,FALSE)</f>
        <v/>
      </c>
      <c r="BT413" s="106" t="n"/>
      <c r="BU413" s="252"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4" t="n"/>
      <c r="DB413" s="254" t="n"/>
      <c r="DC413" s="254" t="n"/>
      <c r="DD413" s="254" t="n"/>
      <c r="DE413" s="254" t="n"/>
      <c r="DF413" s="254" t="n"/>
      <c r="DG413" s="254" t="n"/>
      <c r="DH413" s="254" t="n"/>
      <c r="DI413" s="254" t="n"/>
      <c r="DJ413" s="254" t="n"/>
      <c r="DK413" s="254" t="n"/>
      <c r="DL413" s="95" t="n"/>
      <c r="DM413" s="254" t="inlineStr">
        <is>
          <t>M</t>
        </is>
      </c>
      <c r="DN413" s="95" t="n">
        <v>1</v>
      </c>
      <c r="DO413" s="95" t="n">
        <v>7</v>
      </c>
    </row>
    <row r="414" ht="13" customHeight="1">
      <c r="A414" s="203" t="inlineStr">
        <is>
          <t>LPDC-07</t>
        </is>
      </c>
      <c r="B414" s="260" t="inlineStr">
        <is>
          <t>LPDC-07 LIXIVIACIÓN</t>
        </is>
      </c>
      <c r="C414" s="254"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61" t="inlineStr">
        <is>
          <t>430LPDC-07</t>
        </is>
      </c>
      <c r="BL414" s="7" t="inlineStr">
        <is>
          <t>LIXIVIACIÓN</t>
        </is>
      </c>
      <c r="BM414" s="254" t="inlineStr">
        <is>
          <t>NF</t>
        </is>
      </c>
      <c r="BN414" s="266" t="inlineStr">
        <is>
          <t>Lixiviación</t>
        </is>
      </c>
      <c r="BO414" s="254" t="inlineStr">
        <is>
          <t>SI</t>
        </is>
      </c>
      <c r="BP414" s="106" t="inlineStr">
        <is>
          <t>LPDC-07 LIXIVIACIÓN/NF</t>
        </is>
      </c>
      <c r="BQ414" s="106">
        <f>VLOOKUP(BP414,[1]AGUA!$1:$1048576,2,FALSE)</f>
        <v/>
      </c>
      <c r="BR414" s="106">
        <f>VLOOKUP(BP414,[1]AGUA!$1:$1048576,6,FALSE)</f>
        <v/>
      </c>
      <c r="BS414" s="106">
        <f>VLOOKUP(BP414,[1]AGUA!$1:$1048576,7,FALSE)</f>
        <v/>
      </c>
      <c r="BT414" s="106" t="n"/>
      <c r="BU414" s="267"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4" t="n"/>
      <c r="DB414" s="254" t="n"/>
      <c r="DC414" s="254" t="n"/>
      <c r="DD414" s="254" t="n"/>
      <c r="DE414" s="254" t="n"/>
      <c r="DF414" s="254" t="n"/>
      <c r="DG414" s="254" t="n"/>
      <c r="DH414" s="254" t="n"/>
      <c r="DI414" s="254" t="n"/>
      <c r="DJ414" s="254" t="inlineStr">
        <is>
          <t>M</t>
        </is>
      </c>
      <c r="DK414" s="254" t="n">
        <v>1</v>
      </c>
      <c r="DL414" s="95" t="n">
        <v>7</v>
      </c>
      <c r="DM414" s="254" t="n"/>
      <c r="DN414" s="95" t="n"/>
      <c r="DO414" s="95" t="n"/>
    </row>
    <row r="415" ht="13" customHeight="1">
      <c r="A415" s="203" t="inlineStr">
        <is>
          <t>LPDC-07</t>
        </is>
      </c>
      <c r="B415" s="255" t="n"/>
      <c r="C415" s="255"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255" t="n"/>
      <c r="BL415" s="7" t="inlineStr">
        <is>
          <t>LIXIVIACIÓN</t>
        </is>
      </c>
      <c r="BM415" s="254" t="inlineStr">
        <is>
          <t>ASUB</t>
        </is>
      </c>
      <c r="BN415" s="266" t="inlineStr">
        <is>
          <t>Lixiviación</t>
        </is>
      </c>
      <c r="BO415" s="254" t="inlineStr">
        <is>
          <t>SI</t>
        </is>
      </c>
      <c r="BP415" s="106" t="inlineStr">
        <is>
          <t>LPDC-07 LIXIVIACIÓN/ASUB</t>
        </is>
      </c>
      <c r="BQ415" s="106">
        <f>VLOOKUP(BP415,[1]AGUA!$1:$1048576,2,FALSE)</f>
        <v/>
      </c>
      <c r="BR415" s="106">
        <f>VLOOKUP(BP415,[1]AGUA!$1:$1048576,6,FALSE)</f>
        <v/>
      </c>
      <c r="BS415" s="106">
        <f>VLOOKUP(BP415,[1]AGUA!$1:$1048576,7,FALSE)</f>
        <v/>
      </c>
      <c r="BT415" s="106" t="n"/>
      <c r="BU415" s="252"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4" t="n"/>
      <c r="DB415" s="254" t="n"/>
      <c r="DC415" s="254" t="n"/>
      <c r="DD415" s="254" t="n"/>
      <c r="DE415" s="254" t="n"/>
      <c r="DF415" s="254" t="n"/>
      <c r="DG415" s="254" t="n"/>
      <c r="DH415" s="254" t="n"/>
      <c r="DI415" s="254" t="n"/>
      <c r="DJ415" s="254" t="n"/>
      <c r="DK415" s="254" t="n"/>
      <c r="DL415" s="95" t="n"/>
      <c r="DM415" s="254" t="inlineStr">
        <is>
          <t>M</t>
        </is>
      </c>
      <c r="DN415" s="95" t="n">
        <v>1</v>
      </c>
      <c r="DO415" s="95" t="n">
        <v>7</v>
      </c>
    </row>
    <row r="416" ht="13" customHeight="1">
      <c r="A416" s="203" t="inlineStr">
        <is>
          <t>LPDC-08</t>
        </is>
      </c>
      <c r="B416" s="260" t="inlineStr">
        <is>
          <t>LPDC-08 LIXIVIACIÓN</t>
        </is>
      </c>
      <c r="C416" s="254"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61" t="inlineStr">
        <is>
          <t>430LPDC-08</t>
        </is>
      </c>
      <c r="BL416" s="7" t="inlineStr">
        <is>
          <t>LIXIVIACIÓN</t>
        </is>
      </c>
      <c r="BM416" s="254" t="inlineStr">
        <is>
          <t>NF</t>
        </is>
      </c>
      <c r="BN416" s="266" t="inlineStr">
        <is>
          <t>Lixiviación</t>
        </is>
      </c>
      <c r="BO416" s="254" t="inlineStr">
        <is>
          <t>SI</t>
        </is>
      </c>
      <c r="BP416" s="106" t="inlineStr">
        <is>
          <t>LPDC-08 LIXIVIACIÓN/NF</t>
        </is>
      </c>
      <c r="BQ416" s="106">
        <f>VLOOKUP(BP416,[1]AGUA!$1:$1048576,2,FALSE)</f>
        <v/>
      </c>
      <c r="BR416" s="106">
        <f>VLOOKUP(BP416,[1]AGUA!$1:$1048576,6,FALSE)</f>
        <v/>
      </c>
      <c r="BS416" s="106">
        <f>VLOOKUP(BP416,[1]AGUA!$1:$1048576,7,FALSE)</f>
        <v/>
      </c>
      <c r="BT416" s="106" t="n"/>
      <c r="BU416" s="267"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4" t="n"/>
      <c r="DB416" s="254" t="n"/>
      <c r="DC416" s="254" t="n"/>
      <c r="DD416" s="254" t="n"/>
      <c r="DE416" s="254" t="n"/>
      <c r="DF416" s="254" t="n"/>
      <c r="DG416" s="254" t="n"/>
      <c r="DH416" s="254" t="n"/>
      <c r="DI416" s="254" t="n"/>
      <c r="DJ416" s="254" t="inlineStr">
        <is>
          <t>M</t>
        </is>
      </c>
      <c r="DK416" s="254" t="n">
        <v>1</v>
      </c>
      <c r="DL416" s="95" t="n">
        <v>7</v>
      </c>
      <c r="DM416" s="254" t="n"/>
      <c r="DN416" s="95" t="n"/>
      <c r="DO416" s="95" t="n"/>
    </row>
    <row r="417" ht="13" customHeight="1">
      <c r="A417" s="203" t="inlineStr">
        <is>
          <t>LPDC-08</t>
        </is>
      </c>
      <c r="B417" s="255" t="n"/>
      <c r="C417" s="255"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255" t="n"/>
      <c r="BL417" s="7" t="inlineStr">
        <is>
          <t>LIXIVIACIÓN</t>
        </is>
      </c>
      <c r="BM417" s="254" t="inlineStr">
        <is>
          <t>ASUB</t>
        </is>
      </c>
      <c r="BN417" s="266" t="inlineStr">
        <is>
          <t>Lixiviación</t>
        </is>
      </c>
      <c r="BO417" s="254" t="inlineStr">
        <is>
          <t>SI</t>
        </is>
      </c>
      <c r="BP417" s="106" t="inlineStr">
        <is>
          <t>LPDC-08 LIXIVIACIÓN/ASUB</t>
        </is>
      </c>
      <c r="BQ417" s="106">
        <f>VLOOKUP(BP417,[1]AGUA!$1:$1048576,2,FALSE)</f>
        <v/>
      </c>
      <c r="BR417" s="106">
        <f>VLOOKUP(BP417,[1]AGUA!$1:$1048576,6,FALSE)</f>
        <v/>
      </c>
      <c r="BS417" s="106">
        <f>VLOOKUP(BP417,[1]AGUA!$1:$1048576,7,FALSE)</f>
        <v/>
      </c>
      <c r="BT417" s="106" t="n"/>
      <c r="BU417" s="252"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4" t="n"/>
      <c r="DB417" s="254" t="n"/>
      <c r="DC417" s="254" t="n"/>
      <c r="DD417" s="254" t="n"/>
      <c r="DE417" s="254" t="n"/>
      <c r="DF417" s="254" t="n"/>
      <c r="DG417" s="254" t="n"/>
      <c r="DH417" s="254" t="n"/>
      <c r="DI417" s="254" t="n"/>
      <c r="DJ417" s="254" t="n"/>
      <c r="DK417" s="254" t="n"/>
      <c r="DL417" s="95" t="n"/>
      <c r="DM417" s="254" t="inlineStr">
        <is>
          <t>M</t>
        </is>
      </c>
      <c r="DN417" s="95" t="n">
        <v>1</v>
      </c>
      <c r="DO417" s="95" t="n">
        <v>7</v>
      </c>
    </row>
    <row r="418" ht="13" customHeight="1">
      <c r="A418" s="203" t="inlineStr">
        <is>
          <t>LPDC-09</t>
        </is>
      </c>
      <c r="B418" s="260" t="inlineStr">
        <is>
          <t>LPDC-09 LIXIVIACIÓN</t>
        </is>
      </c>
      <c r="C418" s="254"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61" t="inlineStr">
        <is>
          <t>LPDC-09</t>
        </is>
      </c>
      <c r="BL418" s="7" t="inlineStr">
        <is>
          <t>LIXIVIACIÓN</t>
        </is>
      </c>
      <c r="BM418" s="254" t="inlineStr">
        <is>
          <t>NF</t>
        </is>
      </c>
      <c r="BN418" s="266" t="inlineStr">
        <is>
          <t>Lixiviación</t>
        </is>
      </c>
      <c r="BO418" s="254" t="inlineStr">
        <is>
          <t>SI</t>
        </is>
      </c>
      <c r="BP418" s="106" t="inlineStr">
        <is>
          <t>LPDC-09 LIXIVIACIÓN/NF</t>
        </is>
      </c>
      <c r="BQ418" s="106">
        <f>VLOOKUP(BP418,[1]AGUA!$1:$1048576,2,FALSE)</f>
        <v/>
      </c>
      <c r="BR418" s="106">
        <f>VLOOKUP(BP418,[1]AGUA!$1:$1048576,6,FALSE)</f>
        <v/>
      </c>
      <c r="BS418" s="106">
        <f>VLOOKUP(BP418,[1]AGUA!$1:$1048576,7,FALSE)</f>
        <v/>
      </c>
      <c r="BT418" s="106" t="n"/>
      <c r="BU418" s="251"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4" t="n"/>
      <c r="DB418" s="254" t="n"/>
      <c r="DC418" s="254" t="n"/>
      <c r="DD418" s="254" t="n"/>
      <c r="DE418" s="254" t="n"/>
      <c r="DF418" s="254" t="n"/>
      <c r="DG418" s="254" t="n"/>
      <c r="DH418" s="254" t="n"/>
      <c r="DI418" s="254" t="n"/>
      <c r="DJ418" s="254" t="inlineStr">
        <is>
          <t>M</t>
        </is>
      </c>
      <c r="DK418" s="254" t="n">
        <v>1</v>
      </c>
      <c r="DL418" s="95" t="n">
        <v>7</v>
      </c>
      <c r="DM418" s="254" t="n"/>
      <c r="DN418" s="95" t="n"/>
      <c r="DO418" s="95" t="n"/>
    </row>
    <row r="419" ht="13" customHeight="1">
      <c r="A419" s="203" t="inlineStr">
        <is>
          <t>LPDC-09</t>
        </is>
      </c>
      <c r="B419" s="255" t="n"/>
      <c r="C419" s="255"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255" t="n"/>
      <c r="BL419" s="7" t="inlineStr">
        <is>
          <t>LIXIVIACIÓN</t>
        </is>
      </c>
      <c r="BM419" s="254" t="inlineStr">
        <is>
          <t>ASUB</t>
        </is>
      </c>
      <c r="BN419" s="266" t="inlineStr">
        <is>
          <t>Lixiviación</t>
        </is>
      </c>
      <c r="BO419" s="254" t="inlineStr">
        <is>
          <t>SI</t>
        </is>
      </c>
      <c r="BP419" s="106" t="inlineStr">
        <is>
          <t>LPDC-09 LIXIVIACIÓN/ASUB</t>
        </is>
      </c>
      <c r="BQ419" s="106">
        <f>VLOOKUP(BP419,[1]AGUA!$1:$1048576,2,FALSE)</f>
        <v/>
      </c>
      <c r="BR419" s="106">
        <f>VLOOKUP(BP419,[1]AGUA!$1:$1048576,6,FALSE)</f>
        <v/>
      </c>
      <c r="BS419" s="106">
        <f>VLOOKUP(BP419,[1]AGUA!$1:$1048576,7,FALSE)</f>
        <v/>
      </c>
      <c r="BT419" s="106" t="n"/>
      <c r="BU419" s="252"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4" t="n"/>
      <c r="DB419" s="254" t="n"/>
      <c r="DC419" s="254" t="n"/>
      <c r="DD419" s="254" t="n"/>
      <c r="DE419" s="254" t="n"/>
      <c r="DF419" s="254" t="n"/>
      <c r="DG419" s="254" t="n"/>
      <c r="DH419" s="254" t="n"/>
      <c r="DI419" s="254" t="n"/>
      <c r="DJ419" s="254" t="n"/>
      <c r="DK419" s="254" t="n"/>
      <c r="DL419" s="95" t="n"/>
      <c r="DM419" s="254" t="inlineStr">
        <is>
          <t>M</t>
        </is>
      </c>
      <c r="DN419" s="95" t="n">
        <v>1</v>
      </c>
      <c r="DO419" s="95" t="n">
        <v>7</v>
      </c>
    </row>
    <row r="420" ht="13" customHeight="1">
      <c r="A420" s="203" t="inlineStr">
        <is>
          <t>LPDC-10</t>
        </is>
      </c>
      <c r="B420" s="260" t="inlineStr">
        <is>
          <t>LPDC-10 LIXIVIACIÓN</t>
        </is>
      </c>
      <c r="C420" s="254"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61" t="inlineStr">
        <is>
          <t>LPDC-10</t>
        </is>
      </c>
      <c r="BL420" s="7" t="inlineStr">
        <is>
          <t>LIXIVIACIÓN</t>
        </is>
      </c>
      <c r="BM420" s="254" t="inlineStr">
        <is>
          <t>NF</t>
        </is>
      </c>
      <c r="BN420" s="266" t="inlineStr">
        <is>
          <t>Lixiviación</t>
        </is>
      </c>
      <c r="BO420" s="254" t="inlineStr">
        <is>
          <t>SI</t>
        </is>
      </c>
      <c r="BP420" s="106" t="inlineStr">
        <is>
          <t>LPDC-10 LIXIVIACIÓN/NF</t>
        </is>
      </c>
      <c r="BQ420" s="106">
        <f>VLOOKUP(BP420,[1]AGUA!$1:$1048576,2,FALSE)</f>
        <v/>
      </c>
      <c r="BR420" s="106">
        <f>VLOOKUP(BP420,[1]AGUA!$1:$1048576,6,FALSE)</f>
        <v/>
      </c>
      <c r="BS420" s="106">
        <f>VLOOKUP(BP420,[1]AGUA!$1:$1048576,7,FALSE)</f>
        <v/>
      </c>
      <c r="BT420" s="106" t="n"/>
      <c r="BU420" s="251"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4" t="n"/>
      <c r="DB420" s="254" t="n"/>
      <c r="DC420" s="254" t="n"/>
      <c r="DD420" s="254" t="n"/>
      <c r="DE420" s="254" t="n"/>
      <c r="DF420" s="254" t="n"/>
      <c r="DG420" s="254" t="n"/>
      <c r="DH420" s="254" t="n"/>
      <c r="DI420" s="254" t="n"/>
      <c r="DJ420" s="254" t="inlineStr">
        <is>
          <t>M</t>
        </is>
      </c>
      <c r="DK420" s="254" t="n">
        <v>1</v>
      </c>
      <c r="DL420" s="95" t="n">
        <v>7</v>
      </c>
      <c r="DM420" s="254" t="n"/>
      <c r="DN420" s="95" t="n"/>
      <c r="DO420" s="95" t="n"/>
    </row>
    <row r="421" ht="13" customHeight="1">
      <c r="A421" s="218" t="inlineStr">
        <is>
          <t>LPDC-10</t>
        </is>
      </c>
      <c r="B421" s="255" t="n"/>
      <c r="C421" s="255"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255" t="n"/>
      <c r="BL421" s="7" t="inlineStr">
        <is>
          <t>LIXIVIACIÓN</t>
        </is>
      </c>
      <c r="BM421" s="254" t="inlineStr">
        <is>
          <t>ASUB</t>
        </is>
      </c>
      <c r="BN421" s="266" t="inlineStr">
        <is>
          <t>Lixiviación</t>
        </is>
      </c>
      <c r="BO421" s="254" t="inlineStr">
        <is>
          <t>SI</t>
        </is>
      </c>
      <c r="BP421" s="106" t="inlineStr">
        <is>
          <t>LPDC-10 LIXIVIACIÓN/ASUB</t>
        </is>
      </c>
      <c r="BQ421" s="106">
        <f>VLOOKUP(BP421,[1]AGUA!$1:$1048576,2,FALSE)</f>
        <v/>
      </c>
      <c r="BR421" s="106">
        <f>VLOOKUP(BP421,[1]AGUA!$1:$1048576,6,FALSE)</f>
        <v/>
      </c>
      <c r="BS421" s="106">
        <f>VLOOKUP(BP421,[1]AGUA!$1:$1048576,7,FALSE)</f>
        <v/>
      </c>
      <c r="BT421" s="106" t="n"/>
      <c r="BU421" s="252"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4" t="n"/>
      <c r="DB421" s="254" t="n"/>
      <c r="DC421" s="254" t="n"/>
      <c r="DD421" s="254" t="n"/>
      <c r="DE421" s="254" t="n"/>
      <c r="DF421" s="254" t="n"/>
      <c r="DG421" s="254" t="n"/>
      <c r="DH421" s="254" t="n"/>
      <c r="DI421" s="254" t="n"/>
      <c r="DJ421" s="254" t="n"/>
      <c r="DK421" s="254" t="n"/>
      <c r="DL421" s="95" t="n"/>
      <c r="DM421" s="254" t="inlineStr">
        <is>
          <t>M</t>
        </is>
      </c>
      <c r="DN421" s="95" t="n">
        <v>1</v>
      </c>
      <c r="DO421" s="95" t="n">
        <v>7</v>
      </c>
    </row>
    <row r="422" ht="13" customHeight="1">
      <c r="A422" s="203" t="inlineStr">
        <is>
          <t>LPDC-11</t>
        </is>
      </c>
      <c r="B422" s="260" t="inlineStr">
        <is>
          <t>LPDC-11 LIXIVIACIÓN</t>
        </is>
      </c>
      <c r="C422" s="254"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61" t="inlineStr">
        <is>
          <t>LPDC-11</t>
        </is>
      </c>
      <c r="BL422" s="7" t="inlineStr">
        <is>
          <t>LIXIVIACIÓN</t>
        </is>
      </c>
      <c r="BM422" s="254" t="inlineStr">
        <is>
          <t>NF</t>
        </is>
      </c>
      <c r="BN422" s="266" t="inlineStr">
        <is>
          <t>Lixiviación</t>
        </is>
      </c>
      <c r="BO422" s="254" t="inlineStr">
        <is>
          <t>SI</t>
        </is>
      </c>
      <c r="BP422" s="106" t="inlineStr">
        <is>
          <t>LPDC-11 LIXIVIACIÓN/NF</t>
        </is>
      </c>
      <c r="BQ422" s="106">
        <f>VLOOKUP(BP422,[1]AGUA!$1:$1048576,2,FALSE)</f>
        <v/>
      </c>
      <c r="BR422" s="106">
        <f>VLOOKUP(BP422,[1]AGUA!$1:$1048576,6,FALSE)</f>
        <v/>
      </c>
      <c r="BS422" s="106">
        <f>VLOOKUP(BP422,[1]AGUA!$1:$1048576,7,FALSE)</f>
        <v/>
      </c>
      <c r="BT422" s="106" t="n"/>
      <c r="BU422" s="267"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4" t="n"/>
      <c r="DB422" s="254" t="n"/>
      <c r="DC422" s="254" t="n"/>
      <c r="DD422" s="254" t="n"/>
      <c r="DE422" s="254" t="n"/>
      <c r="DF422" s="254" t="n"/>
      <c r="DG422" s="254" t="n"/>
      <c r="DH422" s="254" t="n"/>
      <c r="DI422" s="254" t="n"/>
      <c r="DJ422" s="254" t="inlineStr">
        <is>
          <t>M</t>
        </is>
      </c>
      <c r="DK422" s="254" t="n">
        <v>1</v>
      </c>
      <c r="DL422" s="95" t="n">
        <v>7</v>
      </c>
      <c r="DM422" s="254" t="n"/>
      <c r="DN422" s="95" t="n"/>
      <c r="DO422" s="95" t="n"/>
    </row>
    <row r="423" ht="13" customHeight="1">
      <c r="A423" s="203" t="inlineStr">
        <is>
          <t>LPDC-11</t>
        </is>
      </c>
      <c r="B423" s="255" t="n"/>
      <c r="C423" s="255"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255" t="n"/>
      <c r="BL423" s="7" t="inlineStr">
        <is>
          <t>LIXIVIACIÓN</t>
        </is>
      </c>
      <c r="BM423" s="254" t="inlineStr">
        <is>
          <t>ASUB</t>
        </is>
      </c>
      <c r="BN423" s="266" t="inlineStr">
        <is>
          <t>Lixiviación</t>
        </is>
      </c>
      <c r="BO423" s="254" t="inlineStr">
        <is>
          <t>SI</t>
        </is>
      </c>
      <c r="BP423" s="106" t="inlineStr">
        <is>
          <t>LPDC-11 LIXIVIACIÓN/ASUB</t>
        </is>
      </c>
      <c r="BQ423" s="106">
        <f>VLOOKUP(BP423,[1]AGUA!$1:$1048576,2,FALSE)</f>
        <v/>
      </c>
      <c r="BR423" s="106">
        <f>VLOOKUP(BP423,[1]AGUA!$1:$1048576,6,FALSE)</f>
        <v/>
      </c>
      <c r="BS423" s="106">
        <f>VLOOKUP(BP423,[1]AGUA!$1:$1048576,7,FALSE)</f>
        <v/>
      </c>
      <c r="BT423" s="106" t="n"/>
      <c r="BU423" s="252"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4" t="n"/>
      <c r="DB423" s="254" t="n"/>
      <c r="DC423" s="254" t="n"/>
      <c r="DD423" s="254" t="n"/>
      <c r="DE423" s="254" t="n"/>
      <c r="DF423" s="254" t="n"/>
      <c r="DG423" s="254" t="n"/>
      <c r="DH423" s="254" t="n"/>
      <c r="DI423" s="254" t="n"/>
      <c r="DJ423" s="254" t="n"/>
      <c r="DK423" s="254" t="n"/>
      <c r="DL423" s="95" t="n"/>
      <c r="DM423" s="254" t="inlineStr">
        <is>
          <t>M</t>
        </is>
      </c>
      <c r="DN423" s="95" t="n">
        <v>1</v>
      </c>
      <c r="DO423" s="95" t="n">
        <v>7</v>
      </c>
    </row>
    <row r="424" ht="13" customHeight="1">
      <c r="A424" s="203" t="inlineStr">
        <is>
          <t>M-003</t>
        </is>
      </c>
      <c r="B424" s="260"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61" t="inlineStr">
        <is>
          <t>532MAM003</t>
        </is>
      </c>
      <c r="BL424" s="7" t="inlineStr">
        <is>
          <t>GMAP-SIGA</t>
        </is>
      </c>
      <c r="BM424" s="254" t="inlineStr">
        <is>
          <t>NF</t>
        </is>
      </c>
      <c r="BN424" s="266" t="inlineStr">
        <is>
          <t>Coposa Centro</t>
        </is>
      </c>
      <c r="BO424" s="254"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4" t="n"/>
      <c r="DB424" s="254" t="n"/>
      <c r="DC424" s="254" t="n"/>
      <c r="DD424" s="254" t="n"/>
      <c r="DE424" s="254" t="n"/>
      <c r="DF424" s="254" t="n"/>
      <c r="DG424" s="254" t="n"/>
      <c r="DH424" s="254" t="n"/>
      <c r="DI424" s="254" t="n"/>
      <c r="DJ424" s="254" t="inlineStr">
        <is>
          <t>M</t>
        </is>
      </c>
      <c r="DK424" s="254" t="n">
        <v>22</v>
      </c>
      <c r="DL424" s="95" t="n">
        <v>28</v>
      </c>
      <c r="DM424" s="254" t="n"/>
      <c r="DN424" s="95" t="n"/>
      <c r="DO424" s="95" t="n"/>
    </row>
    <row r="425" ht="13" customHeight="1">
      <c r="A425" s="203" t="inlineStr">
        <is>
          <t>M-04C</t>
        </is>
      </c>
      <c r="B425" s="260" t="inlineStr">
        <is>
          <t>M-04C LIXIVIACIÓN</t>
        </is>
      </c>
      <c r="C425" s="254"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259" t="inlineStr">
        <is>
          <t>532MAM04C</t>
        </is>
      </c>
      <c r="BL425" s="7" t="inlineStr">
        <is>
          <t>LIXIVIACIÓN</t>
        </is>
      </c>
      <c r="BM425" s="254" t="inlineStr">
        <is>
          <t>NF</t>
        </is>
      </c>
      <c r="BN425" s="266" t="inlineStr">
        <is>
          <t>Lixiviación</t>
        </is>
      </c>
      <c r="BO425" s="254" t="inlineStr">
        <is>
          <t>SI PAT TRANQUE</t>
        </is>
      </c>
      <c r="BP425" s="106" t="inlineStr">
        <is>
          <t>M-04C LIXIVIACIÓN/NF</t>
        </is>
      </c>
      <c r="BQ425" s="106">
        <f>VLOOKUP(BP425,[1]AGUA!$1:$1048576,2,FALSE)</f>
        <v/>
      </c>
      <c r="BR425" s="106">
        <f>VLOOKUP(BP425,[1]AGUA!$1:$1048576,6,FALSE)</f>
        <v/>
      </c>
      <c r="BS425" s="106">
        <f>VLOOKUP(BP425,[1]AGUA!$1:$1048576,7,FALSE)</f>
        <v/>
      </c>
      <c r="BT425" s="106" t="n"/>
      <c r="BU425" s="251"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4" t="n"/>
      <c r="DB425" s="254" t="n"/>
      <c r="DC425" s="254" t="n"/>
      <c r="DD425" s="254" t="n"/>
      <c r="DE425" s="254" t="n"/>
      <c r="DF425" s="254" t="n"/>
      <c r="DG425" s="254" t="n"/>
      <c r="DH425" s="254" t="n"/>
      <c r="DI425" s="254" t="n"/>
      <c r="DJ425" s="254" t="inlineStr">
        <is>
          <t>M</t>
        </is>
      </c>
      <c r="DK425" s="254" t="n">
        <v>8</v>
      </c>
      <c r="DL425" s="95" t="n">
        <v>14</v>
      </c>
      <c r="DM425" s="254" t="n"/>
      <c r="DN425" s="95" t="n"/>
      <c r="DO425" s="95" t="n"/>
    </row>
    <row r="426" ht="13" customHeight="1">
      <c r="A426" s="203" t="inlineStr">
        <is>
          <t>M-04C</t>
        </is>
      </c>
      <c r="B426" s="255" t="n"/>
      <c r="C426" s="255"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255" t="n"/>
      <c r="BL426" s="7" t="inlineStr">
        <is>
          <t>LIXIVIACIÓN</t>
        </is>
      </c>
      <c r="BM426" s="254" t="inlineStr">
        <is>
          <t>ASUB</t>
        </is>
      </c>
      <c r="BN426" s="266" t="inlineStr">
        <is>
          <t>Lixiviación</t>
        </is>
      </c>
      <c r="BO426" s="254" t="inlineStr">
        <is>
          <t>SI PAT TRANQUE</t>
        </is>
      </c>
      <c r="BP426" s="106" t="inlineStr">
        <is>
          <t>M-04C LIXIVIACIÓN/ASUB</t>
        </is>
      </c>
      <c r="BQ426" s="106">
        <f>VLOOKUP(BP426,[1]AGUA!$1:$1048576,2,FALSE)</f>
        <v/>
      </c>
      <c r="BR426" s="106">
        <f>VLOOKUP(BP426,[1]AGUA!$1:$1048576,6,FALSE)</f>
        <v/>
      </c>
      <c r="BS426" s="106">
        <f>VLOOKUP(BP426,[1]AGUA!$1:$1048576,7,FALSE)</f>
        <v/>
      </c>
      <c r="BT426" s="106" t="n"/>
      <c r="BU426" s="252"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4" t="n"/>
      <c r="DB426" s="254" t="n"/>
      <c r="DC426" s="254" t="n"/>
      <c r="DD426" s="254" t="n"/>
      <c r="DE426" s="254" t="n"/>
      <c r="DF426" s="254" t="n"/>
      <c r="DG426" s="254" t="n"/>
      <c r="DH426" s="254" t="n"/>
      <c r="DI426" s="254" t="n"/>
      <c r="DJ426" s="254" t="n"/>
      <c r="DK426" s="254" t="n"/>
      <c r="DL426" s="95" t="n"/>
      <c r="DM426" s="254" t="inlineStr">
        <is>
          <t>M</t>
        </is>
      </c>
      <c r="DN426" s="95" t="n">
        <v>8</v>
      </c>
      <c r="DO426" s="95" t="n">
        <v>14</v>
      </c>
    </row>
    <row r="427" ht="13" customHeight="1">
      <c r="A427" s="203" t="inlineStr">
        <is>
          <t>M-05</t>
        </is>
      </c>
      <c r="B427" s="260" t="inlineStr">
        <is>
          <t>M-05 LIXIVIACIÓN</t>
        </is>
      </c>
      <c r="C427" s="254"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259" t="inlineStr">
        <is>
          <t>532MAM05</t>
        </is>
      </c>
      <c r="BL427" s="7" t="inlineStr">
        <is>
          <t>LIXIVIACIÓN</t>
        </is>
      </c>
      <c r="BM427" s="254" t="inlineStr">
        <is>
          <t>NF</t>
        </is>
      </c>
      <c r="BN427" s="266" t="inlineStr">
        <is>
          <t>Lixiviación</t>
        </is>
      </c>
      <c r="BO427" s="254" t="inlineStr">
        <is>
          <t>SI</t>
        </is>
      </c>
      <c r="BP427" s="106" t="inlineStr">
        <is>
          <t>M-05 LIXIVIACIÓN/NF</t>
        </is>
      </c>
      <c r="BQ427" s="106">
        <f>VLOOKUP(BP427,[1]AGUA!$1:$1048576,2,FALSE)</f>
        <v/>
      </c>
      <c r="BR427" s="106">
        <f>VLOOKUP(BP427,[1]AGUA!$1:$1048576,6,FALSE)</f>
        <v/>
      </c>
      <c r="BS427" s="106">
        <f>VLOOKUP(BP427,[1]AGUA!$1:$1048576,7,FALSE)</f>
        <v/>
      </c>
      <c r="BT427" s="106" t="n"/>
      <c r="BU427" s="251"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4" t="n"/>
      <c r="DB427" s="254" t="n"/>
      <c r="DC427" s="254" t="n"/>
      <c r="DD427" s="254" t="n"/>
      <c r="DE427" s="254" t="n"/>
      <c r="DF427" s="254" t="n"/>
      <c r="DG427" s="254" t="n"/>
      <c r="DH427" s="254" t="n"/>
      <c r="DI427" s="254" t="n"/>
      <c r="DJ427" s="254" t="inlineStr">
        <is>
          <t>M</t>
        </is>
      </c>
      <c r="DK427" s="254" t="n">
        <v>1</v>
      </c>
      <c r="DL427" s="95" t="n">
        <v>14</v>
      </c>
      <c r="DM427" s="254" t="n"/>
      <c r="DN427" s="95" t="n"/>
      <c r="DO427" s="95" t="n"/>
    </row>
    <row r="428" ht="13" customHeight="1">
      <c r="A428" s="203" t="inlineStr">
        <is>
          <t>M-05</t>
        </is>
      </c>
      <c r="B428" s="255" t="n"/>
      <c r="C428" s="255"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255" t="n"/>
      <c r="BL428" s="7" t="inlineStr">
        <is>
          <t>LIXIVIACIÓN</t>
        </is>
      </c>
      <c r="BM428" s="254" t="inlineStr">
        <is>
          <t>ASUB</t>
        </is>
      </c>
      <c r="BN428" s="266" t="inlineStr">
        <is>
          <t>Lixiviación</t>
        </is>
      </c>
      <c r="BO428" s="254" t="inlineStr">
        <is>
          <t>SI</t>
        </is>
      </c>
      <c r="BP428" s="106" t="inlineStr">
        <is>
          <t>M-05 LIXIVIACIÓN/ASUB</t>
        </is>
      </c>
      <c r="BQ428" s="106">
        <f>VLOOKUP(BP428,[1]AGUA!$1:$1048576,2,FALSE)</f>
        <v/>
      </c>
      <c r="BR428" s="106">
        <f>VLOOKUP(BP428,[1]AGUA!$1:$1048576,6,FALSE)</f>
        <v/>
      </c>
      <c r="BS428" s="106">
        <f>VLOOKUP(BP428,[1]AGUA!$1:$1048576,7,FALSE)</f>
        <v/>
      </c>
      <c r="BT428" s="106" t="n"/>
      <c r="BU428" s="252"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4" t="n"/>
      <c r="DB428" s="254" t="n"/>
      <c r="DC428" s="254" t="n"/>
      <c r="DD428" s="254" t="n"/>
      <c r="DE428" s="254" t="n"/>
      <c r="DF428" s="254" t="n"/>
      <c r="DG428" s="254" t="n"/>
      <c r="DH428" s="254" t="n"/>
      <c r="DI428" s="254" t="n"/>
      <c r="DJ428" s="254" t="n"/>
      <c r="DK428" s="254" t="n"/>
      <c r="DL428" s="95" t="n"/>
      <c r="DM428" s="254" t="inlineStr">
        <is>
          <t>M</t>
        </is>
      </c>
      <c r="DN428" s="95" t="n">
        <v>1</v>
      </c>
      <c r="DO428" s="95" t="n">
        <v>14</v>
      </c>
    </row>
    <row r="429" ht="13" customHeight="1">
      <c r="A429" s="203" t="inlineStr">
        <is>
          <t>M-09</t>
        </is>
      </c>
      <c r="B429" s="260"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61" t="inlineStr">
        <is>
          <t>532MAM09</t>
        </is>
      </c>
      <c r="BL429" s="61" t="inlineStr">
        <is>
          <t>GMAP-SIGA</t>
        </is>
      </c>
      <c r="BM429" s="254" t="inlineStr">
        <is>
          <t>NF</t>
        </is>
      </c>
      <c r="BN429" s="266" t="inlineStr">
        <is>
          <t>Michincha</t>
        </is>
      </c>
      <c r="BO429" s="254"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4" t="n"/>
      <c r="DB429" s="254" t="n"/>
      <c r="DC429" s="254" t="n"/>
      <c r="DD429" s="254" t="n"/>
      <c r="DE429" s="254" t="n"/>
      <c r="DF429" s="254" t="n"/>
      <c r="DG429" s="254" t="n"/>
      <c r="DH429" s="254" t="n"/>
      <c r="DI429" s="254" t="n"/>
      <c r="DJ429" s="254" t="inlineStr">
        <is>
          <t>T</t>
        </is>
      </c>
      <c r="DK429" s="254" t="n">
        <v>1</v>
      </c>
      <c r="DL429" s="95" t="n">
        <v>7</v>
      </c>
      <c r="DM429" s="254" t="n"/>
      <c r="DN429" s="95" t="n"/>
      <c r="DO429" s="95" t="n"/>
    </row>
    <row r="430" ht="13" customHeight="1">
      <c r="A430" s="203" t="inlineStr">
        <is>
          <t>M-10</t>
        </is>
      </c>
      <c r="B430" s="260"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259" t="inlineStr">
        <is>
          <t>532MAM10</t>
        </is>
      </c>
      <c r="BL430" s="61" t="inlineStr">
        <is>
          <t>GMAP-SIGA</t>
        </is>
      </c>
      <c r="BM430" s="254" t="inlineStr">
        <is>
          <t>NF</t>
        </is>
      </c>
      <c r="BN430" s="266" t="inlineStr">
        <is>
          <t>Michincha</t>
        </is>
      </c>
      <c r="BO430" s="254"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4" t="n"/>
      <c r="DB430" s="254" t="n"/>
      <c r="DC430" s="254" t="n"/>
      <c r="DD430" s="254" t="n"/>
      <c r="DE430" s="254" t="n"/>
      <c r="DF430" s="254" t="n"/>
      <c r="DG430" s="254" t="n"/>
      <c r="DH430" s="254" t="n"/>
      <c r="DI430" s="254" t="n"/>
      <c r="DJ430" s="254" t="inlineStr">
        <is>
          <t>M</t>
        </is>
      </c>
      <c r="DK430" s="254" t="n">
        <v>22</v>
      </c>
      <c r="DL430" s="95" t="n">
        <v>28</v>
      </c>
      <c r="DM430" s="254" t="n"/>
      <c r="DN430" s="95" t="n"/>
      <c r="DO430" s="95" t="n"/>
    </row>
    <row r="431" ht="13" customHeight="1">
      <c r="A431" s="203" t="inlineStr">
        <is>
          <t>M-12</t>
        </is>
      </c>
      <c r="B431" s="260"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259" t="inlineStr">
        <is>
          <t>532MAM12</t>
        </is>
      </c>
      <c r="BL431" s="7" t="inlineStr">
        <is>
          <t>LIXIVIACIÓN</t>
        </is>
      </c>
      <c r="BM431" s="254" t="inlineStr">
        <is>
          <t>NF</t>
        </is>
      </c>
      <c r="BN431" s="266" t="inlineStr">
        <is>
          <t>Lixiviación</t>
        </is>
      </c>
      <c r="BO431" s="254"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4" t="n"/>
      <c r="DB431" s="254" t="n"/>
      <c r="DC431" s="254" t="n"/>
      <c r="DD431" s="254" t="n"/>
      <c r="DE431" s="254" t="n"/>
      <c r="DF431" s="254" t="n"/>
      <c r="DG431" s="254" t="n"/>
      <c r="DH431" s="254" t="n"/>
      <c r="DI431" s="254" t="n"/>
      <c r="DJ431" s="254" t="inlineStr">
        <is>
          <t>M</t>
        </is>
      </c>
      <c r="DK431" s="254" t="n">
        <v>15</v>
      </c>
      <c r="DL431" s="95" t="n">
        <v>21</v>
      </c>
      <c r="DM431" s="254" t="n"/>
      <c r="DN431" s="95" t="n"/>
      <c r="DO431" s="95" t="n"/>
    </row>
    <row r="432" ht="13" customHeight="1">
      <c r="A432" s="203" t="inlineStr">
        <is>
          <t>M-12</t>
        </is>
      </c>
      <c r="B432" s="255"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255" t="n"/>
      <c r="BL432" s="7" t="inlineStr">
        <is>
          <t>LIXIVIACIÓN</t>
        </is>
      </c>
      <c r="BM432" s="168" t="inlineStr">
        <is>
          <t>ASUB</t>
        </is>
      </c>
      <c r="BN432" s="266" t="inlineStr">
        <is>
          <t>Lixiviación</t>
        </is>
      </c>
      <c r="BO432" s="254"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4" t="n"/>
      <c r="DB432" s="254" t="n"/>
      <c r="DC432" s="254" t="n"/>
      <c r="DD432" s="254" t="n"/>
      <c r="DE432" s="254" t="n"/>
      <c r="DF432" s="254" t="n"/>
      <c r="DG432" s="254" t="n"/>
      <c r="DH432" s="254" t="n"/>
      <c r="DI432" s="254" t="n"/>
      <c r="DJ432" s="254" t="n"/>
      <c r="DK432" s="254" t="n"/>
      <c r="DL432" s="95" t="n"/>
      <c r="DM432" s="254" t="inlineStr">
        <is>
          <t>T</t>
        </is>
      </c>
      <c r="DN432" s="95" t="n">
        <v>15</v>
      </c>
      <c r="DO432" s="95" t="n">
        <v>21</v>
      </c>
    </row>
    <row r="433" ht="13" customHeight="1">
      <c r="A433" s="203" t="inlineStr">
        <is>
          <t>M-13</t>
        </is>
      </c>
      <c r="B433" s="260"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259" t="inlineStr">
        <is>
          <t>532MAM13</t>
        </is>
      </c>
      <c r="BL433" s="61" t="inlineStr">
        <is>
          <t>GMAP-SIGA</t>
        </is>
      </c>
      <c r="BM433" s="254" t="inlineStr">
        <is>
          <t>NF</t>
        </is>
      </c>
      <c r="BN433" s="266" t="inlineStr">
        <is>
          <t>Michincha</t>
        </is>
      </c>
      <c r="BO433" s="254"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4" t="n"/>
      <c r="DB433" s="254" t="n"/>
      <c r="DC433" s="254" t="n"/>
      <c r="DD433" s="254" t="n"/>
      <c r="DE433" s="254" t="n"/>
      <c r="DF433" s="254" t="n"/>
      <c r="DG433" s="254" t="n"/>
      <c r="DH433" s="254" t="n"/>
      <c r="DI433" s="254" t="n"/>
      <c r="DJ433" s="254" t="inlineStr">
        <is>
          <t>M</t>
        </is>
      </c>
      <c r="DK433" s="254" t="n">
        <v>1</v>
      </c>
      <c r="DL433" s="95" t="n">
        <v>7</v>
      </c>
      <c r="DM433" s="254" t="n"/>
      <c r="DN433" s="95" t="n"/>
      <c r="DO433" s="95" t="n"/>
    </row>
    <row r="434" ht="13" customHeight="1">
      <c r="A434" s="203" t="inlineStr">
        <is>
          <t>M-13</t>
        </is>
      </c>
      <c r="B434" s="255"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255" t="n"/>
      <c r="BL434" s="61" t="inlineStr">
        <is>
          <t>GMAP-SIGA</t>
        </is>
      </c>
      <c r="BM434" s="254" t="inlineStr">
        <is>
          <t>ASUB</t>
        </is>
      </c>
      <c r="BN434" s="266" t="inlineStr">
        <is>
          <t>Michincha</t>
        </is>
      </c>
      <c r="BO434" s="254"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4" t="n"/>
      <c r="DB434" s="254" t="n"/>
      <c r="DC434" s="254" t="n"/>
      <c r="DD434" s="254" t="n"/>
      <c r="DE434" s="254" t="n"/>
      <c r="DF434" s="254" t="n"/>
      <c r="DG434" s="254" t="n"/>
      <c r="DH434" s="254" t="n"/>
      <c r="DI434" s="254" t="n"/>
      <c r="DJ434" s="254" t="n"/>
      <c r="DK434" s="254" t="n"/>
      <c r="DL434" s="95" t="n"/>
      <c r="DM434" s="254" t="inlineStr">
        <is>
          <t>M</t>
        </is>
      </c>
      <c r="DN434" s="95" t="n">
        <v>1</v>
      </c>
      <c r="DO434" s="95" t="n">
        <v>7</v>
      </c>
    </row>
    <row r="435" ht="13" customHeight="1">
      <c r="A435" s="203" t="inlineStr">
        <is>
          <t>M-14</t>
        </is>
      </c>
      <c r="B435" s="260"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259" t="inlineStr">
        <is>
          <t>532MAM14</t>
        </is>
      </c>
      <c r="BL435" s="61" t="inlineStr">
        <is>
          <t>GMAP-SIGA</t>
        </is>
      </c>
      <c r="BM435" s="254" t="inlineStr">
        <is>
          <t>NF</t>
        </is>
      </c>
      <c r="BN435" s="266" t="inlineStr">
        <is>
          <t>Michincha</t>
        </is>
      </c>
      <c r="BO435" s="254"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4" t="n"/>
      <c r="DB435" s="254" t="n"/>
      <c r="DC435" s="254" t="n"/>
      <c r="DD435" s="254" t="n"/>
      <c r="DE435" s="254" t="n"/>
      <c r="DF435" s="254" t="n"/>
      <c r="DG435" s="254" t="n"/>
      <c r="DH435" s="254" t="n"/>
      <c r="DI435" s="254" t="n"/>
      <c r="DJ435" s="254" t="inlineStr">
        <is>
          <t>M</t>
        </is>
      </c>
      <c r="DK435" s="254" t="n">
        <v>22</v>
      </c>
      <c r="DL435" s="95" t="n">
        <v>28</v>
      </c>
      <c r="DM435" s="254" t="n"/>
      <c r="DN435" s="95" t="n"/>
      <c r="DO435" s="95" t="n"/>
    </row>
    <row r="436" ht="13" customHeight="1">
      <c r="A436" s="203" t="inlineStr">
        <is>
          <t>M-15</t>
        </is>
      </c>
      <c r="B436" s="260"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259" t="inlineStr">
        <is>
          <t>532MAM15</t>
        </is>
      </c>
      <c r="BL436" s="61" t="inlineStr">
        <is>
          <t>GMAP-SIGA</t>
        </is>
      </c>
      <c r="BM436" s="254" t="inlineStr">
        <is>
          <t>NF</t>
        </is>
      </c>
      <c r="BN436" s="266" t="inlineStr">
        <is>
          <t>Michincha</t>
        </is>
      </c>
      <c r="BO436" s="254"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4" t="n"/>
      <c r="DB436" s="254" t="n"/>
      <c r="DC436" s="254" t="n"/>
      <c r="DD436" s="254" t="n"/>
      <c r="DE436" s="254" t="n"/>
      <c r="DF436" s="254" t="n"/>
      <c r="DG436" s="254" t="n"/>
      <c r="DH436" s="254" t="n"/>
      <c r="DI436" s="254" t="n"/>
      <c r="DJ436" s="254" t="inlineStr">
        <is>
          <t>M</t>
        </is>
      </c>
      <c r="DK436" s="254" t="n">
        <v>22</v>
      </c>
      <c r="DL436" s="95" t="n">
        <v>28</v>
      </c>
      <c r="DM436" s="254" t="n"/>
      <c r="DN436" s="95" t="n"/>
      <c r="DO436" s="95" t="n"/>
    </row>
    <row r="437" ht="13" customHeight="1">
      <c r="A437" s="203" t="inlineStr">
        <is>
          <t>M-16</t>
        </is>
      </c>
      <c r="B437" s="260" t="inlineStr">
        <is>
          <t>M-16 MICHINCHA</t>
        </is>
      </c>
      <c r="C437" s="254"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259" t="inlineStr">
        <is>
          <t>532MAM16</t>
        </is>
      </c>
      <c r="BL437" s="7" t="inlineStr">
        <is>
          <t>GMAP-SIGA</t>
        </is>
      </c>
      <c r="BM437" s="254" t="inlineStr">
        <is>
          <t>NF</t>
        </is>
      </c>
      <c r="BN437" s="266" t="inlineStr">
        <is>
          <t>Michincha</t>
        </is>
      </c>
      <c r="BO437" s="254" t="inlineStr">
        <is>
          <t>SI</t>
        </is>
      </c>
      <c r="BP437" s="106" t="inlineStr">
        <is>
          <t>M-16 MICHINCHA/NF</t>
        </is>
      </c>
      <c r="BQ437" s="106">
        <f>VLOOKUP(BP437,[1]AGUA!$1:$1048576,2,FALSE)</f>
        <v/>
      </c>
      <c r="BR437" s="106">
        <f>VLOOKUP(BP437,[1]AGUA!$1:$1048576,6,FALSE)</f>
        <v/>
      </c>
      <c r="BS437" s="106">
        <f>VLOOKUP(BP437,[1]AGUA!$1:$1048576,7,FALSE)</f>
        <v/>
      </c>
      <c r="BT437" s="106" t="n"/>
      <c r="BU437" s="251"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4" t="n"/>
      <c r="DB437" s="254" t="n"/>
      <c r="DC437" s="254" t="n"/>
      <c r="DD437" s="254" t="n"/>
      <c r="DE437" s="254" t="n"/>
      <c r="DF437" s="254" t="n"/>
      <c r="DG437" s="254" t="n"/>
      <c r="DH437" s="254" t="n"/>
      <c r="DI437" s="254" t="n"/>
      <c r="DJ437" s="254" t="inlineStr">
        <is>
          <t>T</t>
        </is>
      </c>
      <c r="DK437" s="254" t="n">
        <v>1</v>
      </c>
      <c r="DL437" s="95" t="n">
        <v>7</v>
      </c>
      <c r="DM437" s="254" t="n"/>
      <c r="DN437" s="95" t="n"/>
      <c r="DO437" s="95" t="n"/>
    </row>
    <row r="438" ht="13" customHeight="1">
      <c r="A438" s="203" t="inlineStr">
        <is>
          <t>M-16</t>
        </is>
      </c>
      <c r="B438" s="255" t="n"/>
      <c r="C438" s="255"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255" t="n"/>
      <c r="BL438" s="7" t="inlineStr">
        <is>
          <t>GMAP-SIGA</t>
        </is>
      </c>
      <c r="BM438" s="254" t="inlineStr">
        <is>
          <t>ASUB</t>
        </is>
      </c>
      <c r="BN438" s="266" t="inlineStr">
        <is>
          <t>Michincha</t>
        </is>
      </c>
      <c r="BO438" s="254" t="inlineStr">
        <is>
          <t>SI</t>
        </is>
      </c>
      <c r="BP438" s="106" t="inlineStr">
        <is>
          <t>M-16 MICHINCHA/ASUB</t>
        </is>
      </c>
      <c r="BQ438" s="106">
        <f>VLOOKUP(BP438,[1]AGUA!$1:$1048576,2,FALSE)</f>
        <v/>
      </c>
      <c r="BR438" s="106">
        <f>VLOOKUP(BP438,[1]AGUA!$1:$1048576,6,FALSE)</f>
        <v/>
      </c>
      <c r="BS438" s="106">
        <f>VLOOKUP(BP438,[1]AGUA!$1:$1048576,7,FALSE)</f>
        <v/>
      </c>
      <c r="BT438" s="106" t="n"/>
      <c r="BU438" s="252"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4" t="n"/>
      <c r="DB438" s="254" t="n"/>
      <c r="DC438" s="254" t="n"/>
      <c r="DD438" s="254" t="n"/>
      <c r="DE438" s="254" t="n"/>
      <c r="DF438" s="254" t="n"/>
      <c r="DG438" s="254" t="n"/>
      <c r="DH438" s="254" t="n"/>
      <c r="DI438" s="254" t="n"/>
      <c r="DJ438" s="254" t="n"/>
      <c r="DK438" s="254" t="n"/>
      <c r="DL438" s="95" t="n"/>
      <c r="DM438" s="254" t="inlineStr">
        <is>
          <t>T</t>
        </is>
      </c>
      <c r="DN438" s="95" t="n">
        <v>1</v>
      </c>
      <c r="DO438" s="95" t="n">
        <v>7</v>
      </c>
    </row>
    <row r="439" ht="13" customHeight="1">
      <c r="A439" s="203" t="inlineStr">
        <is>
          <t>M-17</t>
        </is>
      </c>
      <c r="B439" s="260" t="inlineStr">
        <is>
          <t>M-17 MICHINCHA</t>
        </is>
      </c>
      <c r="C439" s="254"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259" t="inlineStr">
        <is>
          <t>532MAM17</t>
        </is>
      </c>
      <c r="BL439" s="7" t="inlineStr">
        <is>
          <t>GMAP-SIGA</t>
        </is>
      </c>
      <c r="BM439" s="254" t="inlineStr">
        <is>
          <t>NF</t>
        </is>
      </c>
      <c r="BN439" s="266" t="inlineStr">
        <is>
          <t>Michincha</t>
        </is>
      </c>
      <c r="BO439" s="254" t="inlineStr">
        <is>
          <t>SI</t>
        </is>
      </c>
      <c r="BP439" s="106" t="inlineStr">
        <is>
          <t>M-17 MICHINCHA/NF</t>
        </is>
      </c>
      <c r="BQ439" s="106">
        <f>VLOOKUP(BP439,[1]AGUA!$1:$1048576,2,FALSE)</f>
        <v/>
      </c>
      <c r="BR439" s="106">
        <f>VLOOKUP(BP439,[1]AGUA!$1:$1048576,6,FALSE)</f>
        <v/>
      </c>
      <c r="BS439" s="106">
        <f>VLOOKUP(BP439,[1]AGUA!$1:$1048576,7,FALSE)</f>
        <v/>
      </c>
      <c r="BT439" s="106" t="n"/>
      <c r="BU439" s="251"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4" t="n"/>
      <c r="DB439" s="254" t="n"/>
      <c r="DC439" s="254" t="n"/>
      <c r="DD439" s="254" t="n"/>
      <c r="DE439" s="254" t="n"/>
      <c r="DF439" s="254" t="n"/>
      <c r="DG439" s="254" t="n"/>
      <c r="DH439" s="254" t="n"/>
      <c r="DI439" s="254" t="n"/>
      <c r="DJ439" s="254" t="inlineStr">
        <is>
          <t>T</t>
        </is>
      </c>
      <c r="DK439" s="254" t="n">
        <v>1</v>
      </c>
      <c r="DL439" s="95" t="n">
        <v>7</v>
      </c>
      <c r="DM439" s="254" t="n"/>
      <c r="DN439" s="95" t="n"/>
      <c r="DO439" s="95" t="n"/>
    </row>
    <row r="440" ht="13" customHeight="1">
      <c r="A440" s="203" t="inlineStr">
        <is>
          <t>M-17</t>
        </is>
      </c>
      <c r="B440" s="255" t="n"/>
      <c r="C440" s="255"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255" t="n"/>
      <c r="BL440" s="7" t="inlineStr">
        <is>
          <t>GMAP-SIGA</t>
        </is>
      </c>
      <c r="BM440" s="254" t="inlineStr">
        <is>
          <t>ASUB</t>
        </is>
      </c>
      <c r="BN440" s="266" t="inlineStr">
        <is>
          <t>Michincha</t>
        </is>
      </c>
      <c r="BO440" s="254" t="inlineStr">
        <is>
          <t>SI</t>
        </is>
      </c>
      <c r="BP440" s="106" t="inlineStr">
        <is>
          <t>M-17 MICHINCHA/ASUB</t>
        </is>
      </c>
      <c r="BQ440" s="106">
        <f>VLOOKUP(BP440,[1]AGUA!$1:$1048576,2,FALSE)</f>
        <v/>
      </c>
      <c r="BR440" s="106">
        <f>VLOOKUP(BP440,[1]AGUA!$1:$1048576,6,FALSE)</f>
        <v/>
      </c>
      <c r="BS440" s="106">
        <f>VLOOKUP(BP440,[1]AGUA!$1:$1048576,7,FALSE)</f>
        <v/>
      </c>
      <c r="BT440" s="106" t="n"/>
      <c r="BU440" s="252"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4" t="n"/>
      <c r="DB440" s="254" t="n"/>
      <c r="DC440" s="254" t="n"/>
      <c r="DD440" s="254" t="n"/>
      <c r="DE440" s="254" t="n"/>
      <c r="DF440" s="254" t="n"/>
      <c r="DG440" s="254" t="n"/>
      <c r="DH440" s="254" t="n"/>
      <c r="DI440" s="254" t="n"/>
      <c r="DJ440" s="254" t="n"/>
      <c r="DK440" s="254" t="n"/>
      <c r="DL440" s="95" t="n"/>
      <c r="DM440" s="254" t="inlineStr">
        <is>
          <t>T</t>
        </is>
      </c>
      <c r="DN440" s="95" t="n">
        <v>1</v>
      </c>
      <c r="DO440" s="95" t="n">
        <v>7</v>
      </c>
    </row>
    <row r="441" ht="13" customHeight="1">
      <c r="A441" s="203" t="inlineStr">
        <is>
          <t>M-18</t>
        </is>
      </c>
      <c r="B441" s="260" t="inlineStr">
        <is>
          <t>M-18 MICHINCHA</t>
        </is>
      </c>
      <c r="C441" s="254"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259" t="inlineStr">
        <is>
          <t>532MAM18</t>
        </is>
      </c>
      <c r="BL441" s="7" t="inlineStr">
        <is>
          <t>GMAP-SIGA</t>
        </is>
      </c>
      <c r="BM441" s="254" t="inlineStr">
        <is>
          <t>NF</t>
        </is>
      </c>
      <c r="BN441" s="266" t="inlineStr">
        <is>
          <t>Michincha</t>
        </is>
      </c>
      <c r="BO441" s="254" t="inlineStr">
        <is>
          <t>SI</t>
        </is>
      </c>
      <c r="BP441" s="106" t="inlineStr">
        <is>
          <t>M-18 MICHINCHA/NF</t>
        </is>
      </c>
      <c r="BQ441" s="106">
        <f>VLOOKUP(BP441,[1]AGUA!$1:$1048576,2,FALSE)</f>
        <v/>
      </c>
      <c r="BR441" s="106">
        <f>VLOOKUP(BP441,[1]AGUA!$1:$1048576,6,FALSE)</f>
        <v/>
      </c>
      <c r="BS441" s="106">
        <f>VLOOKUP(BP441,[1]AGUA!$1:$1048576,7,FALSE)</f>
        <v/>
      </c>
      <c r="BT441" s="106" t="n"/>
      <c r="BU441" s="251"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4" t="n"/>
      <c r="DB441" s="254" t="n"/>
      <c r="DC441" s="254" t="n"/>
      <c r="DD441" s="254" t="n"/>
      <c r="DE441" s="254" t="n"/>
      <c r="DF441" s="254" t="n"/>
      <c r="DG441" s="254" t="n"/>
      <c r="DH441" s="254" t="n"/>
      <c r="DI441" s="254" t="n"/>
      <c r="DJ441" s="254" t="inlineStr">
        <is>
          <t>M</t>
        </is>
      </c>
      <c r="DK441" s="254" t="n">
        <v>1</v>
      </c>
      <c r="DL441" s="95" t="n">
        <v>7</v>
      </c>
      <c r="DM441" s="254" t="n"/>
      <c r="DN441" s="95" t="n"/>
      <c r="DO441" s="95" t="n"/>
    </row>
    <row r="442" ht="13" customHeight="1">
      <c r="A442" s="203" t="inlineStr">
        <is>
          <t>M-18</t>
        </is>
      </c>
      <c r="B442" s="255" t="n"/>
      <c r="C442" s="255"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255" t="n"/>
      <c r="BL442" s="7" t="inlineStr">
        <is>
          <t>GMAP-SIGA</t>
        </is>
      </c>
      <c r="BM442" s="254" t="inlineStr">
        <is>
          <t>ASUB</t>
        </is>
      </c>
      <c r="BN442" s="266" t="inlineStr">
        <is>
          <t>Michincha</t>
        </is>
      </c>
      <c r="BO442" s="254" t="inlineStr">
        <is>
          <t>SI</t>
        </is>
      </c>
      <c r="BP442" s="106" t="inlineStr">
        <is>
          <t>M-18 MICHINCHA/ASUB</t>
        </is>
      </c>
      <c r="BQ442" s="106">
        <f>VLOOKUP(BP442,[1]AGUA!$1:$1048576,2,FALSE)</f>
        <v/>
      </c>
      <c r="BR442" s="106">
        <f>VLOOKUP(BP442,[1]AGUA!$1:$1048576,6,FALSE)</f>
        <v/>
      </c>
      <c r="BS442" s="106">
        <f>VLOOKUP(BP442,[1]AGUA!$1:$1048576,7,FALSE)</f>
        <v/>
      </c>
      <c r="BT442" s="106" t="n"/>
      <c r="BU442" s="252"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4" t="n"/>
      <c r="DB442" s="254" t="n"/>
      <c r="DC442" s="254" t="n"/>
      <c r="DD442" s="254" t="n"/>
      <c r="DE442" s="254" t="n"/>
      <c r="DF442" s="254" t="n"/>
      <c r="DG442" s="254" t="n"/>
      <c r="DH442" s="254" t="n"/>
      <c r="DI442" s="254" t="n"/>
      <c r="DJ442" s="254" t="n"/>
      <c r="DK442" s="254" t="n"/>
      <c r="DL442" s="95" t="n"/>
      <c r="DM442" s="254" t="inlineStr">
        <is>
          <t>M</t>
        </is>
      </c>
      <c r="DN442" s="95" t="n">
        <v>1</v>
      </c>
      <c r="DO442" s="95" t="n">
        <v>7</v>
      </c>
    </row>
    <row r="443" ht="13.5" customHeight="1">
      <c r="A443" s="203" t="inlineStr">
        <is>
          <t>M-19</t>
        </is>
      </c>
      <c r="B443" s="260"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259" t="inlineStr">
        <is>
          <t>532MAM19</t>
        </is>
      </c>
      <c r="BL443" s="61" t="inlineStr">
        <is>
          <t>GMAP-SIGA</t>
        </is>
      </c>
      <c r="BM443" s="254" t="inlineStr">
        <is>
          <t>NF</t>
        </is>
      </c>
      <c r="BN443" s="266" t="inlineStr">
        <is>
          <t>Michincha</t>
        </is>
      </c>
      <c r="BO443" s="254"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4" t="n"/>
      <c r="DB443" s="254" t="n"/>
      <c r="DC443" s="254" t="n"/>
      <c r="DD443" s="254" t="n"/>
      <c r="DE443" s="254" t="n"/>
      <c r="DF443" s="254" t="n"/>
      <c r="DG443" s="254" t="n"/>
      <c r="DH443" s="254" t="n"/>
      <c r="DI443" s="254" t="n"/>
      <c r="DJ443" s="254" t="inlineStr">
        <is>
          <t>M</t>
        </is>
      </c>
      <c r="DK443" s="254" t="n">
        <v>1</v>
      </c>
      <c r="DL443" s="95" t="n">
        <v>7</v>
      </c>
      <c r="DM443" s="254" t="n"/>
      <c r="DN443" s="95" t="n"/>
      <c r="DO443" s="95" t="n"/>
    </row>
    <row r="444" ht="13" customHeight="1">
      <c r="A444" s="203" t="inlineStr">
        <is>
          <t>M-21</t>
        </is>
      </c>
      <c r="B444" s="260"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259" t="inlineStr">
        <is>
          <t>532MAM21</t>
        </is>
      </c>
      <c r="BL444" s="61" t="inlineStr">
        <is>
          <t>GMAP-SIGA</t>
        </is>
      </c>
      <c r="BM444" s="254" t="inlineStr">
        <is>
          <t>NF</t>
        </is>
      </c>
      <c r="BN444" s="266" t="inlineStr">
        <is>
          <t>Michincha</t>
        </is>
      </c>
      <c r="BO444" s="254"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4" t="n"/>
      <c r="DB444" s="254" t="n"/>
      <c r="DC444" s="254" t="n"/>
      <c r="DD444" s="254" t="n"/>
      <c r="DE444" s="254" t="n"/>
      <c r="DF444" s="254" t="n"/>
      <c r="DG444" s="254" t="n"/>
      <c r="DH444" s="254" t="n"/>
      <c r="DI444" s="254" t="n"/>
      <c r="DJ444" s="254" t="inlineStr">
        <is>
          <t>M</t>
        </is>
      </c>
      <c r="DK444" s="254" t="n">
        <v>22</v>
      </c>
      <c r="DL444" s="95" t="n">
        <v>28</v>
      </c>
      <c r="DM444" s="254" t="n"/>
      <c r="DN444" s="95" t="n"/>
      <c r="DO444" s="95" t="n"/>
    </row>
    <row r="445" ht="13" customHeight="1">
      <c r="A445" s="203" t="inlineStr">
        <is>
          <t>M-23</t>
        </is>
      </c>
      <c r="B445" s="260"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259" t="inlineStr">
        <is>
          <t>532MAM23</t>
        </is>
      </c>
      <c r="BL445" s="61" t="inlineStr">
        <is>
          <t>GMAP-SIGA</t>
        </is>
      </c>
      <c r="BM445" s="254" t="inlineStr">
        <is>
          <t>NF</t>
        </is>
      </c>
      <c r="BN445" s="266" t="inlineStr">
        <is>
          <t>Lixiviación</t>
        </is>
      </c>
      <c r="BO445" s="254"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4" t="n"/>
      <c r="DB445" s="254" t="n"/>
      <c r="DC445" s="254" t="n"/>
      <c r="DD445" s="254" t="n"/>
      <c r="DE445" s="254" t="n"/>
      <c r="DF445" s="254" t="n"/>
      <c r="DG445" s="254" t="n"/>
      <c r="DH445" s="254" t="n"/>
      <c r="DI445" s="254" t="n"/>
      <c r="DJ445" s="254" t="inlineStr">
        <is>
          <t>T</t>
        </is>
      </c>
      <c r="DK445" s="254" t="n">
        <v>22</v>
      </c>
      <c r="DL445" s="95" t="n">
        <v>28</v>
      </c>
      <c r="DM445" s="254" t="n"/>
      <c r="DN445" s="95" t="n"/>
      <c r="DO445" s="95" t="n"/>
    </row>
    <row r="446" ht="13" customHeight="1">
      <c r="A446" s="203" t="inlineStr">
        <is>
          <t>M-26A</t>
        </is>
      </c>
      <c r="B446" s="260"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259" t="inlineStr">
        <is>
          <t>532MAM26A</t>
        </is>
      </c>
      <c r="BL446" s="61" t="inlineStr">
        <is>
          <t>GMAP-SIGA</t>
        </is>
      </c>
      <c r="BM446" s="254" t="inlineStr">
        <is>
          <t>NF</t>
        </is>
      </c>
      <c r="BN446" s="266" t="inlineStr">
        <is>
          <t>Michincha</t>
        </is>
      </c>
      <c r="BO446" s="254"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4" t="n"/>
      <c r="DB446" s="254" t="n"/>
      <c r="DC446" s="254" t="n"/>
      <c r="DD446" s="254" t="n"/>
      <c r="DE446" s="254" t="n"/>
      <c r="DF446" s="254" t="n"/>
      <c r="DG446" s="254" t="n"/>
      <c r="DH446" s="254" t="n"/>
      <c r="DI446" s="254" t="n"/>
      <c r="DJ446" s="254" t="inlineStr">
        <is>
          <t>M</t>
        </is>
      </c>
      <c r="DK446" s="254" t="n">
        <v>22</v>
      </c>
      <c r="DL446" s="95" t="n">
        <v>28</v>
      </c>
      <c r="DM446" s="254" t="n"/>
      <c r="DN446" s="95" t="n"/>
      <c r="DO446" s="95" t="n"/>
    </row>
    <row r="447" ht="13" customHeight="1">
      <c r="A447" s="203" t="inlineStr">
        <is>
          <t>M-27</t>
        </is>
      </c>
      <c r="B447" s="260" t="inlineStr">
        <is>
          <t>M-27 MICHINCHA</t>
        </is>
      </c>
      <c r="C447" s="254"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259" t="inlineStr">
        <is>
          <t>532MAM27</t>
        </is>
      </c>
      <c r="BL447" s="7" t="inlineStr">
        <is>
          <t>GMAP-SIGA</t>
        </is>
      </c>
      <c r="BM447" s="254" t="inlineStr">
        <is>
          <t>NF</t>
        </is>
      </c>
      <c r="BN447" s="266" t="inlineStr">
        <is>
          <t>Michincha</t>
        </is>
      </c>
      <c r="BO447" s="254" t="inlineStr">
        <is>
          <t>SI PAT TRANQUE</t>
        </is>
      </c>
      <c r="BP447" s="106" t="inlineStr">
        <is>
          <t>M-27 MICHINCHA/NF</t>
        </is>
      </c>
      <c r="BQ447" s="106">
        <f>VLOOKUP(BP447,[1]AGUA!$1:$1048576,2,FALSE)</f>
        <v/>
      </c>
      <c r="BR447" s="106">
        <f>VLOOKUP(BP447,[1]AGUA!$1:$1048576,6,FALSE)</f>
        <v/>
      </c>
      <c r="BS447" s="106">
        <f>VLOOKUP(BP447,[1]AGUA!$1:$1048576,7,FALSE)</f>
        <v/>
      </c>
      <c r="BT447" s="106" t="n"/>
      <c r="BU447" s="251"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4" t="n"/>
      <c r="DB447" s="254" t="n"/>
      <c r="DC447" s="254" t="n"/>
      <c r="DD447" s="254" t="n"/>
      <c r="DE447" s="254" t="n"/>
      <c r="DF447" s="254" t="n"/>
      <c r="DG447" s="254" t="n"/>
      <c r="DH447" s="254" t="n"/>
      <c r="DI447" s="254" t="n"/>
      <c r="DJ447" s="254" t="inlineStr">
        <is>
          <t>M</t>
        </is>
      </c>
      <c r="DK447" s="254" t="n">
        <v>8</v>
      </c>
      <c r="DL447" s="95" t="n">
        <v>14</v>
      </c>
      <c r="DM447" s="254" t="n"/>
      <c r="DN447" s="95" t="n"/>
      <c r="DO447" s="95" t="n"/>
    </row>
    <row r="448" ht="13" customHeight="1">
      <c r="A448" s="203" t="inlineStr">
        <is>
          <t>M-27</t>
        </is>
      </c>
      <c r="B448" s="255" t="n"/>
      <c r="C448" s="255"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255" t="n"/>
      <c r="BL448" s="7" t="inlineStr">
        <is>
          <t>GMAP-SIGA</t>
        </is>
      </c>
      <c r="BM448" s="254" t="inlineStr">
        <is>
          <t>ASUB</t>
        </is>
      </c>
      <c r="BN448" s="266" t="inlineStr">
        <is>
          <t>Michincha</t>
        </is>
      </c>
      <c r="BO448" s="254" t="inlineStr">
        <is>
          <t>SI PAT TRANQUE</t>
        </is>
      </c>
      <c r="BP448" s="106" t="inlineStr">
        <is>
          <t>M-27 MICHINCHA/ASUB</t>
        </is>
      </c>
      <c r="BQ448" s="106">
        <f>VLOOKUP(BP448,[1]AGUA!$1:$1048576,2,FALSE)</f>
        <v/>
      </c>
      <c r="BR448" s="106">
        <f>VLOOKUP(BP448,[1]AGUA!$1:$1048576,6,FALSE)</f>
        <v/>
      </c>
      <c r="BS448" s="106">
        <f>VLOOKUP(BP448,[1]AGUA!$1:$1048576,7,FALSE)</f>
        <v/>
      </c>
      <c r="BT448" s="106" t="n"/>
      <c r="BU448" s="252"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4" t="n"/>
      <c r="DB448" s="254" t="n"/>
      <c r="DC448" s="254" t="n"/>
      <c r="DD448" s="254" t="n"/>
      <c r="DE448" s="254" t="n"/>
      <c r="DF448" s="254" t="n"/>
      <c r="DG448" s="254" t="n"/>
      <c r="DH448" s="254" t="n"/>
      <c r="DI448" s="254" t="n"/>
      <c r="DJ448" s="254" t="n"/>
      <c r="DK448" s="254" t="n"/>
      <c r="DL448" s="95" t="n"/>
      <c r="DM448" s="254" t="inlineStr">
        <is>
          <t>M</t>
        </is>
      </c>
      <c r="DN448" s="95" t="n">
        <v>8</v>
      </c>
      <c r="DO448" s="95" t="n">
        <v>14</v>
      </c>
    </row>
    <row r="449" ht="13" customHeight="1">
      <c r="A449" s="203" t="inlineStr">
        <is>
          <t>M-28</t>
        </is>
      </c>
      <c r="B449" s="260"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61" t="inlineStr">
        <is>
          <t>532MAM28</t>
        </is>
      </c>
      <c r="BL449" s="7" t="inlineStr">
        <is>
          <t>GMAP-SIGA</t>
        </is>
      </c>
      <c r="BM449" s="254" t="inlineStr">
        <is>
          <t>NF</t>
        </is>
      </c>
      <c r="BN449" s="266" t="inlineStr">
        <is>
          <t>Michincha</t>
        </is>
      </c>
      <c r="BO449" s="254"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4" t="n"/>
      <c r="DB449" s="254" t="n"/>
      <c r="DC449" s="254" t="n"/>
      <c r="DD449" s="254" t="n"/>
      <c r="DE449" s="254" t="n"/>
      <c r="DF449" s="254" t="n"/>
      <c r="DG449" s="254" t="n"/>
      <c r="DH449" s="254" t="n"/>
      <c r="DI449" s="254" t="n"/>
      <c r="DJ449" s="254" t="inlineStr">
        <is>
          <t>M</t>
        </is>
      </c>
      <c r="DK449" s="254" t="n">
        <v>1</v>
      </c>
      <c r="DL449" s="95" t="n">
        <v>7</v>
      </c>
      <c r="DM449" s="254" t="n"/>
      <c r="DN449" s="95" t="n"/>
      <c r="DO449" s="95" t="n"/>
    </row>
    <row r="450" ht="13" customHeight="1">
      <c r="A450" s="203" t="inlineStr">
        <is>
          <t>MA-01</t>
        </is>
      </c>
      <c r="B450" s="260" t="inlineStr">
        <is>
          <t>MA-01 TRANQUE</t>
        </is>
      </c>
      <c r="C450" s="254"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259" t="inlineStr">
        <is>
          <t>532MAMA</t>
        </is>
      </c>
      <c r="BL450" s="7" t="inlineStr">
        <is>
          <t>GMAP-SIGA</t>
        </is>
      </c>
      <c r="BM450" s="254" t="inlineStr">
        <is>
          <t>NF</t>
        </is>
      </c>
      <c r="BN450" s="266" t="inlineStr">
        <is>
          <t>Tranque</t>
        </is>
      </c>
      <c r="BO450" s="254" t="inlineStr">
        <is>
          <t>SI PAT TRANQUE</t>
        </is>
      </c>
      <c r="BP450" s="106" t="inlineStr">
        <is>
          <t>MA-01 TRANQUE/NF</t>
        </is>
      </c>
      <c r="BQ450" s="106">
        <f>VLOOKUP(BP450,[1]AGUA!$1:$1048576,2,FALSE)</f>
        <v/>
      </c>
      <c r="BR450" s="106">
        <f>VLOOKUP(BP450,[1]AGUA!$1:$1048576,6,FALSE)</f>
        <v/>
      </c>
      <c r="BS450" s="106">
        <f>VLOOKUP(BP450,[1]AGUA!$1:$1048576,7,FALSE)</f>
        <v/>
      </c>
      <c r="BT450" s="106" t="n"/>
      <c r="BU450" s="251"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4" t="n"/>
      <c r="DB450" s="254" t="n"/>
      <c r="DC450" s="254" t="n"/>
      <c r="DD450" s="254" t="n"/>
      <c r="DE450" s="254" t="n"/>
      <c r="DF450" s="254" t="n"/>
      <c r="DG450" s="254" t="n"/>
      <c r="DH450" s="254" t="n"/>
      <c r="DI450" s="254" t="n"/>
      <c r="DJ450" s="254" t="inlineStr">
        <is>
          <t>M</t>
        </is>
      </c>
      <c r="DK450" s="254" t="n">
        <v>8</v>
      </c>
      <c r="DL450" s="95" t="n">
        <v>14</v>
      </c>
      <c r="DM450" s="254" t="n"/>
      <c r="DN450" s="95" t="n"/>
      <c r="DO450" s="95" t="n"/>
    </row>
    <row r="451" ht="13" customHeight="1">
      <c r="A451" s="203" t="inlineStr">
        <is>
          <t>MA-01</t>
        </is>
      </c>
      <c r="B451" s="255" t="n"/>
      <c r="C451" s="255"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255" t="n"/>
      <c r="BL451" s="7" t="inlineStr">
        <is>
          <t>GMAP-SIGA</t>
        </is>
      </c>
      <c r="BM451" s="254" t="inlineStr">
        <is>
          <t>ASUB</t>
        </is>
      </c>
      <c r="BN451" s="266" t="inlineStr">
        <is>
          <t>Tranque</t>
        </is>
      </c>
      <c r="BO451" s="254" t="inlineStr">
        <is>
          <t>SI PAT TRANQUE</t>
        </is>
      </c>
      <c r="BP451" s="106" t="inlineStr">
        <is>
          <t>MA-01 TRANQUE/ASUB</t>
        </is>
      </c>
      <c r="BQ451" s="106">
        <f>VLOOKUP(BP451,[1]AGUA!$1:$1048576,2,FALSE)</f>
        <v/>
      </c>
      <c r="BR451" s="106">
        <f>VLOOKUP(BP451,[1]AGUA!$1:$1048576,6,FALSE)</f>
        <v/>
      </c>
      <c r="BS451" s="106">
        <f>VLOOKUP(BP451,[1]AGUA!$1:$1048576,7,FALSE)</f>
        <v/>
      </c>
      <c r="BT451" s="106" t="n"/>
      <c r="BU451" s="252"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4" t="n"/>
      <c r="DB451" s="254" t="n"/>
      <c r="DC451" s="254" t="n"/>
      <c r="DD451" s="254" t="n"/>
      <c r="DE451" s="254" t="n"/>
      <c r="DF451" s="254" t="n"/>
      <c r="DG451" s="254" t="n"/>
      <c r="DH451" s="254" t="n"/>
      <c r="DI451" s="254" t="n"/>
      <c r="DJ451" s="254" t="n"/>
      <c r="DK451" s="254" t="n"/>
      <c r="DL451" s="95" t="n"/>
      <c r="DM451" s="254" t="inlineStr">
        <is>
          <t>M</t>
        </is>
      </c>
      <c r="DN451" s="95" t="n">
        <v>8</v>
      </c>
      <c r="DO451" s="95" t="n">
        <v>14</v>
      </c>
    </row>
    <row r="452" ht="13" customHeight="1">
      <c r="A452" s="203" t="inlineStr">
        <is>
          <t>MA-02C</t>
        </is>
      </c>
      <c r="B452" s="260" t="inlineStr">
        <is>
          <t>MA-02C TRANQUE</t>
        </is>
      </c>
      <c r="C452" s="254"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259" t="inlineStr">
        <is>
          <t>532MAMA</t>
        </is>
      </c>
      <c r="BL452" s="7" t="inlineStr">
        <is>
          <t>GMAP-SIGA</t>
        </is>
      </c>
      <c r="BM452" s="254" t="inlineStr">
        <is>
          <t>NF</t>
        </is>
      </c>
      <c r="BN452" s="266" t="inlineStr">
        <is>
          <t>Tranque</t>
        </is>
      </c>
      <c r="BO452" s="254" t="inlineStr">
        <is>
          <t>SI PAT TRANQUE</t>
        </is>
      </c>
      <c r="BP452" s="106" t="inlineStr">
        <is>
          <t>MA-02C TRANQUE/NF</t>
        </is>
      </c>
      <c r="BQ452" s="106">
        <f>VLOOKUP(BP452,[1]AGUA!$1:$1048576,2,FALSE)</f>
        <v/>
      </c>
      <c r="BR452" s="106">
        <f>VLOOKUP(BP452,[1]AGUA!$1:$1048576,6,FALSE)</f>
        <v/>
      </c>
      <c r="BS452" s="106">
        <f>VLOOKUP(BP452,[1]AGUA!$1:$1048576,7,FALSE)</f>
        <v/>
      </c>
      <c r="BT452" s="106" t="n"/>
      <c r="BU452" s="251"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4" t="n"/>
      <c r="DB452" s="254" t="n"/>
      <c r="DC452" s="254" t="n"/>
      <c r="DD452" s="254" t="n"/>
      <c r="DE452" s="254" t="n"/>
      <c r="DF452" s="254" t="n"/>
      <c r="DG452" s="254" t="n"/>
      <c r="DH452" s="254" t="n"/>
      <c r="DI452" s="254" t="n"/>
      <c r="DJ452" s="254" t="inlineStr">
        <is>
          <t>M</t>
        </is>
      </c>
      <c r="DK452" s="254" t="n">
        <v>8</v>
      </c>
      <c r="DL452" s="95" t="n">
        <v>14</v>
      </c>
      <c r="DM452" s="254" t="n"/>
      <c r="DN452" s="95" t="n"/>
      <c r="DO452" s="95" t="n"/>
    </row>
    <row r="453" ht="13" customHeight="1">
      <c r="A453" s="203" t="inlineStr">
        <is>
          <t>MA-02C</t>
        </is>
      </c>
      <c r="B453" s="255" t="n"/>
      <c r="C453" s="255"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255" t="n"/>
      <c r="BL453" s="7" t="inlineStr">
        <is>
          <t>GMAP-SIGA</t>
        </is>
      </c>
      <c r="BM453" s="254" t="inlineStr">
        <is>
          <t>ASUB</t>
        </is>
      </c>
      <c r="BN453" s="266" t="inlineStr">
        <is>
          <t>Tranque</t>
        </is>
      </c>
      <c r="BO453" s="254" t="inlineStr">
        <is>
          <t>SI PAT TRANQUE</t>
        </is>
      </c>
      <c r="BP453" s="106" t="inlineStr">
        <is>
          <t>MA-02C TRANQUE/ASUB</t>
        </is>
      </c>
      <c r="BQ453" s="106">
        <f>VLOOKUP(BP453,[1]AGUA!$1:$1048576,2,FALSE)</f>
        <v/>
      </c>
      <c r="BR453" s="106">
        <f>VLOOKUP(BP453,[1]AGUA!$1:$1048576,6,FALSE)</f>
        <v/>
      </c>
      <c r="BS453" s="106">
        <f>VLOOKUP(BP453,[1]AGUA!$1:$1048576,7,FALSE)</f>
        <v/>
      </c>
      <c r="BT453" s="106" t="n"/>
      <c r="BU453" s="252"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4" t="n"/>
      <c r="DB453" s="254" t="n"/>
      <c r="DC453" s="254" t="n"/>
      <c r="DD453" s="254" t="n"/>
      <c r="DE453" s="254" t="n"/>
      <c r="DF453" s="254" t="n"/>
      <c r="DG453" s="254" t="n"/>
      <c r="DH453" s="254" t="n"/>
      <c r="DI453" s="254" t="n"/>
      <c r="DJ453" s="254" t="n"/>
      <c r="DK453" s="254" t="n"/>
      <c r="DL453" s="95" t="n"/>
      <c r="DM453" s="254" t="inlineStr">
        <is>
          <t>M</t>
        </is>
      </c>
      <c r="DN453" s="95" t="n">
        <v>8</v>
      </c>
      <c r="DO453" s="95" t="n">
        <v>14</v>
      </c>
    </row>
    <row r="454" ht="13" customHeight="1">
      <c r="A454" s="219" t="inlineStr">
        <is>
          <t>MA-03A</t>
        </is>
      </c>
      <c r="B454" s="260" t="inlineStr">
        <is>
          <t>MA-03A MICHINCHA</t>
        </is>
      </c>
      <c r="C454" s="254"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259" t="inlineStr">
        <is>
          <t>532MAMA</t>
        </is>
      </c>
      <c r="BL454" s="7" t="inlineStr">
        <is>
          <t>GMAP-SIGA</t>
        </is>
      </c>
      <c r="BM454" s="254" t="inlineStr">
        <is>
          <t>NF</t>
        </is>
      </c>
      <c r="BN454" s="266" t="inlineStr">
        <is>
          <t>Tranque (Canal del este)</t>
        </is>
      </c>
      <c r="BO454" s="254" t="inlineStr">
        <is>
          <t>SI PAT TRANQUE</t>
        </is>
      </c>
      <c r="BP454" s="106" t="inlineStr">
        <is>
          <t>MA-03A MICHINCHA/NF</t>
        </is>
      </c>
      <c r="BQ454" s="106">
        <f>VLOOKUP(BP454,[1]AGUA!$1:$1048576,2,FALSE)</f>
        <v/>
      </c>
      <c r="BR454" s="106">
        <f>VLOOKUP(BP454,[1]AGUA!$1:$1048576,6,FALSE)</f>
        <v/>
      </c>
      <c r="BS454" s="106">
        <f>VLOOKUP(BP454,[1]AGUA!$1:$1048576,7,FALSE)</f>
        <v/>
      </c>
      <c r="BT454" s="106" t="n"/>
      <c r="BU454" s="287"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4" t="n"/>
      <c r="DB454" s="254" t="n"/>
      <c r="DC454" s="254" t="n"/>
      <c r="DD454" s="254" t="n"/>
      <c r="DE454" s="254" t="n"/>
      <c r="DF454" s="254" t="n"/>
      <c r="DG454" s="254" t="n"/>
      <c r="DH454" s="254" t="n"/>
      <c r="DI454" s="254" t="n"/>
      <c r="DJ454" s="254" t="inlineStr">
        <is>
          <t>M</t>
        </is>
      </c>
      <c r="DK454" s="254" t="n">
        <v>8</v>
      </c>
      <c r="DL454" s="95" t="n">
        <v>14</v>
      </c>
      <c r="DM454" s="254" t="n"/>
      <c r="DN454" s="95" t="n"/>
      <c r="DO454" s="95" t="n"/>
    </row>
    <row r="455" ht="13" customHeight="1">
      <c r="A455" s="219" t="inlineStr">
        <is>
          <t>MA-03A</t>
        </is>
      </c>
      <c r="B455" s="255" t="n"/>
      <c r="C455" s="255"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255" t="n"/>
      <c r="BL455" s="7" t="inlineStr">
        <is>
          <t>GMAP-SIGA</t>
        </is>
      </c>
      <c r="BM455" s="254" t="inlineStr">
        <is>
          <t>ASUB</t>
        </is>
      </c>
      <c r="BN455" s="266" t="inlineStr">
        <is>
          <t>Tranque (Canal del este)</t>
        </is>
      </c>
      <c r="BO455" s="254" t="inlineStr">
        <is>
          <t>SI PAT TRANQUE</t>
        </is>
      </c>
      <c r="BP455" s="106" t="inlineStr">
        <is>
          <t>MA-03A MICHINCHA/ASUB</t>
        </is>
      </c>
      <c r="BQ455" s="106">
        <f>VLOOKUP(BP455,[1]AGUA!$1:$1048576,2,FALSE)</f>
        <v/>
      </c>
      <c r="BR455" s="106">
        <f>VLOOKUP(BP455,[1]AGUA!$1:$1048576,6,FALSE)</f>
        <v/>
      </c>
      <c r="BS455" s="106">
        <f>VLOOKUP(BP455,[1]AGUA!$1:$1048576,7,FALSE)</f>
        <v/>
      </c>
      <c r="BT455" s="106" t="n"/>
      <c r="BU455" s="252"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4" t="n"/>
      <c r="DB455" s="254" t="n"/>
      <c r="DC455" s="254" t="n"/>
      <c r="DD455" s="254" t="n"/>
      <c r="DE455" s="254" t="n"/>
      <c r="DF455" s="254" t="n"/>
      <c r="DG455" s="254" t="n"/>
      <c r="DH455" s="254" t="n"/>
      <c r="DI455" s="254" t="n"/>
      <c r="DJ455" s="254" t="n"/>
      <c r="DK455" s="254" t="n"/>
      <c r="DL455" s="95" t="n"/>
      <c r="DM455" s="254" t="inlineStr">
        <is>
          <t>M</t>
        </is>
      </c>
      <c r="DN455" s="95" t="n">
        <v>8</v>
      </c>
      <c r="DO455" s="95" t="n">
        <v>14</v>
      </c>
    </row>
    <row r="456" ht="13.5" customHeight="1">
      <c r="A456" s="203" t="inlineStr">
        <is>
          <t>MA-08</t>
        </is>
      </c>
      <c r="B456" s="260" t="inlineStr">
        <is>
          <t>MA-08 FALLA PABELLON</t>
        </is>
      </c>
      <c r="C456" s="254"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259" t="inlineStr">
        <is>
          <t>532MAMA</t>
        </is>
      </c>
      <c r="BL456" s="7" t="inlineStr">
        <is>
          <t>GMAP-SIGA</t>
        </is>
      </c>
      <c r="BM456" s="254" t="inlineStr">
        <is>
          <t>NF</t>
        </is>
      </c>
      <c r="BN456" s="106" t="inlineStr">
        <is>
          <t>Falla Pabellón</t>
        </is>
      </c>
      <c r="BO456" s="254" t="inlineStr">
        <is>
          <t>NO</t>
        </is>
      </c>
      <c r="BP456" s="106" t="inlineStr">
        <is>
          <t>MA-08 FALLA PABELLON/NF</t>
        </is>
      </c>
      <c r="BQ456" s="106">
        <f>VLOOKUP(BP456,[1]AGUA!$1:$1048576,2,FALSE)</f>
        <v/>
      </c>
      <c r="BR456" s="106">
        <f>VLOOKUP(BP456,[1]AGUA!$1:$1048576,6,FALSE)</f>
        <v/>
      </c>
      <c r="BS456" s="106">
        <f>VLOOKUP(BP456,[1]AGUA!$1:$1048576,7,FALSE)</f>
        <v/>
      </c>
      <c r="BT456" s="273"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4" t="n"/>
      <c r="DB456" s="254" t="n"/>
      <c r="DC456" s="254" t="n"/>
      <c r="DD456" s="254" t="n"/>
      <c r="DE456" s="254" t="n"/>
      <c r="DF456" s="254" t="n"/>
      <c r="DG456" s="254" t="n"/>
      <c r="DH456" s="254" t="n"/>
      <c r="DI456" s="254" t="n"/>
      <c r="DJ456" s="254" t="inlineStr">
        <is>
          <t>T</t>
        </is>
      </c>
      <c r="DK456" s="254" t="n">
        <v>15</v>
      </c>
      <c r="DL456" s="95" t="n">
        <v>21</v>
      </c>
      <c r="DM456" s="254" t="n"/>
      <c r="DN456" s="95" t="n"/>
      <c r="DO456" s="95" t="n"/>
    </row>
    <row r="457" ht="13" customHeight="1">
      <c r="A457" s="203" t="inlineStr">
        <is>
          <t>MA-08</t>
        </is>
      </c>
      <c r="B457" s="255" t="n"/>
      <c r="C457" s="255"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255" t="n"/>
      <c r="BL457" s="7" t="inlineStr">
        <is>
          <t>GMAP-SIGA</t>
        </is>
      </c>
      <c r="BM457" s="168" t="inlineStr">
        <is>
          <t>ASUB</t>
        </is>
      </c>
      <c r="BN457" s="106" t="inlineStr">
        <is>
          <t>Falla Pabellón</t>
        </is>
      </c>
      <c r="BO457" s="254" t="inlineStr">
        <is>
          <t>NO</t>
        </is>
      </c>
      <c r="BP457" s="106" t="inlineStr">
        <is>
          <t>MA-08 FALLA PABELLON/ASUB</t>
        </is>
      </c>
      <c r="BQ457" s="106">
        <f>VLOOKUP(BP457,[1]AGUA!$1:$1048576,2,FALSE)</f>
        <v/>
      </c>
      <c r="BR457" s="106">
        <f>VLOOKUP(BP457,[1]AGUA!$1:$1048576,6,FALSE)</f>
        <v/>
      </c>
      <c r="BS457" s="106">
        <f>VLOOKUP(BP457,[1]AGUA!$1:$1048576,7,FALSE)</f>
        <v/>
      </c>
      <c r="BT457" s="252"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4" t="n"/>
      <c r="DB457" s="254" t="n"/>
      <c r="DC457" s="254" t="n"/>
      <c r="DD457" s="254" t="n"/>
      <c r="DE457" s="254" t="n"/>
      <c r="DF457" s="254" t="n"/>
      <c r="DG457" s="254" t="n"/>
      <c r="DH457" s="254" t="n"/>
      <c r="DI457" s="254" t="n"/>
      <c r="DJ457" s="254" t="n"/>
      <c r="DK457" s="254" t="n"/>
      <c r="DL457" s="95" t="n"/>
      <c r="DM457" s="254" t="inlineStr">
        <is>
          <t>T</t>
        </is>
      </c>
      <c r="DN457" s="95" t="n">
        <v>15</v>
      </c>
      <c r="DO457" s="95" t="n">
        <v>21</v>
      </c>
    </row>
    <row r="458" ht="13" customHeight="1">
      <c r="A458" s="203" t="inlineStr">
        <is>
          <t>MAH-01</t>
        </is>
      </c>
      <c r="B458" s="260" t="inlineStr">
        <is>
          <t>MAH-01 HUINQUINTIPA</t>
        </is>
      </c>
      <c r="C458" s="254"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259" t="inlineStr">
        <is>
          <t>532MAMAH01</t>
        </is>
      </c>
      <c r="BL458" s="7" t="inlineStr">
        <is>
          <t>GMAP-SIGA</t>
        </is>
      </c>
      <c r="BM458" s="254" t="inlineStr">
        <is>
          <t>NF</t>
        </is>
      </c>
      <c r="BN458" s="266" t="inlineStr">
        <is>
          <t>Huinquintipa</t>
        </is>
      </c>
      <c r="BO458" s="254" t="inlineStr">
        <is>
          <t>SI</t>
        </is>
      </c>
      <c r="BP458" s="106" t="inlineStr">
        <is>
          <t>MAH-01 HUINQUINTIPA/NF</t>
        </is>
      </c>
      <c r="BQ458" s="106">
        <f>VLOOKUP(BP458,[1]AGUA!$1:$1048576,2,FALSE)</f>
        <v/>
      </c>
      <c r="BR458" s="106">
        <f>VLOOKUP(BP458,[1]AGUA!$1:$1048576,6,FALSE)</f>
        <v/>
      </c>
      <c r="BS458" s="106">
        <f>VLOOKUP(BP458,[1]AGUA!$1:$1048576,7,FALSE)</f>
        <v/>
      </c>
      <c r="BT458" s="106" t="n"/>
      <c r="BU458" s="251"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4" t="n"/>
      <c r="DB458" s="254" t="n"/>
      <c r="DC458" s="212" t="n"/>
      <c r="DD458" s="254" t="n"/>
      <c r="DE458" s="254" t="n"/>
      <c r="DF458" s="254" t="n"/>
      <c r="DG458" s="254" t="n"/>
      <c r="DH458" s="254" t="n"/>
      <c r="DI458" s="254" t="n"/>
      <c r="DJ458" s="254" t="inlineStr">
        <is>
          <t>M</t>
        </is>
      </c>
      <c r="DK458" s="254" t="n">
        <v>1</v>
      </c>
      <c r="DL458" s="95" t="n">
        <v>16</v>
      </c>
      <c r="DM458" s="254" t="n"/>
      <c r="DN458" s="95" t="n"/>
      <c r="DO458" s="95" t="n"/>
    </row>
    <row r="459" ht="12.5" customHeight="1">
      <c r="A459" s="203" t="inlineStr">
        <is>
          <t>MAH-01</t>
        </is>
      </c>
      <c r="B459" s="255" t="n"/>
      <c r="C459" s="255"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255" t="n"/>
      <c r="BL459" s="7" t="inlineStr">
        <is>
          <t>GMAP-SIGA</t>
        </is>
      </c>
      <c r="BM459" s="254" t="inlineStr">
        <is>
          <t>ASUB</t>
        </is>
      </c>
      <c r="BN459" s="266" t="inlineStr">
        <is>
          <t>Huinquintipa</t>
        </is>
      </c>
      <c r="BO459" s="254" t="inlineStr">
        <is>
          <t>SI</t>
        </is>
      </c>
      <c r="BP459" s="106" t="inlineStr">
        <is>
          <t>MAH-01 HUINQUINTIPA/ASUB</t>
        </is>
      </c>
      <c r="BQ459" s="106">
        <f>VLOOKUP(BP459,[1]AGUA!$1:$1048576,2,FALSE)</f>
        <v/>
      </c>
      <c r="BR459" s="106">
        <f>VLOOKUP(BP459,[1]AGUA!$1:$1048576,6,FALSE)</f>
        <v/>
      </c>
      <c r="BS459" s="106">
        <f>VLOOKUP(BP459,[1]AGUA!$1:$1048576,7,FALSE)</f>
        <v/>
      </c>
      <c r="BT459" s="106" t="n"/>
      <c r="BU459" s="252"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4" t="n"/>
      <c r="DB459" s="254" t="n"/>
      <c r="DC459" s="212" t="n"/>
      <c r="DD459" s="254" t="n"/>
      <c r="DE459" s="254" t="n"/>
      <c r="DF459" s="254" t="n"/>
      <c r="DG459" s="254" t="n"/>
      <c r="DH459" s="254" t="n"/>
      <c r="DI459" s="254" t="n"/>
      <c r="DJ459" s="254" t="n"/>
      <c r="DK459" s="254" t="n"/>
      <c r="DL459" s="95" t="n"/>
      <c r="DM459" s="254" t="inlineStr">
        <is>
          <t>T</t>
        </is>
      </c>
      <c r="DN459" s="95" t="n">
        <v>15</v>
      </c>
      <c r="DO459" s="95" t="n">
        <v>28</v>
      </c>
    </row>
    <row r="460" ht="13" customHeight="1">
      <c r="A460" s="203" t="inlineStr">
        <is>
          <t>MAU-01B</t>
        </is>
      </c>
      <c r="B460" s="260" t="inlineStr">
        <is>
          <t>MAU-01B LIXIVIACIÓN</t>
        </is>
      </c>
      <c r="C460" s="254"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259" t="inlineStr">
        <is>
          <t>532MAMAU</t>
        </is>
      </c>
      <c r="BL460" s="7" t="inlineStr">
        <is>
          <t>LIXIVIACIÓN</t>
        </is>
      </c>
      <c r="BM460" s="254" t="inlineStr">
        <is>
          <t>NF</t>
        </is>
      </c>
      <c r="BN460" s="266" t="inlineStr">
        <is>
          <t>Lixiviación</t>
        </is>
      </c>
      <c r="BO460" s="254" t="inlineStr">
        <is>
          <t>SI</t>
        </is>
      </c>
      <c r="BP460" s="106" t="inlineStr">
        <is>
          <t>MAU-01B LIXIVIACIÓN/NF</t>
        </is>
      </c>
      <c r="BQ460" s="106">
        <f>VLOOKUP(BP460,[1]AGUA!$1:$1048576,2,FALSE)</f>
        <v/>
      </c>
      <c r="BR460" s="106">
        <f>VLOOKUP(BP460,[1]AGUA!$1:$1048576,6,FALSE)</f>
        <v/>
      </c>
      <c r="BS460" s="106">
        <f>VLOOKUP(BP460,[1]AGUA!$1:$1048576,7,FALSE)</f>
        <v/>
      </c>
      <c r="BT460" s="106" t="n"/>
      <c r="BU460" s="251"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4" t="n"/>
      <c r="DB460" s="254" t="n"/>
      <c r="DC460" s="254" t="n"/>
      <c r="DD460" s="254" t="n"/>
      <c r="DE460" s="254" t="n"/>
      <c r="DF460" s="254" t="n"/>
      <c r="DG460" s="254" t="n"/>
      <c r="DH460" s="254" t="n"/>
      <c r="DI460" s="254" t="n"/>
      <c r="DJ460" s="254" t="inlineStr">
        <is>
          <t>T</t>
        </is>
      </c>
      <c r="DK460" s="254" t="n">
        <v>15</v>
      </c>
      <c r="DL460" s="95" t="n">
        <v>21</v>
      </c>
      <c r="DM460" s="254" t="n"/>
      <c r="DN460" s="95" t="n"/>
      <c r="DO460" s="95" t="n"/>
    </row>
    <row r="461" ht="13" customHeight="1">
      <c r="A461" s="203" t="inlineStr">
        <is>
          <t>MAU-01B</t>
        </is>
      </c>
      <c r="B461" s="255" t="n"/>
      <c r="C461" s="255"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255" t="n"/>
      <c r="BL461" s="7" t="inlineStr">
        <is>
          <t>LIXIVIACIÓN</t>
        </is>
      </c>
      <c r="BM461" s="168" t="inlineStr">
        <is>
          <t>ASUB</t>
        </is>
      </c>
      <c r="BN461" s="266" t="inlineStr">
        <is>
          <t>Lixiviación</t>
        </is>
      </c>
      <c r="BO461" s="254" t="inlineStr">
        <is>
          <t>SI</t>
        </is>
      </c>
      <c r="BP461" s="106" t="inlineStr">
        <is>
          <t>MAU-01B LIXIVIACIÓN/ASUB</t>
        </is>
      </c>
      <c r="BQ461" s="106">
        <f>VLOOKUP(BP461,[1]AGUA!$1:$1048576,2,FALSE)</f>
        <v/>
      </c>
      <c r="BR461" s="106">
        <f>VLOOKUP(BP461,[1]AGUA!$1:$1048576,6,FALSE)</f>
        <v/>
      </c>
      <c r="BS461" s="106">
        <f>VLOOKUP(BP461,[1]AGUA!$1:$1048576,7,FALSE)</f>
        <v/>
      </c>
      <c r="BT461" s="106" t="n"/>
      <c r="BU461" s="252"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4" t="n"/>
      <c r="DB461" s="254" t="n"/>
      <c r="DC461" s="254" t="n"/>
      <c r="DD461" s="254" t="n"/>
      <c r="DE461" s="254" t="n"/>
      <c r="DF461" s="254" t="n"/>
      <c r="DG461" s="254" t="n"/>
      <c r="DH461" s="254" t="n"/>
      <c r="DI461" s="254" t="n"/>
      <c r="DJ461" s="254" t="n"/>
      <c r="DK461" s="254" t="n"/>
      <c r="DL461" s="95" t="n"/>
      <c r="DM461" s="254" t="inlineStr">
        <is>
          <t>T</t>
        </is>
      </c>
      <c r="DN461" s="95" t="n">
        <v>15</v>
      </c>
      <c r="DO461" s="95" t="n">
        <v>21</v>
      </c>
    </row>
    <row r="462" ht="13" customHeight="1">
      <c r="A462" s="203" t="inlineStr">
        <is>
          <t>MAU-02</t>
        </is>
      </c>
      <c r="B462" s="260" t="inlineStr">
        <is>
          <t>MAU-02 MICHINCHA</t>
        </is>
      </c>
      <c r="C462" s="254"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259" t="inlineStr">
        <is>
          <t>532MAMAU</t>
        </is>
      </c>
      <c r="BL462" s="7" t="inlineStr">
        <is>
          <t>GMAP-SIGA</t>
        </is>
      </c>
      <c r="BM462" s="254" t="inlineStr">
        <is>
          <t>NF</t>
        </is>
      </c>
      <c r="BN462" s="266" t="inlineStr">
        <is>
          <t>Michincha</t>
        </is>
      </c>
      <c r="BO462" s="254" t="inlineStr">
        <is>
          <t>SI</t>
        </is>
      </c>
      <c r="BP462" s="106" t="inlineStr">
        <is>
          <t>MAU-02 MICHINCHA/NF</t>
        </is>
      </c>
      <c r="BQ462" s="106">
        <f>VLOOKUP(BP462,[1]AGUA!$1:$1048576,2,FALSE)</f>
        <v/>
      </c>
      <c r="BR462" s="106">
        <f>VLOOKUP(BP462,[1]AGUA!$1:$1048576,6,FALSE)</f>
        <v/>
      </c>
      <c r="BS462" s="106">
        <f>VLOOKUP(BP462,[1]AGUA!$1:$1048576,7,FALSE)</f>
        <v/>
      </c>
      <c r="BT462" s="106" t="n"/>
      <c r="BU462" s="251"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4" t="n"/>
      <c r="DB462" s="254" t="n"/>
      <c r="DC462" s="254" t="n"/>
      <c r="DD462" s="254" t="n"/>
      <c r="DE462" s="254" t="n"/>
      <c r="DF462" s="254" t="n"/>
      <c r="DG462" s="254" t="n"/>
      <c r="DH462" s="254" t="n"/>
      <c r="DI462" s="254" t="n"/>
      <c r="DJ462" s="254" t="inlineStr">
        <is>
          <t>M</t>
        </is>
      </c>
      <c r="DK462" s="254" t="n">
        <v>1</v>
      </c>
      <c r="DL462" s="95" t="n">
        <v>7</v>
      </c>
      <c r="DM462" s="254" t="n"/>
      <c r="DN462" s="95" t="n"/>
      <c r="DO462" s="95" t="n"/>
    </row>
    <row r="463" ht="13" customHeight="1">
      <c r="A463" s="203" t="inlineStr">
        <is>
          <t>MAU-02</t>
        </is>
      </c>
      <c r="B463" s="255" t="n"/>
      <c r="C463" s="255"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255" t="n"/>
      <c r="BL463" s="7" t="inlineStr">
        <is>
          <t>GMAP-SIGA</t>
        </is>
      </c>
      <c r="BM463" s="254" t="inlineStr">
        <is>
          <t>ASUB</t>
        </is>
      </c>
      <c r="BN463" s="266" t="inlineStr">
        <is>
          <t>Michincha</t>
        </is>
      </c>
      <c r="BO463" s="254" t="inlineStr">
        <is>
          <t>SI</t>
        </is>
      </c>
      <c r="BP463" s="106" t="inlineStr">
        <is>
          <t>MAU-02 MICHINCHA/ASUB</t>
        </is>
      </c>
      <c r="BQ463" s="106">
        <f>VLOOKUP(BP463,[1]AGUA!$1:$1048576,2,FALSE)</f>
        <v/>
      </c>
      <c r="BR463" s="106">
        <f>VLOOKUP(BP463,[1]AGUA!$1:$1048576,6,FALSE)</f>
        <v/>
      </c>
      <c r="BS463" s="106">
        <f>VLOOKUP(BP463,[1]AGUA!$1:$1048576,7,FALSE)</f>
        <v/>
      </c>
      <c r="BT463" s="106" t="n"/>
      <c r="BU463" s="252"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4" t="n"/>
      <c r="DB463" s="254" t="n"/>
      <c r="DC463" s="254" t="n"/>
      <c r="DD463" s="254" t="n"/>
      <c r="DE463" s="254" t="n"/>
      <c r="DF463" s="254" t="n"/>
      <c r="DG463" s="254" t="n"/>
      <c r="DH463" s="254" t="n"/>
      <c r="DI463" s="254" t="n"/>
      <c r="DJ463" s="254" t="n"/>
      <c r="DK463" s="254" t="n"/>
      <c r="DL463" s="95" t="n"/>
      <c r="DM463" s="254" t="inlineStr">
        <is>
          <t>T</t>
        </is>
      </c>
      <c r="DN463" s="95" t="n">
        <v>1</v>
      </c>
      <c r="DO463" s="95" t="n">
        <v>7</v>
      </c>
    </row>
    <row r="464" ht="13" customHeight="1">
      <c r="A464" s="203" t="inlineStr">
        <is>
          <t>MAU-03B</t>
        </is>
      </c>
      <c r="B464" s="260" t="inlineStr">
        <is>
          <t>MAU-03B LIXIVIACIÓN</t>
        </is>
      </c>
      <c r="C464" s="254"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259" t="inlineStr">
        <is>
          <t>532MAMAU</t>
        </is>
      </c>
      <c r="BL464" s="7" t="inlineStr">
        <is>
          <t>LIXIVIACIÓN</t>
        </is>
      </c>
      <c r="BM464" s="254" t="inlineStr">
        <is>
          <t>NF</t>
        </is>
      </c>
      <c r="BN464" s="266" t="inlineStr">
        <is>
          <t>Lixiviación</t>
        </is>
      </c>
      <c r="BO464" s="254" t="inlineStr">
        <is>
          <t>SI</t>
        </is>
      </c>
      <c r="BP464" s="106" t="inlineStr">
        <is>
          <t>MAU-03B LIXIVIACIÓN/NF</t>
        </is>
      </c>
      <c r="BQ464" s="106">
        <f>VLOOKUP(BP464,[1]AGUA!$1:$1048576,2,FALSE)</f>
        <v/>
      </c>
      <c r="BR464" s="106">
        <f>VLOOKUP(BP464,[1]AGUA!$1:$1048576,6,FALSE)</f>
        <v/>
      </c>
      <c r="BS464" s="106">
        <f>VLOOKUP(BP464,[1]AGUA!$1:$1048576,7,FALSE)</f>
        <v/>
      </c>
      <c r="BT464" s="106" t="n"/>
      <c r="BU464" s="251"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4" t="n"/>
      <c r="DB464" s="254" t="n"/>
      <c r="DC464" s="254" t="n"/>
      <c r="DD464" s="254" t="n"/>
      <c r="DE464" s="254" t="n"/>
      <c r="DF464" s="254" t="n"/>
      <c r="DG464" s="254" t="n"/>
      <c r="DH464" s="254" t="n"/>
      <c r="DI464" s="254" t="n"/>
      <c r="DJ464" s="254" t="inlineStr">
        <is>
          <t>M</t>
        </is>
      </c>
      <c r="DK464" s="254" t="n">
        <v>8</v>
      </c>
      <c r="DL464" s="95" t="n">
        <v>14</v>
      </c>
      <c r="DM464" s="254" t="n"/>
      <c r="DN464" s="95" t="n"/>
      <c r="DO464" s="95" t="n"/>
    </row>
    <row r="465" ht="13" customHeight="1">
      <c r="A465" s="203" t="inlineStr">
        <is>
          <t>MAU-03B</t>
        </is>
      </c>
      <c r="B465" s="260" t="inlineStr">
        <is>
          <t>MAU-03B LIXIVIACIÓN</t>
        </is>
      </c>
      <c r="C465" s="255"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255" t="n"/>
      <c r="BL465" s="7" t="inlineStr">
        <is>
          <t>LIXIVIACIÓN</t>
        </is>
      </c>
      <c r="BM465" s="254" t="inlineStr">
        <is>
          <t>ASUB</t>
        </is>
      </c>
      <c r="BN465" s="266" t="inlineStr">
        <is>
          <t>Lixiviación</t>
        </is>
      </c>
      <c r="BO465" s="254" t="inlineStr">
        <is>
          <t>SI</t>
        </is>
      </c>
      <c r="BP465" s="106" t="inlineStr">
        <is>
          <t>MAU-03B LIXIVIACIÓN/ASUB</t>
        </is>
      </c>
      <c r="BQ465" s="106">
        <f>VLOOKUP(BP465,[1]AGUA!$1:$1048576,2,FALSE)</f>
        <v/>
      </c>
      <c r="BR465" s="106">
        <f>VLOOKUP(BP465,[1]AGUA!$1:$1048576,6,FALSE)</f>
        <v/>
      </c>
      <c r="BS465" s="106">
        <f>VLOOKUP(BP465,[1]AGUA!$1:$1048576,7,FALSE)</f>
        <v/>
      </c>
      <c r="BT465" s="106" t="n"/>
      <c r="BU465" s="252"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4" t="n"/>
      <c r="DB465" s="254" t="n"/>
      <c r="DC465" s="254" t="n"/>
      <c r="DD465" s="254" t="n"/>
      <c r="DE465" s="254" t="n"/>
      <c r="DF465" s="254" t="n"/>
      <c r="DG465" s="254" t="n"/>
      <c r="DH465" s="254" t="n"/>
      <c r="DI465" s="254" t="n"/>
      <c r="DJ465" s="254" t="n"/>
      <c r="DK465" s="254" t="n"/>
      <c r="DL465" s="95" t="n"/>
      <c r="DM465" s="254" t="inlineStr">
        <is>
          <t>M</t>
        </is>
      </c>
      <c r="DN465" s="95" t="n">
        <v>8</v>
      </c>
      <c r="DO465" s="95" t="n">
        <v>14</v>
      </c>
    </row>
    <row r="466" ht="13" customHeight="1">
      <c r="A466" s="203" t="inlineStr">
        <is>
          <t>MAU-04</t>
        </is>
      </c>
      <c r="B466" s="255"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259" t="inlineStr">
        <is>
          <t>532MAMAU</t>
        </is>
      </c>
      <c r="BL466" s="61" t="inlineStr">
        <is>
          <t>LIXIVIACIÓN</t>
        </is>
      </c>
      <c r="BM466" s="254" t="inlineStr">
        <is>
          <t>NF</t>
        </is>
      </c>
      <c r="BN466" s="266" t="inlineStr">
        <is>
          <t>Lixiviación</t>
        </is>
      </c>
      <c r="BO466" s="254"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4" t="n"/>
      <c r="DB466" s="254" t="n"/>
      <c r="DC466" s="254" t="n"/>
      <c r="DD466" s="254" t="n"/>
      <c r="DE466" s="254" t="n"/>
      <c r="DF466" s="254" t="n"/>
      <c r="DG466" s="254" t="n"/>
      <c r="DH466" s="254" t="n"/>
      <c r="DI466" s="254" t="n"/>
      <c r="DJ466" s="254" t="inlineStr">
        <is>
          <t>T</t>
        </is>
      </c>
      <c r="DK466" s="254" t="n">
        <v>22</v>
      </c>
      <c r="DL466" s="95" t="n">
        <v>28</v>
      </c>
      <c r="DM466" s="254" t="n"/>
      <c r="DN466" s="95" t="n"/>
      <c r="DO466" s="95" t="n"/>
    </row>
    <row r="467" ht="13" customHeight="1">
      <c r="A467" s="203" t="inlineStr">
        <is>
          <t>MAU-05B</t>
        </is>
      </c>
      <c r="B467" s="260" t="inlineStr">
        <is>
          <t>MAU-05B LIXIVIACIÓN</t>
        </is>
      </c>
      <c r="C467" s="254"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259" t="inlineStr">
        <is>
          <t>532MAMAU</t>
        </is>
      </c>
      <c r="BL467" s="7" t="inlineStr">
        <is>
          <t>LIXIVIACIÓN</t>
        </is>
      </c>
      <c r="BM467" s="254" t="inlineStr">
        <is>
          <t>NF</t>
        </is>
      </c>
      <c r="BN467" s="266" t="inlineStr">
        <is>
          <t>Lixiviación</t>
        </is>
      </c>
      <c r="BO467" s="254" t="inlineStr">
        <is>
          <t>SI PAT TRANQUE</t>
        </is>
      </c>
      <c r="BP467" s="106" t="inlineStr">
        <is>
          <t>MAU-05B LIXIVIACIÓN/NF</t>
        </is>
      </c>
      <c r="BQ467" s="106">
        <f>VLOOKUP(BP467,[1]AGUA!$1:$1048576,2,FALSE)</f>
        <v/>
      </c>
      <c r="BR467" s="106">
        <f>VLOOKUP(BP467,[1]AGUA!$1:$1048576,6,FALSE)</f>
        <v/>
      </c>
      <c r="BS467" s="106">
        <f>VLOOKUP(BP467,[1]AGUA!$1:$1048576,7,FALSE)</f>
        <v/>
      </c>
      <c r="BT467" s="106" t="n"/>
      <c r="BU467" s="251"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4" t="n"/>
      <c r="DB467" s="254" t="n"/>
      <c r="DC467" s="254" t="n"/>
      <c r="DD467" s="254" t="n"/>
      <c r="DE467" s="254" t="n"/>
      <c r="DF467" s="254" t="n"/>
      <c r="DG467" s="254" t="n"/>
      <c r="DH467" s="254" t="n"/>
      <c r="DI467" s="254" t="n"/>
      <c r="DJ467" s="254" t="inlineStr">
        <is>
          <t>M</t>
        </is>
      </c>
      <c r="DK467" s="254" t="n">
        <v>8</v>
      </c>
      <c r="DL467" s="95" t="n">
        <v>14</v>
      </c>
      <c r="DM467" s="254" t="n"/>
      <c r="DN467" s="95" t="n"/>
      <c r="DO467" s="95" t="n"/>
    </row>
    <row r="468" ht="12.5" customHeight="1">
      <c r="A468" s="203" t="inlineStr">
        <is>
          <t>MAU-05B</t>
        </is>
      </c>
      <c r="B468" s="255" t="n"/>
      <c r="C468" s="255"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255" t="n"/>
      <c r="BL468" s="7" t="inlineStr">
        <is>
          <t>LIXIVIACIÓN</t>
        </is>
      </c>
      <c r="BM468" s="254" t="inlineStr">
        <is>
          <t>ASUB</t>
        </is>
      </c>
      <c r="BN468" s="266" t="inlineStr">
        <is>
          <t>Lixiviación</t>
        </is>
      </c>
      <c r="BO468" s="254" t="inlineStr">
        <is>
          <t>SI PAT TRANQUE</t>
        </is>
      </c>
      <c r="BP468" s="106" t="inlineStr">
        <is>
          <t>MAU-05B LIXIVIACIÓN/ASUB</t>
        </is>
      </c>
      <c r="BQ468" s="106">
        <f>VLOOKUP(BP468,[1]AGUA!$1:$1048576,2,FALSE)</f>
        <v/>
      </c>
      <c r="BR468" s="106">
        <f>VLOOKUP(BP468,[1]AGUA!$1:$1048576,6,FALSE)</f>
        <v/>
      </c>
      <c r="BS468" s="106">
        <f>VLOOKUP(BP468,[1]AGUA!$1:$1048576,7,FALSE)</f>
        <v/>
      </c>
      <c r="BT468" s="106" t="n"/>
      <c r="BU468" s="252"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4" t="n"/>
      <c r="DB468" s="254" t="n"/>
      <c r="DC468" s="254" t="n"/>
      <c r="DD468" s="254" t="n"/>
      <c r="DE468" s="254" t="n"/>
      <c r="DF468" s="254" t="n"/>
      <c r="DG468" s="254" t="n"/>
      <c r="DH468" s="254" t="n"/>
      <c r="DI468" s="254" t="n"/>
      <c r="DJ468" s="254" t="n"/>
      <c r="DK468" s="254" t="n"/>
      <c r="DL468" s="95" t="n"/>
      <c r="DM468" s="254" t="inlineStr">
        <is>
          <t>M</t>
        </is>
      </c>
      <c r="DN468" s="95" t="n">
        <v>8</v>
      </c>
      <c r="DO468" s="95" t="n">
        <v>14</v>
      </c>
    </row>
    <row r="469" ht="12.65" customHeight="1">
      <c r="A469" s="203" t="inlineStr">
        <is>
          <t>MAU-07B</t>
        </is>
      </c>
      <c r="B469" s="260" t="inlineStr">
        <is>
          <t>MAU-07B LIXIVIACIÓN</t>
        </is>
      </c>
      <c r="C469" s="254"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259" t="inlineStr">
        <is>
          <t>532MAMAU</t>
        </is>
      </c>
      <c r="BL469" s="7" t="inlineStr">
        <is>
          <t>LIXIVIACIÓN</t>
        </is>
      </c>
      <c r="BM469" s="254" t="inlineStr">
        <is>
          <t>NF</t>
        </is>
      </c>
      <c r="BN469" s="266" t="inlineStr">
        <is>
          <t>Lixiviación</t>
        </is>
      </c>
      <c r="BO469" s="254" t="inlineStr">
        <is>
          <t>SI</t>
        </is>
      </c>
      <c r="BP469" s="106" t="inlineStr">
        <is>
          <t>MAU-07B LIXIVIACIÓN/NF</t>
        </is>
      </c>
      <c r="BQ469" s="106">
        <f>VLOOKUP(BP469,[1]AGUA!$1:$1048576,2,FALSE)</f>
        <v/>
      </c>
      <c r="BR469" s="106">
        <f>VLOOKUP(BP469,[1]AGUA!$1:$1048576,6,FALSE)</f>
        <v/>
      </c>
      <c r="BS469" s="106">
        <f>VLOOKUP(BP469,[1]AGUA!$1:$1048576,7,FALSE)</f>
        <v/>
      </c>
      <c r="BT469" s="106" t="n"/>
      <c r="BU469" s="251"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4" t="n"/>
      <c r="DB469" s="254" t="n"/>
      <c r="DC469" s="254" t="n"/>
      <c r="DD469" s="254" t="n"/>
      <c r="DE469" s="254" t="n"/>
      <c r="DF469" s="254" t="n"/>
      <c r="DG469" s="254" t="n"/>
      <c r="DH469" s="254" t="n"/>
      <c r="DI469" s="254" t="n"/>
      <c r="DJ469" s="254" t="inlineStr">
        <is>
          <t>M</t>
        </is>
      </c>
      <c r="DK469" s="254" t="n">
        <v>8</v>
      </c>
      <c r="DL469" s="95" t="n">
        <v>14</v>
      </c>
      <c r="DM469" s="254" t="n"/>
      <c r="DN469" s="95" t="n"/>
      <c r="DO469" s="95" t="n"/>
    </row>
    <row r="470" ht="13" customHeight="1">
      <c r="A470" s="203" t="inlineStr">
        <is>
          <t>MAU-07B</t>
        </is>
      </c>
      <c r="B470" s="255" t="n"/>
      <c r="C470" s="255"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255" t="n"/>
      <c r="BL470" s="7" t="inlineStr">
        <is>
          <t>LIXIVIACIÓN</t>
        </is>
      </c>
      <c r="BM470" s="254" t="inlineStr">
        <is>
          <t>ASUB</t>
        </is>
      </c>
      <c r="BN470" s="266" t="inlineStr">
        <is>
          <t>Lixiviación</t>
        </is>
      </c>
      <c r="BO470" s="254" t="inlineStr">
        <is>
          <t>SI</t>
        </is>
      </c>
      <c r="BP470" s="106" t="inlineStr">
        <is>
          <t>MAU-07B LIXIVIACIÓN/ASUB</t>
        </is>
      </c>
      <c r="BQ470" s="106">
        <f>VLOOKUP(BP470,[1]AGUA!$1:$1048576,2,FALSE)</f>
        <v/>
      </c>
      <c r="BR470" s="106">
        <f>VLOOKUP(BP470,[1]AGUA!$1:$1048576,6,FALSE)</f>
        <v/>
      </c>
      <c r="BS470" s="106">
        <f>VLOOKUP(BP470,[1]AGUA!$1:$1048576,7,FALSE)</f>
        <v/>
      </c>
      <c r="BT470" s="106" t="n"/>
      <c r="BU470" s="252"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4" t="n"/>
      <c r="DB470" s="254" t="n"/>
      <c r="DC470" s="254" t="n"/>
      <c r="DD470" s="254" t="n"/>
      <c r="DE470" s="254" t="n"/>
      <c r="DF470" s="254" t="n"/>
      <c r="DG470" s="254" t="n"/>
      <c r="DH470" s="254" t="n"/>
      <c r="DI470" s="254" t="n"/>
      <c r="DJ470" s="254" t="n"/>
      <c r="DK470" s="254" t="n"/>
      <c r="DL470" s="95" t="n"/>
      <c r="DM470" s="254" t="inlineStr">
        <is>
          <t>M</t>
        </is>
      </c>
      <c r="DN470" s="95" t="n">
        <v>8</v>
      </c>
      <c r="DO470" s="95" t="n">
        <v>14</v>
      </c>
    </row>
    <row r="471" ht="13" customHeight="1">
      <c r="A471" s="203" t="inlineStr">
        <is>
          <t>MAU-08B</t>
        </is>
      </c>
      <c r="B471" s="260" t="inlineStr">
        <is>
          <t>MAU-08B LIXIVIACIÓN</t>
        </is>
      </c>
      <c r="C471" s="254"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259" t="inlineStr">
        <is>
          <t>532MAMAU</t>
        </is>
      </c>
      <c r="BL471" s="7" t="inlineStr">
        <is>
          <t>LIXIVIACIÓN</t>
        </is>
      </c>
      <c r="BM471" s="254" t="inlineStr">
        <is>
          <t>NF</t>
        </is>
      </c>
      <c r="BN471" s="266" t="inlineStr">
        <is>
          <t>Lixiviación</t>
        </is>
      </c>
      <c r="BO471" s="254" t="inlineStr">
        <is>
          <t>SI</t>
        </is>
      </c>
      <c r="BP471" s="106" t="inlineStr">
        <is>
          <t>MAU-08B LIXIVIACIÓN/NF</t>
        </is>
      </c>
      <c r="BQ471" s="106">
        <f>VLOOKUP(BP471,[1]AGUA!$1:$1048576,2,FALSE)</f>
        <v/>
      </c>
      <c r="BR471" s="106">
        <f>VLOOKUP(BP471,[1]AGUA!$1:$1048576,6,FALSE)</f>
        <v/>
      </c>
      <c r="BS471" s="106">
        <f>VLOOKUP(BP471,[1]AGUA!$1:$1048576,7,FALSE)</f>
        <v/>
      </c>
      <c r="BT471" s="106" t="n"/>
      <c r="BU471" s="251"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4" t="n"/>
      <c r="DB471" s="254" t="n"/>
      <c r="DC471" s="254" t="n"/>
      <c r="DD471" s="254" t="n"/>
      <c r="DE471" s="254" t="n"/>
      <c r="DF471" s="254" t="n"/>
      <c r="DG471" s="254" t="n"/>
      <c r="DH471" s="254" t="n"/>
      <c r="DI471" s="254" t="n"/>
      <c r="DJ471" s="254" t="inlineStr">
        <is>
          <t>M</t>
        </is>
      </c>
      <c r="DK471" s="254" t="n">
        <v>8</v>
      </c>
      <c r="DL471" s="95" t="n">
        <v>14</v>
      </c>
      <c r="DM471" s="254" t="n"/>
      <c r="DN471" s="95" t="n"/>
      <c r="DO471" s="95" t="n"/>
    </row>
    <row r="472" ht="13" customHeight="1">
      <c r="A472" s="203" t="inlineStr">
        <is>
          <t>MAU-08B</t>
        </is>
      </c>
      <c r="B472" s="255" t="n"/>
      <c r="C472" s="255"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255" t="n"/>
      <c r="BL472" s="7" t="inlineStr">
        <is>
          <t>LIXIVIACIÓN</t>
        </is>
      </c>
      <c r="BM472" s="254" t="inlineStr">
        <is>
          <t>ASUB</t>
        </is>
      </c>
      <c r="BN472" s="266" t="inlineStr">
        <is>
          <t>Lixiviación</t>
        </is>
      </c>
      <c r="BO472" s="254" t="inlineStr">
        <is>
          <t>SI</t>
        </is>
      </c>
      <c r="BP472" s="106" t="inlineStr">
        <is>
          <t>MAU-08B LIXIVIACIÓN/ASUB</t>
        </is>
      </c>
      <c r="BQ472" s="106">
        <f>VLOOKUP(BP472,[1]AGUA!$1:$1048576,2,FALSE)</f>
        <v/>
      </c>
      <c r="BR472" s="106">
        <f>VLOOKUP(BP472,[1]AGUA!$1:$1048576,6,FALSE)</f>
        <v/>
      </c>
      <c r="BS472" s="106">
        <f>VLOOKUP(BP472,[1]AGUA!$1:$1048576,7,FALSE)</f>
        <v/>
      </c>
      <c r="BT472" s="106" t="n"/>
      <c r="BU472" s="252"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4" t="n"/>
      <c r="DB472" s="254" t="n"/>
      <c r="DC472" s="254" t="n"/>
      <c r="DD472" s="254" t="n"/>
      <c r="DE472" s="254" t="n"/>
      <c r="DF472" s="254" t="n"/>
      <c r="DG472" s="254" t="n"/>
      <c r="DH472" s="254" t="n"/>
      <c r="DI472" s="254" t="n"/>
      <c r="DJ472" s="254" t="n"/>
      <c r="DK472" s="254" t="n"/>
      <c r="DL472" s="95" t="n"/>
      <c r="DM472" s="254" t="inlineStr">
        <is>
          <t>M</t>
        </is>
      </c>
      <c r="DN472" s="95" t="n">
        <v>8</v>
      </c>
      <c r="DO472" s="95" t="n">
        <v>14</v>
      </c>
    </row>
    <row r="473" ht="13" customHeight="1">
      <c r="A473" s="203" t="inlineStr">
        <is>
          <t>MAU-09</t>
        </is>
      </c>
      <c r="B473" s="260"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61" t="inlineStr">
        <is>
          <t>532MAMAU</t>
        </is>
      </c>
      <c r="BL473" s="61" t="inlineStr">
        <is>
          <t>LIXIVIACIÓN</t>
        </is>
      </c>
      <c r="BM473" s="254" t="inlineStr">
        <is>
          <t>NF</t>
        </is>
      </c>
      <c r="BN473" s="266" t="inlineStr">
        <is>
          <t>Lixiviación</t>
        </is>
      </c>
      <c r="BO473" s="254"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4" t="n"/>
      <c r="DB473" s="254" t="n"/>
      <c r="DC473" s="254" t="n"/>
      <c r="DD473" s="254" t="n"/>
      <c r="DE473" s="254" t="n"/>
      <c r="DF473" s="254" t="n"/>
      <c r="DG473" s="254" t="n"/>
      <c r="DH473" s="254" t="n"/>
      <c r="DI473" s="254" t="n"/>
      <c r="DJ473" s="254" t="inlineStr">
        <is>
          <t>M</t>
        </is>
      </c>
      <c r="DK473" s="254" t="n">
        <v>22</v>
      </c>
      <c r="DL473" s="95" t="n">
        <v>28</v>
      </c>
      <c r="DM473" s="254" t="n"/>
      <c r="DN473" s="95" t="n"/>
      <c r="DO473" s="95" t="n"/>
    </row>
    <row r="474" ht="13" customHeight="1">
      <c r="A474" s="203" t="inlineStr">
        <is>
          <t>MAU-10</t>
        </is>
      </c>
      <c r="B474" s="260" t="inlineStr">
        <is>
          <t>MAU-10 LIXIVIACIÓN</t>
        </is>
      </c>
      <c r="C474" s="254"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259" t="inlineStr">
        <is>
          <t>532MAMAU</t>
        </is>
      </c>
      <c r="BL474" s="7" t="inlineStr">
        <is>
          <t>LIXIVIACIÓN</t>
        </is>
      </c>
      <c r="BM474" s="254" t="inlineStr">
        <is>
          <t>NF</t>
        </is>
      </c>
      <c r="BN474" s="266" t="inlineStr">
        <is>
          <t>Lixiviación</t>
        </is>
      </c>
      <c r="BO474" s="254" t="inlineStr">
        <is>
          <t>NO</t>
        </is>
      </c>
      <c r="BP474" s="106" t="inlineStr">
        <is>
          <t>MAU-10 LIXIVIACIÓN/NF</t>
        </is>
      </c>
      <c r="BQ474" s="106">
        <f>VLOOKUP(BP474,[1]AGUA!$1:$1048576,2,FALSE)</f>
        <v/>
      </c>
      <c r="BR474" s="106">
        <f>VLOOKUP(BP474,[1]AGUA!$1:$1048576,6,FALSE)</f>
        <v/>
      </c>
      <c r="BS474" s="106">
        <f>VLOOKUP(BP474,[1]AGUA!$1:$1048576,7,FALSE)</f>
        <v/>
      </c>
      <c r="BT474" s="106" t="n"/>
      <c r="BU474" s="251"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4" t="n"/>
      <c r="DB474" s="254" t="n"/>
      <c r="DC474" s="254" t="n"/>
      <c r="DD474" s="254" t="n"/>
      <c r="DE474" s="254" t="n"/>
      <c r="DF474" s="254" t="n"/>
      <c r="DG474" s="254" t="n"/>
      <c r="DH474" s="254" t="n"/>
      <c r="DI474" s="254" t="n"/>
      <c r="DJ474" s="254" t="inlineStr">
        <is>
          <t>M</t>
        </is>
      </c>
      <c r="DK474" s="254" t="n">
        <v>22</v>
      </c>
      <c r="DL474" s="95" t="n">
        <v>28</v>
      </c>
      <c r="DM474" s="254" t="n"/>
      <c r="DN474" s="95" t="n"/>
      <c r="DO474" s="95" t="n"/>
    </row>
    <row r="475" ht="13" customHeight="1">
      <c r="A475" s="203" t="inlineStr">
        <is>
          <t>MAU-10</t>
        </is>
      </c>
      <c r="B475" s="255" t="n"/>
      <c r="C475" s="255"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255" t="n"/>
      <c r="BL475" s="7" t="inlineStr">
        <is>
          <t>LIXIVIACIÓN</t>
        </is>
      </c>
      <c r="BM475" s="254" t="inlineStr">
        <is>
          <t>ASUB</t>
        </is>
      </c>
      <c r="BN475" s="266" t="inlineStr">
        <is>
          <t>Lixiviación</t>
        </is>
      </c>
      <c r="BO475" s="254" t="inlineStr">
        <is>
          <t>NO</t>
        </is>
      </c>
      <c r="BP475" s="106" t="inlineStr">
        <is>
          <t>MAU-10 LIXIVIACIÓN/ASUB</t>
        </is>
      </c>
      <c r="BQ475" s="106">
        <f>VLOOKUP(BP475,[1]AGUA!$1:$1048576,2,FALSE)</f>
        <v/>
      </c>
      <c r="BR475" s="106">
        <f>VLOOKUP(BP475,[1]AGUA!$1:$1048576,6,FALSE)</f>
        <v/>
      </c>
      <c r="BS475" s="106">
        <f>VLOOKUP(BP475,[1]AGUA!$1:$1048576,7,FALSE)</f>
        <v/>
      </c>
      <c r="BT475" s="106" t="n"/>
      <c r="BU475" s="252"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4" t="n"/>
      <c r="DB475" s="254" t="n"/>
      <c r="DC475" s="254" t="n"/>
      <c r="DD475" s="254" t="n"/>
      <c r="DE475" s="254" t="n"/>
      <c r="DF475" s="254" t="n"/>
      <c r="DG475" s="254" t="n"/>
      <c r="DH475" s="254" t="n"/>
      <c r="DI475" s="254" t="n"/>
      <c r="DJ475" s="254" t="n"/>
      <c r="DK475" s="254" t="n"/>
      <c r="DL475" s="95" t="n"/>
      <c r="DM475" s="254" t="inlineStr">
        <is>
          <t>M</t>
        </is>
      </c>
      <c r="DN475" s="95" t="n">
        <v>22</v>
      </c>
      <c r="DO475" s="95" t="n">
        <v>28</v>
      </c>
    </row>
    <row r="476" ht="13" customHeight="1">
      <c r="A476" s="203" t="inlineStr">
        <is>
          <t>MAU-11B</t>
        </is>
      </c>
      <c r="B476" s="260" t="inlineStr">
        <is>
          <t>MAU-11B LIXIVIACIÓN</t>
        </is>
      </c>
      <c r="C476" s="254"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259" t="inlineStr">
        <is>
          <t>532MAMAU</t>
        </is>
      </c>
      <c r="BL476" s="7" t="inlineStr">
        <is>
          <t>LIXIVIACIÓN</t>
        </is>
      </c>
      <c r="BM476" s="254" t="inlineStr">
        <is>
          <t>NF</t>
        </is>
      </c>
      <c r="BN476" s="266" t="inlineStr">
        <is>
          <t>Lixiviación</t>
        </is>
      </c>
      <c r="BO476" s="254" t="inlineStr">
        <is>
          <t>SI PAT TRANQUE</t>
        </is>
      </c>
      <c r="BP476" s="106" t="inlineStr">
        <is>
          <t>MAU-11B LIXIVIACIÓN/NF</t>
        </is>
      </c>
      <c r="BQ476" s="106">
        <f>VLOOKUP(BP476,[1]AGUA!$1:$1048576,2,FALSE)</f>
        <v/>
      </c>
      <c r="BR476" s="106">
        <f>VLOOKUP(BP476,[1]AGUA!$1:$1048576,6,FALSE)</f>
        <v/>
      </c>
      <c r="BS476" s="106">
        <f>VLOOKUP(BP476,[1]AGUA!$1:$1048576,7,FALSE)</f>
        <v/>
      </c>
      <c r="BT476" s="106" t="n"/>
      <c r="BU476" s="251"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4" t="n"/>
      <c r="DB476" s="254" t="n"/>
      <c r="DC476" s="254" t="n"/>
      <c r="DD476" s="254" t="n"/>
      <c r="DE476" s="254" t="n"/>
      <c r="DF476" s="254" t="n"/>
      <c r="DG476" s="254" t="n"/>
      <c r="DH476" s="254" t="n"/>
      <c r="DI476" s="254" t="n"/>
      <c r="DJ476" s="254" t="inlineStr">
        <is>
          <t>M</t>
        </is>
      </c>
      <c r="DK476" s="254" t="n">
        <v>8</v>
      </c>
      <c r="DL476" s="95" t="n">
        <v>14</v>
      </c>
      <c r="DM476" s="254" t="n"/>
      <c r="DN476" s="95" t="n"/>
      <c r="DO476" s="95" t="n"/>
    </row>
    <row r="477" ht="13" customHeight="1">
      <c r="A477" s="203" t="inlineStr">
        <is>
          <t>MAU-11B</t>
        </is>
      </c>
      <c r="B477" s="255" t="n"/>
      <c r="C477" s="255"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255" t="n"/>
      <c r="BL477" s="7" t="inlineStr">
        <is>
          <t>LIXIVIACIÓN</t>
        </is>
      </c>
      <c r="BM477" s="254" t="inlineStr">
        <is>
          <t>ASUB</t>
        </is>
      </c>
      <c r="BN477" s="266" t="inlineStr">
        <is>
          <t>Lixiviación</t>
        </is>
      </c>
      <c r="BO477" s="254" t="inlineStr">
        <is>
          <t>SI PAT TRANQUE</t>
        </is>
      </c>
      <c r="BP477" s="106" t="inlineStr">
        <is>
          <t>MAU-11B LIXIVIACIÓN/ASUB</t>
        </is>
      </c>
      <c r="BQ477" s="106">
        <f>VLOOKUP(BP477,[1]AGUA!$1:$1048576,2,FALSE)</f>
        <v/>
      </c>
      <c r="BR477" s="106">
        <f>VLOOKUP(BP477,[1]AGUA!$1:$1048576,6,FALSE)</f>
        <v/>
      </c>
      <c r="BS477" s="106">
        <f>VLOOKUP(BP477,[1]AGUA!$1:$1048576,7,FALSE)</f>
        <v/>
      </c>
      <c r="BT477" s="106" t="n"/>
      <c r="BU477" s="252"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4" t="n"/>
      <c r="DB477" s="254" t="n"/>
      <c r="DC477" s="254" t="n"/>
      <c r="DD477" s="254" t="n"/>
      <c r="DE477" s="254" t="n"/>
      <c r="DF477" s="254" t="n"/>
      <c r="DG477" s="254" t="n"/>
      <c r="DH477" s="254" t="n"/>
      <c r="DI477" s="254" t="n"/>
      <c r="DJ477" s="254" t="n"/>
      <c r="DK477" s="254" t="n"/>
      <c r="DL477" s="95" t="n"/>
      <c r="DM477" s="254" t="inlineStr">
        <is>
          <t>M</t>
        </is>
      </c>
      <c r="DN477" s="95" t="n">
        <v>8</v>
      </c>
      <c r="DO477" s="95" t="n">
        <v>14</v>
      </c>
    </row>
    <row r="478" ht="13" customHeight="1">
      <c r="A478" s="203" t="inlineStr">
        <is>
          <t>MAU-12</t>
        </is>
      </c>
      <c r="B478" s="260" t="inlineStr">
        <is>
          <t>MAU-12 LIXIVIACIÓN</t>
        </is>
      </c>
      <c r="C478" s="254"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259" t="inlineStr">
        <is>
          <t>532MAMAU</t>
        </is>
      </c>
      <c r="BL478" s="7" t="inlineStr">
        <is>
          <t>LIXIVIACIÓN</t>
        </is>
      </c>
      <c r="BM478" s="254" t="inlineStr">
        <is>
          <t>NF</t>
        </is>
      </c>
      <c r="BN478" s="266" t="inlineStr">
        <is>
          <t>Lixiviación</t>
        </is>
      </c>
      <c r="BO478" s="254" t="inlineStr">
        <is>
          <t>SI</t>
        </is>
      </c>
      <c r="BP478" s="106" t="inlineStr">
        <is>
          <t>MAU-12 LIXIVIACIÓN/NF</t>
        </is>
      </c>
      <c r="BQ478" s="106">
        <f>VLOOKUP(BP478,[1]AGUA!$1:$1048576,2,FALSE)</f>
        <v/>
      </c>
      <c r="BR478" s="106">
        <f>VLOOKUP(BP478,[1]AGUA!$1:$1048576,6,FALSE)</f>
        <v/>
      </c>
      <c r="BS478" s="106">
        <f>VLOOKUP(BP478,[1]AGUA!$1:$1048576,7,FALSE)</f>
        <v/>
      </c>
      <c r="BT478" s="106" t="n"/>
      <c r="BU478" s="251"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4" t="n"/>
      <c r="DB478" s="254" t="n"/>
      <c r="DC478" s="254" t="n"/>
      <c r="DD478" s="254" t="n"/>
      <c r="DE478" s="254" t="n"/>
      <c r="DF478" s="254" t="n"/>
      <c r="DG478" s="254" t="n"/>
      <c r="DH478" s="254" t="n"/>
      <c r="DI478" s="254" t="n"/>
      <c r="DJ478" s="254" t="inlineStr">
        <is>
          <t>M</t>
        </is>
      </c>
      <c r="DK478" s="254" t="n">
        <v>15</v>
      </c>
      <c r="DL478" s="95" t="n">
        <v>21</v>
      </c>
      <c r="DM478" s="254" t="n"/>
      <c r="DN478" s="95" t="n"/>
      <c r="DO478" s="95" t="n"/>
    </row>
    <row r="479" ht="13" customHeight="1">
      <c r="A479" s="203" t="inlineStr">
        <is>
          <t>MAU-12</t>
        </is>
      </c>
      <c r="B479" s="255" t="n"/>
      <c r="C479" s="255"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255" t="n"/>
      <c r="BL479" s="7" t="inlineStr">
        <is>
          <t>LIXIVIACIÓN</t>
        </is>
      </c>
      <c r="BM479" s="168" t="inlineStr">
        <is>
          <t>ASUB</t>
        </is>
      </c>
      <c r="BN479" s="266" t="inlineStr">
        <is>
          <t>Lixiviación</t>
        </is>
      </c>
      <c r="BO479" s="254" t="inlineStr">
        <is>
          <t>SI</t>
        </is>
      </c>
      <c r="BP479" s="106" t="inlineStr">
        <is>
          <t>MAU-12 LIXIVIACIÓN/ASUB</t>
        </is>
      </c>
      <c r="BQ479" s="106">
        <f>VLOOKUP(BP479,[1]AGUA!$1:$1048576,2,FALSE)</f>
        <v/>
      </c>
      <c r="BR479" s="106">
        <f>VLOOKUP(BP479,[1]AGUA!$1:$1048576,6,FALSE)</f>
        <v/>
      </c>
      <c r="BS479" s="106">
        <f>VLOOKUP(BP479,[1]AGUA!$1:$1048576,7,FALSE)</f>
        <v/>
      </c>
      <c r="BT479" s="106" t="n"/>
      <c r="BU479" s="252"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4" t="n"/>
      <c r="DB479" s="254" t="n"/>
      <c r="DC479" s="254" t="n"/>
      <c r="DD479" s="254" t="n"/>
      <c r="DE479" s="254" t="n"/>
      <c r="DF479" s="254" t="n"/>
      <c r="DG479" s="254" t="n"/>
      <c r="DH479" s="254" t="n"/>
      <c r="DI479" s="254" t="n"/>
      <c r="DJ479" s="254" t="n"/>
      <c r="DK479" s="254" t="n"/>
      <c r="DL479" s="95" t="n"/>
      <c r="DM479" s="254" t="inlineStr">
        <is>
          <t>M</t>
        </is>
      </c>
      <c r="DN479" s="95" t="n">
        <v>15</v>
      </c>
      <c r="DO479" s="95" t="n">
        <v>21</v>
      </c>
    </row>
    <row r="480" ht="13.5" customHeight="1">
      <c r="A480" s="219" t="inlineStr">
        <is>
          <t>MAU-13</t>
        </is>
      </c>
      <c r="B480" s="260" t="inlineStr">
        <is>
          <t>MAU-13 LIXIVIACIÓN</t>
        </is>
      </c>
      <c r="C480" s="254"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259" t="inlineStr">
        <is>
          <t>532MAMAU</t>
        </is>
      </c>
      <c r="BL480" s="7" t="inlineStr">
        <is>
          <t>LIXIVIACIÓN</t>
        </is>
      </c>
      <c r="BM480" s="254" t="inlineStr">
        <is>
          <t>NF</t>
        </is>
      </c>
      <c r="BN480" s="266" t="inlineStr">
        <is>
          <t>Lixiviación</t>
        </is>
      </c>
      <c r="BO480" s="254" t="inlineStr">
        <is>
          <t>SI</t>
        </is>
      </c>
      <c r="BP480" s="106" t="inlineStr">
        <is>
          <t>MAU-13 LIXIVIACIÓN/NF</t>
        </is>
      </c>
      <c r="BQ480" s="106">
        <f>VLOOKUP(BP480,[1]AGUA!$1:$1048576,2,FALSE)</f>
        <v/>
      </c>
      <c r="BR480" s="106">
        <f>VLOOKUP(BP480,[1]AGUA!$1:$1048576,6,FALSE)</f>
        <v/>
      </c>
      <c r="BS480" s="106">
        <f>VLOOKUP(BP480,[1]AGUA!$1:$1048576,7,FALSE)</f>
        <v/>
      </c>
      <c r="BT480" s="106" t="n"/>
      <c r="BU480" s="251"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4" t="n"/>
      <c r="DB480" s="254" t="n"/>
      <c r="DC480" s="254" t="n"/>
      <c r="DD480" s="254" t="n"/>
      <c r="DE480" s="254" t="n"/>
      <c r="DF480" s="254" t="n"/>
      <c r="DG480" s="254" t="n"/>
      <c r="DH480" s="254" t="n"/>
      <c r="DI480" s="254" t="n"/>
      <c r="DJ480" s="254" t="inlineStr">
        <is>
          <t>M</t>
        </is>
      </c>
      <c r="DK480" s="254" t="n">
        <v>1</v>
      </c>
      <c r="DL480" s="95" t="n">
        <v>7</v>
      </c>
      <c r="DM480" s="254" t="n"/>
      <c r="DN480" s="95" t="n"/>
      <c r="DO480" s="95" t="n"/>
    </row>
    <row r="481" ht="13.5" customHeight="1">
      <c r="A481" s="219" t="inlineStr">
        <is>
          <t>MAU-13</t>
        </is>
      </c>
      <c r="B481" s="255" t="n"/>
      <c r="C481" s="255"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255" t="n"/>
      <c r="BL481" s="7" t="inlineStr">
        <is>
          <t>LIXIVIACIÓN</t>
        </is>
      </c>
      <c r="BM481" s="254" t="inlineStr">
        <is>
          <t>ASUB</t>
        </is>
      </c>
      <c r="BN481" s="266" t="inlineStr">
        <is>
          <t>Lixiviación</t>
        </is>
      </c>
      <c r="BO481" s="254" t="inlineStr">
        <is>
          <t>SI</t>
        </is>
      </c>
      <c r="BP481" s="106" t="inlineStr">
        <is>
          <t>MAU-13 LIXIVIACIÓN/ASUB</t>
        </is>
      </c>
      <c r="BQ481" s="106">
        <f>VLOOKUP(BP481,[1]AGUA!$1:$1048576,2,FALSE)</f>
        <v/>
      </c>
      <c r="BR481" s="106">
        <f>VLOOKUP(BP481,[1]AGUA!$1:$1048576,6,FALSE)</f>
        <v/>
      </c>
      <c r="BS481" s="106">
        <f>VLOOKUP(BP481,[1]AGUA!$1:$1048576,7,FALSE)</f>
        <v/>
      </c>
      <c r="BT481" s="106" t="n"/>
      <c r="BU481" s="252"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4" t="n"/>
      <c r="DB481" s="254" t="n"/>
      <c r="DC481" s="254" t="n"/>
      <c r="DD481" s="254" t="n"/>
      <c r="DE481" s="254" t="n"/>
      <c r="DF481" s="254" t="n"/>
      <c r="DG481" s="254" t="n"/>
      <c r="DH481" s="254" t="n"/>
      <c r="DI481" s="254" t="n"/>
      <c r="DJ481" s="254" t="n"/>
      <c r="DK481" s="254" t="n"/>
      <c r="DL481" s="95" t="n"/>
      <c r="DM481" s="254" t="inlineStr">
        <is>
          <t>M</t>
        </is>
      </c>
      <c r="DN481" s="95" t="n">
        <v>1</v>
      </c>
      <c r="DO481" s="95" t="n">
        <v>7</v>
      </c>
    </row>
    <row r="482" ht="11.5" customHeight="1">
      <c r="A482" s="203" t="inlineStr">
        <is>
          <t>MAU-14</t>
        </is>
      </c>
      <c r="B482" s="260" t="inlineStr">
        <is>
          <t>MAU-14 MICHINCHA</t>
        </is>
      </c>
      <c r="C482" s="254"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259" t="inlineStr">
        <is>
          <t>532MAMAU</t>
        </is>
      </c>
      <c r="BL482" s="7" t="inlineStr">
        <is>
          <t>GMAP-SIGA</t>
        </is>
      </c>
      <c r="BM482" s="254" t="inlineStr">
        <is>
          <t>NF</t>
        </is>
      </c>
      <c r="BN482" s="266" t="inlineStr">
        <is>
          <t>Michincha</t>
        </is>
      </c>
      <c r="BO482" s="254" t="inlineStr">
        <is>
          <t>SI PAT TRANQUE</t>
        </is>
      </c>
      <c r="BP482" s="106" t="inlineStr">
        <is>
          <t>MAU-14 MICHINCHA/NF</t>
        </is>
      </c>
      <c r="BQ482" s="106">
        <f>VLOOKUP(BP482,[1]AGUA!$1:$1048576,2,FALSE)</f>
        <v/>
      </c>
      <c r="BR482" s="106">
        <f>VLOOKUP(BP482,[1]AGUA!$1:$1048576,6,FALSE)</f>
        <v/>
      </c>
      <c r="BS482" s="106">
        <f>VLOOKUP(BP482,[1]AGUA!$1:$1048576,7,FALSE)</f>
        <v/>
      </c>
      <c r="BT482" s="106" t="n"/>
      <c r="BU482" s="251"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4" t="n"/>
      <c r="DB482" s="254" t="n"/>
      <c r="DC482" s="254" t="n"/>
      <c r="DD482" s="254" t="n"/>
      <c r="DE482" s="254" t="n"/>
      <c r="DF482" s="254" t="n"/>
      <c r="DG482" s="254" t="n"/>
      <c r="DH482" s="254" t="n"/>
      <c r="DI482" s="254" t="n"/>
      <c r="DJ482" s="254" t="inlineStr">
        <is>
          <t>M</t>
        </is>
      </c>
      <c r="DK482" s="254" t="n">
        <v>8</v>
      </c>
      <c r="DL482" s="95" t="n">
        <v>14</v>
      </c>
      <c r="DM482" s="254" t="n"/>
      <c r="DN482" s="95" t="n"/>
      <c r="DO482" s="95" t="n"/>
    </row>
    <row r="483" ht="13" customHeight="1">
      <c r="A483" s="203" t="inlineStr">
        <is>
          <t>MAU-14</t>
        </is>
      </c>
      <c r="B483" s="255" t="n"/>
      <c r="C483" s="255"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255" t="n"/>
      <c r="BL483" s="7" t="inlineStr">
        <is>
          <t>GMAP-SIGA</t>
        </is>
      </c>
      <c r="BM483" s="254" t="inlineStr">
        <is>
          <t>ASUB</t>
        </is>
      </c>
      <c r="BN483" s="266" t="inlineStr">
        <is>
          <t>Michincha</t>
        </is>
      </c>
      <c r="BO483" s="254" t="inlineStr">
        <is>
          <t>SI PAT TRANQUE</t>
        </is>
      </c>
      <c r="BP483" s="106" t="inlineStr">
        <is>
          <t>MAU-14 MICHINCHA/ASUB</t>
        </is>
      </c>
      <c r="BQ483" s="106">
        <f>VLOOKUP(BP483,[1]AGUA!$1:$1048576,2,FALSE)</f>
        <v/>
      </c>
      <c r="BR483" s="106">
        <f>VLOOKUP(BP483,[1]AGUA!$1:$1048576,6,FALSE)</f>
        <v/>
      </c>
      <c r="BS483" s="106">
        <f>VLOOKUP(BP483,[1]AGUA!$1:$1048576,7,FALSE)</f>
        <v/>
      </c>
      <c r="BT483" s="106" t="n"/>
      <c r="BU483" s="252"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4" t="n"/>
      <c r="DB483" s="254" t="n"/>
      <c r="DC483" s="254" t="n"/>
      <c r="DD483" s="254" t="n"/>
      <c r="DE483" s="254" t="n"/>
      <c r="DF483" s="254" t="n"/>
      <c r="DG483" s="254" t="n"/>
      <c r="DH483" s="254" t="n"/>
      <c r="DI483" s="254" t="n"/>
      <c r="DJ483" s="254" t="n"/>
      <c r="DK483" s="254" t="n"/>
      <c r="DL483" s="95" t="n"/>
      <c r="DM483" s="254" t="inlineStr">
        <is>
          <t>M</t>
        </is>
      </c>
      <c r="DN483" s="95" t="n">
        <v>8</v>
      </c>
      <c r="DO483" s="95" t="n">
        <v>14</v>
      </c>
    </row>
    <row r="484" ht="13" customHeight="1">
      <c r="A484" s="203" t="inlineStr">
        <is>
          <t>MAU-15</t>
        </is>
      </c>
      <c r="B484" s="260" t="inlineStr">
        <is>
          <t>MAU-15 LIXIVIACIÓN</t>
        </is>
      </c>
      <c r="C484" s="254"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259" t="inlineStr">
        <is>
          <t>532MAMAU</t>
        </is>
      </c>
      <c r="BL484" s="7" t="inlineStr">
        <is>
          <t>LIXIVIACIÓN</t>
        </is>
      </c>
      <c r="BM484" s="254" t="inlineStr">
        <is>
          <t>NF</t>
        </is>
      </c>
      <c r="BN484" s="266" t="inlineStr">
        <is>
          <t>Lixiviación</t>
        </is>
      </c>
      <c r="BO484" s="254" t="inlineStr">
        <is>
          <t>SI</t>
        </is>
      </c>
      <c r="BP484" s="106" t="inlineStr">
        <is>
          <t>MAU-15 LIXIVIACIÓN/NF</t>
        </is>
      </c>
      <c r="BQ484" s="106">
        <f>VLOOKUP(BP484,[1]AGUA!$1:$1048576,2,FALSE)</f>
        <v/>
      </c>
      <c r="BR484" s="106">
        <f>VLOOKUP(BP484,[1]AGUA!$1:$1048576,6,FALSE)</f>
        <v/>
      </c>
      <c r="BS484" s="106">
        <f>VLOOKUP(BP484,[1]AGUA!$1:$1048576,7,FALSE)</f>
        <v/>
      </c>
      <c r="BT484" s="106" t="n"/>
      <c r="BU484" s="251"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4" t="n"/>
      <c r="DB484" s="254" t="n"/>
      <c r="DC484" s="254" t="n"/>
      <c r="DD484" s="254" t="n"/>
      <c r="DE484" s="254" t="n"/>
      <c r="DF484" s="254" t="n"/>
      <c r="DG484" s="254" t="n"/>
      <c r="DH484" s="254" t="n"/>
      <c r="DI484" s="254" t="n"/>
      <c r="DJ484" s="254" t="inlineStr">
        <is>
          <t>M</t>
        </is>
      </c>
      <c r="DK484" s="254" t="n">
        <v>8</v>
      </c>
      <c r="DL484" s="95" t="n">
        <v>14</v>
      </c>
      <c r="DM484" s="254" t="n"/>
      <c r="DN484" s="95" t="n"/>
      <c r="DO484" s="95" t="n"/>
    </row>
    <row r="485" ht="13" customHeight="1">
      <c r="A485" s="203" t="inlineStr">
        <is>
          <t>MAU-15</t>
        </is>
      </c>
      <c r="B485" s="255" t="n"/>
      <c r="C485" s="255"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255" t="n"/>
      <c r="BL485" s="7" t="inlineStr">
        <is>
          <t>LIXIVIACIÓN</t>
        </is>
      </c>
      <c r="BM485" s="254" t="inlineStr">
        <is>
          <t>ASUB</t>
        </is>
      </c>
      <c r="BN485" s="266" t="inlineStr">
        <is>
          <t>Lixiviación</t>
        </is>
      </c>
      <c r="BO485" s="254" t="inlineStr">
        <is>
          <t>SI</t>
        </is>
      </c>
      <c r="BP485" s="106" t="inlineStr">
        <is>
          <t>MAU-15 LIXIVIACIÓN/ASUB</t>
        </is>
      </c>
      <c r="BQ485" s="106">
        <f>VLOOKUP(BP485,[1]AGUA!$1:$1048576,2,FALSE)</f>
        <v/>
      </c>
      <c r="BR485" s="106">
        <f>VLOOKUP(BP485,[1]AGUA!$1:$1048576,6,FALSE)</f>
        <v/>
      </c>
      <c r="BS485" s="106">
        <f>VLOOKUP(BP485,[1]AGUA!$1:$1048576,7,FALSE)</f>
        <v/>
      </c>
      <c r="BT485" s="106" t="n"/>
      <c r="BU485" s="252"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4" t="n"/>
      <c r="DB485" s="254" t="n"/>
      <c r="DC485" s="254" t="n"/>
      <c r="DD485" s="254" t="n"/>
      <c r="DE485" s="254" t="n"/>
      <c r="DF485" s="254" t="n"/>
      <c r="DG485" s="254" t="n"/>
      <c r="DH485" s="254" t="n"/>
      <c r="DI485" s="254" t="n"/>
      <c r="DJ485" s="254" t="n"/>
      <c r="DK485" s="254" t="n"/>
      <c r="DL485" s="95" t="n"/>
      <c r="DM485" s="254" t="inlineStr">
        <is>
          <t>M</t>
        </is>
      </c>
      <c r="DN485" s="95" t="n">
        <v>8</v>
      </c>
      <c r="DO485" s="95" t="n">
        <v>14</v>
      </c>
    </row>
    <row r="486" ht="13" customHeight="1">
      <c r="A486" s="203" t="inlineStr">
        <is>
          <t>MAU-16</t>
        </is>
      </c>
      <c r="B486" s="260" t="inlineStr">
        <is>
          <t>MAU-16 LIXIVIACIÓN</t>
        </is>
      </c>
      <c r="C486" s="254"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259" t="inlineStr">
        <is>
          <t>532MAMAU</t>
        </is>
      </c>
      <c r="BL486" s="7" t="inlineStr">
        <is>
          <t>LIXIVIACIÓN</t>
        </is>
      </c>
      <c r="BM486" s="254" t="inlineStr">
        <is>
          <t>NF</t>
        </is>
      </c>
      <c r="BN486" s="266" t="inlineStr">
        <is>
          <t>Lixiviación</t>
        </is>
      </c>
      <c r="BO486" s="254" t="inlineStr">
        <is>
          <t>SI</t>
        </is>
      </c>
      <c r="BP486" s="106" t="inlineStr">
        <is>
          <t>MAU-16 LIXIVIACIÓN/NF</t>
        </is>
      </c>
      <c r="BQ486" s="106">
        <f>VLOOKUP(BP486,[1]AGUA!$1:$1048576,2,FALSE)</f>
        <v/>
      </c>
      <c r="BR486" s="106">
        <f>VLOOKUP(BP486,[1]AGUA!$1:$1048576,6,FALSE)</f>
        <v/>
      </c>
      <c r="BS486" s="106">
        <f>VLOOKUP(BP486,[1]AGUA!$1:$1048576,7,FALSE)</f>
        <v/>
      </c>
      <c r="BT486" s="106" t="n"/>
      <c r="BU486" s="251"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4" t="n"/>
      <c r="DB486" s="254" t="n"/>
      <c r="DC486" s="254" t="n"/>
      <c r="DD486" s="254" t="n"/>
      <c r="DE486" s="254" t="n"/>
      <c r="DF486" s="254" t="n"/>
      <c r="DG486" s="254" t="n"/>
      <c r="DH486" s="254" t="n"/>
      <c r="DI486" s="254" t="n"/>
      <c r="DJ486" s="254" t="inlineStr">
        <is>
          <t>M</t>
        </is>
      </c>
      <c r="DK486" s="254" t="n">
        <v>8</v>
      </c>
      <c r="DL486" s="95" t="n">
        <v>14</v>
      </c>
      <c r="DM486" s="254" t="n"/>
      <c r="DN486" s="95" t="n"/>
      <c r="DO486" s="95" t="n"/>
    </row>
    <row r="487" ht="13" customHeight="1">
      <c r="A487" s="203" t="inlineStr">
        <is>
          <t>MAU-16</t>
        </is>
      </c>
      <c r="B487" s="255" t="n"/>
      <c r="C487" s="255"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255" t="n"/>
      <c r="BL487" s="7" t="inlineStr">
        <is>
          <t>LIXIVIACIÓN</t>
        </is>
      </c>
      <c r="BM487" s="254" t="inlineStr">
        <is>
          <t>ASUB</t>
        </is>
      </c>
      <c r="BN487" s="266" t="inlineStr">
        <is>
          <t>Lixiviación</t>
        </is>
      </c>
      <c r="BO487" s="254" t="inlineStr">
        <is>
          <t>SI</t>
        </is>
      </c>
      <c r="BP487" s="106" t="inlineStr">
        <is>
          <t>MAU-16 LIXIVIACIÓN/ASUB</t>
        </is>
      </c>
      <c r="BQ487" s="106">
        <f>VLOOKUP(BP487,[1]AGUA!$1:$1048576,2,FALSE)</f>
        <v/>
      </c>
      <c r="BR487" s="106">
        <f>VLOOKUP(BP487,[1]AGUA!$1:$1048576,6,FALSE)</f>
        <v/>
      </c>
      <c r="BS487" s="106">
        <f>VLOOKUP(BP487,[1]AGUA!$1:$1048576,7,FALSE)</f>
        <v/>
      </c>
      <c r="BT487" s="106" t="n"/>
      <c r="BU487" s="252"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4" t="n"/>
      <c r="DB487" s="254" t="n"/>
      <c r="DC487" s="254" t="n"/>
      <c r="DD487" s="254" t="n"/>
      <c r="DE487" s="254" t="n"/>
      <c r="DF487" s="254" t="n"/>
      <c r="DG487" s="254" t="n"/>
      <c r="DH487" s="254" t="n"/>
      <c r="DI487" s="254" t="n"/>
      <c r="DJ487" s="254" t="n"/>
      <c r="DK487" s="254" t="n"/>
      <c r="DL487" s="95" t="n"/>
      <c r="DM487" s="254" t="inlineStr">
        <is>
          <t>M</t>
        </is>
      </c>
      <c r="DN487" s="95" t="n">
        <v>8</v>
      </c>
      <c r="DO487" s="95" t="n">
        <v>14</v>
      </c>
    </row>
    <row r="488" ht="13" customHeight="1">
      <c r="A488" s="203" t="inlineStr">
        <is>
          <t>MIT-01B</t>
        </is>
      </c>
      <c r="B488" s="260" t="inlineStr">
        <is>
          <t>MIT-01B LIXIVIACIÓN</t>
        </is>
      </c>
      <c r="C488" s="254"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259" t="inlineStr">
        <is>
          <t>532MAMIT</t>
        </is>
      </c>
      <c r="BL488" s="7" t="inlineStr">
        <is>
          <t>LIXIVIACIÓN</t>
        </is>
      </c>
      <c r="BM488" s="254" t="inlineStr">
        <is>
          <t>NF</t>
        </is>
      </c>
      <c r="BN488" s="266" t="inlineStr">
        <is>
          <t>Lixiviación</t>
        </is>
      </c>
      <c r="BO488" s="254" t="inlineStr">
        <is>
          <t>SI</t>
        </is>
      </c>
      <c r="BP488" s="106" t="inlineStr">
        <is>
          <t>MIT-01B LIXIVIACIÓN/NF</t>
        </is>
      </c>
      <c r="BQ488" s="106">
        <f>VLOOKUP(BP488,[1]AGUA!$1:$1048576,2,FALSE)</f>
        <v/>
      </c>
      <c r="BR488" s="106">
        <f>VLOOKUP(BP488,[1]AGUA!$1:$1048576,6,FALSE)</f>
        <v/>
      </c>
      <c r="BS488" s="106">
        <f>VLOOKUP(BP488,[1]AGUA!$1:$1048576,7,FALSE)</f>
        <v/>
      </c>
      <c r="BT488" s="106" t="n"/>
      <c r="BU488" s="251"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4" t="n"/>
      <c r="DB488" s="254" t="n"/>
      <c r="DC488" s="254" t="n"/>
      <c r="DD488" s="254" t="n"/>
      <c r="DE488" s="254" t="n"/>
      <c r="DF488" s="254" t="n"/>
      <c r="DG488" s="254" t="n"/>
      <c r="DH488" s="254" t="n"/>
      <c r="DI488" s="254" t="n"/>
      <c r="DJ488" s="254" t="inlineStr">
        <is>
          <t>M</t>
        </is>
      </c>
      <c r="DK488" s="254" t="n">
        <v>1</v>
      </c>
      <c r="DL488" s="95" t="n">
        <v>7</v>
      </c>
      <c r="DM488" s="254" t="n"/>
      <c r="DN488" s="95" t="n"/>
      <c r="DO488" s="95" t="n"/>
    </row>
    <row r="489" ht="13" customHeight="1">
      <c r="A489" s="203" t="inlineStr">
        <is>
          <t>MIT-01B</t>
        </is>
      </c>
      <c r="B489" s="255" t="n"/>
      <c r="C489" s="255"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255" t="n"/>
      <c r="BL489" s="7" t="inlineStr">
        <is>
          <t>LIXIVIACIÓN</t>
        </is>
      </c>
      <c r="BM489" s="254" t="inlineStr">
        <is>
          <t>ASUB</t>
        </is>
      </c>
      <c r="BN489" s="266" t="inlineStr">
        <is>
          <t>Lixiviación</t>
        </is>
      </c>
      <c r="BO489" s="254" t="inlineStr">
        <is>
          <t>SI</t>
        </is>
      </c>
      <c r="BP489" s="106" t="inlineStr">
        <is>
          <t>MIT-01B LIXIVIACIÓN/ASUB</t>
        </is>
      </c>
      <c r="BQ489" s="106">
        <f>VLOOKUP(BP489,[1]AGUA!$1:$1048576,2,FALSE)</f>
        <v/>
      </c>
      <c r="BR489" s="106">
        <f>VLOOKUP(BP489,[1]AGUA!$1:$1048576,6,FALSE)</f>
        <v/>
      </c>
      <c r="BS489" s="106">
        <f>VLOOKUP(BP489,[1]AGUA!$1:$1048576,7,FALSE)</f>
        <v/>
      </c>
      <c r="BT489" s="106" t="n"/>
      <c r="BU489" s="252"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4" t="n"/>
      <c r="DB489" s="254" t="n"/>
      <c r="DC489" s="254" t="n"/>
      <c r="DD489" s="254" t="n"/>
      <c r="DE489" s="254" t="n"/>
      <c r="DF489" s="254" t="n"/>
      <c r="DG489" s="254" t="n"/>
      <c r="DH489" s="254" t="n"/>
      <c r="DI489" s="254" t="n"/>
      <c r="DJ489" s="254" t="n"/>
      <c r="DK489" s="254" t="n"/>
      <c r="DL489" s="95" t="n"/>
      <c r="DM489" s="254" t="inlineStr">
        <is>
          <t>M</t>
        </is>
      </c>
      <c r="DN489" s="95" t="n">
        <v>1</v>
      </c>
      <c r="DO489" s="95" t="n">
        <v>7</v>
      </c>
    </row>
    <row r="490" ht="13" customHeight="1">
      <c r="A490" s="203" t="inlineStr">
        <is>
          <t>MIT-02B</t>
        </is>
      </c>
      <c r="B490" s="260" t="inlineStr">
        <is>
          <t>MIT-02B LIXIVIACIÓN</t>
        </is>
      </c>
      <c r="C490" s="254"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259" t="inlineStr">
        <is>
          <t>532MAMIT</t>
        </is>
      </c>
      <c r="BL490" s="7" t="inlineStr">
        <is>
          <t>LIXIVIACIÓN</t>
        </is>
      </c>
      <c r="BM490" s="254" t="inlineStr">
        <is>
          <t>NF</t>
        </is>
      </c>
      <c r="BN490" s="266" t="inlineStr">
        <is>
          <t>Lixiviación</t>
        </is>
      </c>
      <c r="BO490" s="254" t="inlineStr">
        <is>
          <t>SI</t>
        </is>
      </c>
      <c r="BP490" s="106" t="inlineStr">
        <is>
          <t>MIT-02B LIXIVIACIÓN/NF</t>
        </is>
      </c>
      <c r="BQ490" s="106">
        <f>VLOOKUP(BP490,[1]AGUA!$1:$1048576,2,FALSE)</f>
        <v/>
      </c>
      <c r="BR490" s="106">
        <f>VLOOKUP(BP490,[1]AGUA!$1:$1048576,6,FALSE)</f>
        <v/>
      </c>
      <c r="BS490" s="106">
        <f>VLOOKUP(BP490,[1]AGUA!$1:$1048576,7,FALSE)</f>
        <v/>
      </c>
      <c r="BT490" s="106" t="n"/>
      <c r="BU490" s="251"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4" t="n"/>
      <c r="DB490" s="254" t="n"/>
      <c r="DC490" s="254" t="n"/>
      <c r="DD490" s="254" t="n"/>
      <c r="DE490" s="254" t="n"/>
      <c r="DF490" s="254" t="n"/>
      <c r="DG490" s="254" t="n"/>
      <c r="DH490" s="254" t="n"/>
      <c r="DI490" s="254" t="n"/>
      <c r="DJ490" s="254" t="inlineStr">
        <is>
          <t>M</t>
        </is>
      </c>
      <c r="DK490" s="254" t="n">
        <v>1</v>
      </c>
      <c r="DL490" s="95" t="n">
        <v>7</v>
      </c>
      <c r="DM490" s="254" t="n"/>
      <c r="DN490" s="95" t="n"/>
      <c r="DO490" s="95" t="n"/>
    </row>
    <row r="491" ht="13" customHeight="1">
      <c r="A491" s="203" t="inlineStr">
        <is>
          <t>MIT-02B</t>
        </is>
      </c>
      <c r="B491" s="255" t="n"/>
      <c r="C491" s="255"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255" t="n"/>
      <c r="BL491" s="7" t="inlineStr">
        <is>
          <t>LIXIVIACIÓN</t>
        </is>
      </c>
      <c r="BM491" s="254" t="inlineStr">
        <is>
          <t>ASUB</t>
        </is>
      </c>
      <c r="BN491" s="266" t="inlineStr">
        <is>
          <t>Lixiviación</t>
        </is>
      </c>
      <c r="BO491" s="254" t="inlineStr">
        <is>
          <t>SI</t>
        </is>
      </c>
      <c r="BP491" s="106" t="inlineStr">
        <is>
          <t>MIT-02B LIXIVIACIÓN/ASUB</t>
        </is>
      </c>
      <c r="BQ491" s="106">
        <f>VLOOKUP(BP491,[1]AGUA!$1:$1048576,2,FALSE)</f>
        <v/>
      </c>
      <c r="BR491" s="106">
        <f>VLOOKUP(BP491,[1]AGUA!$1:$1048576,6,FALSE)</f>
        <v/>
      </c>
      <c r="BS491" s="106">
        <f>VLOOKUP(BP491,[1]AGUA!$1:$1048576,7,FALSE)</f>
        <v/>
      </c>
      <c r="BT491" s="106" t="n"/>
      <c r="BU491" s="252"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4" t="n"/>
      <c r="DB491" s="254" t="n"/>
      <c r="DC491" s="254" t="n"/>
      <c r="DD491" s="254" t="n"/>
      <c r="DE491" s="254" t="n"/>
      <c r="DF491" s="254" t="n"/>
      <c r="DG491" s="254" t="n"/>
      <c r="DH491" s="254" t="n"/>
      <c r="DI491" s="254" t="n"/>
      <c r="DJ491" s="254" t="n"/>
      <c r="DK491" s="254" t="n"/>
      <c r="DL491" s="95" t="n"/>
      <c r="DM491" s="254" t="inlineStr">
        <is>
          <t>M</t>
        </is>
      </c>
      <c r="DN491" s="95" t="n">
        <v>1</v>
      </c>
      <c r="DO491" s="95" t="n">
        <v>7</v>
      </c>
    </row>
    <row r="492" ht="13" customHeight="1">
      <c r="A492" s="203" t="inlineStr">
        <is>
          <t>MIT-03</t>
        </is>
      </c>
      <c r="B492" s="260" t="inlineStr">
        <is>
          <t>MIT-03 LIXIVIACIÓN</t>
        </is>
      </c>
      <c r="C492" s="254"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259" t="inlineStr">
        <is>
          <t>532MAMIT</t>
        </is>
      </c>
      <c r="BL492" s="7" t="inlineStr">
        <is>
          <t>LIXIVIACIÓN</t>
        </is>
      </c>
      <c r="BM492" s="254" t="inlineStr">
        <is>
          <t>NF</t>
        </is>
      </c>
      <c r="BN492" s="266" t="inlineStr">
        <is>
          <t>Lixiviación</t>
        </is>
      </c>
      <c r="BO492" s="254" t="inlineStr">
        <is>
          <t>SI</t>
        </is>
      </c>
      <c r="BP492" s="106" t="inlineStr">
        <is>
          <t>MIT-03 LIXIVIACIÓN/NF</t>
        </is>
      </c>
      <c r="BQ492" s="106">
        <f>VLOOKUP(BP492,[1]AGUA!$1:$1048576,2,FALSE)</f>
        <v/>
      </c>
      <c r="BR492" s="106">
        <f>VLOOKUP(BP492,[1]AGUA!$1:$1048576,6,FALSE)</f>
        <v/>
      </c>
      <c r="BS492" s="106">
        <f>VLOOKUP(BP492,[1]AGUA!$1:$1048576,7,FALSE)</f>
        <v/>
      </c>
      <c r="BT492" s="106" t="n"/>
      <c r="BU492" s="251"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4" t="n"/>
      <c r="DB492" s="254" t="n"/>
      <c r="DC492" s="254" t="n"/>
      <c r="DD492" s="254" t="n"/>
      <c r="DE492" s="254" t="n"/>
      <c r="DF492" s="254" t="n"/>
      <c r="DG492" s="254" t="n"/>
      <c r="DH492" s="254" t="n"/>
      <c r="DI492" s="254" t="n"/>
      <c r="DJ492" s="254" t="inlineStr">
        <is>
          <t>M</t>
        </is>
      </c>
      <c r="DK492" s="254" t="n">
        <v>1</v>
      </c>
      <c r="DL492" s="95" t="n">
        <v>7</v>
      </c>
      <c r="DM492" s="254" t="n"/>
      <c r="DN492" s="95" t="n"/>
      <c r="DO492" s="95" t="n"/>
    </row>
    <row r="493" ht="13" customHeight="1">
      <c r="A493" s="203" t="inlineStr">
        <is>
          <t>MIT-03</t>
        </is>
      </c>
      <c r="B493" s="255" t="n"/>
      <c r="C493" s="255"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255" t="n"/>
      <c r="BL493" s="7" t="inlineStr">
        <is>
          <t>LIXIVIACIÓN</t>
        </is>
      </c>
      <c r="BM493" s="254" t="inlineStr">
        <is>
          <t>ASUB</t>
        </is>
      </c>
      <c r="BN493" s="266" t="inlineStr">
        <is>
          <t>Lixiviación</t>
        </is>
      </c>
      <c r="BO493" s="254" t="inlineStr">
        <is>
          <t>SI</t>
        </is>
      </c>
      <c r="BP493" s="106" t="inlineStr">
        <is>
          <t>MIT-03 LIXIVIACIÓN/ASUB</t>
        </is>
      </c>
      <c r="BQ493" s="106">
        <f>VLOOKUP(BP493,[1]AGUA!$1:$1048576,2,FALSE)</f>
        <v/>
      </c>
      <c r="BR493" s="106">
        <f>VLOOKUP(BP493,[1]AGUA!$1:$1048576,6,FALSE)</f>
        <v/>
      </c>
      <c r="BS493" s="106">
        <f>VLOOKUP(BP493,[1]AGUA!$1:$1048576,7,FALSE)</f>
        <v/>
      </c>
      <c r="BT493" s="106" t="n"/>
      <c r="BU493" s="252"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4" t="n"/>
      <c r="DB493" s="254" t="n"/>
      <c r="DC493" s="254" t="n"/>
      <c r="DD493" s="254" t="n"/>
      <c r="DE493" s="254" t="n"/>
      <c r="DF493" s="254" t="n"/>
      <c r="DG493" s="254" t="n"/>
      <c r="DH493" s="254" t="n"/>
      <c r="DI493" s="254" t="n"/>
      <c r="DJ493" s="254" t="n"/>
      <c r="DK493" s="254" t="n"/>
      <c r="DL493" s="95" t="n"/>
      <c r="DM493" s="254" t="inlineStr">
        <is>
          <t>M</t>
        </is>
      </c>
      <c r="DN493" s="95" t="n">
        <v>1</v>
      </c>
      <c r="DO493" s="95" t="n">
        <v>7</v>
      </c>
    </row>
    <row r="494" ht="13" customHeight="1">
      <c r="A494" s="203" t="inlineStr">
        <is>
          <t>Mitigación Jachucoposa (CP-03M)</t>
        </is>
      </c>
      <c r="B494" s="260"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259" t="inlineStr">
        <is>
          <t>532MACP</t>
        </is>
      </c>
      <c r="BL494" s="61" t="inlineStr">
        <is>
          <t>GTAM</t>
        </is>
      </c>
      <c r="BM494" s="168" t="inlineStr">
        <is>
          <t>ASUB</t>
        </is>
      </c>
      <c r="BN494" s="106" t="inlineStr">
        <is>
          <t>Falla Pabellón</t>
        </is>
      </c>
      <c r="BO494" s="254"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4" t="n"/>
      <c r="DC494" s="254" t="n"/>
      <c r="DD494" s="254" t="n"/>
      <c r="DE494" s="254" t="n"/>
      <c r="DF494" s="254" t="n"/>
      <c r="DG494" s="254" t="n"/>
      <c r="DH494" s="254" t="n"/>
      <c r="DI494" s="254" t="n"/>
      <c r="DJ494" s="254" t="n"/>
      <c r="DK494" s="254" t="n"/>
      <c r="DL494" s="95" t="n"/>
      <c r="DM494" s="254" t="inlineStr">
        <is>
          <t>M</t>
        </is>
      </c>
      <c r="DN494" s="95" t="n">
        <v>15</v>
      </c>
      <c r="DO494" s="95" t="n">
        <v>21</v>
      </c>
    </row>
    <row r="495" ht="13" customHeight="1">
      <c r="A495" s="203" t="inlineStr">
        <is>
          <t>MMA-01</t>
        </is>
      </c>
      <c r="B495" s="260" t="inlineStr">
        <is>
          <t>MMA-01 MICHINCHA</t>
        </is>
      </c>
      <c r="C495" s="254"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259" t="inlineStr">
        <is>
          <t>532MAMMA</t>
        </is>
      </c>
      <c r="BL495" s="7" t="inlineStr">
        <is>
          <t>GMAP-SIGA</t>
        </is>
      </c>
      <c r="BM495" s="254" t="inlineStr">
        <is>
          <t>NF</t>
        </is>
      </c>
      <c r="BN495" s="266" t="inlineStr">
        <is>
          <t>Michincha</t>
        </is>
      </c>
      <c r="BO495" s="254" t="inlineStr">
        <is>
          <t>SI</t>
        </is>
      </c>
      <c r="BP495" s="106" t="inlineStr">
        <is>
          <t>MMA-01 MICHINCHA/NF</t>
        </is>
      </c>
      <c r="BQ495" s="106">
        <f>VLOOKUP(BP495,[1]AGUA!$1:$1048576,2,FALSE)</f>
        <v/>
      </c>
      <c r="BR495" s="106">
        <f>VLOOKUP(BP495,[1]AGUA!$1:$1048576,6,FALSE)</f>
        <v/>
      </c>
      <c r="BS495" s="106">
        <f>VLOOKUP(BP495,[1]AGUA!$1:$1048576,7,FALSE)</f>
        <v/>
      </c>
      <c r="BT495" s="106" t="n"/>
      <c r="BU495" s="251"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4" t="n"/>
      <c r="DB495" s="254" t="n"/>
      <c r="DC495" s="254" t="n"/>
      <c r="DD495" s="254" t="n"/>
      <c r="DE495" s="254" t="n"/>
      <c r="DF495" s="254" t="n"/>
      <c r="DG495" s="254" t="n"/>
      <c r="DH495" s="254" t="n"/>
      <c r="DI495" s="254" t="n"/>
      <c r="DJ495" s="254" t="inlineStr">
        <is>
          <t>T</t>
        </is>
      </c>
      <c r="DK495" s="254" t="n">
        <v>1</v>
      </c>
      <c r="DL495" s="95" t="n">
        <v>7</v>
      </c>
      <c r="DM495" s="254" t="n"/>
      <c r="DN495" s="95" t="n"/>
      <c r="DO495" s="95" t="n"/>
    </row>
    <row r="496" ht="13" customHeight="1">
      <c r="A496" s="203" t="inlineStr">
        <is>
          <t>MMA-01</t>
        </is>
      </c>
      <c r="B496" s="255" t="n"/>
      <c r="C496" s="255"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255" t="n"/>
      <c r="BL496" s="7" t="inlineStr">
        <is>
          <t>GMAP-SIGA</t>
        </is>
      </c>
      <c r="BM496" s="254" t="inlineStr">
        <is>
          <t>ASUB</t>
        </is>
      </c>
      <c r="BN496" s="266" t="inlineStr">
        <is>
          <t>Michincha</t>
        </is>
      </c>
      <c r="BO496" s="254" t="inlineStr">
        <is>
          <t>SI</t>
        </is>
      </c>
      <c r="BP496" s="106" t="inlineStr">
        <is>
          <t>MMA-01 MICHINCHA/ASUB</t>
        </is>
      </c>
      <c r="BQ496" s="106">
        <f>VLOOKUP(BP496,[1]AGUA!$1:$1048576,2,FALSE)</f>
        <v/>
      </c>
      <c r="BR496" s="106">
        <f>VLOOKUP(BP496,[1]AGUA!$1:$1048576,6,FALSE)</f>
        <v/>
      </c>
      <c r="BS496" s="106">
        <f>VLOOKUP(BP496,[1]AGUA!$1:$1048576,7,FALSE)</f>
        <v/>
      </c>
      <c r="BT496" s="106" t="n"/>
      <c r="BU496" s="252"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4" t="n"/>
      <c r="DB496" s="254" t="n"/>
      <c r="DC496" s="254" t="n"/>
      <c r="DD496" s="254" t="n"/>
      <c r="DE496" s="254" t="n"/>
      <c r="DF496" s="254" t="n"/>
      <c r="DG496" s="254" t="n"/>
      <c r="DH496" s="254" t="n"/>
      <c r="DI496" s="254" t="n"/>
      <c r="DJ496" s="254" t="n"/>
      <c r="DK496" s="254" t="n"/>
      <c r="DL496" s="95" t="n"/>
      <c r="DM496" s="254" t="inlineStr">
        <is>
          <t>M</t>
        </is>
      </c>
      <c r="DN496" s="95" t="n">
        <v>1</v>
      </c>
      <c r="DO496" s="95" t="n">
        <v>7</v>
      </c>
    </row>
    <row r="497" ht="13" customHeight="1">
      <c r="A497" s="203" t="inlineStr">
        <is>
          <t>MMA-02</t>
        </is>
      </c>
      <c r="B497" s="260" t="inlineStr">
        <is>
          <t>MMA-02 MICHINCHA</t>
        </is>
      </c>
      <c r="C497" s="254"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259" t="inlineStr">
        <is>
          <t>532MAMMA</t>
        </is>
      </c>
      <c r="BL497" s="7" t="inlineStr">
        <is>
          <t>GMAP-SIGA</t>
        </is>
      </c>
      <c r="BM497" s="254" t="inlineStr">
        <is>
          <t>NF</t>
        </is>
      </c>
      <c r="BN497" s="266" t="inlineStr">
        <is>
          <t>Michincha</t>
        </is>
      </c>
      <c r="BO497" s="254" t="inlineStr">
        <is>
          <t>SI</t>
        </is>
      </c>
      <c r="BP497" s="106" t="inlineStr">
        <is>
          <t>MMA-02 MICHINCHA/NF</t>
        </is>
      </c>
      <c r="BQ497" s="106">
        <f>VLOOKUP(BP497,[1]AGUA!$1:$1048576,2,FALSE)</f>
        <v/>
      </c>
      <c r="BR497" s="106">
        <f>VLOOKUP(BP497,[1]AGUA!$1:$1048576,6,FALSE)</f>
        <v/>
      </c>
      <c r="BS497" s="106">
        <f>VLOOKUP(BP497,[1]AGUA!$1:$1048576,7,FALSE)</f>
        <v/>
      </c>
      <c r="BT497" s="106" t="n"/>
      <c r="BU497" s="267"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4" t="n"/>
      <c r="DB497" s="254" t="n"/>
      <c r="DC497" s="254" t="n"/>
      <c r="DD497" s="254" t="n"/>
      <c r="DE497" s="254" t="n"/>
      <c r="DF497" s="254" t="n"/>
      <c r="DG497" s="254" t="n"/>
      <c r="DH497" s="254" t="n"/>
      <c r="DI497" s="254" t="n"/>
      <c r="DJ497" s="254" t="inlineStr">
        <is>
          <t>T</t>
        </is>
      </c>
      <c r="DK497" s="254" t="n">
        <v>1</v>
      </c>
      <c r="DL497" s="95" t="n">
        <v>7</v>
      </c>
      <c r="DM497" s="254" t="n"/>
      <c r="DN497" s="95" t="n"/>
      <c r="DO497" s="95" t="n"/>
    </row>
    <row r="498" ht="13" customHeight="1">
      <c r="A498" s="203" t="inlineStr">
        <is>
          <t>MMA-02</t>
        </is>
      </c>
      <c r="B498" s="255" t="n"/>
      <c r="C498" s="255"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255" t="n"/>
      <c r="BL498" s="7" t="inlineStr">
        <is>
          <t>GMAP-SIGA</t>
        </is>
      </c>
      <c r="BM498" s="254" t="inlineStr">
        <is>
          <t>ASUB</t>
        </is>
      </c>
      <c r="BN498" s="266" t="inlineStr">
        <is>
          <t>Michincha</t>
        </is>
      </c>
      <c r="BO498" s="254" t="inlineStr">
        <is>
          <t>SI</t>
        </is>
      </c>
      <c r="BP498" s="106" t="inlineStr">
        <is>
          <t>MMA-02 MICHINCHA/ASUB</t>
        </is>
      </c>
      <c r="BQ498" s="106">
        <f>VLOOKUP(BP498,[1]AGUA!$1:$1048576,2,FALSE)</f>
        <v/>
      </c>
      <c r="BR498" s="106">
        <f>VLOOKUP(BP498,[1]AGUA!$1:$1048576,6,FALSE)</f>
        <v/>
      </c>
      <c r="BS498" s="106">
        <f>VLOOKUP(BP498,[1]AGUA!$1:$1048576,7,FALSE)</f>
        <v/>
      </c>
      <c r="BT498" s="106" t="n"/>
      <c r="BU498" s="252"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4" t="n"/>
      <c r="DB498" s="254" t="n"/>
      <c r="DC498" s="254" t="n"/>
      <c r="DD498" s="254" t="n"/>
      <c r="DE498" s="254" t="n"/>
      <c r="DF498" s="254" t="n"/>
      <c r="DG498" s="254" t="n"/>
      <c r="DH498" s="254" t="n"/>
      <c r="DI498" s="254" t="n"/>
      <c r="DJ498" s="254" t="n"/>
      <c r="DK498" s="254" t="n"/>
      <c r="DL498" s="95" t="n"/>
      <c r="DM498" s="254" t="inlineStr">
        <is>
          <t>M</t>
        </is>
      </c>
      <c r="DN498" s="95" t="n">
        <v>1</v>
      </c>
      <c r="DO498" s="95" t="n">
        <v>7</v>
      </c>
    </row>
    <row r="499" ht="13" customHeight="1">
      <c r="A499" s="203" t="inlineStr">
        <is>
          <t>MMA-03</t>
        </is>
      </c>
      <c r="B499" s="260" t="inlineStr">
        <is>
          <t>MMA-03 MICHINCHA</t>
        </is>
      </c>
      <c r="C499" s="254"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259" t="inlineStr">
        <is>
          <t>532MAMMA</t>
        </is>
      </c>
      <c r="BL499" s="7" t="inlineStr">
        <is>
          <t>GMAP-SIGA</t>
        </is>
      </c>
      <c r="BM499" s="254" t="inlineStr">
        <is>
          <t>NF</t>
        </is>
      </c>
      <c r="BN499" s="266" t="inlineStr">
        <is>
          <t>Michincha</t>
        </is>
      </c>
      <c r="BO499" s="254" t="inlineStr">
        <is>
          <t>SI</t>
        </is>
      </c>
      <c r="BP499" s="106" t="inlineStr">
        <is>
          <t>MMA-03 MICHINCHA/NF</t>
        </is>
      </c>
      <c r="BQ499" s="106">
        <f>VLOOKUP(BP499,[1]AGUA!$1:$1048576,2,FALSE)</f>
        <v/>
      </c>
      <c r="BR499" s="106">
        <f>VLOOKUP(BP499,[1]AGUA!$1:$1048576,6,FALSE)</f>
        <v/>
      </c>
      <c r="BS499" s="106">
        <f>VLOOKUP(BP499,[1]AGUA!$1:$1048576,7,FALSE)</f>
        <v/>
      </c>
      <c r="BT499" s="106" t="n"/>
      <c r="BU499" s="267"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4" t="n"/>
      <c r="DB499" s="254" t="n"/>
      <c r="DC499" s="254" t="n"/>
      <c r="DD499" s="254" t="n"/>
      <c r="DE499" s="254" t="n"/>
      <c r="DF499" s="254" t="n"/>
      <c r="DG499" s="254" t="n"/>
      <c r="DH499" s="254" t="n"/>
      <c r="DI499" s="254" t="n"/>
      <c r="DJ499" s="254" t="inlineStr">
        <is>
          <t>T</t>
        </is>
      </c>
      <c r="DK499" s="254" t="n">
        <v>1</v>
      </c>
      <c r="DL499" s="95" t="n">
        <v>7</v>
      </c>
      <c r="DM499" s="254" t="n"/>
      <c r="DN499" s="95" t="n"/>
      <c r="DO499" s="95" t="n"/>
    </row>
    <row r="500" ht="13" customHeight="1">
      <c r="A500" s="203" t="inlineStr">
        <is>
          <t>MMA-03</t>
        </is>
      </c>
      <c r="B500" s="255" t="n"/>
      <c r="C500" s="255"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255" t="n"/>
      <c r="BL500" s="7" t="inlineStr">
        <is>
          <t>GMAP-SIGA</t>
        </is>
      </c>
      <c r="BM500" s="254" t="inlineStr">
        <is>
          <t>ASUB</t>
        </is>
      </c>
      <c r="BN500" s="266" t="inlineStr">
        <is>
          <t>Michincha</t>
        </is>
      </c>
      <c r="BO500" s="254" t="inlineStr">
        <is>
          <t>SI</t>
        </is>
      </c>
      <c r="BP500" s="106" t="inlineStr">
        <is>
          <t>MMA-03 MICHINCHA/ASUB</t>
        </is>
      </c>
      <c r="BQ500" s="106">
        <f>VLOOKUP(BP500,[1]AGUA!$1:$1048576,2,FALSE)</f>
        <v/>
      </c>
      <c r="BR500" s="106">
        <f>VLOOKUP(BP500,[1]AGUA!$1:$1048576,6,FALSE)</f>
        <v/>
      </c>
      <c r="BS500" s="106">
        <f>VLOOKUP(BP500,[1]AGUA!$1:$1048576,7,FALSE)</f>
        <v/>
      </c>
      <c r="BT500" s="106" t="n"/>
      <c r="BU500" s="252"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4" t="n"/>
      <c r="DB500" s="254" t="n"/>
      <c r="DC500" s="254" t="n"/>
      <c r="DD500" s="254" t="n"/>
      <c r="DE500" s="254" t="n"/>
      <c r="DF500" s="254" t="n"/>
      <c r="DG500" s="254" t="n"/>
      <c r="DH500" s="254" t="n"/>
      <c r="DI500" s="254" t="n"/>
      <c r="DJ500" s="254" t="n"/>
      <c r="DK500" s="254" t="n"/>
      <c r="DL500" s="95" t="n"/>
      <c r="DM500" s="254" t="inlineStr">
        <is>
          <t>M</t>
        </is>
      </c>
      <c r="DN500" s="95" t="n">
        <v>1</v>
      </c>
      <c r="DO500" s="95" t="n">
        <v>7</v>
      </c>
    </row>
    <row r="501" ht="13.5" customHeight="1">
      <c r="A501" s="203" t="inlineStr">
        <is>
          <t>MMA-04</t>
        </is>
      </c>
      <c r="B501" s="260" t="inlineStr">
        <is>
          <t>MMA-04 MICHINCHA</t>
        </is>
      </c>
      <c r="C501" s="254"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259" t="inlineStr">
        <is>
          <t>532MAMMA</t>
        </is>
      </c>
      <c r="BL501" s="7" t="inlineStr">
        <is>
          <t>GMAP-SIGA</t>
        </is>
      </c>
      <c r="BM501" s="254" t="inlineStr">
        <is>
          <t>NF</t>
        </is>
      </c>
      <c r="BN501" s="266" t="inlineStr">
        <is>
          <t>Michincha</t>
        </is>
      </c>
      <c r="BO501" s="254" t="inlineStr">
        <is>
          <t>SI</t>
        </is>
      </c>
      <c r="BP501" s="106" t="inlineStr">
        <is>
          <t>MMA-04 MICHINCHA/NF</t>
        </is>
      </c>
      <c r="BQ501" s="106">
        <f>VLOOKUP(BP501,[1]AGUA!$1:$1048576,2,FALSE)</f>
        <v/>
      </c>
      <c r="BR501" s="106">
        <f>VLOOKUP(BP501,[1]AGUA!$1:$1048576,6,FALSE)</f>
        <v/>
      </c>
      <c r="BS501" s="106">
        <f>VLOOKUP(BP501,[1]AGUA!$1:$1048576,7,FALSE)</f>
        <v/>
      </c>
      <c r="BT501" s="106" t="n"/>
      <c r="BU501" s="267"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4" t="n"/>
      <c r="DB501" s="254" t="n"/>
      <c r="DC501" s="254" t="n"/>
      <c r="DD501" s="254" t="n"/>
      <c r="DE501" s="254" t="n"/>
      <c r="DF501" s="254" t="n"/>
      <c r="DG501" s="254" t="n"/>
      <c r="DH501" s="254" t="n"/>
      <c r="DI501" s="254" t="n"/>
      <c r="DJ501" s="254" t="inlineStr">
        <is>
          <t>M</t>
        </is>
      </c>
      <c r="DK501" s="254" t="n">
        <v>1</v>
      </c>
      <c r="DL501" s="95" t="n">
        <v>7</v>
      </c>
      <c r="DM501" s="254" t="n"/>
      <c r="DN501" s="95" t="n"/>
      <c r="DO501" s="95" t="n"/>
    </row>
    <row r="502" ht="13" customHeight="1">
      <c r="A502" s="203" t="inlineStr">
        <is>
          <t>MMA-04</t>
        </is>
      </c>
      <c r="B502" s="255" t="n"/>
      <c r="C502" s="255"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255" t="n"/>
      <c r="BL502" s="7" t="inlineStr">
        <is>
          <t>GMAP-SIGA</t>
        </is>
      </c>
      <c r="BM502" s="254" t="inlineStr">
        <is>
          <t>ASUB</t>
        </is>
      </c>
      <c r="BN502" s="266" t="inlineStr">
        <is>
          <t>Michincha</t>
        </is>
      </c>
      <c r="BO502" s="254" t="inlineStr">
        <is>
          <t>SI</t>
        </is>
      </c>
      <c r="BP502" s="106" t="inlineStr">
        <is>
          <t>MMA-04 MICHINCHA/ASUB</t>
        </is>
      </c>
      <c r="BQ502" s="106">
        <f>VLOOKUP(BP502,[1]AGUA!$1:$1048576,2,FALSE)</f>
        <v/>
      </c>
      <c r="BR502" s="106">
        <f>VLOOKUP(BP502,[1]AGUA!$1:$1048576,6,FALSE)</f>
        <v/>
      </c>
      <c r="BS502" s="106">
        <f>VLOOKUP(BP502,[1]AGUA!$1:$1048576,7,FALSE)</f>
        <v/>
      </c>
      <c r="BT502" s="106" t="n"/>
      <c r="BU502" s="252"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4" t="n"/>
      <c r="DB502" s="254" t="n"/>
      <c r="DC502" s="254" t="n"/>
      <c r="DD502" s="254" t="n"/>
      <c r="DE502" s="254" t="n"/>
      <c r="DF502" s="254" t="n"/>
      <c r="DG502" s="254" t="n"/>
      <c r="DH502" s="254" t="n"/>
      <c r="DI502" s="254" t="n"/>
      <c r="DJ502" s="254" t="n"/>
      <c r="DK502" s="254" t="n"/>
      <c r="DL502" s="95" t="n"/>
      <c r="DM502" s="254" t="inlineStr">
        <is>
          <t>M</t>
        </is>
      </c>
      <c r="DN502" s="95" t="n">
        <v>1</v>
      </c>
      <c r="DO502" s="95" t="n">
        <v>7</v>
      </c>
    </row>
    <row r="503" ht="13" customHeight="1">
      <c r="A503" s="203" t="inlineStr">
        <is>
          <t>MMA-05</t>
        </is>
      </c>
      <c r="B503" s="260" t="inlineStr">
        <is>
          <t>MMA-05 MICHINCHA</t>
        </is>
      </c>
      <c r="C503" s="254"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259" t="inlineStr">
        <is>
          <t>532MAMMA</t>
        </is>
      </c>
      <c r="BL503" s="7" t="inlineStr">
        <is>
          <t>GMAP-SIGA</t>
        </is>
      </c>
      <c r="BM503" s="254" t="inlineStr">
        <is>
          <t>NF</t>
        </is>
      </c>
      <c r="BN503" s="266" t="inlineStr">
        <is>
          <t>Michincha</t>
        </is>
      </c>
      <c r="BO503" s="254" t="inlineStr">
        <is>
          <t>SI</t>
        </is>
      </c>
      <c r="BP503" s="106" t="inlineStr">
        <is>
          <t>MMA-05 MICHINCHA/NF</t>
        </is>
      </c>
      <c r="BQ503" s="106">
        <f>VLOOKUP(BP503,[1]AGUA!$1:$1048576,2,FALSE)</f>
        <v/>
      </c>
      <c r="BR503" s="106">
        <f>VLOOKUP(BP503,[1]AGUA!$1:$1048576,6,FALSE)</f>
        <v/>
      </c>
      <c r="BS503" s="106">
        <f>VLOOKUP(BP503,[1]AGUA!$1:$1048576,7,FALSE)</f>
        <v/>
      </c>
      <c r="BT503" s="106" t="n"/>
      <c r="BU503" s="267"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4" t="n"/>
      <c r="DB503" s="254" t="n"/>
      <c r="DC503" s="254" t="n"/>
      <c r="DD503" s="254" t="n"/>
      <c r="DE503" s="254" t="n"/>
      <c r="DF503" s="254" t="n"/>
      <c r="DG503" s="254" t="n"/>
      <c r="DH503" s="254" t="n"/>
      <c r="DI503" s="254" t="n"/>
      <c r="DJ503" s="254" t="inlineStr">
        <is>
          <t>M</t>
        </is>
      </c>
      <c r="DK503" s="254" t="n">
        <v>1</v>
      </c>
      <c r="DL503" s="95" t="n">
        <v>7</v>
      </c>
      <c r="DM503" s="254" t="n"/>
      <c r="DN503" s="95" t="n"/>
      <c r="DO503" s="95" t="n"/>
    </row>
    <row r="504" ht="13" customHeight="1">
      <c r="A504" s="203" t="inlineStr">
        <is>
          <t>MMA-05</t>
        </is>
      </c>
      <c r="B504" s="255" t="n"/>
      <c r="C504" s="255"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255" t="n"/>
      <c r="BL504" s="7" t="inlineStr">
        <is>
          <t>GMAP-SIGA</t>
        </is>
      </c>
      <c r="BM504" s="254" t="inlineStr">
        <is>
          <t>ASUB</t>
        </is>
      </c>
      <c r="BN504" s="266" t="inlineStr">
        <is>
          <t>Michincha</t>
        </is>
      </c>
      <c r="BO504" s="254" t="inlineStr">
        <is>
          <t>SI</t>
        </is>
      </c>
      <c r="BP504" s="106" t="inlineStr">
        <is>
          <t>MMA-05 MICHINCHA/ASUB</t>
        </is>
      </c>
      <c r="BQ504" s="106">
        <f>VLOOKUP(BP504,[1]AGUA!$1:$1048576,2,FALSE)</f>
        <v/>
      </c>
      <c r="BR504" s="106">
        <f>VLOOKUP(BP504,[1]AGUA!$1:$1048576,6,FALSE)</f>
        <v/>
      </c>
      <c r="BS504" s="106">
        <f>VLOOKUP(BP504,[1]AGUA!$1:$1048576,7,FALSE)</f>
        <v/>
      </c>
      <c r="BT504" s="106" t="n"/>
      <c r="BU504" s="252"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4" t="n"/>
      <c r="DB504" s="254" t="n"/>
      <c r="DC504" s="254" t="n"/>
      <c r="DD504" s="254" t="n"/>
      <c r="DE504" s="254" t="n"/>
      <c r="DF504" s="254" t="n"/>
      <c r="DG504" s="254" t="n"/>
      <c r="DH504" s="254" t="n"/>
      <c r="DI504" s="254" t="n"/>
      <c r="DJ504" s="254" t="n"/>
      <c r="DK504" s="254" t="n"/>
      <c r="DL504" s="95" t="n"/>
      <c r="DM504" s="254" t="inlineStr">
        <is>
          <t>M</t>
        </is>
      </c>
      <c r="DN504" s="95" t="n">
        <v>1</v>
      </c>
      <c r="DO504" s="95" t="n">
        <v>7</v>
      </c>
    </row>
    <row r="505" ht="13" customHeight="1">
      <c r="A505" s="203" t="inlineStr">
        <is>
          <t>MMA-06</t>
        </is>
      </c>
      <c r="B505" s="260" t="inlineStr">
        <is>
          <t>MMA-06 MICHINCHA</t>
        </is>
      </c>
      <c r="C505" s="254"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259" t="inlineStr">
        <is>
          <t>532MAMMA</t>
        </is>
      </c>
      <c r="BL505" s="7" t="inlineStr">
        <is>
          <t>GMAP-SIGA</t>
        </is>
      </c>
      <c r="BM505" s="254" t="inlineStr">
        <is>
          <t>NF</t>
        </is>
      </c>
      <c r="BN505" s="266" t="inlineStr">
        <is>
          <t>Michincha</t>
        </is>
      </c>
      <c r="BO505" s="254" t="inlineStr">
        <is>
          <t>SI</t>
        </is>
      </c>
      <c r="BP505" s="106" t="inlineStr">
        <is>
          <t>MMA-06 MICHINCHA/NF</t>
        </is>
      </c>
      <c r="BQ505" s="106">
        <f>VLOOKUP(BP505,[1]AGUA!$1:$1048576,2,FALSE)</f>
        <v/>
      </c>
      <c r="BR505" s="106">
        <f>VLOOKUP(BP505,[1]AGUA!$1:$1048576,6,FALSE)</f>
        <v/>
      </c>
      <c r="BS505" s="106">
        <f>VLOOKUP(BP505,[1]AGUA!$1:$1048576,7,FALSE)</f>
        <v/>
      </c>
      <c r="BT505" s="106" t="n"/>
      <c r="BU505" s="267"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4" t="n"/>
      <c r="DB505" s="254" t="n"/>
      <c r="DC505" s="254" t="n"/>
      <c r="DD505" s="254" t="n"/>
      <c r="DE505" s="254" t="n"/>
      <c r="DF505" s="254" t="n"/>
      <c r="DG505" s="254" t="n"/>
      <c r="DH505" s="254" t="n"/>
      <c r="DI505" s="254" t="n"/>
      <c r="DJ505" s="254" t="inlineStr">
        <is>
          <t>M</t>
        </is>
      </c>
      <c r="DK505" s="254" t="n">
        <v>1</v>
      </c>
      <c r="DL505" s="95" t="n">
        <v>7</v>
      </c>
      <c r="DM505" s="254" t="n"/>
      <c r="DN505" s="95" t="n"/>
      <c r="DO505" s="95" t="n"/>
    </row>
    <row r="506" ht="13" customHeight="1">
      <c r="A506" s="203" t="inlineStr">
        <is>
          <t>MMA-06</t>
        </is>
      </c>
      <c r="B506" s="255" t="n"/>
      <c r="C506" s="255"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255" t="n"/>
      <c r="BL506" s="7" t="inlineStr">
        <is>
          <t>GMAP-SIGA</t>
        </is>
      </c>
      <c r="BM506" s="254" t="inlineStr">
        <is>
          <t>ASUB</t>
        </is>
      </c>
      <c r="BN506" s="266" t="inlineStr">
        <is>
          <t>Michincha</t>
        </is>
      </c>
      <c r="BO506" s="254" t="inlineStr">
        <is>
          <t>SI</t>
        </is>
      </c>
      <c r="BP506" s="106" t="inlineStr">
        <is>
          <t>MMA-06 MICHINCHA/ASUB</t>
        </is>
      </c>
      <c r="BQ506" s="106">
        <f>VLOOKUP(BP506,[1]AGUA!$1:$1048576,2,FALSE)</f>
        <v/>
      </c>
      <c r="BR506" s="106">
        <f>VLOOKUP(BP506,[1]AGUA!$1:$1048576,6,FALSE)</f>
        <v/>
      </c>
      <c r="BS506" s="106">
        <f>VLOOKUP(BP506,[1]AGUA!$1:$1048576,7,FALSE)</f>
        <v/>
      </c>
      <c r="BT506" s="106" t="n"/>
      <c r="BU506" s="252"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4" t="n"/>
      <c r="DB506" s="254" t="n"/>
      <c r="DC506" s="254" t="n"/>
      <c r="DD506" s="254" t="n"/>
      <c r="DE506" s="254" t="n"/>
      <c r="DF506" s="254" t="n"/>
      <c r="DG506" s="254" t="n"/>
      <c r="DH506" s="254" t="n"/>
      <c r="DI506" s="254" t="n"/>
      <c r="DJ506" s="254" t="n"/>
      <c r="DK506" s="254" t="n"/>
      <c r="DL506" s="95" t="n"/>
      <c r="DM506" s="254" t="inlineStr">
        <is>
          <t>M</t>
        </is>
      </c>
      <c r="DN506" s="95" t="n">
        <v>1</v>
      </c>
      <c r="DO506" s="95" t="n">
        <v>7</v>
      </c>
    </row>
    <row r="507" ht="13" customHeight="1">
      <c r="A507" s="203" t="inlineStr">
        <is>
          <t>MMA-07</t>
        </is>
      </c>
      <c r="B507" s="260" t="inlineStr">
        <is>
          <t>MMA-07 MICHINCHA</t>
        </is>
      </c>
      <c r="C507" s="254"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259" t="inlineStr">
        <is>
          <t>532MAMMA</t>
        </is>
      </c>
      <c r="BL507" s="7" t="inlineStr">
        <is>
          <t>GMAP-SIGA</t>
        </is>
      </c>
      <c r="BM507" s="254" t="inlineStr">
        <is>
          <t>NF</t>
        </is>
      </c>
      <c r="BN507" s="266" t="inlineStr">
        <is>
          <t>Michincha</t>
        </is>
      </c>
      <c r="BO507" s="254" t="inlineStr">
        <is>
          <t>SI</t>
        </is>
      </c>
      <c r="BP507" s="106" t="inlineStr">
        <is>
          <t>MMA-07 MICHINCHA/NF</t>
        </is>
      </c>
      <c r="BQ507" s="106">
        <f>VLOOKUP(BP507,[1]AGUA!$1:$1048576,2,FALSE)</f>
        <v/>
      </c>
      <c r="BR507" s="106">
        <f>VLOOKUP(BP507,[1]AGUA!$1:$1048576,6,FALSE)</f>
        <v/>
      </c>
      <c r="BS507" s="106">
        <f>VLOOKUP(BP507,[1]AGUA!$1:$1048576,7,FALSE)</f>
        <v/>
      </c>
      <c r="BT507" s="106" t="n"/>
      <c r="BU507" s="267"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4" t="n"/>
      <c r="DB507" s="254" t="n"/>
      <c r="DC507" s="254" t="n"/>
      <c r="DD507" s="254" t="n"/>
      <c r="DE507" s="254" t="n"/>
      <c r="DF507" s="254" t="n"/>
      <c r="DG507" s="254" t="n"/>
      <c r="DH507" s="254" t="n"/>
      <c r="DI507" s="254" t="n"/>
      <c r="DJ507" s="254" t="inlineStr">
        <is>
          <t>M</t>
        </is>
      </c>
      <c r="DK507" s="254" t="n">
        <v>1</v>
      </c>
      <c r="DL507" s="95" t="n">
        <v>7</v>
      </c>
      <c r="DM507" s="254" t="n"/>
      <c r="DN507" s="95" t="n"/>
      <c r="DO507" s="95" t="n"/>
    </row>
    <row r="508" ht="13" customHeight="1">
      <c r="A508" s="203" t="inlineStr">
        <is>
          <t>MMA-07</t>
        </is>
      </c>
      <c r="B508" s="255" t="n"/>
      <c r="C508" s="255"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255" t="n"/>
      <c r="BL508" s="7" t="inlineStr">
        <is>
          <t>GMAP-SIGA</t>
        </is>
      </c>
      <c r="BM508" s="254" t="inlineStr">
        <is>
          <t>ASUB</t>
        </is>
      </c>
      <c r="BN508" s="266" t="inlineStr">
        <is>
          <t>Michincha</t>
        </is>
      </c>
      <c r="BO508" s="254" t="inlineStr">
        <is>
          <t>SI</t>
        </is>
      </c>
      <c r="BP508" s="106" t="inlineStr">
        <is>
          <t>MMA-07 MICHINCHA/ASUB</t>
        </is>
      </c>
      <c r="BQ508" s="106">
        <f>VLOOKUP(BP508,[1]AGUA!$1:$1048576,2,FALSE)</f>
        <v/>
      </c>
      <c r="BR508" s="106">
        <f>VLOOKUP(BP508,[1]AGUA!$1:$1048576,6,FALSE)</f>
        <v/>
      </c>
      <c r="BS508" s="106">
        <f>VLOOKUP(BP508,[1]AGUA!$1:$1048576,7,FALSE)</f>
        <v/>
      </c>
      <c r="BT508" s="106" t="n"/>
      <c r="BU508" s="252"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4" t="n"/>
      <c r="DB508" s="254" t="n"/>
      <c r="DC508" s="254" t="n"/>
      <c r="DD508" s="254" t="n"/>
      <c r="DE508" s="254" t="n"/>
      <c r="DF508" s="254" t="n"/>
      <c r="DG508" s="254" t="n"/>
      <c r="DH508" s="254" t="n"/>
      <c r="DI508" s="254" t="n"/>
      <c r="DJ508" s="254" t="n"/>
      <c r="DK508" s="254" t="n"/>
      <c r="DL508" s="95" t="n"/>
      <c r="DM508" s="254" t="inlineStr">
        <is>
          <t>M</t>
        </is>
      </c>
      <c r="DN508" s="95" t="n">
        <v>1</v>
      </c>
      <c r="DO508" s="95" t="n">
        <v>7</v>
      </c>
    </row>
    <row r="509" ht="13" customHeight="1">
      <c r="A509" s="203" t="inlineStr">
        <is>
          <t>MMA-08</t>
        </is>
      </c>
      <c r="B509" s="260" t="inlineStr">
        <is>
          <t>MMA-08 MICHINCHA</t>
        </is>
      </c>
      <c r="C509" s="254"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259" t="inlineStr">
        <is>
          <t>532MAMMA</t>
        </is>
      </c>
      <c r="BL509" s="7" t="inlineStr">
        <is>
          <t>GMAP-SIGA</t>
        </is>
      </c>
      <c r="BM509" s="254" t="inlineStr">
        <is>
          <t>NF</t>
        </is>
      </c>
      <c r="BN509" s="266" t="inlineStr">
        <is>
          <t>Michincha</t>
        </is>
      </c>
      <c r="BO509" s="254" t="inlineStr">
        <is>
          <t>SI</t>
        </is>
      </c>
      <c r="BP509" s="106" t="inlineStr">
        <is>
          <t>MMA-08 MICHINCHA/NF</t>
        </is>
      </c>
      <c r="BQ509" s="106">
        <f>VLOOKUP(BP509,[1]AGUA!$1:$1048576,2,FALSE)</f>
        <v/>
      </c>
      <c r="BR509" s="106">
        <f>VLOOKUP(BP509,[1]AGUA!$1:$1048576,6,FALSE)</f>
        <v/>
      </c>
      <c r="BS509" s="106">
        <f>VLOOKUP(BP509,[1]AGUA!$1:$1048576,7,FALSE)</f>
        <v/>
      </c>
      <c r="BT509" s="106" t="n"/>
      <c r="BU509" s="267"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4" t="n"/>
      <c r="DB509" s="254" t="n"/>
      <c r="DC509" s="254" t="n"/>
      <c r="DD509" s="254" t="n"/>
      <c r="DE509" s="254" t="n"/>
      <c r="DF509" s="254" t="n"/>
      <c r="DG509" s="254" t="n"/>
      <c r="DH509" s="254" t="n"/>
      <c r="DI509" s="254" t="n"/>
      <c r="DJ509" s="254" t="inlineStr">
        <is>
          <t>M</t>
        </is>
      </c>
      <c r="DK509" s="254" t="n">
        <v>1</v>
      </c>
      <c r="DL509" s="95" t="n">
        <v>7</v>
      </c>
      <c r="DM509" s="254" t="n"/>
      <c r="DN509" s="95" t="n"/>
      <c r="DO509" s="95" t="n"/>
    </row>
    <row r="510" ht="13" customHeight="1">
      <c r="A510" s="203" t="inlineStr">
        <is>
          <t>MMA-08</t>
        </is>
      </c>
      <c r="B510" s="255" t="n"/>
      <c r="C510" s="255"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255" t="n"/>
      <c r="BL510" s="7" t="inlineStr">
        <is>
          <t>GMAP-SIGA</t>
        </is>
      </c>
      <c r="BM510" s="254" t="inlineStr">
        <is>
          <t>ASUB</t>
        </is>
      </c>
      <c r="BN510" s="266" t="inlineStr">
        <is>
          <t>Michincha</t>
        </is>
      </c>
      <c r="BO510" s="254" t="inlineStr">
        <is>
          <t>SI</t>
        </is>
      </c>
      <c r="BP510" s="106" t="inlineStr">
        <is>
          <t>MMA-08 MICHINCHA/ASUB</t>
        </is>
      </c>
      <c r="BQ510" s="106">
        <f>VLOOKUP(BP510,[1]AGUA!$1:$1048576,2,FALSE)</f>
        <v/>
      </c>
      <c r="BR510" s="106">
        <f>VLOOKUP(BP510,[1]AGUA!$1:$1048576,6,FALSE)</f>
        <v/>
      </c>
      <c r="BS510" s="106">
        <f>VLOOKUP(BP510,[1]AGUA!$1:$1048576,7,FALSE)</f>
        <v/>
      </c>
      <c r="BT510" s="106" t="n"/>
      <c r="BU510" s="252"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4" t="n"/>
      <c r="DB510" s="254" t="n"/>
      <c r="DC510" s="254" t="n"/>
      <c r="DD510" s="254" t="n"/>
      <c r="DE510" s="254" t="n"/>
      <c r="DF510" s="254" t="n"/>
      <c r="DG510" s="254" t="n"/>
      <c r="DH510" s="254" t="n"/>
      <c r="DI510" s="254" t="n"/>
      <c r="DJ510" s="254" t="n"/>
      <c r="DK510" s="254" t="n"/>
      <c r="DL510" s="95" t="n"/>
      <c r="DM510" s="254" t="inlineStr">
        <is>
          <t>M</t>
        </is>
      </c>
      <c r="DN510" s="95" t="n">
        <v>1</v>
      </c>
      <c r="DO510" s="95" t="n">
        <v>7</v>
      </c>
    </row>
    <row r="511" ht="13" customHeight="1">
      <c r="A511" s="203" t="inlineStr">
        <is>
          <t>MMA-09</t>
        </is>
      </c>
      <c r="B511" s="260" t="inlineStr">
        <is>
          <t>MMA-09 MICHINCHA</t>
        </is>
      </c>
      <c r="C511" s="254"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259" t="inlineStr">
        <is>
          <t>532MAMMA</t>
        </is>
      </c>
      <c r="BL511" s="7" t="inlineStr">
        <is>
          <t>GMAP-SIGA</t>
        </is>
      </c>
      <c r="BM511" s="254" t="inlineStr">
        <is>
          <t>NF</t>
        </is>
      </c>
      <c r="BN511" s="266" t="inlineStr">
        <is>
          <t>Michincha</t>
        </is>
      </c>
      <c r="BO511" s="254" t="inlineStr">
        <is>
          <t>SI</t>
        </is>
      </c>
      <c r="BP511" s="106" t="inlineStr">
        <is>
          <t>MMA-09 MICHINCHA/NF</t>
        </is>
      </c>
      <c r="BQ511" s="106">
        <f>VLOOKUP(BP511,[1]AGUA!$1:$1048576,2,FALSE)</f>
        <v/>
      </c>
      <c r="BR511" s="106">
        <f>VLOOKUP(BP511,[1]AGUA!$1:$1048576,6,FALSE)</f>
        <v/>
      </c>
      <c r="BS511" s="106">
        <f>VLOOKUP(BP511,[1]AGUA!$1:$1048576,7,FALSE)</f>
        <v/>
      </c>
      <c r="BT511" s="106" t="n"/>
      <c r="BU511" s="267"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4" t="n"/>
      <c r="DB511" s="254" t="n"/>
      <c r="DC511" s="254" t="n"/>
      <c r="DD511" s="254" t="n"/>
      <c r="DE511" s="254" t="n"/>
      <c r="DF511" s="254" t="n"/>
      <c r="DG511" s="254" t="n"/>
      <c r="DH511" s="254" t="n"/>
      <c r="DI511" s="254" t="n"/>
      <c r="DJ511" s="254" t="inlineStr">
        <is>
          <t>M</t>
        </is>
      </c>
      <c r="DK511" s="254" t="n">
        <v>1</v>
      </c>
      <c r="DL511" s="95" t="n">
        <v>7</v>
      </c>
      <c r="DM511" s="254" t="n"/>
      <c r="DN511" s="95" t="n"/>
      <c r="DO511" s="95" t="n"/>
    </row>
    <row r="512" ht="13" customHeight="1">
      <c r="A512" s="203" t="inlineStr">
        <is>
          <t>MMA-09</t>
        </is>
      </c>
      <c r="B512" s="255" t="n"/>
      <c r="C512" s="255"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255" t="n"/>
      <c r="BL512" s="7" t="inlineStr">
        <is>
          <t>GMAP-SIGA</t>
        </is>
      </c>
      <c r="BM512" s="254" t="inlineStr">
        <is>
          <t>ASUB</t>
        </is>
      </c>
      <c r="BN512" s="266" t="inlineStr">
        <is>
          <t>Michincha</t>
        </is>
      </c>
      <c r="BO512" s="254" t="inlineStr">
        <is>
          <t>SI</t>
        </is>
      </c>
      <c r="BP512" s="106" t="inlineStr">
        <is>
          <t>MMA-09 MICHINCHA/ASUB</t>
        </is>
      </c>
      <c r="BQ512" s="106">
        <f>VLOOKUP(BP512,[1]AGUA!$1:$1048576,2,FALSE)</f>
        <v/>
      </c>
      <c r="BR512" s="106">
        <f>VLOOKUP(BP512,[1]AGUA!$1:$1048576,6,FALSE)</f>
        <v/>
      </c>
      <c r="BS512" s="106">
        <f>VLOOKUP(BP512,[1]AGUA!$1:$1048576,7,FALSE)</f>
        <v/>
      </c>
      <c r="BT512" s="106" t="n"/>
      <c r="BU512" s="252"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4" t="n"/>
      <c r="DB512" s="254" t="n"/>
      <c r="DC512" s="254" t="n"/>
      <c r="DD512" s="254" t="n"/>
      <c r="DE512" s="254" t="n"/>
      <c r="DF512" s="254" t="n"/>
      <c r="DG512" s="254" t="n"/>
      <c r="DH512" s="254" t="n"/>
      <c r="DI512" s="254" t="n"/>
      <c r="DJ512" s="254" t="n"/>
      <c r="DK512" s="254" t="n"/>
      <c r="DL512" s="95" t="n"/>
      <c r="DM512" s="254" t="inlineStr">
        <is>
          <t>M</t>
        </is>
      </c>
      <c r="DN512" s="95" t="n">
        <v>1</v>
      </c>
      <c r="DO512" s="95" t="n">
        <v>7</v>
      </c>
    </row>
    <row r="513" ht="13" customHeight="1">
      <c r="A513" s="203" t="inlineStr">
        <is>
          <t>MMA-10</t>
        </is>
      </c>
      <c r="B513" s="260" t="inlineStr">
        <is>
          <t>MMA-10 MICHINCHA</t>
        </is>
      </c>
      <c r="C513" s="254"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259" t="inlineStr">
        <is>
          <t>532MAMMA</t>
        </is>
      </c>
      <c r="BL513" s="7" t="inlineStr">
        <is>
          <t>GMAP-SIGA</t>
        </is>
      </c>
      <c r="BM513" s="254" t="inlineStr">
        <is>
          <t>NF</t>
        </is>
      </c>
      <c r="BN513" s="266" t="inlineStr">
        <is>
          <t>Michincha</t>
        </is>
      </c>
      <c r="BO513" s="254" t="inlineStr">
        <is>
          <t>SI</t>
        </is>
      </c>
      <c r="BP513" s="106" t="inlineStr">
        <is>
          <t>MMA-10 MICHINCHA/NF</t>
        </is>
      </c>
      <c r="BQ513" s="106">
        <f>VLOOKUP(BP513,[1]AGUA!$1:$1048576,2,FALSE)</f>
        <v/>
      </c>
      <c r="BR513" s="106">
        <f>VLOOKUP(BP513,[1]AGUA!$1:$1048576,6,FALSE)</f>
        <v/>
      </c>
      <c r="BS513" s="106">
        <f>VLOOKUP(BP513,[1]AGUA!$1:$1048576,7,FALSE)</f>
        <v/>
      </c>
      <c r="BT513" s="106" t="n"/>
      <c r="BU513" s="267"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4" t="n"/>
      <c r="DB513" s="254" t="n"/>
      <c r="DC513" s="254" t="n"/>
      <c r="DD513" s="254" t="n"/>
      <c r="DE513" s="254" t="n"/>
      <c r="DF513" s="254" t="n"/>
      <c r="DG513" s="254" t="n"/>
      <c r="DH513" s="254" t="n"/>
      <c r="DI513" s="254" t="n"/>
      <c r="DJ513" s="254" t="inlineStr">
        <is>
          <t>M</t>
        </is>
      </c>
      <c r="DK513" s="254" t="n">
        <v>1</v>
      </c>
      <c r="DL513" s="95" t="n">
        <v>7</v>
      </c>
      <c r="DM513" s="254" t="n"/>
      <c r="DN513" s="95" t="n"/>
      <c r="DO513" s="95" t="n"/>
    </row>
    <row r="514" ht="13" customHeight="1">
      <c r="A514" s="203" t="inlineStr">
        <is>
          <t>MMA-10</t>
        </is>
      </c>
      <c r="B514" s="255" t="n"/>
      <c r="C514" s="255"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255" t="n"/>
      <c r="BL514" s="7" t="inlineStr">
        <is>
          <t>GMAP-SIGA</t>
        </is>
      </c>
      <c r="BM514" s="254" t="inlineStr">
        <is>
          <t>ASUB</t>
        </is>
      </c>
      <c r="BN514" s="266" t="inlineStr">
        <is>
          <t>Michincha</t>
        </is>
      </c>
      <c r="BO514" s="254" t="inlineStr">
        <is>
          <t>SI</t>
        </is>
      </c>
      <c r="BP514" s="106" t="inlineStr">
        <is>
          <t>MMA-10 MICHINCHA/ASUB</t>
        </is>
      </c>
      <c r="BQ514" s="106">
        <f>VLOOKUP(BP514,[1]AGUA!$1:$1048576,2,FALSE)</f>
        <v/>
      </c>
      <c r="BR514" s="106">
        <f>VLOOKUP(BP514,[1]AGUA!$1:$1048576,6,FALSE)</f>
        <v/>
      </c>
      <c r="BS514" s="106">
        <f>VLOOKUP(BP514,[1]AGUA!$1:$1048576,7,FALSE)</f>
        <v/>
      </c>
      <c r="BT514" s="106" t="n"/>
      <c r="BU514" s="252"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4" t="n"/>
      <c r="DB514" s="254" t="n"/>
      <c r="DC514" s="254" t="n"/>
      <c r="DD514" s="254" t="n"/>
      <c r="DE514" s="254" t="n"/>
      <c r="DF514" s="254" t="n"/>
      <c r="DG514" s="254" t="n"/>
      <c r="DH514" s="254" t="n"/>
      <c r="DI514" s="254" t="n"/>
      <c r="DJ514" s="254" t="n"/>
      <c r="DK514" s="254" t="n"/>
      <c r="DL514" s="95" t="n"/>
      <c r="DM514" s="254" t="inlineStr">
        <is>
          <t>M</t>
        </is>
      </c>
      <c r="DN514" s="95" t="n">
        <v>1</v>
      </c>
      <c r="DO514" s="95" t="n">
        <v>7</v>
      </c>
    </row>
    <row r="515" ht="13" customHeight="1">
      <c r="A515" s="203" t="inlineStr">
        <is>
          <t>MMA-11</t>
        </is>
      </c>
      <c r="B515" s="260" t="inlineStr">
        <is>
          <t>MMA-11 MICHINCHA</t>
        </is>
      </c>
      <c r="C515" s="254"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259" t="inlineStr">
        <is>
          <t>532MAMMA</t>
        </is>
      </c>
      <c r="BL515" s="7" t="inlineStr">
        <is>
          <t>GMAP-SIGA</t>
        </is>
      </c>
      <c r="BM515" s="254" t="inlineStr">
        <is>
          <t>NF</t>
        </is>
      </c>
      <c r="BN515" s="266" t="inlineStr">
        <is>
          <t>Michincha</t>
        </is>
      </c>
      <c r="BO515" s="254" t="inlineStr">
        <is>
          <t>SI</t>
        </is>
      </c>
      <c r="BP515" s="106" t="inlineStr">
        <is>
          <t>MMA-11 MICHINCHA/NF</t>
        </is>
      </c>
      <c r="BQ515" s="106">
        <f>VLOOKUP(BP515,[1]AGUA!$1:$1048576,2,FALSE)</f>
        <v/>
      </c>
      <c r="BR515" s="106">
        <f>VLOOKUP(BP515,[1]AGUA!$1:$1048576,6,FALSE)</f>
        <v/>
      </c>
      <c r="BS515" s="106">
        <f>VLOOKUP(BP515,[1]AGUA!$1:$1048576,7,FALSE)</f>
        <v/>
      </c>
      <c r="BT515" s="106" t="n"/>
      <c r="BU515" s="267"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4" t="n"/>
      <c r="DB515" s="254" t="n"/>
      <c r="DC515" s="254" t="n"/>
      <c r="DD515" s="254" t="n"/>
      <c r="DE515" s="254" t="n"/>
      <c r="DF515" s="254" t="n"/>
      <c r="DG515" s="254" t="n"/>
      <c r="DH515" s="254" t="n"/>
      <c r="DI515" s="254" t="n"/>
      <c r="DJ515" s="254" t="inlineStr">
        <is>
          <t>M</t>
        </is>
      </c>
      <c r="DK515" s="254" t="n">
        <v>1</v>
      </c>
      <c r="DL515" s="95" t="n">
        <v>7</v>
      </c>
      <c r="DM515" s="254" t="n"/>
      <c r="DN515" s="95" t="n"/>
      <c r="DO515" s="95" t="n"/>
    </row>
    <row r="516" ht="13" customHeight="1">
      <c r="A516" s="203" t="inlineStr">
        <is>
          <t>MMA-11</t>
        </is>
      </c>
      <c r="B516" s="255" t="n"/>
      <c r="C516" s="255"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255" t="n"/>
      <c r="BL516" s="7" t="inlineStr">
        <is>
          <t>GMAP-SIGA</t>
        </is>
      </c>
      <c r="BM516" s="254" t="inlineStr">
        <is>
          <t>ASUB</t>
        </is>
      </c>
      <c r="BN516" s="266" t="inlineStr">
        <is>
          <t>Michincha</t>
        </is>
      </c>
      <c r="BO516" s="254" t="inlineStr">
        <is>
          <t>SI</t>
        </is>
      </c>
      <c r="BP516" s="106" t="inlineStr">
        <is>
          <t>MMA-11 MICHINCHA/ASUB</t>
        </is>
      </c>
      <c r="BQ516" s="106">
        <f>VLOOKUP(BP516,[1]AGUA!$1:$1048576,2,FALSE)</f>
        <v/>
      </c>
      <c r="BR516" s="106">
        <f>VLOOKUP(BP516,[1]AGUA!$1:$1048576,6,FALSE)</f>
        <v/>
      </c>
      <c r="BS516" s="106">
        <f>VLOOKUP(BP516,[1]AGUA!$1:$1048576,7,FALSE)</f>
        <v/>
      </c>
      <c r="BT516" s="106" t="n"/>
      <c r="BU516" s="252"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4" t="n"/>
      <c r="DB516" s="254" t="n"/>
      <c r="DC516" s="254" t="n"/>
      <c r="DD516" s="254" t="n"/>
      <c r="DE516" s="254" t="n"/>
      <c r="DF516" s="254" t="n"/>
      <c r="DG516" s="254" t="n"/>
      <c r="DH516" s="254" t="n"/>
      <c r="DI516" s="254" t="n"/>
      <c r="DJ516" s="254" t="n"/>
      <c r="DK516" s="254" t="n"/>
      <c r="DL516" s="95" t="n"/>
      <c r="DM516" s="254" t="inlineStr">
        <is>
          <t>M</t>
        </is>
      </c>
      <c r="DN516" s="95" t="n">
        <v>1</v>
      </c>
      <c r="DO516" s="95" t="n">
        <v>7</v>
      </c>
    </row>
    <row r="517" ht="13" customHeight="1">
      <c r="A517" s="203" t="inlineStr">
        <is>
          <t>MMA-12</t>
        </is>
      </c>
      <c r="B517" s="260" t="inlineStr">
        <is>
          <t>MMA-12 MICHINCHA</t>
        </is>
      </c>
      <c r="C517" s="254"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259" t="inlineStr">
        <is>
          <t>532MAMMA</t>
        </is>
      </c>
      <c r="BL517" s="7" t="inlineStr">
        <is>
          <t>GMAP-SIGA</t>
        </is>
      </c>
      <c r="BM517" s="254" t="inlineStr">
        <is>
          <t>NF</t>
        </is>
      </c>
      <c r="BN517" s="266" t="inlineStr">
        <is>
          <t>Michincha</t>
        </is>
      </c>
      <c r="BO517" s="254" t="inlineStr">
        <is>
          <t>SI</t>
        </is>
      </c>
      <c r="BP517" s="106" t="inlineStr">
        <is>
          <t>MMA-12 MICHINCHA/NF</t>
        </is>
      </c>
      <c r="BQ517" s="106">
        <f>VLOOKUP(BP517,[1]AGUA!$1:$1048576,2,FALSE)</f>
        <v/>
      </c>
      <c r="BR517" s="106">
        <f>VLOOKUP(BP517,[1]AGUA!$1:$1048576,6,FALSE)</f>
        <v/>
      </c>
      <c r="BS517" s="106">
        <f>VLOOKUP(BP517,[1]AGUA!$1:$1048576,7,FALSE)</f>
        <v/>
      </c>
      <c r="BT517" s="106" t="n"/>
      <c r="BU517" s="267"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4" t="n"/>
      <c r="DB517" s="254" t="n"/>
      <c r="DC517" s="254" t="n"/>
      <c r="DD517" s="254" t="n"/>
      <c r="DE517" s="254" t="n"/>
      <c r="DF517" s="254" t="n"/>
      <c r="DG517" s="254" t="n"/>
      <c r="DH517" s="254" t="n"/>
      <c r="DI517" s="254" t="n"/>
      <c r="DJ517" s="254" t="inlineStr">
        <is>
          <t>M</t>
        </is>
      </c>
      <c r="DK517" s="254" t="n">
        <v>1</v>
      </c>
      <c r="DL517" s="95" t="n">
        <v>7</v>
      </c>
      <c r="DM517" s="254" t="n"/>
      <c r="DN517" s="95" t="n"/>
      <c r="DO517" s="95" t="n"/>
    </row>
    <row r="518" ht="13" customHeight="1">
      <c r="A518" s="203" t="inlineStr">
        <is>
          <t>MMA-12</t>
        </is>
      </c>
      <c r="B518" s="255" t="n"/>
      <c r="C518" s="255"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255" t="n"/>
      <c r="BL518" s="7" t="inlineStr">
        <is>
          <t>GMAP-SIGA</t>
        </is>
      </c>
      <c r="BM518" s="254" t="inlineStr">
        <is>
          <t>ASUB</t>
        </is>
      </c>
      <c r="BN518" s="266" t="inlineStr">
        <is>
          <t>Michincha</t>
        </is>
      </c>
      <c r="BO518" s="254" t="inlineStr">
        <is>
          <t>SI</t>
        </is>
      </c>
      <c r="BP518" s="106" t="inlineStr">
        <is>
          <t>MMA-12 MICHINCHA/ASUB</t>
        </is>
      </c>
      <c r="BQ518" s="106">
        <f>VLOOKUP(BP518,[1]AGUA!$1:$1048576,2,FALSE)</f>
        <v/>
      </c>
      <c r="BR518" s="106">
        <f>VLOOKUP(BP518,[1]AGUA!$1:$1048576,6,FALSE)</f>
        <v/>
      </c>
      <c r="BS518" s="106">
        <f>VLOOKUP(BP518,[1]AGUA!$1:$1048576,7,FALSE)</f>
        <v/>
      </c>
      <c r="BT518" s="106" t="n"/>
      <c r="BU518" s="252"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4" t="n"/>
      <c r="DB518" s="254" t="n"/>
      <c r="DC518" s="254" t="n"/>
      <c r="DD518" s="254" t="n"/>
      <c r="DE518" s="254" t="n"/>
      <c r="DF518" s="254" t="n"/>
      <c r="DG518" s="254" t="n"/>
      <c r="DH518" s="254" t="n"/>
      <c r="DI518" s="254" t="n"/>
      <c r="DJ518" s="254" t="n"/>
      <c r="DK518" s="254" t="n"/>
      <c r="DL518" s="95" t="n"/>
      <c r="DM518" s="254" t="inlineStr">
        <is>
          <t>M</t>
        </is>
      </c>
      <c r="DN518" s="95" t="n">
        <v>1</v>
      </c>
      <c r="DO518" s="95" t="n">
        <v>7</v>
      </c>
    </row>
    <row r="519" ht="13" customHeight="1">
      <c r="A519" s="203" t="inlineStr">
        <is>
          <t>MMA-13</t>
        </is>
      </c>
      <c r="B519" s="260" t="inlineStr">
        <is>
          <t>MMA-13 MICHINCHA</t>
        </is>
      </c>
      <c r="C519" s="254"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259" t="inlineStr">
        <is>
          <t>532MAMMA</t>
        </is>
      </c>
      <c r="BL519" s="7" t="inlineStr">
        <is>
          <t>GMAP-SIGA</t>
        </is>
      </c>
      <c r="BM519" s="254" t="inlineStr">
        <is>
          <t>NF</t>
        </is>
      </c>
      <c r="BN519" s="266" t="inlineStr">
        <is>
          <t>Michincha</t>
        </is>
      </c>
      <c r="BO519" s="254" t="inlineStr">
        <is>
          <t>SI</t>
        </is>
      </c>
      <c r="BP519" s="106" t="inlineStr">
        <is>
          <t>MMA-13 MICHINCHA/NF</t>
        </is>
      </c>
      <c r="BQ519" s="106">
        <f>VLOOKUP(BP519,[1]AGUA!$1:$1048576,2,FALSE)</f>
        <v/>
      </c>
      <c r="BR519" s="106">
        <f>VLOOKUP(BP519,[1]AGUA!$1:$1048576,6,FALSE)</f>
        <v/>
      </c>
      <c r="BS519" s="106">
        <f>VLOOKUP(BP519,[1]AGUA!$1:$1048576,7,FALSE)</f>
        <v/>
      </c>
      <c r="BT519" s="106" t="n"/>
      <c r="BU519" s="267"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4" t="n"/>
      <c r="DB519" s="254" t="n"/>
      <c r="DC519" s="254" t="n"/>
      <c r="DD519" s="254" t="n"/>
      <c r="DE519" s="254" t="n"/>
      <c r="DF519" s="254" t="n"/>
      <c r="DG519" s="254" t="n"/>
      <c r="DH519" s="254" t="n"/>
      <c r="DI519" s="254" t="n"/>
      <c r="DJ519" s="254" t="inlineStr">
        <is>
          <t>M</t>
        </is>
      </c>
      <c r="DK519" s="254" t="n">
        <v>1</v>
      </c>
      <c r="DL519" s="95" t="n">
        <v>7</v>
      </c>
      <c r="DM519" s="254" t="n"/>
      <c r="DN519" s="95" t="n"/>
      <c r="DO519" s="95" t="n"/>
    </row>
    <row r="520" ht="13" customHeight="1">
      <c r="A520" s="203" t="inlineStr">
        <is>
          <t>MMA-13</t>
        </is>
      </c>
      <c r="B520" s="255" t="n"/>
      <c r="C520" s="255"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255" t="n"/>
      <c r="BL520" s="7" t="inlineStr">
        <is>
          <t>GMAP-SIGA</t>
        </is>
      </c>
      <c r="BM520" s="254" t="inlineStr">
        <is>
          <t>ASUB</t>
        </is>
      </c>
      <c r="BN520" s="266" t="inlineStr">
        <is>
          <t>Michincha</t>
        </is>
      </c>
      <c r="BO520" s="254" t="inlineStr">
        <is>
          <t>SI</t>
        </is>
      </c>
      <c r="BP520" s="106" t="inlineStr">
        <is>
          <t>MMA-13 MICHINCHA/ASUB</t>
        </is>
      </c>
      <c r="BQ520" s="106">
        <f>VLOOKUP(BP520,[1]AGUA!$1:$1048576,2,FALSE)</f>
        <v/>
      </c>
      <c r="BR520" s="106">
        <f>VLOOKUP(BP520,[1]AGUA!$1:$1048576,6,FALSE)</f>
        <v/>
      </c>
      <c r="BS520" s="106">
        <f>VLOOKUP(BP520,[1]AGUA!$1:$1048576,7,FALSE)</f>
        <v/>
      </c>
      <c r="BT520" s="106" t="n"/>
      <c r="BU520" s="252"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4" t="n"/>
      <c r="DB520" s="254" t="n"/>
      <c r="DC520" s="254" t="n"/>
      <c r="DD520" s="254" t="n"/>
      <c r="DE520" s="254" t="n"/>
      <c r="DF520" s="254" t="n"/>
      <c r="DG520" s="254" t="n"/>
      <c r="DH520" s="254" t="n"/>
      <c r="DI520" s="254" t="n"/>
      <c r="DJ520" s="254" t="n"/>
      <c r="DK520" s="254" t="n"/>
      <c r="DL520" s="95" t="n"/>
      <c r="DM520" s="254" t="inlineStr">
        <is>
          <t>M</t>
        </is>
      </c>
      <c r="DN520" s="95" t="n">
        <v>1</v>
      </c>
      <c r="DO520" s="95" t="n">
        <v>7</v>
      </c>
    </row>
    <row r="521" ht="13" customHeight="1">
      <c r="A521" s="203" t="inlineStr">
        <is>
          <t>MMA-14</t>
        </is>
      </c>
      <c r="B521" s="260" t="inlineStr">
        <is>
          <t>MMA-14 MICHINCHA</t>
        </is>
      </c>
      <c r="C521" s="254"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259" t="inlineStr">
        <is>
          <t>532MAMMA</t>
        </is>
      </c>
      <c r="BL521" s="7" t="inlineStr">
        <is>
          <t>GMAP-SIGA</t>
        </is>
      </c>
      <c r="BM521" s="254" t="inlineStr">
        <is>
          <t>NF</t>
        </is>
      </c>
      <c r="BN521" s="266" t="inlineStr">
        <is>
          <t>Michincha</t>
        </is>
      </c>
      <c r="BO521" s="254" t="inlineStr">
        <is>
          <t>SI</t>
        </is>
      </c>
      <c r="BP521" s="106" t="inlineStr">
        <is>
          <t>MMA-14 MICHINCHA/NF</t>
        </is>
      </c>
      <c r="BQ521" s="106">
        <f>VLOOKUP(BP521,[1]AGUA!$1:$1048576,2,FALSE)</f>
        <v/>
      </c>
      <c r="BR521" s="106">
        <f>VLOOKUP(BP521,[1]AGUA!$1:$1048576,6,FALSE)</f>
        <v/>
      </c>
      <c r="BS521" s="106">
        <f>VLOOKUP(BP521,[1]AGUA!$1:$1048576,7,FALSE)</f>
        <v/>
      </c>
      <c r="BT521" s="106" t="n"/>
      <c r="BU521" s="267"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4" t="n"/>
      <c r="DB521" s="254" t="n"/>
      <c r="DC521" s="254" t="n"/>
      <c r="DD521" s="254" t="n"/>
      <c r="DE521" s="254" t="n"/>
      <c r="DF521" s="254" t="n"/>
      <c r="DG521" s="254" t="n"/>
      <c r="DH521" s="254" t="n"/>
      <c r="DI521" s="254" t="n"/>
      <c r="DJ521" s="254" t="inlineStr">
        <is>
          <t>M</t>
        </is>
      </c>
      <c r="DK521" s="254" t="n">
        <v>1</v>
      </c>
      <c r="DL521" s="95" t="n">
        <v>7</v>
      </c>
      <c r="DM521" s="254" t="n"/>
      <c r="DN521" s="95" t="n"/>
      <c r="DO521" s="95" t="n"/>
    </row>
    <row r="522" ht="13" customHeight="1">
      <c r="A522" s="203" t="inlineStr">
        <is>
          <t>MMA-14</t>
        </is>
      </c>
      <c r="B522" s="255" t="n"/>
      <c r="C522" s="255"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255" t="n"/>
      <c r="BL522" s="7" t="inlineStr">
        <is>
          <t>GMAP-SIGA</t>
        </is>
      </c>
      <c r="BM522" s="254" t="inlineStr">
        <is>
          <t>ASUB</t>
        </is>
      </c>
      <c r="BN522" s="266" t="inlineStr">
        <is>
          <t>Michincha</t>
        </is>
      </c>
      <c r="BO522" s="254" t="inlineStr">
        <is>
          <t>SI</t>
        </is>
      </c>
      <c r="BP522" s="106" t="inlineStr">
        <is>
          <t>MMA-14 MICHINCHA/ASUB</t>
        </is>
      </c>
      <c r="BQ522" s="106">
        <f>VLOOKUP(BP522,[1]AGUA!$1:$1048576,2,FALSE)</f>
        <v/>
      </c>
      <c r="BR522" s="106">
        <f>VLOOKUP(BP522,[1]AGUA!$1:$1048576,6,FALSE)</f>
        <v/>
      </c>
      <c r="BS522" s="106">
        <f>VLOOKUP(BP522,[1]AGUA!$1:$1048576,7,FALSE)</f>
        <v/>
      </c>
      <c r="BT522" s="106" t="n"/>
      <c r="BU522" s="252"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4" t="n"/>
      <c r="DB522" s="254" t="n"/>
      <c r="DC522" s="254" t="n"/>
      <c r="DD522" s="254" t="n"/>
      <c r="DE522" s="254" t="n"/>
      <c r="DF522" s="254" t="n"/>
      <c r="DG522" s="254" t="n"/>
      <c r="DH522" s="254" t="n"/>
      <c r="DI522" s="254" t="n"/>
      <c r="DJ522" s="254" t="n"/>
      <c r="DK522" s="254" t="n"/>
      <c r="DL522" s="95" t="n"/>
      <c r="DM522" s="254" t="inlineStr">
        <is>
          <t>M</t>
        </is>
      </c>
      <c r="DN522" s="95" t="n">
        <v>1</v>
      </c>
      <c r="DO522" s="95" t="n">
        <v>7</v>
      </c>
    </row>
    <row r="523" ht="13" customHeight="1">
      <c r="A523" s="203" t="inlineStr">
        <is>
          <t>MP-01A</t>
        </is>
      </c>
      <c r="B523" s="260" t="n"/>
      <c r="C523" s="254"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259" t="n"/>
      <c r="BL523" s="7" t="inlineStr">
        <is>
          <t>GMAP-SIGA</t>
        </is>
      </c>
      <c r="BM523" s="254" t="inlineStr">
        <is>
          <t>NF</t>
        </is>
      </c>
      <c r="BN523" s="266" t="inlineStr">
        <is>
          <t>Tranque</t>
        </is>
      </c>
      <c r="BO523" s="254" t="inlineStr">
        <is>
          <t>SI PAT TRANQUE</t>
        </is>
      </c>
      <c r="BP523" s="106" t="inlineStr">
        <is>
          <t>MP-01A/NF</t>
        </is>
      </c>
      <c r="BQ523" s="106">
        <f>VLOOKUP(BP523,[1]AGUA!$1:$1048576,2,FALSE)</f>
        <v/>
      </c>
      <c r="BR523" s="106">
        <f>VLOOKUP(BP523,[1]AGUA!$1:$1048576,6,FALSE)</f>
        <v/>
      </c>
      <c r="BS523" s="106">
        <f>VLOOKUP(BP523,[1]AGUA!$1:$1048576,7,FALSE)</f>
        <v/>
      </c>
      <c r="BT523" s="106" t="n"/>
      <c r="BU523" s="267" t="n"/>
      <c r="BV523" s="105" t="n"/>
      <c r="BW523" s="142" t="inlineStr">
        <is>
          <t>R</t>
        </is>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4" t="n"/>
      <c r="DB523" s="254" t="n"/>
      <c r="DC523" s="254" t="n"/>
      <c r="DD523" s="254" t="n"/>
      <c r="DE523" s="254" t="n"/>
      <c r="DF523" s="254" t="n"/>
      <c r="DG523" s="254" t="n"/>
      <c r="DH523" s="254" t="n"/>
      <c r="DI523" s="254" t="n"/>
      <c r="DJ523" s="254" t="inlineStr">
        <is>
          <t>M</t>
        </is>
      </c>
      <c r="DK523" s="254" t="n">
        <v>1</v>
      </c>
      <c r="DL523" s="95" t="n">
        <v>14</v>
      </c>
      <c r="DM523" s="254" t="n"/>
      <c r="DN523" s="95" t="n"/>
      <c r="DO523" s="95" t="n"/>
    </row>
    <row r="524" ht="13" customHeight="1">
      <c r="A524" s="203" t="inlineStr">
        <is>
          <t>MP-01A</t>
        </is>
      </c>
      <c r="B524" s="260" t="n"/>
      <c r="C524" s="254"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259" t="n"/>
      <c r="BL524" s="7" t="inlineStr">
        <is>
          <t>GMAP-SIGA</t>
        </is>
      </c>
      <c r="BM524" s="254" t="inlineStr">
        <is>
          <t>NF</t>
        </is>
      </c>
      <c r="BN524" s="266" t="inlineStr">
        <is>
          <t>tranque</t>
        </is>
      </c>
      <c r="BO524" s="254" t="inlineStr">
        <is>
          <t>SI PAT TRANQUE</t>
        </is>
      </c>
      <c r="BP524" s="106" t="inlineStr">
        <is>
          <t>MP-01A/ASUB</t>
        </is>
      </c>
      <c r="BQ524" s="106">
        <f>VLOOKUP(BP524,[1]AGUA!$1:$1048576,2,FALSE)</f>
        <v/>
      </c>
      <c r="BR524" s="106">
        <f>VLOOKUP(BP524,[1]AGUA!$1:$1048576,6,FALSE)</f>
        <v/>
      </c>
      <c r="BS524" s="106">
        <f>VLOOKUP(BP524,[1]AGUA!$1:$1048576,7,FALSE)</f>
        <v/>
      </c>
      <c r="BT524" s="106" t="n"/>
      <c r="BU524" s="267"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4" t="n"/>
      <c r="DB524" s="254" t="n"/>
      <c r="DC524" s="254" t="n"/>
      <c r="DD524" s="254" t="n"/>
      <c r="DE524" s="254" t="n"/>
      <c r="DF524" s="254" t="n"/>
      <c r="DG524" s="254" t="n"/>
      <c r="DH524" s="254" t="n"/>
      <c r="DI524" s="254" t="n"/>
      <c r="DJ524" s="254" t="n"/>
      <c r="DK524" s="254" t="n"/>
      <c r="DL524" s="95" t="n"/>
      <c r="DM524" s="254" t="inlineStr">
        <is>
          <t>M</t>
        </is>
      </c>
      <c r="DN524" s="254" t="n">
        <v>1</v>
      </c>
      <c r="DO524" s="95" t="n">
        <v>14</v>
      </c>
    </row>
    <row r="525" ht="13" customHeight="1">
      <c r="A525" s="203" t="inlineStr">
        <is>
          <t>MP-01B</t>
        </is>
      </c>
      <c r="B525" s="260" t="n"/>
      <c r="C525" s="254"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259" t="n"/>
      <c r="BL525" s="7" t="inlineStr">
        <is>
          <t>GMAP-SIGA</t>
        </is>
      </c>
      <c r="BM525" s="254" t="inlineStr">
        <is>
          <t>NF</t>
        </is>
      </c>
      <c r="BN525" s="266" t="inlineStr">
        <is>
          <t>tranque</t>
        </is>
      </c>
      <c r="BO525" s="254" t="inlineStr">
        <is>
          <t>SI PAT TRANQUE</t>
        </is>
      </c>
      <c r="BP525" s="106" t="inlineStr">
        <is>
          <t>MP-01B/NF</t>
        </is>
      </c>
      <c r="BQ525" s="106">
        <f>VLOOKUP(BP525,[1]AGUA!$1:$1048576,2,FALSE)</f>
        <v/>
      </c>
      <c r="BR525" s="106">
        <f>VLOOKUP(BP525,[1]AGUA!$1:$1048576,6,FALSE)</f>
        <v/>
      </c>
      <c r="BS525" s="106">
        <f>VLOOKUP(BP525,[1]AGUA!$1:$1048576,7,FALSE)</f>
        <v/>
      </c>
      <c r="BT525" s="106" t="n"/>
      <c r="BU525" s="267" t="n"/>
      <c r="BV525" s="105" t="n"/>
      <c r="BW525" s="142" t="inlineStr">
        <is>
          <t>R</t>
        </is>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4" t="n"/>
      <c r="DB525" s="254" t="n"/>
      <c r="DC525" s="254" t="n"/>
      <c r="DD525" s="254" t="n"/>
      <c r="DE525" s="254" t="n"/>
      <c r="DF525" s="254" t="n"/>
      <c r="DG525" s="254" t="n"/>
      <c r="DH525" s="254" t="n"/>
      <c r="DI525" s="254" t="n"/>
      <c r="DJ525" s="254" t="inlineStr">
        <is>
          <t>M</t>
        </is>
      </c>
      <c r="DK525" s="254" t="n">
        <v>1</v>
      </c>
      <c r="DL525" s="95" t="n">
        <v>14</v>
      </c>
      <c r="DM525" s="254" t="n"/>
      <c r="DN525" s="95" t="n"/>
      <c r="DO525" s="95" t="n"/>
    </row>
    <row r="526" ht="13" customHeight="1">
      <c r="A526" s="203" t="inlineStr">
        <is>
          <t>MP-01B</t>
        </is>
      </c>
      <c r="B526" s="260" t="n"/>
      <c r="C526" s="254"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259" t="n"/>
      <c r="BL526" s="7" t="inlineStr">
        <is>
          <t>GMAP-SIGA</t>
        </is>
      </c>
      <c r="BM526" s="254" t="inlineStr">
        <is>
          <t>ASUB</t>
        </is>
      </c>
      <c r="BN526" s="266" t="inlineStr">
        <is>
          <t>tranque</t>
        </is>
      </c>
      <c r="BO526" s="254" t="inlineStr">
        <is>
          <t>SI PAT TRANQUE</t>
        </is>
      </c>
      <c r="BP526" s="106" t="inlineStr">
        <is>
          <t>MP-01B/ASUB</t>
        </is>
      </c>
      <c r="BQ526" s="106">
        <f>VLOOKUP(BP526,[1]AGUA!$1:$1048576,2,FALSE)</f>
        <v/>
      </c>
      <c r="BR526" s="106">
        <f>VLOOKUP(BP526,[1]AGUA!$1:$1048576,6,FALSE)</f>
        <v/>
      </c>
      <c r="BS526" s="106">
        <f>VLOOKUP(BP526,[1]AGUA!$1:$1048576,7,FALSE)</f>
        <v/>
      </c>
      <c r="BT526" s="106" t="n"/>
      <c r="BU526" s="267" t="n"/>
      <c r="BV526" s="105" t="n"/>
      <c r="BW526" s="107" t="inlineStr">
        <is>
          <t>R</t>
        </is>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4" t="n"/>
      <c r="DB526" s="254" t="n"/>
      <c r="DC526" s="254" t="n"/>
      <c r="DD526" s="254" t="n"/>
      <c r="DE526" s="254" t="n"/>
      <c r="DF526" s="254" t="n"/>
      <c r="DG526" s="254" t="n"/>
      <c r="DH526" s="254" t="n"/>
      <c r="DI526" s="254" t="n"/>
      <c r="DJ526" s="254" t="n"/>
      <c r="DK526" s="254" t="n"/>
      <c r="DL526" s="95" t="n"/>
      <c r="DM526" s="254" t="inlineStr">
        <is>
          <t>M</t>
        </is>
      </c>
      <c r="DN526" s="254" t="n">
        <v>1</v>
      </c>
      <c r="DO526" s="95" t="n">
        <v>14</v>
      </c>
    </row>
    <row r="527" ht="14.15" customHeight="1">
      <c r="A527" s="203" t="inlineStr">
        <is>
          <t>MP-01C</t>
        </is>
      </c>
      <c r="B527" s="260"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259" t="n"/>
      <c r="BL527" s="61" t="inlineStr">
        <is>
          <t>GMAP-SIGA</t>
        </is>
      </c>
      <c r="BM527" s="254" t="inlineStr">
        <is>
          <t>NF</t>
        </is>
      </c>
      <c r="BN527" s="266" t="inlineStr">
        <is>
          <t>tranque</t>
        </is>
      </c>
      <c r="BO527" s="254" t="inlineStr">
        <is>
          <t>SI PAT TRANQUE</t>
        </is>
      </c>
      <c r="BP527" s="266" t="inlineStr">
        <is>
          <t>MP-1C/NF</t>
        </is>
      </c>
      <c r="BQ527" s="106">
        <f>VLOOKUP(BP527,[1]AGUA!$1:$1048576,2,FALSE)</f>
        <v/>
      </c>
      <c r="BR527" s="106">
        <f>VLOOKUP(BP527,[1]AGUA!$1:$1048576,6,FALSE)</f>
        <v/>
      </c>
      <c r="BS527" s="106">
        <f>VLOOKUP(BP527,[1]AGUA!$1:$1048576,7,FALSE)</f>
        <v/>
      </c>
      <c r="BT527" s="106" t="n"/>
      <c r="BU527" s="101" t="n"/>
      <c r="BV527" s="105" t="n"/>
      <c r="BW527" s="142" t="inlineStr">
        <is>
          <t>R</t>
        </is>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4" t="n"/>
      <c r="DB527" s="254" t="n"/>
      <c r="DC527" s="254" t="n"/>
      <c r="DD527" s="254" t="n"/>
      <c r="DE527" s="254" t="n"/>
      <c r="DF527" s="254" t="n"/>
      <c r="DG527" s="254" t="n"/>
      <c r="DH527" s="254" t="n"/>
      <c r="DI527" s="254" t="n"/>
      <c r="DJ527" s="254" t="inlineStr">
        <is>
          <t>M</t>
        </is>
      </c>
      <c r="DK527" s="254" t="n">
        <v>1</v>
      </c>
      <c r="DL527" s="95" t="n">
        <v>14</v>
      </c>
      <c r="DM527" s="254" t="n"/>
      <c r="DN527" s="95" t="n"/>
      <c r="DO527" s="95" t="n"/>
    </row>
    <row r="528" ht="13" customHeight="1">
      <c r="A528" s="203" t="inlineStr">
        <is>
          <t>MP-01C</t>
        </is>
      </c>
      <c r="B528" s="260"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259" t="n"/>
      <c r="BL528" s="61" t="inlineStr">
        <is>
          <t>GMAP-SIGA</t>
        </is>
      </c>
      <c r="BM528" s="254" t="inlineStr">
        <is>
          <t>ASUB</t>
        </is>
      </c>
      <c r="BN528" s="266" t="inlineStr">
        <is>
          <t>Tranque</t>
        </is>
      </c>
      <c r="BO528" s="254" t="inlineStr">
        <is>
          <t>SI PAT TRANQUE</t>
        </is>
      </c>
      <c r="BP528" s="254" t="inlineStr">
        <is>
          <t>MP-1C/ASUB</t>
        </is>
      </c>
      <c r="BQ528" s="106">
        <f>VLOOKUP(BP528,[1]AGUA!$1:$1048576,2,FALSE)</f>
        <v/>
      </c>
      <c r="BR528" s="106">
        <f>VLOOKUP(BP528,[1]AGUA!$1:$1048576,6,FALSE)</f>
        <v/>
      </c>
      <c r="BS528" s="106">
        <f>VLOOKUP(BP528,[1]AGUA!$1:$1048576,7,FALSE)</f>
        <v/>
      </c>
      <c r="BT528" s="106" t="n"/>
      <c r="BU528" s="101" t="n"/>
      <c r="BV528" s="105" t="n"/>
      <c r="BW528" s="107" t="inlineStr">
        <is>
          <t>R</t>
        </is>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4" t="n"/>
      <c r="DB528" s="254" t="n"/>
      <c r="DC528" s="254" t="n"/>
      <c r="DD528" s="254" t="n"/>
      <c r="DE528" s="254" t="n"/>
      <c r="DF528" s="254" t="n"/>
      <c r="DG528" s="254" t="n"/>
      <c r="DH528" s="254" t="n"/>
      <c r="DI528" s="254" t="n"/>
      <c r="DJ528" s="254" t="n"/>
      <c r="DK528" s="254" t="n"/>
      <c r="DL528" s="95" t="n"/>
      <c r="DM528" s="254" t="inlineStr">
        <is>
          <t>M</t>
        </is>
      </c>
      <c r="DN528" s="254" t="n">
        <v>1</v>
      </c>
      <c r="DO528" s="95" t="n">
        <v>14</v>
      </c>
    </row>
    <row r="529" ht="13" customHeight="1">
      <c r="A529" s="203" t="inlineStr">
        <is>
          <t>MP-02A</t>
        </is>
      </c>
      <c r="B529" s="260"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259" t="n"/>
      <c r="BL529" s="61" t="inlineStr">
        <is>
          <t>GMAP-SIGA</t>
        </is>
      </c>
      <c r="BM529" s="254" t="inlineStr">
        <is>
          <t>NF</t>
        </is>
      </c>
      <c r="BN529" s="266" t="inlineStr">
        <is>
          <t>Tranque</t>
        </is>
      </c>
      <c r="BO529" s="254" t="inlineStr">
        <is>
          <t>SI PAT TRANQUE</t>
        </is>
      </c>
      <c r="BP529" s="254" t="inlineStr">
        <is>
          <t>MP-02A/NF</t>
        </is>
      </c>
      <c r="BQ529" s="106">
        <f>VLOOKUP(BP529,[1]AGUA!$1:$1048576,2,FALSE)</f>
        <v/>
      </c>
      <c r="BR529" s="106">
        <f>VLOOKUP(BP529,[1]AGUA!$1:$1048576,6,FALSE)</f>
        <v/>
      </c>
      <c r="BS529" s="106">
        <f>VLOOKUP(BP529,[1]AGUA!$1:$1048576,7,FALSE)</f>
        <v/>
      </c>
      <c r="BT529" s="106" t="n"/>
      <c r="BU529" s="101" t="n"/>
      <c r="BV529" s="105" t="n"/>
      <c r="BW529" s="142" t="inlineStr">
        <is>
          <t>R</t>
        </is>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4" t="n"/>
      <c r="DB529" s="254" t="n"/>
      <c r="DC529" s="254" t="n"/>
      <c r="DD529" s="207" t="n"/>
      <c r="DE529" s="254" t="n"/>
      <c r="DF529" s="254" t="n"/>
      <c r="DG529" s="254" t="n"/>
      <c r="DH529" s="254" t="n"/>
      <c r="DI529" s="254" t="n"/>
      <c r="DJ529" s="254" t="inlineStr">
        <is>
          <t>M</t>
        </is>
      </c>
      <c r="DK529" s="254" t="n">
        <v>1</v>
      </c>
      <c r="DL529" s="95" t="n">
        <v>14</v>
      </c>
      <c r="DM529" s="254" t="n"/>
      <c r="DN529" s="95" t="n"/>
      <c r="DO529" s="95" t="n"/>
    </row>
    <row r="530" ht="13" customHeight="1">
      <c r="A530" s="203" t="inlineStr">
        <is>
          <t>MP-02A</t>
        </is>
      </c>
      <c r="B530" s="260"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259" t="n"/>
      <c r="BL530" s="61" t="inlineStr">
        <is>
          <t>GMAP-SIGA</t>
        </is>
      </c>
      <c r="BM530" s="254" t="inlineStr">
        <is>
          <t>ASUB</t>
        </is>
      </c>
      <c r="BN530" s="266" t="inlineStr">
        <is>
          <t>Tranque</t>
        </is>
      </c>
      <c r="BO530" s="254" t="inlineStr">
        <is>
          <t>SI PAT TRANQUE</t>
        </is>
      </c>
      <c r="BP530" s="254" t="inlineStr">
        <is>
          <t>MP-02A/ASUB</t>
        </is>
      </c>
      <c r="BQ530" s="106">
        <f>VLOOKUP(BP530,[1]AGUA!$1:$1048576,2,FALSE)</f>
        <v/>
      </c>
      <c r="BR530" s="106">
        <f>VLOOKUP(BP530,[1]AGUA!$1:$1048576,6,FALSE)</f>
        <v/>
      </c>
      <c r="BS530" s="106">
        <f>VLOOKUP(BP530,[1]AGUA!$1:$1048576,7,FALSE)</f>
        <v/>
      </c>
      <c r="BT530" s="106" t="n"/>
      <c r="BU530" s="101" t="n"/>
      <c r="BV530" s="105" t="n"/>
      <c r="BW530" s="107" t="inlineStr">
        <is>
          <t>R</t>
        </is>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4" t="n"/>
      <c r="DB530" s="254" t="n"/>
      <c r="DC530" s="254" t="n"/>
      <c r="DD530" s="207" t="n"/>
      <c r="DE530" s="254" t="n"/>
      <c r="DF530" s="254" t="n"/>
      <c r="DG530" s="254" t="n"/>
      <c r="DH530" s="254" t="n"/>
      <c r="DI530" s="254" t="n"/>
      <c r="DJ530" s="254" t="n"/>
      <c r="DK530" s="254" t="n"/>
      <c r="DL530" s="95" t="n"/>
      <c r="DM530" s="254" t="inlineStr">
        <is>
          <t>M</t>
        </is>
      </c>
      <c r="DN530" s="254" t="n">
        <v>1</v>
      </c>
      <c r="DO530" s="95" t="n">
        <v>14</v>
      </c>
    </row>
    <row r="531" ht="13" customHeight="1">
      <c r="A531" s="203" t="inlineStr">
        <is>
          <t>MP-02B</t>
        </is>
      </c>
      <c r="B531" s="260"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259" t="n"/>
      <c r="BL531" s="61" t="inlineStr">
        <is>
          <t>GMAP-SIGA</t>
        </is>
      </c>
      <c r="BM531" s="254" t="inlineStr">
        <is>
          <t>NF</t>
        </is>
      </c>
      <c r="BN531" s="266" t="inlineStr">
        <is>
          <t>Tranque</t>
        </is>
      </c>
      <c r="BO531" s="254" t="inlineStr">
        <is>
          <t>SI PAT TRANQUE</t>
        </is>
      </c>
      <c r="BP531" s="254" t="inlineStr">
        <is>
          <t>MP-02B/NF</t>
        </is>
      </c>
      <c r="BQ531" s="106">
        <f>VLOOKUP(BP531,[1]AGUA!$1:$1048576,2,FALSE)</f>
        <v/>
      </c>
      <c r="BR531" s="106">
        <f>VLOOKUP(BP531,[1]AGUA!$1:$1048576,6,FALSE)</f>
        <v/>
      </c>
      <c r="BS531" s="106">
        <f>VLOOKUP(BP531,[1]AGUA!$1:$1048576,7,FALSE)</f>
        <v/>
      </c>
      <c r="BT531" s="106" t="n"/>
      <c r="BU531" s="101" t="n"/>
      <c r="BV531" s="105" t="n"/>
      <c r="BW531" s="142" t="inlineStr">
        <is>
          <t>R</t>
        </is>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4" t="n"/>
      <c r="DB531" s="254" t="n"/>
      <c r="DC531" s="254" t="n"/>
      <c r="DD531" s="207" t="n"/>
      <c r="DE531" s="254" t="n"/>
      <c r="DF531" s="254" t="n"/>
      <c r="DG531" s="254" t="n"/>
      <c r="DH531" s="254" t="n"/>
      <c r="DI531" s="254" t="n"/>
      <c r="DJ531" s="254" t="inlineStr">
        <is>
          <t>M</t>
        </is>
      </c>
      <c r="DK531" s="254" t="n">
        <v>1</v>
      </c>
      <c r="DL531" s="95" t="n">
        <v>14</v>
      </c>
      <c r="DM531" s="254" t="n"/>
      <c r="DN531" s="95" t="n"/>
      <c r="DO531" s="95" t="n"/>
    </row>
    <row r="532" ht="13" customHeight="1">
      <c r="A532" s="203" t="inlineStr">
        <is>
          <t>MP-02B</t>
        </is>
      </c>
      <c r="B532" s="260"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259" t="n"/>
      <c r="BL532" s="61" t="inlineStr">
        <is>
          <t>GMAP-SIGA</t>
        </is>
      </c>
      <c r="BM532" s="254" t="inlineStr">
        <is>
          <t>ASUB</t>
        </is>
      </c>
      <c r="BN532" s="266" t="inlineStr">
        <is>
          <t>Tranque</t>
        </is>
      </c>
      <c r="BO532" s="254" t="inlineStr">
        <is>
          <t>SI PAT TRANQUE</t>
        </is>
      </c>
      <c r="BP532" s="254" t="inlineStr">
        <is>
          <t>MP-02B/ASUB</t>
        </is>
      </c>
      <c r="BQ532" s="106">
        <f>VLOOKUP(BP532,[1]AGUA!$1:$1048576,2,FALSE)</f>
        <v/>
      </c>
      <c r="BR532" s="106">
        <f>VLOOKUP(BP532,[1]AGUA!$1:$1048576,6,FALSE)</f>
        <v/>
      </c>
      <c r="BS532" s="106">
        <f>VLOOKUP(BP532,[1]AGUA!$1:$1048576,7,FALSE)</f>
        <v/>
      </c>
      <c r="BT532" s="106" t="n"/>
      <c r="BU532" s="101" t="n"/>
      <c r="BV532" s="105" t="n"/>
      <c r="BW532" s="107" t="inlineStr">
        <is>
          <t>R</t>
        </is>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4" t="n"/>
      <c r="DB532" s="254" t="n"/>
      <c r="DC532" s="254" t="n"/>
      <c r="DD532" s="207" t="n"/>
      <c r="DE532" s="254" t="n"/>
      <c r="DF532" s="254" t="n"/>
      <c r="DG532" s="254" t="n"/>
      <c r="DH532" s="254" t="n"/>
      <c r="DI532" s="254" t="n"/>
      <c r="DJ532" s="254" t="n"/>
      <c r="DK532" s="254" t="n"/>
      <c r="DL532" s="95" t="n"/>
      <c r="DM532" s="254" t="inlineStr">
        <is>
          <t>M</t>
        </is>
      </c>
      <c r="DN532" s="254" t="n">
        <v>1</v>
      </c>
      <c r="DO532" s="95" t="n">
        <v>14</v>
      </c>
    </row>
    <row r="533" ht="13" customHeight="1">
      <c r="A533" s="203" t="inlineStr">
        <is>
          <t>MP-02C</t>
        </is>
      </c>
      <c r="B533" s="260"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259" t="n"/>
      <c r="BL533" s="61" t="inlineStr">
        <is>
          <t>GMAP-SIGA</t>
        </is>
      </c>
      <c r="BM533" s="254" t="inlineStr">
        <is>
          <t>NF</t>
        </is>
      </c>
      <c r="BN533" s="266" t="inlineStr">
        <is>
          <t>tranque</t>
        </is>
      </c>
      <c r="BO533" s="254" t="inlineStr">
        <is>
          <t>SI PAT TRANQUE</t>
        </is>
      </c>
      <c r="BP533" s="254" t="inlineStr">
        <is>
          <t>MP-02C/NF</t>
        </is>
      </c>
      <c r="BQ533" s="106">
        <f>VLOOKUP(BP533,[1]AGUA!$1:$1048576,2,FALSE)</f>
        <v/>
      </c>
      <c r="BR533" s="106">
        <f>VLOOKUP(BP533,[1]AGUA!$1:$1048576,6,FALSE)</f>
        <v/>
      </c>
      <c r="BS533" s="106">
        <f>VLOOKUP(BP533,[1]AGUA!$1:$1048576,7,FALSE)</f>
        <v/>
      </c>
      <c r="BT533" s="106" t="n"/>
      <c r="BU533" s="101" t="n"/>
      <c r="BV533" s="105" t="n"/>
      <c r="BW533" s="142" t="inlineStr">
        <is>
          <t>R</t>
        </is>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4" t="n"/>
      <c r="DB533" s="254" t="n"/>
      <c r="DC533" s="254" t="n"/>
      <c r="DD533" s="207" t="n"/>
      <c r="DE533" s="254" t="n"/>
      <c r="DF533" s="254" t="n"/>
      <c r="DG533" s="254" t="n"/>
      <c r="DH533" s="254" t="n"/>
      <c r="DI533" s="254" t="n"/>
      <c r="DJ533" s="254" t="n"/>
      <c r="DK533" s="254" t="n"/>
      <c r="DL533" s="95" t="n"/>
      <c r="DM533" s="254" t="n"/>
      <c r="DN533" s="254" t="n"/>
      <c r="DO533" s="95" t="n"/>
    </row>
    <row r="534" ht="13" customHeight="1">
      <c r="A534" s="203" t="inlineStr">
        <is>
          <t>MP-02C</t>
        </is>
      </c>
      <c r="B534" s="260"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259" t="n"/>
      <c r="BL534" s="61" t="inlineStr">
        <is>
          <t>GMAP-SIGA</t>
        </is>
      </c>
      <c r="BM534" s="254" t="inlineStr">
        <is>
          <t>ASUB</t>
        </is>
      </c>
      <c r="BN534" s="266" t="inlineStr">
        <is>
          <t>tranque</t>
        </is>
      </c>
      <c r="BO534" s="254" t="inlineStr">
        <is>
          <t>SI PAT TRANQUE</t>
        </is>
      </c>
      <c r="BP534" s="254" t="inlineStr">
        <is>
          <t>MP-02C/ASUB</t>
        </is>
      </c>
      <c r="BQ534" s="106">
        <f>VLOOKUP(BP534,[1]AGUA!$1:$1048576,2,FALSE)</f>
        <v/>
      </c>
      <c r="BR534" s="106">
        <f>VLOOKUP(BP534,[1]AGUA!$1:$1048576,6,FALSE)</f>
        <v/>
      </c>
      <c r="BS534" s="106">
        <f>VLOOKUP(BP534,[1]AGUA!$1:$1048576,7,FALSE)</f>
        <v/>
      </c>
      <c r="BT534" s="106" t="n"/>
      <c r="BU534" s="101" t="n"/>
      <c r="BV534" s="105" t="n"/>
      <c r="BW534" s="107" t="inlineStr">
        <is>
          <t>R</t>
        </is>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4" t="n"/>
      <c r="DB534" s="254" t="n"/>
      <c r="DC534" s="254" t="n"/>
      <c r="DD534" s="207" t="n"/>
      <c r="DE534" s="254" t="n"/>
      <c r="DF534" s="254" t="n"/>
      <c r="DG534" s="254" t="n"/>
      <c r="DH534" s="254" t="n"/>
      <c r="DI534" s="254" t="n"/>
      <c r="DJ534" s="254" t="n"/>
      <c r="DK534" s="254" t="n"/>
      <c r="DL534" s="95" t="n"/>
      <c r="DM534" s="254" t="n"/>
      <c r="DN534" s="254" t="n"/>
      <c r="DO534" s="95" t="n"/>
    </row>
    <row r="535" ht="13.5" customHeight="1">
      <c r="A535" s="203" t="inlineStr">
        <is>
          <t>MP-03A</t>
        </is>
      </c>
      <c r="B535" s="260"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259" t="n"/>
      <c r="BL535" s="61" t="inlineStr">
        <is>
          <t>GMAP-SIGA</t>
        </is>
      </c>
      <c r="BM535" s="254" t="inlineStr">
        <is>
          <t>NF</t>
        </is>
      </c>
      <c r="BN535" s="266" t="inlineStr">
        <is>
          <t>Tranque</t>
        </is>
      </c>
      <c r="BO535" s="254" t="inlineStr">
        <is>
          <t>SI PAT TRANQUE</t>
        </is>
      </c>
      <c r="BP535" s="254" t="inlineStr">
        <is>
          <t>MP-3A/NF</t>
        </is>
      </c>
      <c r="BQ535" s="106">
        <f>VLOOKUP(BP535,[1]AGUA!$1:$1048576,2,FALSE)</f>
        <v/>
      </c>
      <c r="BR535" s="106">
        <f>VLOOKUP(BP535,[1]AGUA!$1:$1048576,6,FALSE)</f>
        <v/>
      </c>
      <c r="BS535" s="106">
        <f>VLOOKUP(BP535,[1]AGUA!$1:$1048576,7,FALSE)</f>
        <v/>
      </c>
      <c r="BT535" s="106" t="n"/>
      <c r="BU535" s="101" t="n"/>
      <c r="BV535" s="105" t="n"/>
      <c r="BW535" s="142" t="inlineStr">
        <is>
          <t>R</t>
        </is>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4" t="n"/>
      <c r="DB535" s="254" t="n"/>
      <c r="DC535" s="254" t="n"/>
      <c r="DD535" s="207" t="n"/>
      <c r="DE535" s="254" t="n"/>
      <c r="DF535" s="254" t="n"/>
      <c r="DG535" s="254" t="n"/>
      <c r="DH535" s="254" t="n"/>
      <c r="DI535" s="254" t="n"/>
      <c r="DJ535" s="254" t="inlineStr">
        <is>
          <t>M</t>
        </is>
      </c>
      <c r="DK535" s="254" t="n">
        <v>1</v>
      </c>
      <c r="DL535" s="95" t="n">
        <v>14</v>
      </c>
      <c r="DM535" s="254" t="n"/>
      <c r="DN535" s="95" t="n"/>
      <c r="DO535" s="95" t="n"/>
    </row>
    <row r="536" ht="13" customHeight="1">
      <c r="A536" s="203" t="inlineStr">
        <is>
          <t>MP-03A</t>
        </is>
      </c>
      <c r="B536" s="260"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259" t="n"/>
      <c r="BL536" s="61" t="inlineStr">
        <is>
          <t>GMAP-SIGA</t>
        </is>
      </c>
      <c r="BM536" s="254" t="inlineStr">
        <is>
          <t>ASUB</t>
        </is>
      </c>
      <c r="BN536" s="266" t="inlineStr">
        <is>
          <t>Tranque</t>
        </is>
      </c>
      <c r="BO536" s="254" t="inlineStr">
        <is>
          <t>SI PAT TRANQUE</t>
        </is>
      </c>
      <c r="BP536" s="254" t="inlineStr">
        <is>
          <t>MP-3A/ASUB</t>
        </is>
      </c>
      <c r="BQ536" s="106">
        <f>VLOOKUP(BP536,[1]AGUA!$1:$1048576,2,FALSE)</f>
        <v/>
      </c>
      <c r="BR536" s="106">
        <f>VLOOKUP(BP536,[1]AGUA!$1:$1048576,6,FALSE)</f>
        <v/>
      </c>
      <c r="BS536" s="106">
        <f>VLOOKUP(BP536,[1]AGUA!$1:$1048576,7,FALSE)</f>
        <v/>
      </c>
      <c r="BT536" s="106" t="n"/>
      <c r="BU536" s="101" t="n"/>
      <c r="BV536" s="105" t="n"/>
      <c r="BW536" s="107" t="inlineStr">
        <is>
          <t>R</t>
        </is>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4" t="n"/>
      <c r="DB536" s="254" t="n"/>
      <c r="DC536" s="254" t="n"/>
      <c r="DD536" s="207" t="n"/>
      <c r="DE536" s="254" t="n"/>
      <c r="DF536" s="254" t="n"/>
      <c r="DG536" s="254" t="n"/>
      <c r="DH536" s="254" t="n"/>
      <c r="DI536" s="254" t="n"/>
      <c r="DJ536" s="254" t="n"/>
      <c r="DK536" s="254" t="n"/>
      <c r="DL536" s="95" t="n"/>
      <c r="DM536" s="254" t="inlineStr">
        <is>
          <t>M</t>
        </is>
      </c>
      <c r="DN536" s="254" t="n">
        <v>1</v>
      </c>
      <c r="DO536" s="95" t="n">
        <v>14</v>
      </c>
    </row>
    <row r="537" ht="13" customHeight="1">
      <c r="A537" s="203" t="inlineStr">
        <is>
          <t>MP-03B</t>
        </is>
      </c>
      <c r="B537" s="260"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259" t="n"/>
      <c r="BL537" s="61" t="inlineStr">
        <is>
          <t>GMAP-SIGA</t>
        </is>
      </c>
      <c r="BM537" s="254" t="inlineStr">
        <is>
          <t>NF</t>
        </is>
      </c>
      <c r="BN537" s="266" t="inlineStr">
        <is>
          <t>Tranque</t>
        </is>
      </c>
      <c r="BO537" s="254" t="inlineStr">
        <is>
          <t>SI PAT TRANQUE</t>
        </is>
      </c>
      <c r="BP537" s="254" t="inlineStr">
        <is>
          <t>MP-3B/NF</t>
        </is>
      </c>
      <c r="BQ537" s="106">
        <f>VLOOKUP(BP537,[1]AGUA!$1:$1048576,2,FALSE)</f>
        <v/>
      </c>
      <c r="BR537" s="106">
        <f>VLOOKUP(BP537,[1]AGUA!$1:$1048576,6,FALSE)</f>
        <v/>
      </c>
      <c r="BS537" s="106">
        <f>VLOOKUP(BP537,[1]AGUA!$1:$1048576,7,FALSE)</f>
        <v/>
      </c>
      <c r="BT537" s="106" t="n"/>
      <c r="BU537" s="183" t="n"/>
      <c r="BV537" s="105" t="n"/>
      <c r="BW537" s="142" t="inlineStr">
        <is>
          <t>R</t>
        </is>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4" t="n"/>
      <c r="DB537" s="254" t="n"/>
      <c r="DC537" s="254" t="n"/>
      <c r="DD537" s="207" t="n"/>
      <c r="DE537" s="254" t="n"/>
      <c r="DF537" s="254" t="n"/>
      <c r="DG537" s="254" t="n"/>
      <c r="DH537" s="254" t="n"/>
      <c r="DI537" s="254" t="n"/>
      <c r="DJ537" s="254" t="inlineStr">
        <is>
          <t>M</t>
        </is>
      </c>
      <c r="DK537" s="254" t="n">
        <v>1</v>
      </c>
      <c r="DL537" s="95" t="n">
        <v>14</v>
      </c>
      <c r="DM537" s="254" t="n"/>
      <c r="DN537" s="95" t="n"/>
      <c r="DO537" s="95" t="n"/>
    </row>
    <row r="538" ht="13" customHeight="1">
      <c r="A538" s="203" t="inlineStr">
        <is>
          <t>MP-03B</t>
        </is>
      </c>
      <c r="B538" s="260"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259" t="n"/>
      <c r="BL538" s="61" t="inlineStr">
        <is>
          <t>GMAP-SIGA</t>
        </is>
      </c>
      <c r="BM538" s="254" t="inlineStr">
        <is>
          <t>ASUB</t>
        </is>
      </c>
      <c r="BN538" s="266" t="inlineStr">
        <is>
          <t>Tranque</t>
        </is>
      </c>
      <c r="BO538" s="254" t="inlineStr">
        <is>
          <t>SI PAT TRANQUE</t>
        </is>
      </c>
      <c r="BP538" s="254" t="inlineStr">
        <is>
          <t>MP-3B/ASUB</t>
        </is>
      </c>
      <c r="BQ538" s="106">
        <f>VLOOKUP(BP538,[1]AGUA!$1:$1048576,2,FALSE)</f>
        <v/>
      </c>
      <c r="BR538" s="106">
        <f>VLOOKUP(BP538,[1]AGUA!$1:$1048576,6,FALSE)</f>
        <v/>
      </c>
      <c r="BS538" s="106">
        <f>VLOOKUP(BP538,[1]AGUA!$1:$1048576,7,FALSE)</f>
        <v/>
      </c>
      <c r="BT538" s="106" t="n"/>
      <c r="BU538" s="183" t="n"/>
      <c r="BV538" s="105" t="n"/>
      <c r="BW538" s="107" t="inlineStr">
        <is>
          <t>R</t>
        </is>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4" t="n"/>
      <c r="DB538" s="254" t="n"/>
      <c r="DC538" s="254" t="n"/>
      <c r="DD538" s="207" t="n"/>
      <c r="DE538" s="254" t="n"/>
      <c r="DF538" s="254" t="n"/>
      <c r="DG538" s="254" t="n"/>
      <c r="DH538" s="254" t="n"/>
      <c r="DI538" s="254" t="n"/>
      <c r="DJ538" s="254" t="n"/>
      <c r="DK538" s="254" t="n"/>
      <c r="DL538" s="95" t="n"/>
      <c r="DM538" s="254" t="inlineStr">
        <is>
          <t>M</t>
        </is>
      </c>
      <c r="DN538" s="254" t="n">
        <v>1</v>
      </c>
      <c r="DO538" s="95" t="n">
        <v>14</v>
      </c>
    </row>
    <row r="539" ht="13" customHeight="1">
      <c r="A539" s="203" t="inlineStr">
        <is>
          <t>MP-03C</t>
        </is>
      </c>
      <c r="B539" s="260"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259" t="n"/>
      <c r="BL539" s="61" t="inlineStr">
        <is>
          <t>GMAP-SIGA</t>
        </is>
      </c>
      <c r="BM539" s="254" t="inlineStr">
        <is>
          <t>NF</t>
        </is>
      </c>
      <c r="BN539" s="266" t="inlineStr">
        <is>
          <t>Tranque</t>
        </is>
      </c>
      <c r="BO539" s="254" t="inlineStr">
        <is>
          <t>SI PAT TRANQUE</t>
        </is>
      </c>
      <c r="BP539" s="254" t="inlineStr">
        <is>
          <t>MP-3C/NF</t>
        </is>
      </c>
      <c r="BQ539" s="106">
        <f>VLOOKUP(BP539,[1]AGUA!$1:$1048576,2,FALSE)</f>
        <v/>
      </c>
      <c r="BR539" s="106">
        <f>VLOOKUP(BP539,[1]AGUA!$1:$1048576,6,FALSE)</f>
        <v/>
      </c>
      <c r="BS539" s="106">
        <f>VLOOKUP(BP539,[1]AGUA!$1:$1048576,7,FALSE)</f>
        <v/>
      </c>
      <c r="BT539" s="106" t="n"/>
      <c r="BU539" s="101" t="n"/>
      <c r="BV539" s="105" t="n"/>
      <c r="BW539" s="142" t="inlineStr">
        <is>
          <t>R</t>
        </is>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4" t="n"/>
      <c r="DB539" s="254" t="n"/>
      <c r="DC539" s="254" t="n"/>
      <c r="DD539" s="207" t="n"/>
      <c r="DE539" s="254" t="n"/>
      <c r="DF539" s="254" t="n"/>
      <c r="DG539" s="254" t="n"/>
      <c r="DH539" s="254" t="n"/>
      <c r="DI539" s="254" t="n"/>
      <c r="DJ539" s="254" t="inlineStr">
        <is>
          <t>M</t>
        </is>
      </c>
      <c r="DK539" s="254" t="n">
        <v>1</v>
      </c>
      <c r="DL539" s="95" t="n">
        <v>14</v>
      </c>
      <c r="DM539" s="254" t="n"/>
      <c r="DN539" s="95" t="n"/>
      <c r="DO539" s="95" t="n"/>
    </row>
    <row r="540" ht="13" customHeight="1">
      <c r="A540" s="203" t="inlineStr">
        <is>
          <t>MP-03C</t>
        </is>
      </c>
      <c r="B540" s="260"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259" t="n"/>
      <c r="BL540" s="61" t="inlineStr">
        <is>
          <t>GMAP-SIGA</t>
        </is>
      </c>
      <c r="BM540" s="254" t="inlineStr">
        <is>
          <t>NF</t>
        </is>
      </c>
      <c r="BN540" s="266" t="inlineStr">
        <is>
          <t>Tranque</t>
        </is>
      </c>
      <c r="BO540" s="254" t="inlineStr">
        <is>
          <t>SI PAT TRANQUE</t>
        </is>
      </c>
      <c r="BP540" s="254"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4" t="n"/>
      <c r="DB540" s="254" t="n"/>
      <c r="DC540" s="254" t="n"/>
      <c r="DD540" s="207" t="n"/>
      <c r="DE540" s="254" t="n"/>
      <c r="DF540" s="254" t="n"/>
      <c r="DG540" s="254" t="n"/>
      <c r="DH540" s="254" t="n"/>
      <c r="DI540" s="254" t="n"/>
      <c r="DJ540" s="254" t="n"/>
      <c r="DK540" s="254" t="n"/>
      <c r="DL540" s="95" t="n"/>
      <c r="DM540" s="254" t="inlineStr">
        <is>
          <t>M</t>
        </is>
      </c>
      <c r="DN540" s="95" t="n">
        <v>8</v>
      </c>
      <c r="DO540" s="95" t="n">
        <v>14</v>
      </c>
    </row>
    <row r="541" ht="13" customHeight="1">
      <c r="A541" s="203" t="inlineStr">
        <is>
          <t>MP-04A</t>
        </is>
      </c>
      <c r="B541" s="260"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259" t="n"/>
      <c r="BL541" s="61" t="inlineStr">
        <is>
          <t>GMAP-SIGA</t>
        </is>
      </c>
      <c r="BM541" s="254" t="inlineStr">
        <is>
          <t>NF</t>
        </is>
      </c>
      <c r="BN541" s="266" t="inlineStr">
        <is>
          <t>Tranque</t>
        </is>
      </c>
      <c r="BO541" s="254" t="inlineStr">
        <is>
          <t>SI PAT TRANQUE</t>
        </is>
      </c>
      <c r="BP541" s="254"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4" t="n"/>
      <c r="DB541" s="254" t="n"/>
      <c r="DC541" s="254" t="n"/>
      <c r="DD541" s="254" t="n"/>
      <c r="DE541" s="254" t="n"/>
      <c r="DF541" s="254" t="n"/>
      <c r="DG541" s="254" t="n"/>
      <c r="DH541" s="254" t="n"/>
      <c r="DI541" s="254" t="n"/>
      <c r="DJ541" s="254" t="inlineStr">
        <is>
          <t>M</t>
        </is>
      </c>
      <c r="DK541" s="254" t="n">
        <v>1</v>
      </c>
      <c r="DL541" s="95" t="n">
        <v>14</v>
      </c>
      <c r="DM541" s="254" t="n"/>
      <c r="DN541" s="95" t="n"/>
      <c r="DO541" s="95" t="n"/>
    </row>
    <row r="542" ht="13" customHeight="1">
      <c r="A542" s="203" t="inlineStr">
        <is>
          <t>MP-04A</t>
        </is>
      </c>
      <c r="B542" s="260"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259" t="n"/>
      <c r="BL542" s="61" t="inlineStr">
        <is>
          <t>GMAP-SIGA</t>
        </is>
      </c>
      <c r="BM542" s="254" t="inlineStr">
        <is>
          <t>NF</t>
        </is>
      </c>
      <c r="BN542" s="266" t="inlineStr">
        <is>
          <t>Tranque</t>
        </is>
      </c>
      <c r="BO542" s="254" t="inlineStr">
        <is>
          <t>SI PAT TRANQUE</t>
        </is>
      </c>
      <c r="BP542" s="254"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4" t="n"/>
      <c r="DB542" s="254" t="n"/>
      <c r="DC542" s="254" t="n"/>
      <c r="DD542" s="254" t="n"/>
      <c r="DE542" s="254" t="n"/>
      <c r="DF542" s="254" t="n"/>
      <c r="DG542" s="254" t="n"/>
      <c r="DH542" s="254" t="n"/>
      <c r="DI542" s="254" t="n"/>
      <c r="DJ542" s="254" t="n"/>
      <c r="DK542" s="254" t="n"/>
      <c r="DL542" s="95" t="n"/>
      <c r="DM542" s="254" t="inlineStr">
        <is>
          <t>M</t>
        </is>
      </c>
      <c r="DN542" s="254" t="n">
        <v>1</v>
      </c>
      <c r="DO542" s="95" t="n">
        <v>14</v>
      </c>
    </row>
    <row r="543" ht="13" customHeight="1">
      <c r="A543" s="203" t="inlineStr">
        <is>
          <t>MP-04B</t>
        </is>
      </c>
      <c r="B543" s="260"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259" t="n"/>
      <c r="BL543" s="61" t="inlineStr">
        <is>
          <t>GMAP-SIGA</t>
        </is>
      </c>
      <c r="BM543" s="254" t="inlineStr">
        <is>
          <t>NF</t>
        </is>
      </c>
      <c r="BN543" s="266" t="inlineStr">
        <is>
          <t>Tranque</t>
        </is>
      </c>
      <c r="BO543" s="254" t="inlineStr">
        <is>
          <t>SI PAT TRANQUE</t>
        </is>
      </c>
      <c r="BP543" s="254"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4" t="n"/>
      <c r="DB543" s="254" t="n"/>
      <c r="DC543" s="254" t="n"/>
      <c r="DD543" s="105" t="n"/>
      <c r="DE543" s="254" t="n"/>
      <c r="DF543" s="254" t="n"/>
      <c r="DG543" s="254" t="n"/>
      <c r="DH543" s="254" t="n"/>
      <c r="DI543" s="254" t="n"/>
      <c r="DJ543" s="254" t="inlineStr">
        <is>
          <t>M</t>
        </is>
      </c>
      <c r="DK543" s="254" t="n">
        <v>1</v>
      </c>
      <c r="DL543" s="95" t="n">
        <v>14</v>
      </c>
      <c r="DM543" s="254" t="n"/>
      <c r="DN543" s="95" t="n"/>
      <c r="DO543" s="95" t="n"/>
    </row>
    <row r="544" ht="13" customHeight="1">
      <c r="A544" s="203" t="inlineStr">
        <is>
          <t>MP-04B</t>
        </is>
      </c>
      <c r="B544" s="260"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259" t="n"/>
      <c r="BL544" s="61" t="inlineStr">
        <is>
          <t>GMAP-SIGA</t>
        </is>
      </c>
      <c r="BM544" s="254" t="inlineStr">
        <is>
          <t>ASUB</t>
        </is>
      </c>
      <c r="BN544" s="266" t="inlineStr">
        <is>
          <t>Tranque</t>
        </is>
      </c>
      <c r="BO544" s="254" t="inlineStr">
        <is>
          <t>SI PAT TRANQUE</t>
        </is>
      </c>
      <c r="BP544" s="254"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4" t="n"/>
      <c r="DB544" s="254" t="n"/>
      <c r="DC544" s="254" t="n"/>
      <c r="DD544" s="105" t="n"/>
      <c r="DE544" s="254" t="n"/>
      <c r="DF544" s="254" t="n"/>
      <c r="DG544" s="254" t="n"/>
      <c r="DH544" s="254" t="n"/>
      <c r="DI544" s="254" t="n"/>
      <c r="DJ544" s="254" t="n"/>
      <c r="DK544" s="254" t="n"/>
      <c r="DL544" s="95" t="n"/>
      <c r="DM544" s="254" t="inlineStr">
        <is>
          <t>M</t>
        </is>
      </c>
      <c r="DN544" s="254" t="n">
        <v>1</v>
      </c>
      <c r="DO544" s="95" t="n">
        <v>14</v>
      </c>
    </row>
    <row r="545" ht="13" customHeight="1">
      <c r="A545" s="203" t="inlineStr">
        <is>
          <t>MP-04C</t>
        </is>
      </c>
      <c r="B545" s="260"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259" t="n"/>
      <c r="BL545" s="61" t="inlineStr">
        <is>
          <t>GMAP-SIGA</t>
        </is>
      </c>
      <c r="BM545" s="254" t="inlineStr">
        <is>
          <t>NF</t>
        </is>
      </c>
      <c r="BN545" s="266" t="inlineStr">
        <is>
          <t>Tranque</t>
        </is>
      </c>
      <c r="BO545" s="254" t="inlineStr">
        <is>
          <t>SI PAT TRANQUE</t>
        </is>
      </c>
      <c r="BP545" s="254"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4" t="n"/>
      <c r="DB545" s="254" t="n"/>
      <c r="DC545" s="254" t="n"/>
      <c r="DD545" s="254" t="n"/>
      <c r="DE545" s="254" t="n"/>
      <c r="DF545" s="254" t="n"/>
      <c r="DG545" s="254" t="n"/>
      <c r="DH545" s="254" t="n"/>
      <c r="DI545" s="254" t="n"/>
      <c r="DJ545" s="254" t="inlineStr">
        <is>
          <t>M</t>
        </is>
      </c>
      <c r="DK545" s="254" t="n">
        <v>1</v>
      </c>
      <c r="DL545" s="95" t="n">
        <v>14</v>
      </c>
      <c r="DM545" s="254" t="n"/>
      <c r="DN545" s="95" t="n"/>
      <c r="DO545" s="95" t="n"/>
    </row>
    <row r="546" ht="13" customHeight="1">
      <c r="A546" s="203" t="inlineStr">
        <is>
          <t>MP-04C</t>
        </is>
      </c>
      <c r="B546" s="260"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259" t="n"/>
      <c r="BL546" s="61" t="inlineStr">
        <is>
          <t>GMAP-SIGA</t>
        </is>
      </c>
      <c r="BM546" s="254" t="inlineStr">
        <is>
          <t>ASUB</t>
        </is>
      </c>
      <c r="BN546" s="266" t="inlineStr">
        <is>
          <t>Tranque</t>
        </is>
      </c>
      <c r="BO546" s="254" t="inlineStr">
        <is>
          <t>SI PAT TRANQUE</t>
        </is>
      </c>
      <c r="BP546" s="254"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4" t="n"/>
      <c r="DB546" s="254" t="n"/>
      <c r="DC546" s="254" t="n"/>
      <c r="DD546" s="254" t="n"/>
      <c r="DE546" s="254" t="n"/>
      <c r="DF546" s="254" t="n"/>
      <c r="DG546" s="254" t="n"/>
      <c r="DH546" s="254" t="n"/>
      <c r="DI546" s="254" t="n"/>
      <c r="DJ546" s="254" t="n"/>
      <c r="DK546" s="254" t="n"/>
      <c r="DL546" s="95" t="n"/>
      <c r="DM546" s="254" t="inlineStr">
        <is>
          <t>M</t>
        </is>
      </c>
      <c r="DN546" s="254" t="n">
        <v>1</v>
      </c>
      <c r="DO546" s="95" t="n">
        <v>14</v>
      </c>
    </row>
    <row r="547" ht="14.15" customHeight="1">
      <c r="A547" s="203" t="inlineStr">
        <is>
          <t>MP-05A</t>
        </is>
      </c>
      <c r="B547" s="260"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259" t="n"/>
      <c r="BL547" s="61" t="inlineStr">
        <is>
          <t>GMAP-SIGA</t>
        </is>
      </c>
      <c r="BM547" s="254" t="inlineStr">
        <is>
          <t>NF</t>
        </is>
      </c>
      <c r="BN547" s="266" t="inlineStr">
        <is>
          <t>Tranque</t>
        </is>
      </c>
      <c r="BO547" s="254" t="inlineStr">
        <is>
          <t>SI PAT TRANQUE</t>
        </is>
      </c>
      <c r="BP547" s="254"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4" t="n"/>
      <c r="DB547" s="254" t="n"/>
      <c r="DC547" s="254" t="n"/>
      <c r="DD547" s="254" t="n"/>
      <c r="DE547" s="254" t="n"/>
      <c r="DF547" s="254" t="n"/>
      <c r="DG547" s="254" t="n"/>
      <c r="DH547" s="254" t="n"/>
      <c r="DI547" s="254" t="n"/>
      <c r="DJ547" s="254" t="inlineStr">
        <is>
          <t>M</t>
        </is>
      </c>
      <c r="DK547" s="254" t="n">
        <v>1</v>
      </c>
      <c r="DL547" s="95" t="n">
        <v>14</v>
      </c>
      <c r="DM547" s="254" t="n"/>
      <c r="DN547" s="95" t="n"/>
      <c r="DO547" s="95" t="n"/>
    </row>
    <row r="548" ht="13" customHeight="1">
      <c r="A548" s="203" t="inlineStr">
        <is>
          <t>MP-05A</t>
        </is>
      </c>
      <c r="B548" s="260"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259" t="n"/>
      <c r="BL548" s="61" t="inlineStr">
        <is>
          <t>GMAP-SIGA</t>
        </is>
      </c>
      <c r="BM548" s="254" t="inlineStr">
        <is>
          <t>ASUB</t>
        </is>
      </c>
      <c r="BN548" s="266" t="inlineStr">
        <is>
          <t>Tranque</t>
        </is>
      </c>
      <c r="BO548" s="254" t="inlineStr">
        <is>
          <t>SI PAT TRANQUE</t>
        </is>
      </c>
      <c r="BP548" s="254"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4" t="n"/>
      <c r="DB548" s="254" t="n"/>
      <c r="DC548" s="254" t="n"/>
      <c r="DD548" s="254" t="n"/>
      <c r="DE548" s="254" t="n"/>
      <c r="DF548" s="254" t="n"/>
      <c r="DG548" s="254" t="n"/>
      <c r="DH548" s="254" t="n"/>
      <c r="DI548" s="254" t="n"/>
      <c r="DJ548" s="254" t="n"/>
      <c r="DK548" s="254" t="n"/>
      <c r="DL548" s="95" t="n"/>
      <c r="DM548" s="254" t="inlineStr">
        <is>
          <t>M</t>
        </is>
      </c>
      <c r="DN548" s="254" t="n">
        <v>1</v>
      </c>
      <c r="DO548" s="95" t="n">
        <v>14</v>
      </c>
    </row>
    <row r="549" ht="13" customHeight="1">
      <c r="A549" s="203" t="inlineStr">
        <is>
          <t>MP-05B</t>
        </is>
      </c>
      <c r="B549" s="260"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259" t="n"/>
      <c r="BL549" s="61" t="inlineStr">
        <is>
          <t>GMAP-SIGA</t>
        </is>
      </c>
      <c r="BM549" s="254" t="inlineStr">
        <is>
          <t>NF</t>
        </is>
      </c>
      <c r="BN549" s="266" t="inlineStr">
        <is>
          <t>Tranque</t>
        </is>
      </c>
      <c r="BO549" s="254" t="inlineStr">
        <is>
          <t>SI PAT TRANQUE</t>
        </is>
      </c>
      <c r="BP549" s="254"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4" t="n"/>
      <c r="DB549" s="254" t="n"/>
      <c r="DC549" s="254" t="n"/>
      <c r="DD549" s="254" t="n"/>
      <c r="DE549" s="254" t="n"/>
      <c r="DF549" s="254" t="n"/>
      <c r="DG549" s="254" t="n"/>
      <c r="DH549" s="254" t="n"/>
      <c r="DI549" s="254" t="n"/>
      <c r="DJ549" s="254" t="inlineStr">
        <is>
          <t>M</t>
        </is>
      </c>
      <c r="DK549" s="254" t="n">
        <v>1</v>
      </c>
      <c r="DL549" s="95" t="n">
        <v>14</v>
      </c>
      <c r="DM549" s="254" t="n"/>
      <c r="DN549" s="95" t="n"/>
      <c r="DO549" s="95" t="n"/>
    </row>
    <row r="550" ht="13" customHeight="1">
      <c r="A550" s="203" t="inlineStr">
        <is>
          <t>MP-05B</t>
        </is>
      </c>
      <c r="B550" s="260"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259" t="n"/>
      <c r="BL550" s="61" t="inlineStr">
        <is>
          <t>GMAP-SIGA</t>
        </is>
      </c>
      <c r="BM550" s="254" t="inlineStr">
        <is>
          <t>ASUB</t>
        </is>
      </c>
      <c r="BN550" s="266" t="inlineStr">
        <is>
          <t>Tranque</t>
        </is>
      </c>
      <c r="BO550" s="254" t="inlineStr">
        <is>
          <t>SI PAT TRANQUE</t>
        </is>
      </c>
      <c r="BP550" s="254"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4" t="n"/>
      <c r="DB550" s="254" t="n"/>
      <c r="DC550" s="254" t="n"/>
      <c r="DD550" s="254" t="n"/>
      <c r="DE550" s="254" t="n"/>
      <c r="DF550" s="254" t="n"/>
      <c r="DG550" s="254" t="n"/>
      <c r="DH550" s="254" t="n"/>
      <c r="DI550" s="254" t="n"/>
      <c r="DJ550" s="254" t="n"/>
      <c r="DK550" s="254" t="n"/>
      <c r="DL550" s="95" t="n"/>
      <c r="DM550" s="254" t="inlineStr">
        <is>
          <t>M</t>
        </is>
      </c>
      <c r="DN550" s="254" t="n">
        <v>1</v>
      </c>
      <c r="DO550" s="95" t="n">
        <v>14</v>
      </c>
    </row>
    <row r="551" ht="13" customHeight="1">
      <c r="A551" s="203" t="inlineStr">
        <is>
          <t>MP-05C_B</t>
        </is>
      </c>
      <c r="B551" s="260"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259" t="n"/>
      <c r="BL551" s="61" t="inlineStr">
        <is>
          <t>GMAP-SIGA</t>
        </is>
      </c>
      <c r="BM551" s="254" t="inlineStr">
        <is>
          <t>NF</t>
        </is>
      </c>
      <c r="BN551" s="266" t="inlineStr">
        <is>
          <t>Tranque</t>
        </is>
      </c>
      <c r="BO551" s="254" t="inlineStr">
        <is>
          <t>SI PAT TRANQUE</t>
        </is>
      </c>
      <c r="BP551" s="254"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4" t="n"/>
      <c r="DB551" s="254" t="n"/>
      <c r="DC551" s="254" t="n"/>
      <c r="DD551" s="254" t="n"/>
      <c r="DE551" s="254" t="n"/>
      <c r="DF551" s="254" t="n"/>
      <c r="DG551" s="254" t="n"/>
      <c r="DH551" s="254" t="n"/>
      <c r="DI551" s="254" t="n"/>
      <c r="DJ551" s="254" t="inlineStr">
        <is>
          <t>M</t>
        </is>
      </c>
      <c r="DK551" s="254" t="n">
        <v>1</v>
      </c>
      <c r="DL551" s="95" t="n">
        <v>14</v>
      </c>
      <c r="DM551" s="254" t="n"/>
      <c r="DN551" s="95" t="n"/>
      <c r="DO551" s="95" t="n"/>
    </row>
    <row r="552" ht="13" customHeight="1">
      <c r="A552" s="203" t="inlineStr">
        <is>
          <t>MP-05C_B</t>
        </is>
      </c>
      <c r="B552" s="260"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259" t="n"/>
      <c r="BL552" s="61" t="inlineStr">
        <is>
          <t>GMAP-SIGA</t>
        </is>
      </c>
      <c r="BM552" s="254" t="inlineStr">
        <is>
          <t>ASUB</t>
        </is>
      </c>
      <c r="BN552" s="266" t="inlineStr">
        <is>
          <t>Tranque</t>
        </is>
      </c>
      <c r="BO552" s="254" t="inlineStr">
        <is>
          <t>SI PAT TRANQUE</t>
        </is>
      </c>
      <c r="BP552" s="254"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4" t="n"/>
      <c r="DB552" s="254" t="n"/>
      <c r="DC552" s="254" t="n"/>
      <c r="DD552" s="254" t="n"/>
      <c r="DE552" s="254" t="n"/>
      <c r="DF552" s="254" t="n"/>
      <c r="DG552" s="254" t="n"/>
      <c r="DH552" s="254" t="n"/>
      <c r="DI552" s="254" t="n"/>
      <c r="DJ552" s="254" t="n"/>
      <c r="DK552" s="254" t="n"/>
      <c r="DL552" s="95" t="n"/>
      <c r="DM552" s="254" t="inlineStr">
        <is>
          <t>M</t>
        </is>
      </c>
      <c r="DN552" s="254" t="n">
        <v>1</v>
      </c>
      <c r="DO552" s="95" t="n">
        <v>14</v>
      </c>
    </row>
    <row r="553" ht="13" customHeight="1">
      <c r="A553" s="203" t="inlineStr">
        <is>
          <t>MP-06A</t>
        </is>
      </c>
      <c r="B553" s="260"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259" t="n"/>
      <c r="BL553" s="61" t="inlineStr">
        <is>
          <t>GMAP-SIGA</t>
        </is>
      </c>
      <c r="BM553" s="254" t="inlineStr">
        <is>
          <t>NF</t>
        </is>
      </c>
      <c r="BN553" s="266" t="inlineStr">
        <is>
          <t>Tranque</t>
        </is>
      </c>
      <c r="BO553" s="254" t="inlineStr">
        <is>
          <t>SI PAT TRANQUE</t>
        </is>
      </c>
      <c r="BP553" s="254"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4" t="n"/>
      <c r="DB553" s="254" t="n"/>
      <c r="DC553" s="254" t="n"/>
      <c r="DD553" s="254" t="n"/>
      <c r="DE553" s="254" t="n"/>
      <c r="DF553" s="254" t="n"/>
      <c r="DG553" s="254" t="n"/>
      <c r="DH553" s="254" t="n"/>
      <c r="DI553" s="254" t="n"/>
      <c r="DJ553" s="254" t="inlineStr">
        <is>
          <t>M</t>
        </is>
      </c>
      <c r="DK553" s="254" t="n">
        <v>1</v>
      </c>
      <c r="DL553" s="95" t="n">
        <v>14</v>
      </c>
      <c r="DM553" s="254" t="n"/>
      <c r="DN553" s="95" t="n"/>
      <c r="DO553" s="95" t="n"/>
    </row>
    <row r="554" ht="13" customHeight="1">
      <c r="A554" s="203" t="inlineStr">
        <is>
          <t>MP-06A</t>
        </is>
      </c>
      <c r="B554" s="260"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259" t="n"/>
      <c r="BL554" s="61" t="inlineStr">
        <is>
          <t>GMAP-SIGA</t>
        </is>
      </c>
      <c r="BM554" s="254" t="inlineStr">
        <is>
          <t>ASUB</t>
        </is>
      </c>
      <c r="BN554" s="266" t="inlineStr">
        <is>
          <t>Tranque</t>
        </is>
      </c>
      <c r="BO554" s="254" t="inlineStr">
        <is>
          <t>SI PAT TRANQUE</t>
        </is>
      </c>
      <c r="BP554" s="254"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4" t="n"/>
      <c r="DB554" s="254" t="n"/>
      <c r="DC554" s="254" t="n"/>
      <c r="DD554" s="254" t="n"/>
      <c r="DE554" s="254" t="n"/>
      <c r="DF554" s="254" t="n"/>
      <c r="DG554" s="254" t="n"/>
      <c r="DH554" s="254" t="n"/>
      <c r="DI554" s="254" t="n"/>
      <c r="DJ554" s="254" t="n"/>
      <c r="DK554" s="254" t="n"/>
      <c r="DL554" s="95" t="n"/>
      <c r="DM554" s="254" t="inlineStr">
        <is>
          <t>M</t>
        </is>
      </c>
      <c r="DN554" s="254" t="n">
        <v>1</v>
      </c>
      <c r="DO554" s="95" t="n">
        <v>14</v>
      </c>
    </row>
    <row r="555" ht="13" customHeight="1">
      <c r="A555" s="203" t="inlineStr">
        <is>
          <t>MP-06B</t>
        </is>
      </c>
      <c r="B555" s="260"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259" t="n"/>
      <c r="BL555" s="61" t="inlineStr">
        <is>
          <t>GMAP-SIGA</t>
        </is>
      </c>
      <c r="BM555" s="254" t="inlineStr">
        <is>
          <t>NF</t>
        </is>
      </c>
      <c r="BN555" s="266" t="inlineStr">
        <is>
          <t>Tranque</t>
        </is>
      </c>
      <c r="BO555" s="254" t="inlineStr">
        <is>
          <t>SI PAT TRANQUE</t>
        </is>
      </c>
      <c r="BP555" s="254"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4" t="n"/>
      <c r="DB555" s="254" t="n"/>
      <c r="DC555" s="254" t="n"/>
      <c r="DD555" s="254" t="n"/>
      <c r="DE555" s="254" t="n"/>
      <c r="DF555" s="254" t="n"/>
      <c r="DG555" s="254" t="n"/>
      <c r="DH555" s="254" t="n"/>
      <c r="DI555" s="254" t="n"/>
      <c r="DJ555" s="254" t="n"/>
      <c r="DK555" s="254" t="n"/>
      <c r="DL555" s="95" t="n"/>
      <c r="DM555" s="254" t="n"/>
      <c r="DN555" s="254" t="n"/>
      <c r="DO555" s="95" t="n"/>
    </row>
    <row r="556" ht="13" customHeight="1">
      <c r="A556" s="203" t="inlineStr">
        <is>
          <t>MP-06B</t>
        </is>
      </c>
      <c r="B556" s="260"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259" t="n"/>
      <c r="BL556" s="61" t="inlineStr">
        <is>
          <t>GMAP-SIGA</t>
        </is>
      </c>
      <c r="BM556" s="254" t="inlineStr">
        <is>
          <t>ASUB</t>
        </is>
      </c>
      <c r="BN556" s="266" t="inlineStr">
        <is>
          <t>Tranque</t>
        </is>
      </c>
      <c r="BO556" s="254" t="inlineStr">
        <is>
          <t>SI PAT TRANQUE</t>
        </is>
      </c>
      <c r="BP556" s="254"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4" t="n"/>
      <c r="DB556" s="254" t="n"/>
      <c r="DC556" s="254" t="n"/>
      <c r="DD556" s="254" t="n"/>
      <c r="DE556" s="254" t="n"/>
      <c r="DF556" s="254" t="n"/>
      <c r="DG556" s="254" t="n"/>
      <c r="DH556" s="254" t="n"/>
      <c r="DI556" s="254" t="n"/>
      <c r="DJ556" s="254" t="n"/>
      <c r="DK556" s="254" t="n"/>
      <c r="DL556" s="95" t="n"/>
      <c r="DM556" s="254" t="n"/>
      <c r="DN556" s="254" t="n"/>
      <c r="DO556" s="95" t="n"/>
    </row>
    <row r="557" ht="13" customHeight="1">
      <c r="A557" s="203" t="inlineStr">
        <is>
          <t>MP-06C</t>
        </is>
      </c>
      <c r="B557" s="260"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259" t="n"/>
      <c r="BL557" s="61" t="inlineStr">
        <is>
          <t>GMAP-SIGA</t>
        </is>
      </c>
      <c r="BM557" s="254" t="inlineStr">
        <is>
          <t>NF</t>
        </is>
      </c>
      <c r="BN557" s="266" t="inlineStr">
        <is>
          <t>Tranque</t>
        </is>
      </c>
      <c r="BO557" s="254" t="inlineStr">
        <is>
          <t>SI PAT TRANQUE</t>
        </is>
      </c>
      <c r="BP557" s="254"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4" t="n"/>
      <c r="DB557" s="254" t="n"/>
      <c r="DC557" s="254" t="n"/>
      <c r="DD557" s="254" t="n"/>
      <c r="DE557" s="254" t="n"/>
      <c r="DF557" s="254" t="n"/>
      <c r="DG557" s="254" t="n"/>
      <c r="DH557" s="254" t="n"/>
      <c r="DI557" s="254" t="n"/>
      <c r="DJ557" s="254" t="inlineStr">
        <is>
          <t>M</t>
        </is>
      </c>
      <c r="DK557" s="254" t="n">
        <v>1</v>
      </c>
      <c r="DL557" s="95" t="n">
        <v>14</v>
      </c>
      <c r="DM557" s="254" t="n"/>
      <c r="DN557" s="95" t="n"/>
      <c r="DO557" s="95" t="n"/>
    </row>
    <row r="558" ht="13" customHeight="1">
      <c r="A558" s="203" t="inlineStr">
        <is>
          <t>MP-06C</t>
        </is>
      </c>
      <c r="B558" s="260"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259" t="n"/>
      <c r="BL558" s="61" t="inlineStr">
        <is>
          <t>GMAP-SIGA</t>
        </is>
      </c>
      <c r="BM558" s="254" t="inlineStr">
        <is>
          <t>ASUB</t>
        </is>
      </c>
      <c r="BN558" s="266" t="inlineStr">
        <is>
          <t>Tranque</t>
        </is>
      </c>
      <c r="BO558" s="254" t="inlineStr">
        <is>
          <t>SI PAT TRANQUE</t>
        </is>
      </c>
      <c r="BP558" s="254"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4" t="n"/>
      <c r="DB558" s="254" t="n"/>
      <c r="DC558" s="254" t="n"/>
      <c r="DD558" s="254" t="n"/>
      <c r="DE558" s="254" t="n"/>
      <c r="DF558" s="254" t="n"/>
      <c r="DG558" s="254" t="n"/>
      <c r="DH558" s="254" t="n"/>
      <c r="DI558" s="254" t="n"/>
      <c r="DJ558" s="254" t="n"/>
      <c r="DK558" s="254" t="n"/>
      <c r="DL558" s="95" t="n"/>
      <c r="DM558" s="254" t="inlineStr">
        <is>
          <t>M</t>
        </is>
      </c>
      <c r="DN558" s="254" t="n">
        <v>1</v>
      </c>
      <c r="DO558" s="95" t="n">
        <v>14</v>
      </c>
    </row>
    <row r="559" ht="13.5" customHeight="1">
      <c r="A559" s="203" t="inlineStr">
        <is>
          <t>MP-07A</t>
        </is>
      </c>
      <c r="B559" s="260"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259" t="n"/>
      <c r="BL559" s="61" t="inlineStr">
        <is>
          <t>GMAP-SIGA</t>
        </is>
      </c>
      <c r="BM559" s="254" t="inlineStr">
        <is>
          <t>NF</t>
        </is>
      </c>
      <c r="BN559" s="266" t="inlineStr">
        <is>
          <t>Tranque</t>
        </is>
      </c>
      <c r="BO559" s="254" t="inlineStr">
        <is>
          <t>SI PAT TRANQUE</t>
        </is>
      </c>
      <c r="BP559" s="254" t="inlineStr">
        <is>
          <t>MP-07A/NF</t>
        </is>
      </c>
      <c r="BQ559" s="106">
        <f>VLOOKUP(BP559,[1]AGUA!$1:$1048576,2,FALSE)</f>
        <v/>
      </c>
      <c r="BR559" s="106">
        <f>VLOOKUP(BP559,[1]AGUA!$1:$1048576,6,FALSE)</f>
        <v/>
      </c>
      <c r="BS559" s="106">
        <f>VLOOKUP(BP559,[1]AGUA!$1:$1048576,7,FALSE)</f>
        <v/>
      </c>
      <c r="BT559" s="106" t="n"/>
      <c r="BU559" s="101" t="n"/>
      <c r="BV559" s="142" t="inlineStr">
        <is>
          <t>R</t>
        </is>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4" t="n"/>
      <c r="DB559" s="254" t="n"/>
      <c r="DC559" s="254" t="n"/>
      <c r="DD559" s="254" t="n"/>
      <c r="DE559" s="254" t="n"/>
      <c r="DF559" s="254" t="n"/>
      <c r="DG559" s="254" t="n"/>
      <c r="DH559" s="254" t="n"/>
      <c r="DI559" s="254" t="n"/>
      <c r="DJ559" s="254" t="inlineStr">
        <is>
          <t>M</t>
        </is>
      </c>
      <c r="DK559" s="254" t="n">
        <v>1</v>
      </c>
      <c r="DL559" s="95" t="n">
        <v>14</v>
      </c>
      <c r="DM559" s="254" t="n"/>
      <c r="DN559" s="95" t="n"/>
      <c r="DO559" s="95" t="n"/>
    </row>
    <row r="560" ht="13" customHeight="1">
      <c r="A560" s="203" t="inlineStr">
        <is>
          <t>MP-07A</t>
        </is>
      </c>
      <c r="B560" s="260"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259" t="n"/>
      <c r="BL560" s="61" t="inlineStr">
        <is>
          <t>GMAP-SIGA</t>
        </is>
      </c>
      <c r="BM560" s="254" t="inlineStr">
        <is>
          <t>ASUB</t>
        </is>
      </c>
      <c r="BN560" s="266" t="inlineStr">
        <is>
          <t>Tranque</t>
        </is>
      </c>
      <c r="BO560" s="254" t="inlineStr">
        <is>
          <t>SI PAT TRANQUE</t>
        </is>
      </c>
      <c r="BP560" s="254" t="inlineStr">
        <is>
          <t>MP-07A/ASUB</t>
        </is>
      </c>
      <c r="BQ560" s="106">
        <f>VLOOKUP(BP560,[1]AGUA!$1:$1048576,2,FALSE)</f>
        <v/>
      </c>
      <c r="BR560" s="106">
        <f>VLOOKUP(BP560,[1]AGUA!$1:$1048576,6,FALSE)</f>
        <v/>
      </c>
      <c r="BS560" s="106">
        <f>VLOOKUP(BP560,[1]AGUA!$1:$1048576,7,FALSE)</f>
        <v/>
      </c>
      <c r="BT560" s="106" t="n"/>
      <c r="BU560" s="101" t="n"/>
      <c r="BV560" s="107" t="inlineStr">
        <is>
          <t>R</t>
        </is>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4" t="n"/>
      <c r="DB560" s="254" t="n"/>
      <c r="DC560" s="254" t="n"/>
      <c r="DD560" s="254" t="n"/>
      <c r="DE560" s="254" t="n"/>
      <c r="DF560" s="254" t="n"/>
      <c r="DG560" s="254" t="n"/>
      <c r="DH560" s="254" t="n"/>
      <c r="DI560" s="254" t="n"/>
      <c r="DJ560" s="254" t="n"/>
      <c r="DK560" s="254" t="n"/>
      <c r="DL560" s="95" t="n"/>
      <c r="DM560" s="254" t="inlineStr">
        <is>
          <t>M</t>
        </is>
      </c>
      <c r="DN560" s="254" t="n">
        <v>1</v>
      </c>
      <c r="DO560" s="95" t="n">
        <v>14</v>
      </c>
    </row>
    <row r="561" ht="13" customHeight="1">
      <c r="A561" s="203" t="inlineStr">
        <is>
          <t>MP-07B_C</t>
        </is>
      </c>
      <c r="B561" s="260"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259" t="n"/>
      <c r="BL561" s="61" t="inlineStr">
        <is>
          <t>GMAP-SIGA</t>
        </is>
      </c>
      <c r="BM561" s="254" t="inlineStr">
        <is>
          <t>NF</t>
        </is>
      </c>
      <c r="BN561" s="266" t="inlineStr">
        <is>
          <t>Tranque</t>
        </is>
      </c>
      <c r="BO561" s="254" t="inlineStr">
        <is>
          <t>SI PAT TRANQUE</t>
        </is>
      </c>
      <c r="BP561" s="254"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inlineStr">
        <is>
          <t>R</t>
        </is>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4" t="n"/>
      <c r="DB561" s="254" t="n"/>
      <c r="DC561" s="254" t="n"/>
      <c r="DD561" s="254" t="n"/>
      <c r="DE561" s="254" t="n"/>
      <c r="DF561" s="254" t="n"/>
      <c r="DG561" s="254" t="n"/>
      <c r="DH561" s="254" t="n"/>
      <c r="DI561" s="254" t="n"/>
      <c r="DJ561" s="254" t="inlineStr">
        <is>
          <t>M</t>
        </is>
      </c>
      <c r="DK561" s="254" t="n">
        <v>1</v>
      </c>
      <c r="DL561" s="95" t="n">
        <v>14</v>
      </c>
      <c r="DM561" s="254" t="n"/>
      <c r="DN561" s="95" t="n"/>
      <c r="DO561" s="95" t="n"/>
    </row>
    <row r="562" ht="13" customHeight="1">
      <c r="A562" s="203" t="inlineStr">
        <is>
          <t>MP-07B_C</t>
        </is>
      </c>
      <c r="B562" s="260"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259" t="n"/>
      <c r="BL562" s="61" t="inlineStr">
        <is>
          <t>GMAP-SIGA</t>
        </is>
      </c>
      <c r="BM562" s="254" t="inlineStr">
        <is>
          <t>ASUB</t>
        </is>
      </c>
      <c r="BN562" s="266" t="inlineStr">
        <is>
          <t>tranque</t>
        </is>
      </c>
      <c r="BO562" s="254" t="inlineStr">
        <is>
          <t>SI PAT TRANQUE</t>
        </is>
      </c>
      <c r="BP562" s="254"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inlineStr">
        <is>
          <t>R</t>
        </is>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4" t="n"/>
      <c r="DB562" s="254" t="n"/>
      <c r="DC562" s="254" t="n"/>
      <c r="DD562" s="254" t="n"/>
      <c r="DE562" s="254" t="n"/>
      <c r="DF562" s="254" t="n"/>
      <c r="DG562" s="254" t="n"/>
      <c r="DH562" s="254" t="n"/>
      <c r="DI562" s="254" t="n"/>
      <c r="DJ562" s="254" t="n"/>
      <c r="DK562" s="254" t="n"/>
      <c r="DL562" s="95" t="n"/>
      <c r="DM562" s="254" t="inlineStr">
        <is>
          <t>M</t>
        </is>
      </c>
      <c r="DN562" s="254" t="n">
        <v>1</v>
      </c>
      <c r="DO562" s="95" t="n">
        <v>14</v>
      </c>
    </row>
    <row r="563" ht="12.5" customHeight="1">
      <c r="A563" s="203" t="inlineStr">
        <is>
          <t>MP-07C</t>
        </is>
      </c>
      <c r="B563" s="260"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61" t="inlineStr">
        <is>
          <t>530WLMP07</t>
        </is>
      </c>
      <c r="BL563" s="7" t="inlineStr">
        <is>
          <t>GMAP-SIGA</t>
        </is>
      </c>
      <c r="BM563" s="254" t="inlineStr">
        <is>
          <t>NF</t>
        </is>
      </c>
      <c r="BN563" s="266" t="inlineStr">
        <is>
          <t>Tranque</t>
        </is>
      </c>
      <c r="BO563" s="254"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inlineStr">
        <is>
          <t>R</t>
        </is>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4" t="n"/>
      <c r="DB563" s="254" t="n"/>
      <c r="DC563" s="254" t="n"/>
      <c r="DD563" s="254" t="n"/>
      <c r="DE563" s="254" t="n"/>
      <c r="DF563" s="254" t="n"/>
      <c r="DG563" s="254" t="n"/>
      <c r="DH563" s="254" t="n"/>
      <c r="DI563" s="254" t="n"/>
      <c r="DJ563" s="254" t="inlineStr">
        <is>
          <t>M</t>
        </is>
      </c>
      <c r="DK563" s="254" t="n">
        <v>1</v>
      </c>
      <c r="DL563" s="95" t="n">
        <v>14</v>
      </c>
      <c r="DM563" s="254" t="n"/>
      <c r="DN563" s="95" t="n"/>
      <c r="DO563" s="95" t="n"/>
    </row>
    <row r="564" ht="13" customHeight="1">
      <c r="A564" s="203" t="inlineStr">
        <is>
          <t>MP-07C</t>
        </is>
      </c>
      <c r="B564" s="260"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61" t="inlineStr">
        <is>
          <t>530WLMP07</t>
        </is>
      </c>
      <c r="BL564" s="7" t="inlineStr">
        <is>
          <t>GMAP-SIGA</t>
        </is>
      </c>
      <c r="BM564" s="254" t="inlineStr">
        <is>
          <t>ASUB</t>
        </is>
      </c>
      <c r="BN564" s="266" t="inlineStr">
        <is>
          <t>Tranque</t>
        </is>
      </c>
      <c r="BO564" s="254"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inlineStr">
        <is>
          <t>R</t>
        </is>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4" t="n"/>
      <c r="DB564" s="254" t="n"/>
      <c r="DC564" s="254" t="n"/>
      <c r="DD564" s="254" t="n"/>
      <c r="DE564" s="254" t="n"/>
      <c r="DF564" s="254" t="n"/>
      <c r="DG564" s="254" t="n"/>
      <c r="DH564" s="254" t="n"/>
      <c r="DI564" s="254" t="n"/>
      <c r="DJ564" s="254" t="n"/>
      <c r="DK564" s="254" t="n"/>
      <c r="DL564" s="254" t="n"/>
      <c r="DM564" s="254" t="inlineStr">
        <is>
          <t>M</t>
        </is>
      </c>
      <c r="DN564" s="254" t="n">
        <v>1</v>
      </c>
      <c r="DO564" s="95" t="n">
        <v>14</v>
      </c>
    </row>
    <row r="565" ht="13" customHeight="1">
      <c r="A565" s="203" t="inlineStr">
        <is>
          <t>MP-08A</t>
        </is>
      </c>
      <c r="B565" s="260"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61" t="n"/>
      <c r="BL565" s="7" t="inlineStr">
        <is>
          <t>GMAP-SIGA</t>
        </is>
      </c>
      <c r="BM565" s="254" t="inlineStr">
        <is>
          <t>NF</t>
        </is>
      </c>
      <c r="BN565" s="266" t="inlineStr">
        <is>
          <t>Tranque</t>
        </is>
      </c>
      <c r="BO565" s="254" t="inlineStr">
        <is>
          <t>SI PAT TRANQUE</t>
        </is>
      </c>
      <c r="BP565" s="254" t="inlineStr">
        <is>
          <t>MP-8A/NF</t>
        </is>
      </c>
      <c r="BQ565" s="106">
        <f>VLOOKUP(BP565,[1]AGUA!$1:$1048576,2,FALSE)</f>
        <v/>
      </c>
      <c r="BR565" s="106">
        <f>VLOOKUP(BP565,[1]AGUA!$1:$1048576,6,FALSE)</f>
        <v/>
      </c>
      <c r="BS565" s="106">
        <f>VLOOKUP(BP565,[1]AGUA!$1:$1048576,7,FALSE)</f>
        <v/>
      </c>
      <c r="BT565" s="106" t="n"/>
      <c r="BU565" s="101" t="n"/>
      <c r="BV565" s="142" t="inlineStr">
        <is>
          <t>R</t>
        </is>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4" t="n"/>
      <c r="DB565" s="254" t="n"/>
      <c r="DC565" s="254" t="n"/>
      <c r="DD565" s="254" t="n"/>
      <c r="DE565" s="254" t="n"/>
      <c r="DF565" s="254" t="n"/>
      <c r="DG565" s="254" t="n"/>
      <c r="DH565" s="254" t="n"/>
      <c r="DI565" s="254" t="n"/>
      <c r="DJ565" s="254" t="inlineStr">
        <is>
          <t>M</t>
        </is>
      </c>
      <c r="DK565" s="254" t="n">
        <v>1</v>
      </c>
      <c r="DL565" s="95" t="n">
        <v>14</v>
      </c>
      <c r="DM565" s="254" t="n"/>
      <c r="DN565" s="95" t="n"/>
      <c r="DO565" s="95" t="n"/>
    </row>
    <row r="566" ht="12.5" customHeight="1">
      <c r="A566" s="203" t="inlineStr">
        <is>
          <t>MP-08A</t>
        </is>
      </c>
      <c r="B566" s="260"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61" t="n"/>
      <c r="BL566" s="7" t="inlineStr">
        <is>
          <t>GMAP-SIGA</t>
        </is>
      </c>
      <c r="BM566" s="254" t="inlineStr">
        <is>
          <t>ASUB</t>
        </is>
      </c>
      <c r="BN566" s="266" t="inlineStr">
        <is>
          <t>Tranque</t>
        </is>
      </c>
      <c r="BO566" s="254" t="inlineStr">
        <is>
          <t>SI PAT TRANQUE</t>
        </is>
      </c>
      <c r="BP566" s="254" t="inlineStr">
        <is>
          <t>MP-8A/ASUB</t>
        </is>
      </c>
      <c r="BQ566" s="106">
        <f>VLOOKUP(BP566,[1]AGUA!$1:$1048576,2,FALSE)</f>
        <v/>
      </c>
      <c r="BR566" s="106">
        <f>VLOOKUP(BP566,[1]AGUA!$1:$1048576,6,FALSE)</f>
        <v/>
      </c>
      <c r="BS566" s="106">
        <f>VLOOKUP(BP566,[1]AGUA!$1:$1048576,7,FALSE)</f>
        <v/>
      </c>
      <c r="BT566" s="106" t="n"/>
      <c r="BU566" s="101" t="n"/>
      <c r="BV566" s="107" t="inlineStr">
        <is>
          <t>R</t>
        </is>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4" t="n"/>
      <c r="DB566" s="254" t="n"/>
      <c r="DC566" s="254" t="n"/>
      <c r="DD566" s="254" t="n"/>
      <c r="DE566" s="254" t="n"/>
      <c r="DF566" s="254" t="n"/>
      <c r="DG566" s="254" t="n"/>
      <c r="DH566" s="254" t="n"/>
      <c r="DI566" s="254" t="n"/>
      <c r="DJ566" s="254" t="n"/>
      <c r="DK566" s="254" t="n"/>
      <c r="DL566" s="95" t="n"/>
      <c r="DM566" s="254" t="inlineStr">
        <is>
          <t>M</t>
        </is>
      </c>
      <c r="DN566" s="254" t="n">
        <v>1</v>
      </c>
      <c r="DO566" s="95" t="n">
        <v>14</v>
      </c>
    </row>
    <row r="567" ht="12.5" customHeight="1">
      <c r="A567" s="203" t="inlineStr">
        <is>
          <t>MP-08B_B</t>
        </is>
      </c>
      <c r="B567" s="260"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61" t="n"/>
      <c r="BL567" s="7" t="inlineStr">
        <is>
          <t>GMAP-SIGA</t>
        </is>
      </c>
      <c r="BM567" s="254" t="inlineStr">
        <is>
          <t>NF</t>
        </is>
      </c>
      <c r="BN567" s="266" t="inlineStr">
        <is>
          <t>Tranque</t>
        </is>
      </c>
      <c r="BO567" s="254" t="inlineStr">
        <is>
          <t>SI PAT TRANQUE</t>
        </is>
      </c>
      <c r="BP567" s="254" t="inlineStr">
        <is>
          <t>MP-8A/NF</t>
        </is>
      </c>
      <c r="BQ567" s="106">
        <f>VLOOKUP(BP567,[1]AGUA!$1:$1048576,2,FALSE)</f>
        <v/>
      </c>
      <c r="BR567" s="106">
        <f>VLOOKUP(BP567,[1]AGUA!$1:$1048576,6,FALSE)</f>
        <v/>
      </c>
      <c r="BS567" s="106">
        <f>VLOOKUP(BP567,[1]AGUA!$1:$1048576,7,FALSE)</f>
        <v/>
      </c>
      <c r="BT567" s="106" t="n"/>
      <c r="BU567" s="101" t="n"/>
      <c r="BV567" s="142" t="inlineStr">
        <is>
          <t>R</t>
        </is>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4" t="n"/>
      <c r="DB567" s="254" t="n"/>
      <c r="DC567" s="254" t="n"/>
      <c r="DD567" s="254" t="n"/>
      <c r="DE567" s="254" t="n"/>
      <c r="DF567" s="254" t="n"/>
      <c r="DG567" s="254" t="n"/>
      <c r="DH567" s="254" t="n"/>
      <c r="DI567" s="254" t="n"/>
      <c r="DJ567" s="254" t="inlineStr">
        <is>
          <t>M</t>
        </is>
      </c>
      <c r="DK567" s="254" t="n">
        <v>1</v>
      </c>
      <c r="DL567" s="95" t="n">
        <v>14</v>
      </c>
      <c r="DM567" s="254" t="n"/>
      <c r="DN567" s="95" t="n"/>
      <c r="DO567" s="95" t="n"/>
    </row>
    <row r="568" ht="12.5" customHeight="1">
      <c r="A568" s="203" t="inlineStr">
        <is>
          <t>MP-08B_B</t>
        </is>
      </c>
      <c r="B568" s="260"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61" t="n"/>
      <c r="BL568" s="7" t="inlineStr">
        <is>
          <t>GMAP-SIGA</t>
        </is>
      </c>
      <c r="BM568" s="254" t="inlineStr">
        <is>
          <t>ASUB</t>
        </is>
      </c>
      <c r="BN568" s="266" t="inlineStr">
        <is>
          <t>Tranque</t>
        </is>
      </c>
      <c r="BO568" s="254" t="inlineStr">
        <is>
          <t>SI PAT TRANQUE</t>
        </is>
      </c>
      <c r="BP568" s="254" t="inlineStr">
        <is>
          <t>MP-8A/ASUB</t>
        </is>
      </c>
      <c r="BQ568" s="106">
        <f>VLOOKUP(BP568,[1]AGUA!$1:$1048576,2,FALSE)</f>
        <v/>
      </c>
      <c r="BR568" s="106">
        <f>VLOOKUP(BP568,[1]AGUA!$1:$1048576,6,FALSE)</f>
        <v/>
      </c>
      <c r="BS568" s="106">
        <f>VLOOKUP(BP568,[1]AGUA!$1:$1048576,7,FALSE)</f>
        <v/>
      </c>
      <c r="BT568" s="106" t="n"/>
      <c r="BU568" s="101" t="n"/>
      <c r="BV568" s="107" t="inlineStr">
        <is>
          <t>R</t>
        </is>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4" t="n"/>
      <c r="DB568" s="254" t="n"/>
      <c r="DC568" s="254" t="n"/>
      <c r="DD568" s="254" t="n"/>
      <c r="DE568" s="254" t="n"/>
      <c r="DF568" s="254" t="n"/>
      <c r="DG568" s="254" t="n"/>
      <c r="DH568" s="254" t="n"/>
      <c r="DI568" s="254" t="n"/>
      <c r="DJ568" s="254" t="n"/>
      <c r="DK568" s="254" t="n"/>
      <c r="DL568" s="95" t="n"/>
      <c r="DM568" s="254" t="inlineStr">
        <is>
          <t>M</t>
        </is>
      </c>
      <c r="DN568" s="254" t="n">
        <v>1</v>
      </c>
      <c r="DO568" s="95" t="n">
        <v>14</v>
      </c>
    </row>
    <row r="569" ht="12.5" customHeight="1">
      <c r="A569" s="203" t="inlineStr">
        <is>
          <t>MP-08C</t>
        </is>
      </c>
      <c r="B569" s="260"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259" t="n"/>
      <c r="BL569" s="61" t="inlineStr">
        <is>
          <t>GMAP-SIGA</t>
        </is>
      </c>
      <c r="BM569" s="254" t="inlineStr">
        <is>
          <t>NF</t>
        </is>
      </c>
      <c r="BN569" s="266" t="inlineStr">
        <is>
          <t>Tranque</t>
        </is>
      </c>
      <c r="BO569" s="254" t="inlineStr">
        <is>
          <t>SI PAT TRANQUE</t>
        </is>
      </c>
      <c r="BP569" s="254" t="inlineStr">
        <is>
          <t>MP-8C/NF</t>
        </is>
      </c>
      <c r="BQ569" s="106">
        <f>VLOOKUP(BP569,[1]AGUA!$1:$1048576,2,FALSE)</f>
        <v/>
      </c>
      <c r="BR569" s="106">
        <f>VLOOKUP(BP569,[1]AGUA!$1:$1048576,6,FALSE)</f>
        <v/>
      </c>
      <c r="BS569" s="106">
        <f>VLOOKUP(BP569,[1]AGUA!$1:$1048576,7,FALSE)</f>
        <v/>
      </c>
      <c r="BT569" s="106" t="n"/>
      <c r="BU569" s="101" t="n"/>
      <c r="BV569" s="142" t="inlineStr">
        <is>
          <t>R</t>
        </is>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4" t="n"/>
      <c r="DB569" s="254" t="n"/>
      <c r="DC569" s="254" t="n"/>
      <c r="DD569" s="254" t="n"/>
      <c r="DE569" s="254" t="n"/>
      <c r="DF569" s="254" t="n"/>
      <c r="DG569" s="254" t="n"/>
      <c r="DH569" s="254" t="n"/>
      <c r="DI569" s="254" t="n"/>
      <c r="DJ569" s="254" t="inlineStr">
        <is>
          <t>M</t>
        </is>
      </c>
      <c r="DK569" s="254" t="n">
        <v>1</v>
      </c>
      <c r="DL569" s="95" t="n">
        <v>14</v>
      </c>
      <c r="DM569" s="254" t="n"/>
      <c r="DN569" s="95" t="n"/>
      <c r="DO569" s="95" t="n"/>
    </row>
    <row r="570" ht="13" customHeight="1">
      <c r="A570" s="203" t="inlineStr">
        <is>
          <t>MP-08C</t>
        </is>
      </c>
      <c r="B570" s="260"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259" t="n"/>
      <c r="BL570" s="61" t="inlineStr">
        <is>
          <t>GMAP-SIGA</t>
        </is>
      </c>
      <c r="BM570" s="254" t="inlineStr">
        <is>
          <t>ASUB</t>
        </is>
      </c>
      <c r="BN570" s="266" t="inlineStr">
        <is>
          <t>Tranque</t>
        </is>
      </c>
      <c r="BO570" s="254" t="inlineStr">
        <is>
          <t>SI PAT TRANQUE</t>
        </is>
      </c>
      <c r="BP570" s="254" t="inlineStr">
        <is>
          <t>MP-8C/ASUB</t>
        </is>
      </c>
      <c r="BQ570" s="106">
        <f>VLOOKUP(BP570,[1]AGUA!$1:$1048576,2,FALSE)</f>
        <v/>
      </c>
      <c r="BR570" s="106">
        <f>VLOOKUP(BP570,[1]AGUA!$1:$1048576,6,FALSE)</f>
        <v/>
      </c>
      <c r="BS570" s="106">
        <f>VLOOKUP(BP570,[1]AGUA!$1:$1048576,7,FALSE)</f>
        <v/>
      </c>
      <c r="BT570" s="106" t="n"/>
      <c r="BU570" s="101" t="n"/>
      <c r="BV570" s="107" t="inlineStr">
        <is>
          <t>R</t>
        </is>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4" t="n"/>
      <c r="DB570" s="254" t="n"/>
      <c r="DC570" s="254" t="n"/>
      <c r="DD570" s="254" t="n"/>
      <c r="DE570" s="254" t="n"/>
      <c r="DF570" s="254" t="n"/>
      <c r="DG570" s="254" t="n"/>
      <c r="DH570" s="254" t="n"/>
      <c r="DI570" s="254" t="n"/>
      <c r="DJ570" s="254" t="n"/>
      <c r="DK570" s="254" t="n"/>
      <c r="DL570" s="95" t="n"/>
      <c r="DM570" s="254" t="inlineStr">
        <is>
          <t>M</t>
        </is>
      </c>
      <c r="DN570" s="254" t="n">
        <v>1</v>
      </c>
      <c r="DO570" s="95" t="n">
        <v>14</v>
      </c>
    </row>
    <row r="571" ht="13" customHeight="1">
      <c r="A571" s="203" t="inlineStr">
        <is>
          <t>MP-09A</t>
        </is>
      </c>
      <c r="B571" s="260"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259" t="n"/>
      <c r="BL571" s="61" t="inlineStr">
        <is>
          <t>GMAP-SIGA</t>
        </is>
      </c>
      <c r="BM571" s="254" t="inlineStr">
        <is>
          <t>NF</t>
        </is>
      </c>
      <c r="BN571" s="266" t="inlineStr">
        <is>
          <t>Tranque</t>
        </is>
      </c>
      <c r="BO571" s="254" t="inlineStr">
        <is>
          <t>SI PAT TRANQUE</t>
        </is>
      </c>
      <c r="BP571" s="254"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4" t="n"/>
      <c r="DB571" s="254" t="n"/>
      <c r="DC571" s="254" t="n"/>
      <c r="DD571" s="254" t="n"/>
      <c r="DE571" s="254" t="n"/>
      <c r="DF571" s="254" t="n"/>
      <c r="DG571" s="254" t="n"/>
      <c r="DH571" s="254" t="n"/>
      <c r="DI571" s="254" t="n"/>
      <c r="DJ571" s="254" t="inlineStr">
        <is>
          <t>M</t>
        </is>
      </c>
      <c r="DK571" s="254" t="n">
        <v>1</v>
      </c>
      <c r="DL571" s="95" t="n">
        <v>14</v>
      </c>
      <c r="DM571" s="254" t="n"/>
      <c r="DN571" s="95" t="n"/>
      <c r="DO571" s="95" t="n"/>
    </row>
    <row r="572" ht="13" customHeight="1">
      <c r="A572" s="203" t="inlineStr">
        <is>
          <t>MP-09A</t>
        </is>
      </c>
      <c r="B572" s="260"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259" t="n"/>
      <c r="BL572" s="61" t="inlineStr">
        <is>
          <t>GMAP-SIGA</t>
        </is>
      </c>
      <c r="BM572" s="254" t="inlineStr">
        <is>
          <t>ASUB</t>
        </is>
      </c>
      <c r="BN572" s="266" t="inlineStr">
        <is>
          <t>Tranque</t>
        </is>
      </c>
      <c r="BO572" s="254" t="inlineStr">
        <is>
          <t>SI PAT TRANQUE</t>
        </is>
      </c>
      <c r="BP572" s="254"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4" t="n"/>
      <c r="DB572" s="254" t="n"/>
      <c r="DC572" s="254" t="n"/>
      <c r="DD572" s="254" t="n"/>
      <c r="DE572" s="254" t="n"/>
      <c r="DF572" s="254" t="n"/>
      <c r="DG572" s="254" t="n"/>
      <c r="DH572" s="254" t="n"/>
      <c r="DI572" s="254" t="n"/>
      <c r="DJ572" s="254" t="n"/>
      <c r="DK572" s="254" t="n"/>
      <c r="DL572" s="95" t="n"/>
      <c r="DM572" s="254" t="inlineStr">
        <is>
          <t>M</t>
        </is>
      </c>
      <c r="DN572" s="254" t="n">
        <v>1</v>
      </c>
      <c r="DO572" s="95" t="n">
        <v>14</v>
      </c>
    </row>
    <row r="573" ht="13" customHeight="1">
      <c r="A573" s="203" t="inlineStr">
        <is>
          <t>MP-09B</t>
        </is>
      </c>
      <c r="B573" s="260"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259" t="n"/>
      <c r="BL573" s="61" t="inlineStr">
        <is>
          <t>GMAP-SIGA</t>
        </is>
      </c>
      <c r="BM573" s="254" t="inlineStr">
        <is>
          <t>NF</t>
        </is>
      </c>
      <c r="BN573" s="266" t="inlineStr">
        <is>
          <t>Tranque</t>
        </is>
      </c>
      <c r="BO573" s="254" t="inlineStr">
        <is>
          <t>SI PAT TRANQUE</t>
        </is>
      </c>
      <c r="BP573" s="254"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4" t="n"/>
      <c r="DB573" s="254" t="n"/>
      <c r="DC573" s="254" t="n"/>
      <c r="DD573" s="254" t="n"/>
      <c r="DE573" s="254" t="n"/>
      <c r="DF573" s="254" t="n"/>
      <c r="DG573" s="254" t="n"/>
      <c r="DH573" s="254" t="n"/>
      <c r="DI573" s="254" t="n"/>
      <c r="DJ573" s="254" t="inlineStr">
        <is>
          <t>M</t>
        </is>
      </c>
      <c r="DK573" s="254" t="n">
        <v>1</v>
      </c>
      <c r="DL573" s="95" t="n">
        <v>14</v>
      </c>
      <c r="DM573" s="254" t="n"/>
      <c r="DN573" s="95" t="n"/>
      <c r="DO573" s="95" t="n"/>
    </row>
    <row r="574" ht="13" customHeight="1">
      <c r="A574" s="203" t="inlineStr">
        <is>
          <t>MP-09B</t>
        </is>
      </c>
      <c r="B574" s="260"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259" t="n"/>
      <c r="BL574" s="61" t="inlineStr">
        <is>
          <t>GMAP-SIGA</t>
        </is>
      </c>
      <c r="BM574" s="254" t="inlineStr">
        <is>
          <t>ASUB</t>
        </is>
      </c>
      <c r="BN574" s="266" t="inlineStr">
        <is>
          <t>Tranque</t>
        </is>
      </c>
      <c r="BO574" s="254" t="inlineStr">
        <is>
          <t>SI PAT TRANQUE</t>
        </is>
      </c>
      <c r="BP574" s="254"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4" t="n"/>
      <c r="DB574" s="254" t="n"/>
      <c r="DC574" s="254" t="n"/>
      <c r="DD574" s="254" t="n"/>
      <c r="DE574" s="254" t="n"/>
      <c r="DF574" s="254" t="n"/>
      <c r="DG574" s="254" t="n"/>
      <c r="DH574" s="254" t="n"/>
      <c r="DI574" s="254" t="n"/>
      <c r="DJ574" s="254" t="n"/>
      <c r="DK574" s="254" t="n"/>
      <c r="DL574" s="95" t="n"/>
      <c r="DM574" s="254" t="inlineStr">
        <is>
          <t>M</t>
        </is>
      </c>
      <c r="DN574" s="254" t="n">
        <v>1</v>
      </c>
      <c r="DO574" s="95" t="n">
        <v>14</v>
      </c>
    </row>
    <row r="575" ht="13" customHeight="1">
      <c r="A575" s="203" t="inlineStr">
        <is>
          <t>MP-09C</t>
        </is>
      </c>
      <c r="B575" s="260"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259" t="n"/>
      <c r="BL575" s="61" t="inlineStr">
        <is>
          <t>GMAP-SIGA</t>
        </is>
      </c>
      <c r="BM575" s="254" t="inlineStr">
        <is>
          <t>NF</t>
        </is>
      </c>
      <c r="BN575" s="266" t="inlineStr">
        <is>
          <t>Tranque</t>
        </is>
      </c>
      <c r="BO575" s="254" t="inlineStr">
        <is>
          <t>SI PAT TRANQUE</t>
        </is>
      </c>
      <c r="BP575" s="254"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4" t="n"/>
      <c r="DB575" s="254" t="n"/>
      <c r="DC575" s="254" t="n"/>
      <c r="DD575" s="254" t="n"/>
      <c r="DE575" s="254" t="n"/>
      <c r="DF575" s="254" t="n"/>
      <c r="DG575" s="254" t="n"/>
      <c r="DH575" s="254" t="n"/>
      <c r="DI575" s="254" t="n"/>
      <c r="DJ575" s="254" t="inlineStr">
        <is>
          <t>M</t>
        </is>
      </c>
      <c r="DK575" s="254" t="n">
        <v>1</v>
      </c>
      <c r="DL575" s="95" t="n">
        <v>14</v>
      </c>
      <c r="DM575" s="254" t="n"/>
      <c r="DN575" s="95" t="n"/>
      <c r="DO575" s="95" t="n"/>
    </row>
    <row r="576" ht="13" customHeight="1">
      <c r="A576" s="203" t="inlineStr">
        <is>
          <t>MP-09C</t>
        </is>
      </c>
      <c r="B576" s="260"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259" t="n"/>
      <c r="BL576" s="61" t="inlineStr">
        <is>
          <t>GMAP-SIGA</t>
        </is>
      </c>
      <c r="BM576" s="254" t="inlineStr">
        <is>
          <t>ASUB</t>
        </is>
      </c>
      <c r="BN576" s="266" t="inlineStr">
        <is>
          <t>Tranque</t>
        </is>
      </c>
      <c r="BO576" s="254" t="inlineStr">
        <is>
          <t>SI PAT TRANQUE</t>
        </is>
      </c>
      <c r="BP576" s="254"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4" t="n"/>
      <c r="DB576" s="254" t="n"/>
      <c r="DC576" s="254" t="n"/>
      <c r="DD576" s="254" t="n"/>
      <c r="DE576" s="254" t="n"/>
      <c r="DF576" s="254" t="n"/>
      <c r="DG576" s="254" t="n"/>
      <c r="DH576" s="254" t="n"/>
      <c r="DI576" s="254" t="n"/>
      <c r="DJ576" s="254" t="n"/>
      <c r="DK576" s="254" t="n"/>
      <c r="DL576" s="95" t="n"/>
      <c r="DM576" s="254" t="inlineStr">
        <is>
          <t>M</t>
        </is>
      </c>
      <c r="DN576" s="254" t="n">
        <v>1</v>
      </c>
      <c r="DO576" s="95" t="n">
        <v>14</v>
      </c>
    </row>
    <row r="577" ht="11.5" customHeight="1">
      <c r="A577" s="203" t="inlineStr">
        <is>
          <t>MP-10A</t>
        </is>
      </c>
      <c r="B577" s="260" t="inlineStr">
        <is>
          <t>MP-10A</t>
        </is>
      </c>
      <c r="C577" s="254"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61" t="inlineStr">
        <is>
          <t>530WLMP10</t>
        </is>
      </c>
      <c r="BL577" s="7" t="inlineStr">
        <is>
          <t>GMAP-SIGA</t>
        </is>
      </c>
      <c r="BM577" s="254" t="inlineStr">
        <is>
          <t>NF</t>
        </is>
      </c>
      <c r="BN577" s="266" t="inlineStr">
        <is>
          <t>Tranque</t>
        </is>
      </c>
      <c r="BO577" s="254" t="inlineStr">
        <is>
          <t>SI PAT TRANQUE</t>
        </is>
      </c>
      <c r="BP577" s="106" t="inlineStr">
        <is>
          <t>MP-10A/NF</t>
        </is>
      </c>
      <c r="BQ577" s="106">
        <f>VLOOKUP(BP577,[1]AGUA!$1:$1048576,2,FALSE)</f>
        <v/>
      </c>
      <c r="BR577" s="106">
        <f>VLOOKUP(BP577,[1]AGUA!$1:$1048576,6,FALSE)</f>
        <v/>
      </c>
      <c r="BS577" s="106">
        <f>VLOOKUP(BP577,[1]AGUA!$1:$1048576,7,FALSE)</f>
        <v/>
      </c>
      <c r="BT577" s="106" t="n"/>
      <c r="BU577" s="251"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4" t="n"/>
      <c r="DB577" s="254" t="n"/>
      <c r="DC577" s="254" t="n"/>
      <c r="DD577" s="254" t="n"/>
      <c r="DE577" s="254" t="n"/>
      <c r="DF577" s="254" t="n"/>
      <c r="DG577" s="254" t="n"/>
      <c r="DH577" s="254" t="n"/>
      <c r="DI577" s="254" t="n"/>
      <c r="DJ577" s="110" t="inlineStr">
        <is>
          <t>M</t>
        </is>
      </c>
      <c r="DK577" s="254" t="n">
        <v>1</v>
      </c>
      <c r="DL577" s="95" t="n">
        <v>14</v>
      </c>
      <c r="DM577" s="254" t="n"/>
      <c r="DN577" s="95" t="n"/>
      <c r="DO577" s="95" t="n"/>
    </row>
    <row r="578" ht="12.5" customHeight="1">
      <c r="A578" s="203" t="inlineStr">
        <is>
          <t>MP-10A</t>
        </is>
      </c>
      <c r="B578" s="260" t="inlineStr">
        <is>
          <t>MP-10A</t>
        </is>
      </c>
      <c r="C578" s="255"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255" t="n"/>
      <c r="BL578" s="7" t="inlineStr">
        <is>
          <t>GMAP-SIGA</t>
        </is>
      </c>
      <c r="BM578" s="254" t="inlineStr">
        <is>
          <t>ASUB</t>
        </is>
      </c>
      <c r="BN578" s="266" t="inlineStr">
        <is>
          <t>Tranque</t>
        </is>
      </c>
      <c r="BO578" s="254" t="inlineStr">
        <is>
          <t>SI PAT TRANQUE</t>
        </is>
      </c>
      <c r="BP578" s="106" t="inlineStr">
        <is>
          <t>MP-10A/ASUB</t>
        </is>
      </c>
      <c r="BQ578" s="106">
        <f>VLOOKUP(BP578,[1]AGUA!$1:$1048576,2,FALSE)</f>
        <v/>
      </c>
      <c r="BR578" s="106">
        <f>VLOOKUP(BP578,[1]AGUA!$1:$1048576,6,FALSE)</f>
        <v/>
      </c>
      <c r="BS578" s="106">
        <f>VLOOKUP(BP578,[1]AGUA!$1:$1048576,7,FALSE)</f>
        <v/>
      </c>
      <c r="BT578" s="106" t="n"/>
      <c r="BU578" s="252"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4" t="n"/>
      <c r="DB578" s="254" t="n"/>
      <c r="DC578" s="254" t="n"/>
      <c r="DD578" s="254" t="n"/>
      <c r="DE578" s="254" t="n"/>
      <c r="DF578" s="254" t="n"/>
      <c r="DG578" s="254" t="n"/>
      <c r="DH578" s="254" t="n"/>
      <c r="DI578" s="254" t="n"/>
      <c r="DJ578" s="110" t="n"/>
      <c r="DK578" s="254" t="n"/>
      <c r="DL578" s="95" t="n"/>
      <c r="DM578" s="254" t="inlineStr">
        <is>
          <t>M</t>
        </is>
      </c>
      <c r="DN578" s="254" t="n">
        <v>1</v>
      </c>
      <c r="DO578" s="95" t="n">
        <v>14</v>
      </c>
    </row>
    <row r="579" ht="11.5" customHeight="1">
      <c r="A579" s="203" t="inlineStr">
        <is>
          <t>MP-10B</t>
        </is>
      </c>
      <c r="B579" s="260" t="inlineStr">
        <is>
          <t>MP-10A</t>
        </is>
      </c>
      <c r="C579" s="254"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61" t="inlineStr">
        <is>
          <t>530WLMP10</t>
        </is>
      </c>
      <c r="BL579" s="7" t="inlineStr">
        <is>
          <t>GMAP-SIGA</t>
        </is>
      </c>
      <c r="BM579" s="254" t="inlineStr">
        <is>
          <t>NF</t>
        </is>
      </c>
      <c r="BN579" s="266" t="inlineStr">
        <is>
          <t>Tranque</t>
        </is>
      </c>
      <c r="BO579" s="254" t="inlineStr">
        <is>
          <t>SI PAT TRANQUE</t>
        </is>
      </c>
      <c r="BP579" s="192" t="inlineStr">
        <is>
          <t>MP-10A/NF</t>
        </is>
      </c>
      <c r="BQ579" s="106">
        <f>VLOOKUP(BP579,[1]AGUA!$1:$1048576,2,FALSE)</f>
        <v/>
      </c>
      <c r="BR579" s="106">
        <f>VLOOKUP(BP579,[1]AGUA!$1:$1048576,6,FALSE)</f>
        <v/>
      </c>
      <c r="BS579" s="106">
        <f>VLOOKUP(BP579,[1]AGUA!$1:$1048576,7,FALSE)</f>
        <v/>
      </c>
      <c r="BT579" s="106" t="n"/>
      <c r="BU579" s="251"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4" t="n"/>
      <c r="DB579" s="254" t="n"/>
      <c r="DC579" s="254" t="n"/>
      <c r="DD579" s="254" t="n"/>
      <c r="DE579" s="254" t="n"/>
      <c r="DF579" s="254" t="n"/>
      <c r="DG579" s="254" t="n"/>
      <c r="DH579" s="254" t="n"/>
      <c r="DI579" s="254" t="n"/>
      <c r="DJ579" s="110" t="inlineStr">
        <is>
          <t>M</t>
        </is>
      </c>
      <c r="DK579" s="254" t="n">
        <v>1</v>
      </c>
      <c r="DL579" s="95" t="n">
        <v>14</v>
      </c>
      <c r="DM579" s="254" t="n"/>
      <c r="DN579" s="95" t="n"/>
      <c r="DO579" s="95" t="n"/>
    </row>
    <row r="580" ht="12.5" customHeight="1">
      <c r="A580" s="203" t="inlineStr">
        <is>
          <t>MP-10B</t>
        </is>
      </c>
      <c r="B580" s="260" t="inlineStr">
        <is>
          <t>MP-10A</t>
        </is>
      </c>
      <c r="C580" s="255"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255" t="n"/>
      <c r="BL580" s="7" t="inlineStr">
        <is>
          <t>GMAP-SIGA</t>
        </is>
      </c>
      <c r="BM580" s="254" t="inlineStr">
        <is>
          <t>ASUB</t>
        </is>
      </c>
      <c r="BN580" s="266" t="inlineStr">
        <is>
          <t>Tranque</t>
        </is>
      </c>
      <c r="BO580" s="254" t="inlineStr">
        <is>
          <t>SI PAT TRANQUE</t>
        </is>
      </c>
      <c r="BP580" s="192" t="inlineStr">
        <is>
          <t>MP-10A/ASUB</t>
        </is>
      </c>
      <c r="BQ580" s="106">
        <f>VLOOKUP(BP580,[1]AGUA!$1:$1048576,2,FALSE)</f>
        <v/>
      </c>
      <c r="BR580" s="106">
        <f>VLOOKUP(BP580,[1]AGUA!$1:$1048576,6,FALSE)</f>
        <v/>
      </c>
      <c r="BS580" s="106">
        <f>VLOOKUP(BP580,[1]AGUA!$1:$1048576,7,FALSE)</f>
        <v/>
      </c>
      <c r="BT580" s="106" t="n"/>
      <c r="BU580" s="252"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4" t="n"/>
      <c r="DB580" s="254" t="n"/>
      <c r="DC580" s="254" t="n"/>
      <c r="DD580" s="254" t="n"/>
      <c r="DE580" s="254" t="n"/>
      <c r="DF580" s="254" t="n"/>
      <c r="DG580" s="254" t="n"/>
      <c r="DH580" s="254" t="n"/>
      <c r="DI580" s="254" t="n"/>
      <c r="DJ580" s="110" t="n"/>
      <c r="DK580" s="254" t="n"/>
      <c r="DL580" s="95" t="n"/>
      <c r="DM580" s="254" t="inlineStr">
        <is>
          <t>M</t>
        </is>
      </c>
      <c r="DN580" s="254" t="n">
        <v>1</v>
      </c>
      <c r="DO580" s="95" t="n">
        <v>14</v>
      </c>
    </row>
    <row r="581" ht="12.5" customHeight="1">
      <c r="A581" s="203" t="inlineStr">
        <is>
          <t>MP-10C</t>
        </is>
      </c>
      <c r="B581" s="260" t="inlineStr">
        <is>
          <t>MP-10C</t>
        </is>
      </c>
      <c r="C581" s="254"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61" t="inlineStr">
        <is>
          <t>530WLMP10</t>
        </is>
      </c>
      <c r="BL581" s="7" t="inlineStr">
        <is>
          <t>GMAP-SIGA</t>
        </is>
      </c>
      <c r="BM581" s="254" t="inlineStr">
        <is>
          <t>NF</t>
        </is>
      </c>
      <c r="BN581" s="266" t="inlineStr">
        <is>
          <t>Tranque</t>
        </is>
      </c>
      <c r="BO581" s="254" t="inlineStr">
        <is>
          <t>SI PAT TRANQUE</t>
        </is>
      </c>
      <c r="BP581" s="106" t="inlineStr">
        <is>
          <t>MP-10C/NF</t>
        </is>
      </c>
      <c r="BQ581" s="106">
        <f>VLOOKUP(BP581,[1]AGUA!$1:$1048576,2,FALSE)</f>
        <v/>
      </c>
      <c r="BR581" s="106">
        <f>VLOOKUP(BP581,[1]AGUA!$1:$1048576,6,FALSE)</f>
        <v/>
      </c>
      <c r="BS581" s="106">
        <f>VLOOKUP(BP581,[1]AGUA!$1:$1048576,7,FALSE)</f>
        <v/>
      </c>
      <c r="BT581" s="106" t="n"/>
      <c r="BU581" s="251"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4" t="n"/>
      <c r="DB581" s="254" t="n"/>
      <c r="DC581" s="254" t="n"/>
      <c r="DD581" s="254" t="n"/>
      <c r="DE581" s="254" t="n"/>
      <c r="DF581" s="254" t="n"/>
      <c r="DG581" s="254" t="n"/>
      <c r="DH581" s="254" t="n"/>
      <c r="DI581" s="254" t="n"/>
      <c r="DJ581" s="254" t="inlineStr">
        <is>
          <t>M</t>
        </is>
      </c>
      <c r="DK581" s="254" t="n">
        <v>1</v>
      </c>
      <c r="DL581" s="95" t="n">
        <v>14</v>
      </c>
      <c r="DM581" s="254" t="n"/>
      <c r="DN581" s="95" t="n"/>
      <c r="DO581" s="95" t="n"/>
    </row>
    <row r="582" ht="12.5" customHeight="1">
      <c r="A582" s="203" t="inlineStr">
        <is>
          <t>MP-10C</t>
        </is>
      </c>
      <c r="B582" s="260" t="inlineStr">
        <is>
          <t>MP-10C</t>
        </is>
      </c>
      <c r="C582" s="255"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255" t="n"/>
      <c r="BL582" s="7" t="inlineStr">
        <is>
          <t>GMAP-SIGA</t>
        </is>
      </c>
      <c r="BM582" s="254" t="inlineStr">
        <is>
          <t>ASUB</t>
        </is>
      </c>
      <c r="BN582" s="266" t="inlineStr">
        <is>
          <t>Tranque</t>
        </is>
      </c>
      <c r="BO582" s="254" t="inlineStr">
        <is>
          <t>SI PAT TRANQUE</t>
        </is>
      </c>
      <c r="BP582" s="106" t="inlineStr">
        <is>
          <t>MP-10C/ASUB</t>
        </is>
      </c>
      <c r="BQ582" s="106">
        <f>VLOOKUP(BP582,[1]AGUA!$1:$1048576,2,FALSE)</f>
        <v/>
      </c>
      <c r="BR582" s="106">
        <f>VLOOKUP(BP582,[1]AGUA!$1:$1048576,6,FALSE)</f>
        <v/>
      </c>
      <c r="BS582" s="106">
        <f>VLOOKUP(BP582,[1]AGUA!$1:$1048576,7,FALSE)</f>
        <v/>
      </c>
      <c r="BT582" s="106" t="n"/>
      <c r="BU582" s="252"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4" t="n"/>
      <c r="DB582" s="254" t="n"/>
      <c r="DC582" s="254" t="n"/>
      <c r="DD582" s="254" t="n"/>
      <c r="DE582" s="254" t="n"/>
      <c r="DF582" s="254" t="n"/>
      <c r="DG582" s="254" t="n"/>
      <c r="DH582" s="254" t="n"/>
      <c r="DI582" s="254" t="n"/>
      <c r="DJ582" s="254" t="n"/>
      <c r="DK582" s="254" t="n"/>
      <c r="DL582" s="95" t="n"/>
      <c r="DM582" s="254" t="inlineStr">
        <is>
          <t>M</t>
        </is>
      </c>
      <c r="DN582" s="254" t="n">
        <v>1</v>
      </c>
      <c r="DO582" s="95" t="n">
        <v>14</v>
      </c>
    </row>
    <row r="583" ht="12.65" customHeight="1">
      <c r="A583" s="203" t="inlineStr">
        <is>
          <t>MP-11A</t>
        </is>
      </c>
      <c r="B583" s="260"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259" t="n"/>
      <c r="BL583" s="61" t="inlineStr">
        <is>
          <t>GMAP-SIGA</t>
        </is>
      </c>
      <c r="BM583" s="254" t="inlineStr">
        <is>
          <t>NF</t>
        </is>
      </c>
      <c r="BN583" s="266" t="inlineStr">
        <is>
          <t>Michincha (camino internacional)</t>
        </is>
      </c>
      <c r="BO583" s="254" t="inlineStr">
        <is>
          <t>SI PAT TRANQUE</t>
        </is>
      </c>
      <c r="BP583" s="254"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4" t="n"/>
      <c r="DB583" s="254" t="n"/>
      <c r="DC583" s="254" t="n"/>
      <c r="DD583" s="254" t="n"/>
      <c r="DE583" s="254" t="n"/>
      <c r="DF583" s="254" t="n"/>
      <c r="DG583" s="254" t="n"/>
      <c r="DH583" s="254" t="n"/>
      <c r="DI583" s="254" t="n"/>
      <c r="DJ583" s="254" t="inlineStr">
        <is>
          <t>M</t>
        </is>
      </c>
      <c r="DK583" s="254" t="n">
        <v>1</v>
      </c>
      <c r="DL583" s="95" t="n">
        <v>14</v>
      </c>
      <c r="DM583" s="254" t="n"/>
      <c r="DN583" s="95" t="n"/>
      <c r="DO583" s="95" t="n"/>
    </row>
    <row r="584" ht="13" customHeight="1">
      <c r="A584" s="203" t="inlineStr">
        <is>
          <t>MP-11A</t>
        </is>
      </c>
      <c r="B584" s="260"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259" t="n"/>
      <c r="BL584" s="61" t="inlineStr">
        <is>
          <t>GMAP-SIGA</t>
        </is>
      </c>
      <c r="BM584" s="254" t="inlineStr">
        <is>
          <t>ASUB</t>
        </is>
      </c>
      <c r="BN584" s="266" t="inlineStr">
        <is>
          <t>Michincha (camino internacional)</t>
        </is>
      </c>
      <c r="BO584" s="254" t="inlineStr">
        <is>
          <t>SI PAT TRANQUE</t>
        </is>
      </c>
      <c r="BP584" s="254"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4" t="n"/>
      <c r="DB584" s="254" t="n"/>
      <c r="DC584" s="254" t="n"/>
      <c r="DD584" s="254" t="n"/>
      <c r="DE584" s="254" t="n"/>
      <c r="DF584" s="254" t="n"/>
      <c r="DG584" s="254" t="n"/>
      <c r="DH584" s="254" t="n"/>
      <c r="DI584" s="254" t="n"/>
      <c r="DJ584" s="254" t="n"/>
      <c r="DK584" s="254" t="n"/>
      <c r="DL584" s="95" t="n"/>
      <c r="DM584" s="254" t="inlineStr">
        <is>
          <t>M</t>
        </is>
      </c>
      <c r="DN584" s="254" t="n">
        <v>1</v>
      </c>
      <c r="DO584" s="95" t="n">
        <v>14</v>
      </c>
    </row>
    <row r="585" ht="13" customHeight="1">
      <c r="A585" s="203" t="inlineStr">
        <is>
          <t>MP-11B</t>
        </is>
      </c>
      <c r="B585" s="260"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259" t="n"/>
      <c r="BL585" s="61" t="inlineStr">
        <is>
          <t>GMAP-SIGA</t>
        </is>
      </c>
      <c r="BM585" s="254" t="inlineStr">
        <is>
          <t>NF</t>
        </is>
      </c>
      <c r="BN585" s="266" t="inlineStr">
        <is>
          <t>Michincha (camino internacional)</t>
        </is>
      </c>
      <c r="BO585" s="254" t="inlineStr">
        <is>
          <t>SI PAT TRANQUE</t>
        </is>
      </c>
      <c r="BP585" s="254"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4" t="n"/>
      <c r="DB585" s="254" t="n"/>
      <c r="DC585" s="254" t="n"/>
      <c r="DD585" s="254" t="n"/>
      <c r="DE585" s="254" t="n"/>
      <c r="DF585" s="254" t="n"/>
      <c r="DG585" s="254" t="n"/>
      <c r="DH585" s="254" t="n"/>
      <c r="DI585" s="254" t="n"/>
      <c r="DJ585" s="254" t="inlineStr">
        <is>
          <t>M</t>
        </is>
      </c>
      <c r="DK585" s="254" t="n">
        <v>1</v>
      </c>
      <c r="DL585" s="95" t="n">
        <v>14</v>
      </c>
      <c r="DM585" s="254" t="n"/>
      <c r="DN585" s="95" t="n"/>
      <c r="DO585" s="95" t="n"/>
    </row>
    <row r="586" ht="13" customHeight="1">
      <c r="A586" s="203" t="inlineStr">
        <is>
          <t>MP-11B</t>
        </is>
      </c>
      <c r="B586" s="260"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259" t="n"/>
      <c r="BL586" s="61" t="inlineStr">
        <is>
          <t>GMAP-SIGA</t>
        </is>
      </c>
      <c r="BM586" s="254" t="inlineStr">
        <is>
          <t>ASUB</t>
        </is>
      </c>
      <c r="BN586" s="266" t="inlineStr">
        <is>
          <t>Michincha (camino internacional)</t>
        </is>
      </c>
      <c r="BO586" s="254" t="inlineStr">
        <is>
          <t>SI PAT TRANQUE</t>
        </is>
      </c>
      <c r="BP586" s="254"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4" t="n"/>
      <c r="DB586" s="254" t="n"/>
      <c r="DC586" s="254" t="n"/>
      <c r="DD586" s="254" t="n"/>
      <c r="DE586" s="254" t="n"/>
      <c r="DF586" s="254" t="n"/>
      <c r="DG586" s="254" t="n"/>
      <c r="DH586" s="254" t="n"/>
      <c r="DI586" s="254" t="n"/>
      <c r="DJ586" s="254" t="n"/>
      <c r="DK586" s="254" t="n"/>
      <c r="DL586" s="95" t="n"/>
      <c r="DM586" s="254" t="inlineStr">
        <is>
          <t>M</t>
        </is>
      </c>
      <c r="DN586" s="254" t="n">
        <v>1</v>
      </c>
      <c r="DO586" s="95" t="n">
        <v>14</v>
      </c>
    </row>
    <row r="587" ht="13" customHeight="1">
      <c r="A587" s="203" t="inlineStr">
        <is>
          <t>MP-11C</t>
        </is>
      </c>
      <c r="B587" s="260"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259" t="n"/>
      <c r="BL587" s="61" t="inlineStr">
        <is>
          <t>GMAP-SIGA</t>
        </is>
      </c>
      <c r="BM587" s="254" t="inlineStr">
        <is>
          <t>NF</t>
        </is>
      </c>
      <c r="BN587" s="266" t="inlineStr">
        <is>
          <t>Michincha (camino internacional)</t>
        </is>
      </c>
      <c r="BO587" s="254" t="inlineStr">
        <is>
          <t>SI PAT TRANQUE</t>
        </is>
      </c>
      <c r="BP587" s="254"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4" t="n"/>
      <c r="DB587" s="254" t="n"/>
      <c r="DC587" s="254" t="n"/>
      <c r="DD587" s="254" t="n"/>
      <c r="DE587" s="254" t="n"/>
      <c r="DF587" s="254" t="n"/>
      <c r="DG587" s="254" t="n"/>
      <c r="DH587" s="254" t="n"/>
      <c r="DI587" s="254" t="n"/>
      <c r="DJ587" s="254" t="inlineStr">
        <is>
          <t>M</t>
        </is>
      </c>
      <c r="DK587" s="254" t="n">
        <v>1</v>
      </c>
      <c r="DL587" s="95" t="n">
        <v>14</v>
      </c>
      <c r="DM587" s="254" t="n"/>
      <c r="DN587" s="95" t="n"/>
      <c r="DO587" s="95" t="n"/>
    </row>
    <row r="588" ht="13" customHeight="1">
      <c r="A588" s="203" t="inlineStr">
        <is>
          <t>MP-11C</t>
        </is>
      </c>
      <c r="B588" s="260"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259" t="n"/>
      <c r="BL588" s="61" t="inlineStr">
        <is>
          <t>GMAP-SIGA</t>
        </is>
      </c>
      <c r="BM588" s="254" t="inlineStr">
        <is>
          <t>ASUB</t>
        </is>
      </c>
      <c r="BN588" s="266" t="inlineStr">
        <is>
          <t>Michincha (camino internacional)</t>
        </is>
      </c>
      <c r="BO588" s="254" t="inlineStr">
        <is>
          <t>SI PAT TRANQUE</t>
        </is>
      </c>
      <c r="BP588" s="254"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4" t="n"/>
      <c r="DB588" s="254" t="n"/>
      <c r="DC588" s="254" t="n"/>
      <c r="DD588" s="254" t="n"/>
      <c r="DE588" s="254" t="n"/>
      <c r="DF588" s="254" t="n"/>
      <c r="DG588" s="254" t="n"/>
      <c r="DH588" s="254" t="n"/>
      <c r="DI588" s="254" t="n"/>
      <c r="DJ588" s="254" t="n"/>
      <c r="DK588" s="254" t="n"/>
      <c r="DL588" s="95" t="n"/>
      <c r="DM588" s="254" t="inlineStr">
        <is>
          <t>M</t>
        </is>
      </c>
      <c r="DN588" s="254" t="n">
        <v>1</v>
      </c>
      <c r="DO588" s="95" t="n">
        <v>14</v>
      </c>
    </row>
    <row r="589" ht="12.5" customHeight="1">
      <c r="A589" s="203" t="inlineStr">
        <is>
          <t>MP-12A</t>
        </is>
      </c>
      <c r="B589" s="260" t="inlineStr">
        <is>
          <t>MP-12A</t>
        </is>
      </c>
      <c r="C589" s="254"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61" t="inlineStr">
        <is>
          <t>530WLMP12</t>
        </is>
      </c>
      <c r="BL589" s="7" t="inlineStr">
        <is>
          <t>GMAP-SIGA</t>
        </is>
      </c>
      <c r="BM589" s="254" t="inlineStr">
        <is>
          <t>NF</t>
        </is>
      </c>
      <c r="BN589" s="266" t="inlineStr">
        <is>
          <t>Tranque</t>
        </is>
      </c>
      <c r="BO589" s="254" t="inlineStr">
        <is>
          <t>SI PAT TRANQUE</t>
        </is>
      </c>
      <c r="BP589" s="106" t="inlineStr">
        <is>
          <t>MP-12A/NF</t>
        </is>
      </c>
      <c r="BQ589" s="106">
        <f>VLOOKUP(BP589,[1]AGUA!$1:$1048576,2,FALSE)</f>
        <v/>
      </c>
      <c r="BR589" s="106">
        <f>VLOOKUP(BP589,[1]AGUA!$1:$1048576,6,FALSE)</f>
        <v/>
      </c>
      <c r="BS589" s="106">
        <f>VLOOKUP(BP589,[1]AGUA!$1:$1048576,7,FALSE)</f>
        <v/>
      </c>
      <c r="BT589" s="106" t="n"/>
      <c r="BU589" s="251"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4" t="n"/>
      <c r="DB589" s="254" t="n"/>
      <c r="DC589" s="254" t="n"/>
      <c r="DD589" s="254" t="n"/>
      <c r="DE589" s="254" t="n"/>
      <c r="DF589" s="254" t="n"/>
      <c r="DG589" s="254" t="n"/>
      <c r="DH589" s="254" t="n"/>
      <c r="DI589" s="254" t="n"/>
      <c r="DJ589" s="254" t="inlineStr">
        <is>
          <t>M</t>
        </is>
      </c>
      <c r="DK589" s="254" t="n">
        <v>1</v>
      </c>
      <c r="DL589" s="95" t="n">
        <v>14</v>
      </c>
      <c r="DM589" s="254" t="n"/>
      <c r="DN589" s="95" t="n"/>
      <c r="DO589" s="95" t="n"/>
    </row>
    <row r="590" ht="12.5" customHeight="1">
      <c r="A590" s="203" t="inlineStr">
        <is>
          <t>MP-12A</t>
        </is>
      </c>
      <c r="B590" s="260" t="inlineStr">
        <is>
          <t>MP-12A</t>
        </is>
      </c>
      <c r="C590" s="255"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255" t="n"/>
      <c r="BL590" s="7" t="inlineStr">
        <is>
          <t>GMAP-SIGA</t>
        </is>
      </c>
      <c r="BM590" s="254" t="inlineStr">
        <is>
          <t>ASUB</t>
        </is>
      </c>
      <c r="BN590" s="266" t="inlineStr">
        <is>
          <t>Tranque</t>
        </is>
      </c>
      <c r="BO590" s="254" t="inlineStr">
        <is>
          <t>SI PAT TRANQUE</t>
        </is>
      </c>
      <c r="BP590" s="106" t="inlineStr">
        <is>
          <t>MP-12A/ASUB</t>
        </is>
      </c>
      <c r="BQ590" s="106">
        <f>VLOOKUP(BP590,[1]AGUA!$1:$1048576,2,FALSE)</f>
        <v/>
      </c>
      <c r="BR590" s="106">
        <f>VLOOKUP(BP590,[1]AGUA!$1:$1048576,6,FALSE)</f>
        <v/>
      </c>
      <c r="BS590" s="106">
        <f>VLOOKUP(BP590,[1]AGUA!$1:$1048576,7,FALSE)</f>
        <v/>
      </c>
      <c r="BT590" s="106" t="n"/>
      <c r="BU590" s="252"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4" t="n"/>
      <c r="DB590" s="254" t="n"/>
      <c r="DC590" s="254" t="n"/>
      <c r="DD590" s="254" t="n"/>
      <c r="DE590" s="254" t="n"/>
      <c r="DF590" s="254" t="n"/>
      <c r="DG590" s="254" t="n"/>
      <c r="DH590" s="254" t="n"/>
      <c r="DI590" s="254" t="n"/>
      <c r="DJ590" s="254" t="n"/>
      <c r="DK590" s="254" t="n"/>
      <c r="DL590" s="95" t="n"/>
      <c r="DM590" s="254" t="inlineStr">
        <is>
          <t>M</t>
        </is>
      </c>
      <c r="DN590" s="254" t="n">
        <v>1</v>
      </c>
      <c r="DO590" s="95" t="n">
        <v>14</v>
      </c>
    </row>
    <row r="591" ht="12.5" customHeight="1">
      <c r="A591" s="203" t="inlineStr">
        <is>
          <t>MP-12B</t>
        </is>
      </c>
      <c r="B591" s="260" t="inlineStr">
        <is>
          <t>MP-12B</t>
        </is>
      </c>
      <c r="C591" s="254"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61" t="inlineStr">
        <is>
          <t>530WLMP12</t>
        </is>
      </c>
      <c r="BL591" s="7" t="inlineStr">
        <is>
          <t>GMAP-SIGA</t>
        </is>
      </c>
      <c r="BM591" s="254" t="inlineStr">
        <is>
          <t>NF</t>
        </is>
      </c>
      <c r="BN591" s="266" t="inlineStr">
        <is>
          <t>Tranque</t>
        </is>
      </c>
      <c r="BO591" s="254" t="inlineStr">
        <is>
          <t>SI PAT TRANQUE</t>
        </is>
      </c>
      <c r="BP591" s="106" t="inlineStr">
        <is>
          <t>MP-12B/NF</t>
        </is>
      </c>
      <c r="BQ591" s="106">
        <f>VLOOKUP(BP591,[1]AGUA!$1:$1048576,2,FALSE)</f>
        <v/>
      </c>
      <c r="BR591" s="106">
        <f>VLOOKUP(BP591,[1]AGUA!$1:$1048576,6,FALSE)</f>
        <v/>
      </c>
      <c r="BS591" s="106">
        <f>VLOOKUP(BP591,[1]AGUA!$1:$1048576,7,FALSE)</f>
        <v/>
      </c>
      <c r="BT591" s="106" t="n"/>
      <c r="BU591" s="251"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4" t="n"/>
      <c r="DB591" s="254" t="n"/>
      <c r="DC591" s="254" t="n"/>
      <c r="DD591" s="254" t="n"/>
      <c r="DE591" s="254" t="n"/>
      <c r="DF591" s="254" t="n"/>
      <c r="DG591" s="254" t="n"/>
      <c r="DH591" s="254" t="n"/>
      <c r="DI591" s="254" t="n"/>
      <c r="DJ591" s="254" t="inlineStr">
        <is>
          <t>M</t>
        </is>
      </c>
      <c r="DK591" s="254" t="n">
        <v>1</v>
      </c>
      <c r="DL591" s="95" t="n">
        <v>14</v>
      </c>
      <c r="DM591" s="254" t="n"/>
      <c r="DN591" s="95" t="n"/>
      <c r="DO591" s="95" t="n"/>
    </row>
    <row r="592" ht="12.5" customHeight="1">
      <c r="A592" s="203" t="inlineStr">
        <is>
          <t>MP-12B</t>
        </is>
      </c>
      <c r="B592" s="260" t="inlineStr">
        <is>
          <t>MP-12B</t>
        </is>
      </c>
      <c r="C592" s="255"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255" t="n"/>
      <c r="BL592" s="7" t="inlineStr">
        <is>
          <t>GMAP-SIGA</t>
        </is>
      </c>
      <c r="BM592" s="254" t="inlineStr">
        <is>
          <t>ASUB</t>
        </is>
      </c>
      <c r="BN592" s="266" t="inlineStr">
        <is>
          <t>Tranque</t>
        </is>
      </c>
      <c r="BO592" s="254" t="inlineStr">
        <is>
          <t>SI PAT TRANQUE</t>
        </is>
      </c>
      <c r="BP592" s="106" t="inlineStr">
        <is>
          <t>MP-12B/ASUB</t>
        </is>
      </c>
      <c r="BQ592" s="106">
        <f>VLOOKUP(BP592,[1]AGUA!$1:$1048576,2,FALSE)</f>
        <v/>
      </c>
      <c r="BR592" s="106">
        <f>VLOOKUP(BP592,[1]AGUA!$1:$1048576,6,FALSE)</f>
        <v/>
      </c>
      <c r="BS592" s="106">
        <f>VLOOKUP(BP592,[1]AGUA!$1:$1048576,7,FALSE)</f>
        <v/>
      </c>
      <c r="BT592" s="106" t="n"/>
      <c r="BU592" s="252"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4" t="n"/>
      <c r="DB592" s="254" t="n"/>
      <c r="DC592" s="254" t="n"/>
      <c r="DD592" s="254" t="n"/>
      <c r="DE592" s="254" t="n"/>
      <c r="DF592" s="254" t="n"/>
      <c r="DG592" s="254" t="n"/>
      <c r="DH592" s="254" t="n"/>
      <c r="DI592" s="254" t="n"/>
      <c r="DJ592" s="254" t="n"/>
      <c r="DK592" s="254" t="n"/>
      <c r="DL592" s="95" t="n"/>
      <c r="DM592" s="254" t="inlineStr">
        <is>
          <t>M</t>
        </is>
      </c>
      <c r="DN592" s="254" t="n">
        <v>1</v>
      </c>
      <c r="DO592" s="95" t="n">
        <v>14</v>
      </c>
    </row>
    <row r="593" ht="12.5" customHeight="1">
      <c r="A593" s="203" t="inlineStr">
        <is>
          <t>MP-12C</t>
        </is>
      </c>
      <c r="B593" s="260" t="inlineStr">
        <is>
          <t>MP-12C</t>
        </is>
      </c>
      <c r="C593" s="254"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61" t="inlineStr">
        <is>
          <t>530WLMP12</t>
        </is>
      </c>
      <c r="BL593" s="7" t="inlineStr">
        <is>
          <t>GMAP-SIGA</t>
        </is>
      </c>
      <c r="BM593" s="254" t="inlineStr">
        <is>
          <t>NF</t>
        </is>
      </c>
      <c r="BN593" s="266" t="inlineStr">
        <is>
          <t>Tranque</t>
        </is>
      </c>
      <c r="BO593" s="254" t="inlineStr">
        <is>
          <t>SI PAT TRANQUE</t>
        </is>
      </c>
      <c r="BP593" s="106" t="inlineStr">
        <is>
          <t>MP-12C/NF</t>
        </is>
      </c>
      <c r="BQ593" s="106">
        <f>VLOOKUP(BP593,[1]AGUA!$1:$1048576,2,FALSE)</f>
        <v/>
      </c>
      <c r="BR593" s="106">
        <f>VLOOKUP(BP593,[1]AGUA!$1:$1048576,6,FALSE)</f>
        <v/>
      </c>
      <c r="BS593" s="106">
        <f>VLOOKUP(BP593,[1]AGUA!$1:$1048576,7,FALSE)</f>
        <v/>
      </c>
      <c r="BT593" s="106" t="n"/>
      <c r="BU593" s="251"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4" t="n"/>
      <c r="DB593" s="254" t="n"/>
      <c r="DC593" s="254" t="n"/>
      <c r="DD593" s="254" t="n"/>
      <c r="DE593" s="254" t="n"/>
      <c r="DF593" s="254" t="n"/>
      <c r="DG593" s="254" t="n"/>
      <c r="DH593" s="254" t="n"/>
      <c r="DI593" s="254" t="n"/>
      <c r="DJ593" s="254" t="inlineStr">
        <is>
          <t>M</t>
        </is>
      </c>
      <c r="DK593" s="254" t="n">
        <v>1</v>
      </c>
      <c r="DL593" s="95" t="n">
        <v>14</v>
      </c>
      <c r="DM593" s="254" t="n"/>
      <c r="DN593" s="95" t="n"/>
      <c r="DO593" s="95" t="n"/>
    </row>
    <row r="594" ht="12.5" customHeight="1">
      <c r="A594" s="203" t="inlineStr">
        <is>
          <t>MP-12C</t>
        </is>
      </c>
      <c r="B594" s="260" t="inlineStr">
        <is>
          <t>MP-12C</t>
        </is>
      </c>
      <c r="C594" s="255"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255" t="n"/>
      <c r="BL594" s="7" t="inlineStr">
        <is>
          <t>GMAP-SIGA</t>
        </is>
      </c>
      <c r="BM594" s="254" t="inlineStr">
        <is>
          <t>ASUB</t>
        </is>
      </c>
      <c r="BN594" s="266" t="inlineStr">
        <is>
          <t>Tranque</t>
        </is>
      </c>
      <c r="BO594" s="254" t="inlineStr">
        <is>
          <t>SI PAT TRANQUE</t>
        </is>
      </c>
      <c r="BP594" s="106" t="inlineStr">
        <is>
          <t>MP-12C/ASUB</t>
        </is>
      </c>
      <c r="BQ594" s="106">
        <f>VLOOKUP(BP594,[1]AGUA!$1:$1048576,2,FALSE)</f>
        <v/>
      </c>
      <c r="BR594" s="106">
        <f>VLOOKUP(BP594,[1]AGUA!$1:$1048576,6,FALSE)</f>
        <v/>
      </c>
      <c r="BS594" s="106">
        <f>VLOOKUP(BP594,[1]AGUA!$1:$1048576,7,FALSE)</f>
        <v/>
      </c>
      <c r="BT594" s="106" t="n"/>
      <c r="BU594" s="252"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4" t="n"/>
      <c r="DB594" s="254" t="n"/>
      <c r="DC594" s="254" t="n"/>
      <c r="DD594" s="254" t="n"/>
      <c r="DE594" s="254" t="n"/>
      <c r="DF594" s="254" t="n"/>
      <c r="DG594" s="254" t="n"/>
      <c r="DH594" s="254" t="n"/>
      <c r="DI594" s="254" t="n"/>
      <c r="DJ594" s="254" t="n"/>
      <c r="DK594" s="254" t="n"/>
      <c r="DL594" s="95" t="n"/>
      <c r="DM594" s="254" t="inlineStr">
        <is>
          <t>M</t>
        </is>
      </c>
      <c r="DN594" s="254" t="n">
        <v>1</v>
      </c>
      <c r="DO594" s="95" t="n">
        <v>14</v>
      </c>
    </row>
    <row r="595" ht="12.5" customHeight="1">
      <c r="A595" s="203" t="inlineStr">
        <is>
          <t>MP-13A</t>
        </is>
      </c>
      <c r="B595" s="260" t="inlineStr">
        <is>
          <t>MP-13A</t>
        </is>
      </c>
      <c r="C595" s="254"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61" t="inlineStr">
        <is>
          <t>530WLMP13</t>
        </is>
      </c>
      <c r="BL595" s="7" t="inlineStr">
        <is>
          <t>GMAP-SIGA</t>
        </is>
      </c>
      <c r="BM595" s="254" t="inlineStr">
        <is>
          <t>NF</t>
        </is>
      </c>
      <c r="BN595" s="266" t="inlineStr">
        <is>
          <t>Tranque</t>
        </is>
      </c>
      <c r="BO595" s="254" t="inlineStr">
        <is>
          <t>SI PAT TRANQUE</t>
        </is>
      </c>
      <c r="BP595" s="106" t="inlineStr">
        <is>
          <t>MP-13A/NF</t>
        </is>
      </c>
      <c r="BQ595" s="106">
        <f>VLOOKUP(BP595,[1]AGUA!$1:$1048576,2,FALSE)</f>
        <v/>
      </c>
      <c r="BR595" s="106">
        <f>VLOOKUP(BP595,[1]AGUA!$1:$1048576,6,FALSE)</f>
        <v/>
      </c>
      <c r="BS595" s="106">
        <f>VLOOKUP(BP595,[1]AGUA!$1:$1048576,7,FALSE)</f>
        <v/>
      </c>
      <c r="BT595" s="106" t="n"/>
      <c r="BU595" s="251"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4" t="n"/>
      <c r="DB595" s="254" t="n"/>
      <c r="DC595" s="254" t="n"/>
      <c r="DD595" s="254" t="n"/>
      <c r="DE595" s="254" t="n"/>
      <c r="DF595" s="254" t="n"/>
      <c r="DG595" s="254" t="n"/>
      <c r="DH595" s="254" t="n"/>
      <c r="DI595" s="254" t="n"/>
      <c r="DJ595" s="254" t="inlineStr">
        <is>
          <t>M</t>
        </is>
      </c>
      <c r="DK595" s="254" t="n">
        <v>1</v>
      </c>
      <c r="DL595" s="95" t="n">
        <v>14</v>
      </c>
      <c r="DM595" s="254" t="n"/>
      <c r="DN595" s="95" t="n"/>
      <c r="DO595" s="95" t="n"/>
    </row>
    <row r="596" ht="12.5" customHeight="1">
      <c r="A596" s="203" t="inlineStr">
        <is>
          <t>MP-13A</t>
        </is>
      </c>
      <c r="B596" s="260" t="inlineStr">
        <is>
          <t>MP-13A</t>
        </is>
      </c>
      <c r="C596" s="255"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255" t="n"/>
      <c r="BL596" s="7" t="inlineStr">
        <is>
          <t>GMAP-SIGA</t>
        </is>
      </c>
      <c r="BM596" s="254" t="inlineStr">
        <is>
          <t>ASUB</t>
        </is>
      </c>
      <c r="BN596" s="266" t="inlineStr">
        <is>
          <t>Tranque</t>
        </is>
      </c>
      <c r="BO596" s="254" t="inlineStr">
        <is>
          <t>SI PAT TRANQUE</t>
        </is>
      </c>
      <c r="BP596" s="106" t="inlineStr">
        <is>
          <t>MP-13A/ASUB</t>
        </is>
      </c>
      <c r="BQ596" s="106">
        <f>VLOOKUP(BP596,[1]AGUA!$1:$1048576,2,FALSE)</f>
        <v/>
      </c>
      <c r="BR596" s="106">
        <f>VLOOKUP(BP596,[1]AGUA!$1:$1048576,6,FALSE)</f>
        <v/>
      </c>
      <c r="BS596" s="106">
        <f>VLOOKUP(BP596,[1]AGUA!$1:$1048576,7,FALSE)</f>
        <v/>
      </c>
      <c r="BT596" s="106" t="n"/>
      <c r="BU596" s="252"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4" t="n"/>
      <c r="DB596" s="254" t="n"/>
      <c r="DC596" s="254" t="n"/>
      <c r="DD596" s="254" t="n"/>
      <c r="DE596" s="254" t="n"/>
      <c r="DF596" s="254" t="n"/>
      <c r="DG596" s="254" t="n"/>
      <c r="DH596" s="254" t="n"/>
      <c r="DI596" s="254" t="n"/>
      <c r="DJ596" s="254" t="n"/>
      <c r="DK596" s="254" t="n"/>
      <c r="DL596" s="95" t="n"/>
      <c r="DM596" s="254" t="inlineStr">
        <is>
          <t>M</t>
        </is>
      </c>
      <c r="DN596" s="254" t="n">
        <v>1</v>
      </c>
      <c r="DO596" s="95" t="n">
        <v>14</v>
      </c>
    </row>
    <row r="597" ht="12.5" customHeight="1">
      <c r="A597" s="203" t="inlineStr">
        <is>
          <t>MP-13B</t>
        </is>
      </c>
      <c r="B597" s="260" t="inlineStr">
        <is>
          <t>MP-13B</t>
        </is>
      </c>
      <c r="C597" s="254"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61" t="inlineStr">
        <is>
          <t>530WLMP13</t>
        </is>
      </c>
      <c r="BL597" s="7" t="inlineStr">
        <is>
          <t>GMAP-SIGA</t>
        </is>
      </c>
      <c r="BM597" s="254" t="inlineStr">
        <is>
          <t>NF</t>
        </is>
      </c>
      <c r="BN597" s="266" t="inlineStr">
        <is>
          <t>Tranque</t>
        </is>
      </c>
      <c r="BO597" s="254" t="inlineStr">
        <is>
          <t>SI PAT TRANQUE</t>
        </is>
      </c>
      <c r="BP597" s="106" t="inlineStr">
        <is>
          <t>MP-13B/NF</t>
        </is>
      </c>
      <c r="BQ597" s="106">
        <f>VLOOKUP(BP597,[1]AGUA!$1:$1048576,2,FALSE)</f>
        <v/>
      </c>
      <c r="BR597" s="106">
        <f>VLOOKUP(BP597,[1]AGUA!$1:$1048576,6,FALSE)</f>
        <v/>
      </c>
      <c r="BS597" s="106">
        <f>VLOOKUP(BP597,[1]AGUA!$1:$1048576,7,FALSE)</f>
        <v/>
      </c>
      <c r="BT597" s="106" t="n"/>
      <c r="BU597" s="251"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4" t="n"/>
      <c r="DB597" s="254" t="n"/>
      <c r="DC597" s="254" t="n"/>
      <c r="DD597" s="254" t="n"/>
      <c r="DE597" s="254" t="n"/>
      <c r="DF597" s="254" t="n"/>
      <c r="DG597" s="254" t="n"/>
      <c r="DH597" s="254" t="n"/>
      <c r="DI597" s="254" t="n"/>
      <c r="DJ597" s="254" t="inlineStr">
        <is>
          <t>M</t>
        </is>
      </c>
      <c r="DK597" s="254" t="n">
        <v>1</v>
      </c>
      <c r="DL597" s="95" t="n">
        <v>14</v>
      </c>
      <c r="DM597" s="254" t="n"/>
      <c r="DN597" s="95" t="n"/>
      <c r="DO597" s="95" t="n"/>
    </row>
    <row r="598" ht="12.5" customHeight="1">
      <c r="A598" s="203" t="inlineStr">
        <is>
          <t>MP-13B</t>
        </is>
      </c>
      <c r="B598" s="260" t="inlineStr">
        <is>
          <t>MP-13B</t>
        </is>
      </c>
      <c r="C598" s="255"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255" t="n"/>
      <c r="BL598" s="7" t="inlineStr">
        <is>
          <t>GMAP-SIGA</t>
        </is>
      </c>
      <c r="BM598" s="254" t="inlineStr">
        <is>
          <t>ASUB</t>
        </is>
      </c>
      <c r="BN598" s="266" t="inlineStr">
        <is>
          <t>Tranque</t>
        </is>
      </c>
      <c r="BO598" s="254" t="inlineStr">
        <is>
          <t>SI PAT TRANQUE</t>
        </is>
      </c>
      <c r="BP598" s="106" t="inlineStr">
        <is>
          <t>MP-13B/ASUB</t>
        </is>
      </c>
      <c r="BQ598" s="106">
        <f>VLOOKUP(BP598,[1]AGUA!$1:$1048576,2,FALSE)</f>
        <v/>
      </c>
      <c r="BR598" s="106">
        <f>VLOOKUP(BP598,[1]AGUA!$1:$1048576,6,FALSE)</f>
        <v/>
      </c>
      <c r="BS598" s="106">
        <f>VLOOKUP(BP598,[1]AGUA!$1:$1048576,7,FALSE)</f>
        <v/>
      </c>
      <c r="BT598" s="106" t="n"/>
      <c r="BU598" s="252"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4" t="n"/>
      <c r="DB598" s="254" t="n"/>
      <c r="DC598" s="254" t="n"/>
      <c r="DD598" s="254" t="n"/>
      <c r="DE598" s="254" t="n"/>
      <c r="DF598" s="254" t="n"/>
      <c r="DG598" s="254" t="n"/>
      <c r="DH598" s="254" t="n"/>
      <c r="DI598" s="254" t="n"/>
      <c r="DJ598" s="254" t="n"/>
      <c r="DK598" s="254" t="n"/>
      <c r="DL598" s="95" t="n"/>
      <c r="DM598" s="254" t="inlineStr">
        <is>
          <t>M</t>
        </is>
      </c>
      <c r="DN598" s="254" t="n">
        <v>1</v>
      </c>
      <c r="DO598" s="95" t="n">
        <v>14</v>
      </c>
    </row>
    <row r="599" ht="12.5" customHeight="1">
      <c r="A599" s="203" t="inlineStr">
        <is>
          <t>MP-13C</t>
        </is>
      </c>
      <c r="B599" s="260" t="inlineStr">
        <is>
          <t>MP-13C</t>
        </is>
      </c>
      <c r="C599" s="254"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61" t="inlineStr">
        <is>
          <t>530WLMP13</t>
        </is>
      </c>
      <c r="BL599" s="7" t="inlineStr">
        <is>
          <t>GMAP-SIGA</t>
        </is>
      </c>
      <c r="BM599" s="254" t="inlineStr">
        <is>
          <t>NF</t>
        </is>
      </c>
      <c r="BN599" s="266" t="inlineStr">
        <is>
          <t>Tranque</t>
        </is>
      </c>
      <c r="BO599" s="254" t="inlineStr">
        <is>
          <t>SI PAT TRANQUE</t>
        </is>
      </c>
      <c r="BP599" s="106" t="inlineStr">
        <is>
          <t>MP-13C/NF</t>
        </is>
      </c>
      <c r="BQ599" s="106">
        <f>VLOOKUP(BP599,[1]AGUA!$1:$1048576,2,FALSE)</f>
        <v/>
      </c>
      <c r="BR599" s="106">
        <f>VLOOKUP(BP599,[1]AGUA!$1:$1048576,6,FALSE)</f>
        <v/>
      </c>
      <c r="BS599" s="106">
        <f>VLOOKUP(BP599,[1]AGUA!$1:$1048576,7,FALSE)</f>
        <v/>
      </c>
      <c r="BT599" s="106" t="n"/>
      <c r="BU599" s="251"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4" t="n"/>
      <c r="DB599" s="254" t="n"/>
      <c r="DC599" s="254" t="n"/>
      <c r="DD599" s="254" t="n"/>
      <c r="DE599" s="254" t="n"/>
      <c r="DF599" s="254" t="n"/>
      <c r="DG599" s="254" t="n"/>
      <c r="DH599" s="254" t="n"/>
      <c r="DI599" s="254" t="n"/>
      <c r="DJ599" s="254" t="inlineStr">
        <is>
          <t>M</t>
        </is>
      </c>
      <c r="DK599" s="254" t="n">
        <v>1</v>
      </c>
      <c r="DL599" s="95" t="n">
        <v>14</v>
      </c>
      <c r="DM599" s="254" t="n"/>
      <c r="DN599" s="95" t="n"/>
      <c r="DO599" s="95" t="n"/>
    </row>
    <row r="600" ht="12.5" customHeight="1">
      <c r="A600" s="203" t="inlineStr">
        <is>
          <t>MP-13C</t>
        </is>
      </c>
      <c r="B600" s="260" t="inlineStr">
        <is>
          <t>MP-13C</t>
        </is>
      </c>
      <c r="C600" s="255"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255" t="n"/>
      <c r="BL600" s="7" t="inlineStr">
        <is>
          <t>GMAP-SIGA</t>
        </is>
      </c>
      <c r="BM600" s="254" t="inlineStr">
        <is>
          <t>ASUB</t>
        </is>
      </c>
      <c r="BN600" s="266" t="inlineStr">
        <is>
          <t>Tranque</t>
        </is>
      </c>
      <c r="BO600" s="254" t="inlineStr">
        <is>
          <t>SI PAT TRANQUE</t>
        </is>
      </c>
      <c r="BP600" s="106" t="inlineStr">
        <is>
          <t>MP-13C/ASUB</t>
        </is>
      </c>
      <c r="BQ600" s="106">
        <f>VLOOKUP(BP600,[1]AGUA!$1:$1048576,2,FALSE)</f>
        <v/>
      </c>
      <c r="BR600" s="106">
        <f>VLOOKUP(BP600,[1]AGUA!$1:$1048576,6,FALSE)</f>
        <v/>
      </c>
      <c r="BS600" s="106">
        <f>VLOOKUP(BP600,[1]AGUA!$1:$1048576,7,FALSE)</f>
        <v/>
      </c>
      <c r="BT600" s="106" t="n"/>
      <c r="BU600" s="252"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4" t="n"/>
      <c r="DB600" s="254" t="n"/>
      <c r="DC600" s="254" t="n"/>
      <c r="DD600" s="254" t="n"/>
      <c r="DE600" s="254" t="n"/>
      <c r="DF600" s="254" t="n"/>
      <c r="DG600" s="254" t="n"/>
      <c r="DH600" s="254" t="n"/>
      <c r="DI600" s="254" t="n"/>
      <c r="DJ600" s="254" t="n"/>
      <c r="DK600" s="254" t="n"/>
      <c r="DL600" s="95" t="n"/>
      <c r="DM600" s="254" t="inlineStr">
        <is>
          <t>M</t>
        </is>
      </c>
      <c r="DN600" s="254" t="n">
        <v>1</v>
      </c>
      <c r="DO600" s="95" t="n">
        <v>14</v>
      </c>
    </row>
    <row r="601" ht="12.5" customHeight="1">
      <c r="A601" s="203" t="inlineStr">
        <is>
          <t>MP-14A</t>
        </is>
      </c>
      <c r="B601" s="260" t="inlineStr">
        <is>
          <t>MP-14A</t>
        </is>
      </c>
      <c r="C601" s="254"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61" t="inlineStr">
        <is>
          <t>530WLMP14</t>
        </is>
      </c>
      <c r="BL601" s="7" t="inlineStr">
        <is>
          <t>GMAP-SIGA</t>
        </is>
      </c>
      <c r="BM601" s="254" t="inlineStr">
        <is>
          <t>NF</t>
        </is>
      </c>
      <c r="BN601" s="266" t="inlineStr">
        <is>
          <t>Tranque</t>
        </is>
      </c>
      <c r="BO601" s="254" t="inlineStr">
        <is>
          <t>SI PAT TRANQUE</t>
        </is>
      </c>
      <c r="BP601" s="106" t="inlineStr">
        <is>
          <t>MP-14A/NF</t>
        </is>
      </c>
      <c r="BQ601" s="106">
        <f>VLOOKUP(BP601,[1]AGUA!$1:$1048576,2,FALSE)</f>
        <v/>
      </c>
      <c r="BR601" s="106">
        <f>VLOOKUP(BP601,[1]AGUA!$1:$1048576,6,FALSE)</f>
        <v/>
      </c>
      <c r="BS601" s="106">
        <f>VLOOKUP(BP601,[1]AGUA!$1:$1048576,7,FALSE)</f>
        <v/>
      </c>
      <c r="BT601" s="106" t="n"/>
      <c r="BU601" s="251"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4" t="n"/>
      <c r="DB601" s="254" t="n"/>
      <c r="DC601" s="254" t="n"/>
      <c r="DD601" s="254" t="n"/>
      <c r="DE601" s="254" t="n"/>
      <c r="DF601" s="254" t="n"/>
      <c r="DG601" s="254" t="n"/>
      <c r="DH601" s="254" t="n"/>
      <c r="DI601" s="254" t="n"/>
      <c r="DJ601" s="110" t="inlineStr">
        <is>
          <t>M</t>
        </is>
      </c>
      <c r="DK601" s="254" t="n">
        <v>1</v>
      </c>
      <c r="DL601" s="95" t="n">
        <v>14</v>
      </c>
      <c r="DM601" s="254" t="n"/>
      <c r="DN601" s="95" t="n"/>
      <c r="DO601" s="95" t="n"/>
    </row>
    <row r="602" ht="12.5" customHeight="1">
      <c r="A602" s="203" t="inlineStr">
        <is>
          <t>MP-14A</t>
        </is>
      </c>
      <c r="B602" s="260" t="inlineStr">
        <is>
          <t>MP-14A</t>
        </is>
      </c>
      <c r="C602" s="255"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255" t="n"/>
      <c r="BL602" s="7" t="inlineStr">
        <is>
          <t>GMAP-SIGA</t>
        </is>
      </c>
      <c r="BM602" s="254" t="inlineStr">
        <is>
          <t>ASUB</t>
        </is>
      </c>
      <c r="BN602" s="266" t="inlineStr">
        <is>
          <t>Tranque</t>
        </is>
      </c>
      <c r="BO602" s="254" t="inlineStr">
        <is>
          <t>SI PAT TRANQUE</t>
        </is>
      </c>
      <c r="BP602" s="106" t="inlineStr">
        <is>
          <t>MP-14A/ASUB</t>
        </is>
      </c>
      <c r="BQ602" s="106">
        <f>VLOOKUP(BP602,[1]AGUA!$1:$1048576,2,FALSE)</f>
        <v/>
      </c>
      <c r="BR602" s="106">
        <f>VLOOKUP(BP602,[1]AGUA!$1:$1048576,6,FALSE)</f>
        <v/>
      </c>
      <c r="BS602" s="106">
        <f>VLOOKUP(BP602,[1]AGUA!$1:$1048576,7,FALSE)</f>
        <v/>
      </c>
      <c r="BT602" s="106" t="n"/>
      <c r="BU602" s="252"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4" t="n"/>
      <c r="DB602" s="254" t="n"/>
      <c r="DC602" s="254" t="n"/>
      <c r="DD602" s="254" t="n"/>
      <c r="DE602" s="254" t="n"/>
      <c r="DF602" s="254" t="n"/>
      <c r="DG602" s="254" t="n"/>
      <c r="DH602" s="254" t="n"/>
      <c r="DI602" s="254" t="n"/>
      <c r="DJ602" s="110" t="n"/>
      <c r="DK602" s="254" t="n"/>
      <c r="DL602" s="95" t="n"/>
      <c r="DM602" s="254" t="inlineStr">
        <is>
          <t>M</t>
        </is>
      </c>
      <c r="DN602" s="254" t="n">
        <v>1</v>
      </c>
      <c r="DO602" s="95" t="n">
        <v>14</v>
      </c>
    </row>
    <row r="603" ht="12.5" customHeight="1">
      <c r="A603" s="203" t="inlineStr">
        <is>
          <t>MP-14B</t>
        </is>
      </c>
      <c r="B603" s="260" t="inlineStr">
        <is>
          <t>MP-14B</t>
        </is>
      </c>
      <c r="C603" s="254"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61" t="inlineStr">
        <is>
          <t>530WLMP14</t>
        </is>
      </c>
      <c r="BL603" s="7" t="inlineStr">
        <is>
          <t>GMAP-SIGA</t>
        </is>
      </c>
      <c r="BM603" s="254" t="inlineStr">
        <is>
          <t>NF</t>
        </is>
      </c>
      <c r="BN603" s="266" t="inlineStr">
        <is>
          <t>Tranque</t>
        </is>
      </c>
      <c r="BO603" s="254" t="inlineStr">
        <is>
          <t>SI PAT TRANQUE</t>
        </is>
      </c>
      <c r="BP603" s="106" t="inlineStr">
        <is>
          <t>MP-14B/NF</t>
        </is>
      </c>
      <c r="BQ603" s="106">
        <f>VLOOKUP(BP603,[1]AGUA!$1:$1048576,2,FALSE)</f>
        <v/>
      </c>
      <c r="BR603" s="106">
        <f>VLOOKUP(BP603,[1]AGUA!$1:$1048576,6,FALSE)</f>
        <v/>
      </c>
      <c r="BS603" s="106">
        <f>VLOOKUP(BP603,[1]AGUA!$1:$1048576,7,FALSE)</f>
        <v/>
      </c>
      <c r="BT603" s="106" t="n"/>
      <c r="BU603" s="251"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4" t="n"/>
      <c r="DB603" s="254" t="n"/>
      <c r="DC603" s="254" t="n"/>
      <c r="DD603" s="254" t="n"/>
      <c r="DE603" s="254" t="n"/>
      <c r="DF603" s="254" t="n"/>
      <c r="DG603" s="254" t="n"/>
      <c r="DH603" s="254" t="n"/>
      <c r="DI603" s="254" t="n"/>
      <c r="DJ603" s="110" t="inlineStr">
        <is>
          <t>M</t>
        </is>
      </c>
      <c r="DK603" s="254" t="n">
        <v>1</v>
      </c>
      <c r="DL603" s="95" t="n">
        <v>14</v>
      </c>
      <c r="DM603" s="254" t="n"/>
      <c r="DN603" s="95" t="n"/>
      <c r="DO603" s="95" t="n"/>
    </row>
    <row r="604" ht="12.5" customHeight="1">
      <c r="A604" s="203" t="inlineStr">
        <is>
          <t>MP-14B</t>
        </is>
      </c>
      <c r="B604" s="260" t="inlineStr">
        <is>
          <t>MP-14B</t>
        </is>
      </c>
      <c r="C604" s="255"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255" t="n"/>
      <c r="BL604" s="7" t="inlineStr">
        <is>
          <t>GMAP-SIGA</t>
        </is>
      </c>
      <c r="BM604" s="254" t="inlineStr">
        <is>
          <t>ASUB</t>
        </is>
      </c>
      <c r="BN604" s="266" t="inlineStr">
        <is>
          <t>Tranque</t>
        </is>
      </c>
      <c r="BO604" s="254" t="inlineStr">
        <is>
          <t>SI PAT TRANQUE</t>
        </is>
      </c>
      <c r="BP604" s="106" t="inlineStr">
        <is>
          <t>MP-14B/ASUB</t>
        </is>
      </c>
      <c r="BQ604" s="106">
        <f>VLOOKUP(BP604,[1]AGUA!$1:$1048576,2,FALSE)</f>
        <v/>
      </c>
      <c r="BR604" s="106">
        <f>VLOOKUP(BP604,[1]AGUA!$1:$1048576,6,FALSE)</f>
        <v/>
      </c>
      <c r="BS604" s="106">
        <f>VLOOKUP(BP604,[1]AGUA!$1:$1048576,7,FALSE)</f>
        <v/>
      </c>
      <c r="BT604" s="106" t="n"/>
      <c r="BU604" s="252"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4" t="n"/>
      <c r="DB604" s="254" t="n"/>
      <c r="DC604" s="254" t="n"/>
      <c r="DD604" s="254" t="n"/>
      <c r="DE604" s="254" t="n"/>
      <c r="DF604" s="254" t="n"/>
      <c r="DG604" s="254" t="n"/>
      <c r="DH604" s="254" t="n"/>
      <c r="DI604" s="254" t="n"/>
      <c r="DJ604" s="110" t="n"/>
      <c r="DK604" s="254" t="n"/>
      <c r="DL604" s="95" t="n"/>
      <c r="DM604" s="254" t="inlineStr">
        <is>
          <t>M</t>
        </is>
      </c>
      <c r="DN604" s="254" t="n">
        <v>1</v>
      </c>
      <c r="DO604" s="95" t="n">
        <v>14</v>
      </c>
    </row>
    <row r="605" ht="12.5" customHeight="1">
      <c r="A605" s="203" t="inlineStr">
        <is>
          <t>MP-14C_B</t>
        </is>
      </c>
      <c r="B605" s="260" t="inlineStr">
        <is>
          <t>MP-14C</t>
        </is>
      </c>
      <c r="C605" s="254"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61" t="inlineStr">
        <is>
          <t>530WLMP14</t>
        </is>
      </c>
      <c r="BL605" s="7" t="inlineStr">
        <is>
          <t>GMAP-SIGA</t>
        </is>
      </c>
      <c r="BM605" s="254" t="inlineStr">
        <is>
          <t>NF</t>
        </is>
      </c>
      <c r="BN605" s="266" t="inlineStr">
        <is>
          <t>Tranque</t>
        </is>
      </c>
      <c r="BO605" s="254" t="inlineStr">
        <is>
          <t>SI PAT TRANQUE</t>
        </is>
      </c>
      <c r="BP605" s="106" t="inlineStr">
        <is>
          <t>MP-14C_B/NF</t>
        </is>
      </c>
      <c r="BQ605" s="106">
        <f>VLOOKUP(BP605,[1]AGUA!$1:$1048576,2,FALSE)</f>
        <v/>
      </c>
      <c r="BR605" s="106">
        <f>VLOOKUP(BP605,[1]AGUA!$1:$1048576,6,FALSE)</f>
        <v/>
      </c>
      <c r="BS605" s="106">
        <f>VLOOKUP(BP605,[1]AGUA!$1:$1048576,7,FALSE)</f>
        <v/>
      </c>
      <c r="BT605" s="106" t="n"/>
      <c r="BU605" s="251"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4" t="n"/>
      <c r="DB605" s="254" t="n"/>
      <c r="DC605" s="254" t="n"/>
      <c r="DD605" s="254" t="n"/>
      <c r="DE605" s="254" t="n"/>
      <c r="DF605" s="254" t="n"/>
      <c r="DG605" s="254" t="n"/>
      <c r="DH605" s="254" t="n"/>
      <c r="DI605" s="254" t="n"/>
      <c r="DJ605" s="110" t="inlineStr">
        <is>
          <t>M</t>
        </is>
      </c>
      <c r="DK605" s="254" t="n">
        <v>1</v>
      </c>
      <c r="DL605" s="95" t="n">
        <v>14</v>
      </c>
      <c r="DM605" s="254" t="n"/>
      <c r="DN605" s="95" t="n"/>
      <c r="DO605" s="95" t="n"/>
    </row>
    <row r="606" ht="12.5" customHeight="1">
      <c r="A606" s="203" t="inlineStr">
        <is>
          <t>MP-14C_B</t>
        </is>
      </c>
      <c r="B606" s="260" t="inlineStr">
        <is>
          <t>MP-14C</t>
        </is>
      </c>
      <c r="C606" s="255"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255" t="n"/>
      <c r="BL606" s="7" t="inlineStr">
        <is>
          <t>GMAP-SIGA</t>
        </is>
      </c>
      <c r="BM606" s="254" t="inlineStr">
        <is>
          <t>ASUB</t>
        </is>
      </c>
      <c r="BN606" s="266" t="inlineStr">
        <is>
          <t>Tranque</t>
        </is>
      </c>
      <c r="BO606" s="254" t="inlineStr">
        <is>
          <t>SI PAT TRANQUE</t>
        </is>
      </c>
      <c r="BP606" s="106" t="inlineStr">
        <is>
          <t>MP-14C_B/ASUB</t>
        </is>
      </c>
      <c r="BQ606" s="106">
        <f>VLOOKUP(BP606,[1]AGUA!$1:$1048576,2,FALSE)</f>
        <v/>
      </c>
      <c r="BR606" s="106">
        <f>VLOOKUP(BP606,[1]AGUA!$1:$1048576,6,FALSE)</f>
        <v/>
      </c>
      <c r="BS606" s="106">
        <f>VLOOKUP(BP606,[1]AGUA!$1:$1048576,7,FALSE)</f>
        <v/>
      </c>
      <c r="BT606" s="106" t="n"/>
      <c r="BU606" s="252"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4" t="n"/>
      <c r="DB606" s="254" t="n"/>
      <c r="DC606" s="254" t="n"/>
      <c r="DD606" s="254" t="n"/>
      <c r="DE606" s="254" t="n"/>
      <c r="DF606" s="254" t="n"/>
      <c r="DG606" s="254" t="n"/>
      <c r="DH606" s="254" t="n"/>
      <c r="DI606" s="254" t="n"/>
      <c r="DJ606" s="110" t="n"/>
      <c r="DK606" s="254" t="n"/>
      <c r="DL606" s="95" t="n"/>
      <c r="DM606" s="254" t="inlineStr">
        <is>
          <t>M</t>
        </is>
      </c>
      <c r="DN606" s="254" t="n">
        <v>1</v>
      </c>
      <c r="DO606" s="95" t="n">
        <v>14</v>
      </c>
    </row>
    <row r="607" ht="12.5" customHeight="1">
      <c r="A607" s="203" t="inlineStr">
        <is>
          <t>MP-15A</t>
        </is>
      </c>
      <c r="B607" s="260" t="inlineStr">
        <is>
          <t>MP-15A</t>
        </is>
      </c>
      <c r="C607" s="254"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61" t="inlineStr">
        <is>
          <t>530WLMP15</t>
        </is>
      </c>
      <c r="BL607" s="7" t="inlineStr">
        <is>
          <t>GMAP-SIGA</t>
        </is>
      </c>
      <c r="BM607" s="254" t="inlineStr">
        <is>
          <t>NF</t>
        </is>
      </c>
      <c r="BN607" s="266" t="inlineStr">
        <is>
          <t>Tranque</t>
        </is>
      </c>
      <c r="BO607" s="254" t="inlineStr">
        <is>
          <t>SI PAT TRANQUE</t>
        </is>
      </c>
      <c r="BP607" s="106" t="inlineStr">
        <is>
          <t>MP-15A/NF</t>
        </is>
      </c>
      <c r="BQ607" s="106">
        <f>VLOOKUP(BP607,[1]AGUA!$1:$1048576,2,FALSE)</f>
        <v/>
      </c>
      <c r="BR607" s="106">
        <f>VLOOKUP(BP607,[1]AGUA!$1:$1048576,6,FALSE)</f>
        <v/>
      </c>
      <c r="BS607" s="106">
        <f>VLOOKUP(BP607,[1]AGUA!$1:$1048576,7,FALSE)</f>
        <v/>
      </c>
      <c r="BT607" s="106" t="n"/>
      <c r="BU607" s="251"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4" t="n"/>
      <c r="DB607" s="254" t="n"/>
      <c r="DC607" s="254" t="n"/>
      <c r="DD607" s="254" t="n"/>
      <c r="DE607" s="254" t="n"/>
      <c r="DF607" s="254" t="n"/>
      <c r="DG607" s="254" t="n"/>
      <c r="DH607" s="254" t="n"/>
      <c r="DI607" s="254" t="n"/>
      <c r="DJ607" s="254" t="inlineStr">
        <is>
          <t>M</t>
        </is>
      </c>
      <c r="DK607" s="254" t="n">
        <v>1</v>
      </c>
      <c r="DL607" s="95" t="n">
        <v>14</v>
      </c>
      <c r="DM607" s="254" t="n"/>
      <c r="DN607" s="95" t="n"/>
      <c r="DO607" s="95" t="n"/>
    </row>
    <row r="608" ht="12.5" customHeight="1">
      <c r="A608" s="203" t="inlineStr">
        <is>
          <t>MP-15A</t>
        </is>
      </c>
      <c r="B608" s="260" t="inlineStr">
        <is>
          <t>MP-15A</t>
        </is>
      </c>
      <c r="C608" s="255"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255" t="n"/>
      <c r="BL608" s="7" t="inlineStr">
        <is>
          <t>GMAP-SIGA</t>
        </is>
      </c>
      <c r="BM608" s="254" t="inlineStr">
        <is>
          <t>ASUB</t>
        </is>
      </c>
      <c r="BN608" s="266" t="inlineStr">
        <is>
          <t>Tranque</t>
        </is>
      </c>
      <c r="BO608" s="254" t="inlineStr">
        <is>
          <t>SI PAT TRANQUE</t>
        </is>
      </c>
      <c r="BP608" s="106" t="inlineStr">
        <is>
          <t>MP-15A/ASUB</t>
        </is>
      </c>
      <c r="BQ608" s="106">
        <f>VLOOKUP(BP608,[1]AGUA!$1:$1048576,2,FALSE)</f>
        <v/>
      </c>
      <c r="BR608" s="106">
        <f>VLOOKUP(BP608,[1]AGUA!$1:$1048576,6,FALSE)</f>
        <v/>
      </c>
      <c r="BS608" s="106">
        <f>VLOOKUP(BP608,[1]AGUA!$1:$1048576,7,FALSE)</f>
        <v/>
      </c>
      <c r="BT608" s="106" t="n"/>
      <c r="BU608" s="252"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4" t="n"/>
      <c r="DB608" s="254" t="n"/>
      <c r="DC608" s="254" t="n"/>
      <c r="DD608" s="254" t="n"/>
      <c r="DE608" s="254" t="n"/>
      <c r="DF608" s="254" t="n"/>
      <c r="DG608" s="254" t="n"/>
      <c r="DH608" s="254" t="n"/>
      <c r="DI608" s="254" t="n"/>
      <c r="DJ608" s="254" t="n"/>
      <c r="DK608" s="254" t="n"/>
      <c r="DL608" s="95" t="n"/>
      <c r="DM608" s="254" t="inlineStr">
        <is>
          <t>M</t>
        </is>
      </c>
      <c r="DN608" s="254" t="n">
        <v>1</v>
      </c>
      <c r="DO608" s="95" t="n">
        <v>14</v>
      </c>
    </row>
    <row r="609" ht="12.5" customHeight="1">
      <c r="A609" s="203" t="inlineStr">
        <is>
          <t>MP-15B</t>
        </is>
      </c>
      <c r="B609" s="260" t="inlineStr">
        <is>
          <t>MP-15B</t>
        </is>
      </c>
      <c r="C609" s="254"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61" t="inlineStr">
        <is>
          <t>530WLMP15</t>
        </is>
      </c>
      <c r="BL609" s="7" t="inlineStr">
        <is>
          <t>GMAP-SIGA</t>
        </is>
      </c>
      <c r="BM609" s="254" t="inlineStr">
        <is>
          <t>NF</t>
        </is>
      </c>
      <c r="BN609" s="266" t="inlineStr">
        <is>
          <t>Tranque</t>
        </is>
      </c>
      <c r="BO609" s="254" t="inlineStr">
        <is>
          <t>SI PAT TRANQUE</t>
        </is>
      </c>
      <c r="BP609" s="106" t="inlineStr">
        <is>
          <t>MP-15B/NF</t>
        </is>
      </c>
      <c r="BQ609" s="106">
        <f>VLOOKUP(BP609,[1]AGUA!$1:$1048576,2,FALSE)</f>
        <v/>
      </c>
      <c r="BR609" s="106">
        <f>VLOOKUP(BP609,[1]AGUA!$1:$1048576,6,FALSE)</f>
        <v/>
      </c>
      <c r="BS609" s="106">
        <f>VLOOKUP(BP609,[1]AGUA!$1:$1048576,7,FALSE)</f>
        <v/>
      </c>
      <c r="BT609" s="106" t="n"/>
      <c r="BU609" s="251"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4" t="n"/>
      <c r="DB609" s="254" t="n"/>
      <c r="DC609" s="254" t="n"/>
      <c r="DD609" s="254" t="n"/>
      <c r="DE609" s="254" t="n"/>
      <c r="DF609" s="254" t="n"/>
      <c r="DG609" s="254" t="n"/>
      <c r="DH609" s="254" t="n"/>
      <c r="DI609" s="254" t="n"/>
      <c r="DJ609" s="254" t="inlineStr">
        <is>
          <t>M</t>
        </is>
      </c>
      <c r="DK609" s="254" t="n">
        <v>1</v>
      </c>
      <c r="DL609" s="95" t="n">
        <v>14</v>
      </c>
      <c r="DM609" s="254" t="n"/>
      <c r="DN609" s="95" t="n"/>
      <c r="DO609" s="95" t="n"/>
    </row>
    <row r="610" ht="12.5" customHeight="1">
      <c r="A610" s="203" t="inlineStr">
        <is>
          <t>MP-15B</t>
        </is>
      </c>
      <c r="B610" s="260" t="inlineStr">
        <is>
          <t>MP-15B</t>
        </is>
      </c>
      <c r="C610" s="255"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255" t="n"/>
      <c r="BL610" s="7" t="inlineStr">
        <is>
          <t>GMAP-SIGA</t>
        </is>
      </c>
      <c r="BM610" s="254" t="inlineStr">
        <is>
          <t>ASUB</t>
        </is>
      </c>
      <c r="BN610" s="266" t="inlineStr">
        <is>
          <t>Tranque</t>
        </is>
      </c>
      <c r="BO610" s="254" t="inlineStr">
        <is>
          <t>SI PAT TRANQUE</t>
        </is>
      </c>
      <c r="BP610" s="106" t="inlineStr">
        <is>
          <t>MP-15B/ASUB</t>
        </is>
      </c>
      <c r="BQ610" s="106">
        <f>VLOOKUP(BP610,[1]AGUA!$1:$1048576,2,FALSE)</f>
        <v/>
      </c>
      <c r="BR610" s="106">
        <f>VLOOKUP(BP610,[1]AGUA!$1:$1048576,6,FALSE)</f>
        <v/>
      </c>
      <c r="BS610" s="106">
        <f>VLOOKUP(BP610,[1]AGUA!$1:$1048576,7,FALSE)</f>
        <v/>
      </c>
      <c r="BT610" s="106" t="n"/>
      <c r="BU610" s="252"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4" t="n"/>
      <c r="DB610" s="254" t="n"/>
      <c r="DC610" s="254" t="n"/>
      <c r="DD610" s="254" t="n"/>
      <c r="DE610" s="254" t="n"/>
      <c r="DF610" s="254" t="n"/>
      <c r="DG610" s="254" t="n"/>
      <c r="DH610" s="254" t="n"/>
      <c r="DI610" s="254" t="n"/>
      <c r="DJ610" s="254" t="n"/>
      <c r="DK610" s="254" t="n"/>
      <c r="DL610" s="95" t="n"/>
      <c r="DM610" s="254" t="inlineStr">
        <is>
          <t>M</t>
        </is>
      </c>
      <c r="DN610" s="254" t="n">
        <v>1</v>
      </c>
      <c r="DO610" s="95" t="n">
        <v>14</v>
      </c>
    </row>
    <row r="611" ht="12.5" customHeight="1">
      <c r="A611" s="203" t="inlineStr">
        <is>
          <t>MP-15C</t>
        </is>
      </c>
      <c r="B611" s="260" t="inlineStr">
        <is>
          <t>MP-15C</t>
        </is>
      </c>
      <c r="C611" s="254"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61" t="inlineStr">
        <is>
          <t>530WLMP15</t>
        </is>
      </c>
      <c r="BL611" s="7" t="inlineStr">
        <is>
          <t>GMAP-SIGA</t>
        </is>
      </c>
      <c r="BM611" s="254" t="inlineStr">
        <is>
          <t>NF</t>
        </is>
      </c>
      <c r="BN611" s="266" t="inlineStr">
        <is>
          <t>Tranque</t>
        </is>
      </c>
      <c r="BO611" s="254" t="inlineStr">
        <is>
          <t>SI PAT TRANQUE</t>
        </is>
      </c>
      <c r="BP611" s="106" t="inlineStr">
        <is>
          <t>MP-15C/NF</t>
        </is>
      </c>
      <c r="BQ611" s="106">
        <f>VLOOKUP(BP611,[1]AGUA!$1:$1048576,2,FALSE)</f>
        <v/>
      </c>
      <c r="BR611" s="106">
        <f>VLOOKUP(BP611,[1]AGUA!$1:$1048576,6,FALSE)</f>
        <v/>
      </c>
      <c r="BS611" s="106">
        <f>VLOOKUP(BP611,[1]AGUA!$1:$1048576,7,FALSE)</f>
        <v/>
      </c>
      <c r="BT611" s="106" t="n"/>
      <c r="BU611" s="251"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4" t="n"/>
      <c r="DB611" s="254" t="n"/>
      <c r="DC611" s="254" t="n"/>
      <c r="DD611" s="254" t="n"/>
      <c r="DE611" s="254" t="n"/>
      <c r="DF611" s="254" t="n"/>
      <c r="DG611" s="254" t="n"/>
      <c r="DH611" s="254" t="n"/>
      <c r="DI611" s="254" t="n"/>
      <c r="DJ611" s="254" t="inlineStr">
        <is>
          <t>M</t>
        </is>
      </c>
      <c r="DK611" s="254" t="n">
        <v>1</v>
      </c>
      <c r="DL611" s="95" t="n">
        <v>14</v>
      </c>
      <c r="DM611" s="254" t="n"/>
      <c r="DN611" s="95" t="n"/>
      <c r="DO611" s="95" t="n"/>
    </row>
    <row r="612" ht="12.5" customHeight="1">
      <c r="A612" s="203" t="inlineStr">
        <is>
          <t>MP-15C</t>
        </is>
      </c>
      <c r="B612" s="260" t="inlineStr">
        <is>
          <t>MP-15C</t>
        </is>
      </c>
      <c r="C612" s="255"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255" t="n"/>
      <c r="BL612" s="7" t="inlineStr">
        <is>
          <t>GMAP-SIGA</t>
        </is>
      </c>
      <c r="BM612" s="254" t="inlineStr">
        <is>
          <t>ASUB</t>
        </is>
      </c>
      <c r="BN612" s="266" t="inlineStr">
        <is>
          <t>Tranque</t>
        </is>
      </c>
      <c r="BO612" s="254" t="inlineStr">
        <is>
          <t>SI PAT TRANQUE</t>
        </is>
      </c>
      <c r="BP612" s="106" t="inlineStr">
        <is>
          <t>MP-15C/NF</t>
        </is>
      </c>
      <c r="BQ612" s="106">
        <f>VLOOKUP(BP612,[1]AGUA!$1:$1048576,2,FALSE)</f>
        <v/>
      </c>
      <c r="BR612" s="106">
        <f>VLOOKUP(BP612,[1]AGUA!$1:$1048576,6,FALSE)</f>
        <v/>
      </c>
      <c r="BS612" s="106">
        <f>VLOOKUP(BP612,[1]AGUA!$1:$1048576,7,FALSE)</f>
        <v/>
      </c>
      <c r="BT612" s="106" t="n"/>
      <c r="BU612" s="252"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4" t="n"/>
      <c r="DB612" s="254" t="n"/>
      <c r="DC612" s="254" t="n"/>
      <c r="DD612" s="254" t="n"/>
      <c r="DE612" s="254" t="n"/>
      <c r="DF612" s="254" t="n"/>
      <c r="DG612" s="254" t="n"/>
      <c r="DH612" s="254" t="n"/>
      <c r="DI612" s="254" t="n"/>
      <c r="DJ612" s="254" t="n"/>
      <c r="DK612" s="254" t="n"/>
      <c r="DL612" s="95" t="n"/>
      <c r="DM612" s="254" t="inlineStr">
        <is>
          <t>M</t>
        </is>
      </c>
      <c r="DN612" s="254" t="n">
        <v>1</v>
      </c>
      <c r="DO612" s="95" t="n">
        <v>14</v>
      </c>
    </row>
    <row r="613" ht="12.5" customHeight="1">
      <c r="A613" s="203" t="inlineStr">
        <is>
          <t>MP-17A</t>
        </is>
      </c>
      <c r="B613" s="260" t="n"/>
      <c r="C613" s="254"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61" t="inlineStr">
        <is>
          <t>530WLMP17</t>
        </is>
      </c>
      <c r="BL613" s="7" t="inlineStr">
        <is>
          <t>GMAP-SIGA</t>
        </is>
      </c>
      <c r="BM613" s="254" t="inlineStr">
        <is>
          <t>NF</t>
        </is>
      </c>
      <c r="BN613" s="266" t="inlineStr">
        <is>
          <t>Michincha (camino internacional)</t>
        </is>
      </c>
      <c r="BO613" s="254" t="inlineStr">
        <is>
          <t>SI PAT TRANQUE</t>
        </is>
      </c>
      <c r="BP613" s="106" t="inlineStr">
        <is>
          <t>MP-17A/NF</t>
        </is>
      </c>
      <c r="BQ613" s="106">
        <f>VLOOKUP(BP613,[1]AGUA!$1:$1048576,2,FALSE)</f>
        <v/>
      </c>
      <c r="BR613" s="106">
        <f>VLOOKUP(BP613,[1]AGUA!$1:$1048576,6,FALSE)</f>
        <v/>
      </c>
      <c r="BS613" s="106">
        <f>VLOOKUP(BP613,[1]AGUA!$1:$1048576,7,FALSE)</f>
        <v/>
      </c>
      <c r="BT613" s="106" t="n"/>
      <c r="BU613" s="251"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4" t="n"/>
      <c r="DB613" s="254" t="n"/>
      <c r="DC613" s="254" t="n"/>
      <c r="DD613" s="254" t="n"/>
      <c r="DE613" s="254" t="n"/>
      <c r="DF613" s="254" t="n"/>
      <c r="DG613" s="254" t="n"/>
      <c r="DH613" s="254" t="n"/>
      <c r="DI613" s="254" t="n"/>
      <c r="DJ613" s="254" t="inlineStr">
        <is>
          <t>M</t>
        </is>
      </c>
      <c r="DK613" s="254" t="n">
        <v>1</v>
      </c>
      <c r="DL613" s="95" t="n">
        <v>14</v>
      </c>
      <c r="DM613" s="254" t="n"/>
      <c r="DN613" s="95" t="n"/>
      <c r="DO613" s="95" t="n"/>
    </row>
    <row r="614" ht="12.5" customHeight="1">
      <c r="A614" s="203" t="inlineStr">
        <is>
          <t>MP-17A</t>
        </is>
      </c>
      <c r="B614" s="260" t="n"/>
      <c r="C614" s="254"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61" t="inlineStr">
        <is>
          <t>530WLMP17</t>
        </is>
      </c>
      <c r="BL614" s="7" t="inlineStr">
        <is>
          <t>GMAP-SIGA</t>
        </is>
      </c>
      <c r="BM614" s="254" t="inlineStr">
        <is>
          <t>ASUB</t>
        </is>
      </c>
      <c r="BN614" s="266" t="inlineStr">
        <is>
          <t>Michincha (camino internacional)</t>
        </is>
      </c>
      <c r="BO614" s="254" t="inlineStr">
        <is>
          <t>SI PAT TRANQUE</t>
        </is>
      </c>
      <c r="BP614" s="106" t="inlineStr">
        <is>
          <t>MP-17A/ASUB</t>
        </is>
      </c>
      <c r="BQ614" s="106">
        <f>VLOOKUP(BP614,[1]AGUA!$1:$1048576,2,FALSE)</f>
        <v/>
      </c>
      <c r="BR614" s="106">
        <f>VLOOKUP(BP614,[1]AGUA!$1:$1048576,6,FALSE)</f>
        <v/>
      </c>
      <c r="BS614" s="106">
        <f>VLOOKUP(BP614,[1]AGUA!$1:$1048576,7,FALSE)</f>
        <v/>
      </c>
      <c r="BT614" s="106" t="n"/>
      <c r="BU614" s="251"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4" t="n"/>
      <c r="DB614" s="254" t="n"/>
      <c r="DC614" s="254" t="n"/>
      <c r="DD614" s="254" t="n"/>
      <c r="DE614" s="254" t="n"/>
      <c r="DF614" s="254" t="n"/>
      <c r="DG614" s="254" t="n"/>
      <c r="DH614" s="254" t="n"/>
      <c r="DI614" s="254" t="n"/>
      <c r="DJ614" s="254" t="n"/>
      <c r="DK614" s="254" t="n"/>
      <c r="DL614" s="95" t="n"/>
      <c r="DM614" s="254" t="inlineStr">
        <is>
          <t>M</t>
        </is>
      </c>
      <c r="DN614" s="254" t="n">
        <v>1</v>
      </c>
      <c r="DO614" s="95" t="n">
        <v>14</v>
      </c>
    </row>
    <row r="615" ht="12.5" customHeight="1">
      <c r="A615" s="203" t="inlineStr">
        <is>
          <t>MP-17B</t>
        </is>
      </c>
      <c r="B615" s="260" t="n"/>
      <c r="C615" s="254"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61" t="n"/>
      <c r="BL615" s="7" t="inlineStr">
        <is>
          <t>GMAP-SIGA</t>
        </is>
      </c>
      <c r="BM615" s="254" t="inlineStr">
        <is>
          <t>NF</t>
        </is>
      </c>
      <c r="BN615" s="266" t="inlineStr">
        <is>
          <t>Michincha (camino internacional)</t>
        </is>
      </c>
      <c r="BO615" s="254" t="inlineStr">
        <is>
          <t>SI PAT TRANQUE</t>
        </is>
      </c>
      <c r="BP615" s="106" t="inlineStr">
        <is>
          <t>MP-17B/NF</t>
        </is>
      </c>
      <c r="BQ615" s="106">
        <f>VLOOKUP(BP615,[1]AGUA!$1:$1048576,2,FALSE)</f>
        <v/>
      </c>
      <c r="BR615" s="106">
        <f>VLOOKUP(BP615,[1]AGUA!$1:$1048576,6,FALSE)</f>
        <v/>
      </c>
      <c r="BS615" s="106">
        <f>VLOOKUP(BP615,[1]AGUA!$1:$1048576,7,FALSE)</f>
        <v/>
      </c>
      <c r="BT615" s="106" t="n"/>
      <c r="BU615" s="251"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4" t="n"/>
      <c r="DB615" s="254" t="n"/>
      <c r="DC615" s="254" t="n"/>
      <c r="DD615" s="254" t="n"/>
      <c r="DE615" s="254" t="n"/>
      <c r="DF615" s="254" t="n"/>
      <c r="DG615" s="254" t="n"/>
      <c r="DH615" s="254" t="n"/>
      <c r="DI615" s="254" t="n"/>
      <c r="DJ615" s="254" t="inlineStr">
        <is>
          <t>M</t>
        </is>
      </c>
      <c r="DK615" s="254" t="n">
        <v>1</v>
      </c>
      <c r="DL615" s="95" t="n">
        <v>14</v>
      </c>
      <c r="DM615" s="254" t="n"/>
      <c r="DN615" s="95" t="n"/>
      <c r="DO615" s="95" t="n"/>
    </row>
    <row r="616" ht="12.5" customHeight="1">
      <c r="A616" s="203" t="inlineStr">
        <is>
          <t>MP-17B</t>
        </is>
      </c>
      <c r="B616" s="260" t="n"/>
      <c r="C616" s="254"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61" t="n"/>
      <c r="BL616" s="7" t="inlineStr">
        <is>
          <t>GMAP-SIGA</t>
        </is>
      </c>
      <c r="BM616" s="254" t="inlineStr">
        <is>
          <t>ASUB</t>
        </is>
      </c>
      <c r="BN616" s="266" t="inlineStr">
        <is>
          <t>Michincha (camino internacional)</t>
        </is>
      </c>
      <c r="BO616" s="254" t="inlineStr">
        <is>
          <t>SI PAT TRANQUE</t>
        </is>
      </c>
      <c r="BP616" s="106" t="inlineStr">
        <is>
          <t>MP-17B/ASUB</t>
        </is>
      </c>
      <c r="BQ616" s="106">
        <f>VLOOKUP(BP616,[1]AGUA!$1:$1048576,2,FALSE)</f>
        <v/>
      </c>
      <c r="BR616" s="106">
        <f>VLOOKUP(BP616,[1]AGUA!$1:$1048576,6,FALSE)</f>
        <v/>
      </c>
      <c r="BS616" s="106">
        <f>VLOOKUP(BP616,[1]AGUA!$1:$1048576,7,FALSE)</f>
        <v/>
      </c>
      <c r="BT616" s="106" t="n"/>
      <c r="BU616" s="251"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4" t="n"/>
      <c r="DB616" s="254" t="n"/>
      <c r="DC616" s="254" t="n"/>
      <c r="DD616" s="254" t="n"/>
      <c r="DE616" s="254" t="n"/>
      <c r="DF616" s="254" t="n"/>
      <c r="DG616" s="254" t="n"/>
      <c r="DH616" s="254" t="n"/>
      <c r="DI616" s="254" t="n"/>
      <c r="DJ616" s="254" t="n"/>
      <c r="DK616" s="254" t="n"/>
      <c r="DL616" s="95" t="n"/>
      <c r="DM616" s="254" t="inlineStr">
        <is>
          <t>M</t>
        </is>
      </c>
      <c r="DN616" s="254" t="n">
        <v>1</v>
      </c>
      <c r="DO616" s="95" t="n">
        <v>14</v>
      </c>
    </row>
    <row r="617" ht="12.5" customHeight="1">
      <c r="A617" s="203" t="inlineStr">
        <is>
          <t>MP-17C</t>
        </is>
      </c>
      <c r="B617" s="260" t="n"/>
      <c r="C617" s="254"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61" t="n"/>
      <c r="BL617" s="7" t="inlineStr">
        <is>
          <t>GMAP-SIGA</t>
        </is>
      </c>
      <c r="BM617" s="254" t="inlineStr">
        <is>
          <t>NF</t>
        </is>
      </c>
      <c r="BN617" s="266" t="inlineStr">
        <is>
          <t>Michincha (camino internacional)</t>
        </is>
      </c>
      <c r="BO617" s="254" t="inlineStr">
        <is>
          <t>SI PAT TRANQUE</t>
        </is>
      </c>
      <c r="BP617" s="106" t="inlineStr">
        <is>
          <t>MP-17C/NF</t>
        </is>
      </c>
      <c r="BQ617" s="106">
        <f>VLOOKUP(BP617,[1]AGUA!$1:$1048576,2,FALSE)</f>
        <v/>
      </c>
      <c r="BR617" s="106">
        <f>VLOOKUP(BP617,[1]AGUA!$1:$1048576,6,FALSE)</f>
        <v/>
      </c>
      <c r="BS617" s="106">
        <f>VLOOKUP(BP617,[1]AGUA!$1:$1048576,7,FALSE)</f>
        <v/>
      </c>
      <c r="BT617" s="106" t="n"/>
      <c r="BU617" s="251"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4" t="n"/>
      <c r="DB617" s="254" t="n"/>
      <c r="DC617" s="254" t="n"/>
      <c r="DD617" s="254" t="n"/>
      <c r="DE617" s="254" t="n"/>
      <c r="DF617" s="254" t="n"/>
      <c r="DG617" s="254" t="n"/>
      <c r="DH617" s="254" t="n"/>
      <c r="DI617" s="254" t="n"/>
      <c r="DJ617" s="254" t="inlineStr">
        <is>
          <t>M</t>
        </is>
      </c>
      <c r="DK617" s="254" t="n">
        <v>1</v>
      </c>
      <c r="DL617" s="95" t="n">
        <v>14</v>
      </c>
      <c r="DM617" s="254" t="n"/>
      <c r="DN617" s="95" t="n"/>
      <c r="DO617" s="95" t="n"/>
    </row>
    <row r="618" ht="12.5" customHeight="1">
      <c r="A618" s="203" t="inlineStr">
        <is>
          <t>MP-17C</t>
        </is>
      </c>
      <c r="B618" s="260" t="n"/>
      <c r="C618" s="254"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61" t="n"/>
      <c r="BL618" s="7" t="inlineStr">
        <is>
          <t>GMAP-SIGA</t>
        </is>
      </c>
      <c r="BM618" s="254" t="inlineStr">
        <is>
          <t>ASUB</t>
        </is>
      </c>
      <c r="BN618" s="266" t="inlineStr">
        <is>
          <t>Michincha (camino internacional)</t>
        </is>
      </c>
      <c r="BO618" s="254" t="inlineStr">
        <is>
          <t>SI PAT TRANQUE</t>
        </is>
      </c>
      <c r="BP618" s="106" t="inlineStr">
        <is>
          <t>MP-17C/ASUB</t>
        </is>
      </c>
      <c r="BQ618" s="106">
        <f>VLOOKUP(BP618,[1]AGUA!$1:$1048576,2,FALSE)</f>
        <v/>
      </c>
      <c r="BR618" s="106">
        <f>VLOOKUP(BP618,[1]AGUA!$1:$1048576,6,FALSE)</f>
        <v/>
      </c>
      <c r="BS618" s="106">
        <f>VLOOKUP(BP618,[1]AGUA!$1:$1048576,7,FALSE)</f>
        <v/>
      </c>
      <c r="BT618" s="106" t="n"/>
      <c r="BU618" s="251"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4" t="n"/>
      <c r="DB618" s="254" t="n"/>
      <c r="DC618" s="254" t="n"/>
      <c r="DD618" s="254" t="n"/>
      <c r="DE618" s="254" t="n"/>
      <c r="DF618" s="254" t="n"/>
      <c r="DG618" s="254" t="n"/>
      <c r="DH618" s="254" t="n"/>
      <c r="DI618" s="254" t="n"/>
      <c r="DJ618" s="254" t="n"/>
      <c r="DK618" s="254" t="n"/>
      <c r="DL618" s="95" t="n"/>
      <c r="DM618" s="254" t="inlineStr">
        <is>
          <t>M</t>
        </is>
      </c>
      <c r="DN618" s="254" t="n">
        <v>1</v>
      </c>
      <c r="DO618" s="95" t="n">
        <v>14</v>
      </c>
    </row>
    <row r="619" ht="12.5" customHeight="1">
      <c r="A619" s="203" t="inlineStr">
        <is>
          <t>MP-18A</t>
        </is>
      </c>
      <c r="B619" s="260" t="inlineStr">
        <is>
          <t>MP-18C</t>
        </is>
      </c>
      <c r="C619" s="254"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61" t="inlineStr">
        <is>
          <t>530WLMP18</t>
        </is>
      </c>
      <c r="BL619" s="7" t="inlineStr">
        <is>
          <t>GMAP-SIGA</t>
        </is>
      </c>
      <c r="BM619" s="254" t="inlineStr">
        <is>
          <t>NF</t>
        </is>
      </c>
      <c r="BN619" s="266"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1"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4" t="n"/>
      <c r="DB619" s="254" t="n"/>
      <c r="DC619" s="254" t="n"/>
      <c r="DD619" s="254" t="n"/>
      <c r="DE619" s="254" t="n"/>
      <c r="DF619" s="254" t="n"/>
      <c r="DG619" s="254" t="n"/>
      <c r="DH619" s="254" t="n"/>
      <c r="DI619" s="254" t="n"/>
      <c r="DJ619" s="254" t="inlineStr">
        <is>
          <t>M</t>
        </is>
      </c>
      <c r="DK619" s="254" t="n">
        <v>1</v>
      </c>
      <c r="DL619" s="95" t="n">
        <v>14</v>
      </c>
      <c r="DM619" s="254" t="n"/>
      <c r="DN619" s="95" t="n"/>
      <c r="DO619" s="95" t="n"/>
    </row>
    <row r="620" ht="12.5" customHeight="1">
      <c r="A620" s="203" t="inlineStr">
        <is>
          <t>MP-18A</t>
        </is>
      </c>
      <c r="B620" s="260" t="inlineStr">
        <is>
          <t>MP-18C</t>
        </is>
      </c>
      <c r="C620" s="255"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255" t="n"/>
      <c r="BL620" s="7" t="inlineStr">
        <is>
          <t>GMAP-SIGA</t>
        </is>
      </c>
      <c r="BM620" s="254" t="inlineStr">
        <is>
          <t>ASUB</t>
        </is>
      </c>
      <c r="BN620" s="266"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252"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4" t="n"/>
      <c r="DB620" s="254" t="n"/>
      <c r="DC620" s="254" t="n"/>
      <c r="DD620" s="254" t="n"/>
      <c r="DE620" s="254" t="n"/>
      <c r="DF620" s="254" t="n"/>
      <c r="DG620" s="254" t="n"/>
      <c r="DH620" s="254" t="n"/>
      <c r="DI620" s="254" t="n"/>
      <c r="DJ620" s="254" t="n"/>
      <c r="DK620" s="254" t="n"/>
      <c r="DL620" s="95" t="n"/>
      <c r="DM620" s="254" t="inlineStr">
        <is>
          <t>M</t>
        </is>
      </c>
      <c r="DN620" s="254" t="n">
        <v>1</v>
      </c>
      <c r="DO620" s="95" t="n">
        <v>14</v>
      </c>
    </row>
    <row r="621" ht="12.5" customHeight="1">
      <c r="A621" s="203" t="inlineStr">
        <is>
          <t>MP-18B</t>
        </is>
      </c>
      <c r="B621" s="260" t="inlineStr">
        <is>
          <t>MP-18C</t>
        </is>
      </c>
      <c r="C621" s="254"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61" t="inlineStr">
        <is>
          <t>530WLMP18</t>
        </is>
      </c>
      <c r="BL621" s="7" t="inlineStr">
        <is>
          <t>GMAP-SIGA</t>
        </is>
      </c>
      <c r="BM621" s="254" t="inlineStr">
        <is>
          <t>NF</t>
        </is>
      </c>
      <c r="BN621" s="266"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1"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4" t="n"/>
      <c r="DB621" s="254" t="n"/>
      <c r="DC621" s="254" t="n"/>
      <c r="DD621" s="254" t="n"/>
      <c r="DE621" s="254" t="n"/>
      <c r="DF621" s="254" t="n"/>
      <c r="DG621" s="254" t="n"/>
      <c r="DH621" s="254" t="n"/>
      <c r="DI621" s="254" t="n"/>
      <c r="DJ621" s="254" t="inlineStr">
        <is>
          <t>M</t>
        </is>
      </c>
      <c r="DK621" s="254" t="n">
        <v>1</v>
      </c>
      <c r="DL621" s="95" t="n">
        <v>14</v>
      </c>
      <c r="DM621" s="254" t="n"/>
      <c r="DN621" s="95" t="n"/>
      <c r="DO621" s="95" t="n"/>
    </row>
    <row r="622" ht="12.5" customHeight="1">
      <c r="A622" s="203" t="inlineStr">
        <is>
          <t>MP-18B</t>
        </is>
      </c>
      <c r="B622" s="260" t="inlineStr">
        <is>
          <t>MP-18C</t>
        </is>
      </c>
      <c r="C622" s="255"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255" t="n"/>
      <c r="BL622" s="7" t="inlineStr">
        <is>
          <t>GMAP-SIGA</t>
        </is>
      </c>
      <c r="BM622" s="254" t="inlineStr">
        <is>
          <t>ASUB</t>
        </is>
      </c>
      <c r="BN622" s="266"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252"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4" t="n"/>
      <c r="DB622" s="254" t="n"/>
      <c r="DC622" s="254" t="n"/>
      <c r="DD622" s="254" t="n"/>
      <c r="DE622" s="254" t="n"/>
      <c r="DF622" s="254" t="n"/>
      <c r="DG622" s="254" t="n"/>
      <c r="DH622" s="254" t="n"/>
      <c r="DI622" s="254" t="n"/>
      <c r="DJ622" s="254" t="n"/>
      <c r="DK622" s="254" t="n"/>
      <c r="DL622" s="95" t="n"/>
      <c r="DM622" s="254" t="inlineStr">
        <is>
          <t>M</t>
        </is>
      </c>
      <c r="DN622" s="254" t="n">
        <v>1</v>
      </c>
      <c r="DO622" s="95" t="n">
        <v>14</v>
      </c>
    </row>
    <row r="623" ht="12.5" customHeight="1">
      <c r="A623" s="203" t="inlineStr">
        <is>
          <t>MP-18C</t>
        </is>
      </c>
      <c r="B623" s="260" t="inlineStr">
        <is>
          <t>MP-18C</t>
        </is>
      </c>
      <c r="C623" s="254"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61" t="inlineStr">
        <is>
          <t>530WLMP18</t>
        </is>
      </c>
      <c r="BL623" s="7" t="inlineStr">
        <is>
          <t>GMAP-SIGA</t>
        </is>
      </c>
      <c r="BM623" s="254" t="inlineStr">
        <is>
          <t>NF</t>
        </is>
      </c>
      <c r="BN623" s="266"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1"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4" t="n"/>
      <c r="DB623" s="254" t="n"/>
      <c r="DC623" s="254" t="n"/>
      <c r="DD623" s="254" t="n"/>
      <c r="DE623" s="254" t="n"/>
      <c r="DF623" s="254" t="n"/>
      <c r="DG623" s="254" t="n"/>
      <c r="DH623" s="254" t="n"/>
      <c r="DI623" s="254" t="n"/>
      <c r="DJ623" s="254" t="inlineStr">
        <is>
          <t>M</t>
        </is>
      </c>
      <c r="DK623" s="254" t="n">
        <v>1</v>
      </c>
      <c r="DL623" s="95" t="n">
        <v>14</v>
      </c>
      <c r="DM623" s="254" t="n"/>
      <c r="DN623" s="95" t="n"/>
      <c r="DO623" s="95" t="n"/>
    </row>
    <row r="624" ht="12.5" customHeight="1">
      <c r="A624" s="203" t="inlineStr">
        <is>
          <t>MP-18C</t>
        </is>
      </c>
      <c r="B624" s="260" t="inlineStr">
        <is>
          <t>MP-18C</t>
        </is>
      </c>
      <c r="C624" s="255"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255" t="n"/>
      <c r="BL624" s="7" t="inlineStr">
        <is>
          <t>GMAP-SIGA</t>
        </is>
      </c>
      <c r="BM624" s="254" t="inlineStr">
        <is>
          <t>ASUB</t>
        </is>
      </c>
      <c r="BN624" s="266"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252"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4" t="n"/>
      <c r="DB624" s="254" t="n"/>
      <c r="DC624" s="254" t="n"/>
      <c r="DD624" s="254" t="n"/>
      <c r="DE624" s="254" t="n"/>
      <c r="DF624" s="254" t="n"/>
      <c r="DG624" s="254" t="n"/>
      <c r="DH624" s="254" t="n"/>
      <c r="DI624" s="254" t="n"/>
      <c r="DJ624" s="254" t="n"/>
      <c r="DK624" s="254" t="n"/>
      <c r="DL624" s="95" t="n"/>
      <c r="DM624" s="254" t="inlineStr">
        <is>
          <t>M</t>
        </is>
      </c>
      <c r="DN624" s="254" t="n">
        <v>1</v>
      </c>
      <c r="DO624" s="95" t="n">
        <v>14</v>
      </c>
    </row>
    <row r="625" ht="13.5" customHeight="1">
      <c r="A625" s="203" t="inlineStr">
        <is>
          <t>MPZ-04</t>
        </is>
      </c>
      <c r="B625" s="260"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61" t="inlineStr">
        <is>
          <t>532MAMPZ</t>
        </is>
      </c>
      <c r="BL625" s="61" t="inlineStr">
        <is>
          <t>GMAP-SIGA</t>
        </is>
      </c>
      <c r="BM625" s="254" t="inlineStr">
        <is>
          <t>NF</t>
        </is>
      </c>
      <c r="BN625" s="266" t="inlineStr">
        <is>
          <t>Tranque</t>
        </is>
      </c>
      <c r="BO625" s="254"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4" t="n"/>
      <c r="DB625" s="254" t="n"/>
      <c r="DC625" s="254" t="n"/>
      <c r="DD625" s="254" t="n"/>
      <c r="DE625" s="254" t="n"/>
      <c r="DF625" s="254" t="n"/>
      <c r="DG625" s="254" t="n"/>
      <c r="DH625" s="254" t="n"/>
      <c r="DI625" s="254" t="n"/>
      <c r="DJ625" s="254" t="inlineStr">
        <is>
          <t>M</t>
        </is>
      </c>
      <c r="DK625" s="254" t="n">
        <v>22</v>
      </c>
      <c r="DL625" s="95" t="n">
        <v>28</v>
      </c>
      <c r="DM625" s="254" t="n"/>
      <c r="DN625" s="95" t="n"/>
      <c r="DO625" s="95" t="n"/>
    </row>
    <row r="626" ht="13" customHeight="1">
      <c r="A626" s="203" t="inlineStr">
        <is>
          <t>MPZ-10A</t>
        </is>
      </c>
      <c r="B626" s="260"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260" t="inlineStr">
        <is>
          <t>532MAMPZ</t>
        </is>
      </c>
      <c r="BL626" s="7" t="inlineStr">
        <is>
          <t>LIXIVIACIÓN</t>
        </is>
      </c>
      <c r="BM626" s="254" t="inlineStr">
        <is>
          <t>NF</t>
        </is>
      </c>
      <c r="BN626" s="266" t="inlineStr">
        <is>
          <t>Lixiviación</t>
        </is>
      </c>
      <c r="BO626" s="254"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4" t="n"/>
      <c r="DB626" s="254" t="n"/>
      <c r="DC626" s="254" t="n"/>
      <c r="DD626" s="254" t="n"/>
      <c r="DE626" s="254" t="n"/>
      <c r="DF626" s="254" t="n"/>
      <c r="DG626" s="254" t="n"/>
      <c r="DH626" s="254" t="n"/>
      <c r="DI626" s="254" t="n"/>
      <c r="DJ626" s="254" t="inlineStr">
        <is>
          <t>M</t>
        </is>
      </c>
      <c r="DK626" s="254" t="n">
        <v>1</v>
      </c>
      <c r="DL626" s="95" t="n">
        <v>7</v>
      </c>
      <c r="DM626" s="254" t="n"/>
      <c r="DN626" s="95" t="n"/>
      <c r="DO626" s="95" t="n"/>
    </row>
    <row r="627" ht="13" customHeight="1">
      <c r="A627" s="203" t="inlineStr">
        <is>
          <t>MPZ-10A</t>
        </is>
      </c>
      <c r="B627" s="260"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260" t="n"/>
      <c r="BL627" s="7" t="inlineStr">
        <is>
          <t>LIXIVIACIÓN</t>
        </is>
      </c>
      <c r="BM627" s="254" t="inlineStr">
        <is>
          <t>ASUB</t>
        </is>
      </c>
      <c r="BN627" s="266" t="inlineStr">
        <is>
          <t>Lixiviación</t>
        </is>
      </c>
      <c r="BO627" s="254"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4" t="n"/>
      <c r="DB627" s="254" t="n"/>
      <c r="DC627" s="254" t="n"/>
      <c r="DD627" s="254" t="n"/>
      <c r="DE627" s="254" t="n"/>
      <c r="DF627" s="254" t="n"/>
      <c r="DG627" s="254" t="n"/>
      <c r="DH627" s="254" t="n"/>
      <c r="DI627" s="254" t="n"/>
      <c r="DJ627" s="254" t="n"/>
      <c r="DK627" s="254" t="n"/>
      <c r="DL627" s="95" t="n"/>
      <c r="DM627" s="254" t="inlineStr">
        <is>
          <t>M</t>
        </is>
      </c>
      <c r="DN627" s="95" t="n">
        <v>1</v>
      </c>
      <c r="DO627" s="95" t="n">
        <v>7</v>
      </c>
    </row>
    <row r="628" ht="13" customHeight="1">
      <c r="A628" s="203" t="inlineStr">
        <is>
          <t>MPZ-10B</t>
        </is>
      </c>
      <c r="B628" s="260"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260" t="inlineStr">
        <is>
          <t>532MAMPZ</t>
        </is>
      </c>
      <c r="BL628" s="7" t="inlineStr">
        <is>
          <t>LIXIVIACIÓN</t>
        </is>
      </c>
      <c r="BM628" s="254" t="inlineStr">
        <is>
          <t>NF</t>
        </is>
      </c>
      <c r="BN628" s="266" t="inlineStr">
        <is>
          <t>Lixiviación</t>
        </is>
      </c>
      <c r="BO628" s="254"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4" t="n"/>
      <c r="DB628" s="254" t="n"/>
      <c r="DC628" s="254" t="n"/>
      <c r="DD628" s="254" t="n"/>
      <c r="DE628" s="254" t="n"/>
      <c r="DF628" s="254" t="n"/>
      <c r="DG628" s="254" t="n"/>
      <c r="DH628" s="254" t="n"/>
      <c r="DI628" s="254" t="n"/>
      <c r="DJ628" s="254" t="inlineStr">
        <is>
          <t>M</t>
        </is>
      </c>
      <c r="DK628" s="254" t="n">
        <v>1</v>
      </c>
      <c r="DL628" s="95" t="n">
        <v>7</v>
      </c>
      <c r="DM628" s="254" t="n"/>
      <c r="DN628" s="95" t="n"/>
      <c r="DO628" s="95" t="n"/>
    </row>
    <row r="629" ht="14.5" customHeight="1">
      <c r="A629" s="203" t="inlineStr">
        <is>
          <t>MPZ-10B</t>
        </is>
      </c>
      <c r="B629" s="260"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260" t="n"/>
      <c r="BL629" s="7" t="inlineStr">
        <is>
          <t>LIXIVIACIÓN</t>
        </is>
      </c>
      <c r="BM629" s="254" t="inlineStr">
        <is>
          <t>ASUB</t>
        </is>
      </c>
      <c r="BN629" s="266" t="inlineStr">
        <is>
          <t>Lixiviación</t>
        </is>
      </c>
      <c r="BO629" s="254"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4" t="n"/>
      <c r="DB629" s="254" t="n"/>
      <c r="DC629" s="254" t="n"/>
      <c r="DD629" s="254" t="n"/>
      <c r="DE629" s="254" t="n"/>
      <c r="DF629" s="254" t="n"/>
      <c r="DG629" s="254" t="n"/>
      <c r="DH629" s="254" t="n"/>
      <c r="DI629" s="254" t="n"/>
      <c r="DJ629" s="254" t="n"/>
      <c r="DK629" s="254" t="n"/>
      <c r="DL629" s="95" t="n"/>
      <c r="DM629" s="254" t="inlineStr">
        <is>
          <t>M</t>
        </is>
      </c>
      <c r="DN629" s="95" t="n">
        <v>1</v>
      </c>
      <c r="DO629" s="95" t="n">
        <v>7</v>
      </c>
    </row>
    <row r="630" ht="14.5" customHeight="1">
      <c r="A630" s="203" t="inlineStr">
        <is>
          <t>MPZ-11A</t>
        </is>
      </c>
      <c r="B630" s="260"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260" t="n"/>
      <c r="BL630" s="7" t="inlineStr">
        <is>
          <t>GMAP-SIGA</t>
        </is>
      </c>
      <c r="BM630" s="254" t="inlineStr">
        <is>
          <t>NF</t>
        </is>
      </c>
      <c r="BN630" s="266" t="inlineStr">
        <is>
          <t>Michincha</t>
        </is>
      </c>
      <c r="BO630" s="254"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4" t="n"/>
      <c r="DB630" s="254" t="n"/>
      <c r="DC630" s="254" t="n"/>
      <c r="DD630" s="254" t="n"/>
      <c r="DE630" s="254" t="n"/>
      <c r="DF630" s="254" t="n"/>
      <c r="DG630" s="254" t="n"/>
      <c r="DH630" s="254" t="n"/>
      <c r="DI630" s="254" t="n"/>
      <c r="DJ630" s="254" t="n"/>
      <c r="DK630" s="254" t="n"/>
      <c r="DL630" s="95" t="n"/>
      <c r="DM630" s="254" t="n"/>
      <c r="DN630" s="95" t="n"/>
      <c r="DO630" s="95" t="n"/>
    </row>
    <row r="631" ht="13" customHeight="1">
      <c r="A631" s="203" t="inlineStr">
        <is>
          <t>MPZ-11B</t>
        </is>
      </c>
      <c r="B631" s="260" t="inlineStr">
        <is>
          <t>MPZ-11B MICHINCHA</t>
        </is>
      </c>
      <c r="C631" s="254"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259" t="inlineStr">
        <is>
          <t>532MAMPZ</t>
        </is>
      </c>
      <c r="BL631" s="7" t="inlineStr">
        <is>
          <t>GMAP-SIGA</t>
        </is>
      </c>
      <c r="BM631" s="254" t="inlineStr">
        <is>
          <t>NF</t>
        </is>
      </c>
      <c r="BN631" s="266" t="inlineStr">
        <is>
          <t>Michincha</t>
        </is>
      </c>
      <c r="BO631" s="254"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4" t="n"/>
      <c r="DB631" s="254" t="n"/>
      <c r="DC631" s="254" t="n"/>
      <c r="DD631" s="254" t="n"/>
      <c r="DE631" s="254" t="n"/>
      <c r="DF631" s="254" t="n"/>
      <c r="DG631" s="254" t="n"/>
      <c r="DH631" s="254" t="n"/>
      <c r="DI631" s="254" t="n"/>
      <c r="DJ631" s="254" t="inlineStr">
        <is>
          <t>M</t>
        </is>
      </c>
      <c r="DK631" s="254" t="n">
        <v>1</v>
      </c>
      <c r="DL631" s="95" t="n">
        <v>7</v>
      </c>
      <c r="DM631" s="254" t="n"/>
      <c r="DN631" s="95" t="n"/>
      <c r="DO631" s="95" t="n"/>
    </row>
    <row r="632" ht="13" customHeight="1">
      <c r="A632" s="203" t="inlineStr">
        <is>
          <t>MPZ-11B</t>
        </is>
      </c>
      <c r="B632" s="255" t="n"/>
      <c r="C632" s="255"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255" t="n"/>
      <c r="BL632" s="7" t="inlineStr">
        <is>
          <t>GMAP-SIGA</t>
        </is>
      </c>
      <c r="BM632" s="254" t="inlineStr">
        <is>
          <t>ASUB</t>
        </is>
      </c>
      <c r="BN632" s="266" t="inlineStr">
        <is>
          <t>Michincha</t>
        </is>
      </c>
      <c r="BO632" s="254"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4" t="n"/>
      <c r="DB632" s="254" t="n"/>
      <c r="DC632" s="254" t="n"/>
      <c r="DD632" s="254" t="n"/>
      <c r="DE632" s="254" t="n"/>
      <c r="DF632" s="254" t="n"/>
      <c r="DG632" s="254" t="n"/>
      <c r="DH632" s="254" t="n"/>
      <c r="DI632" s="254" t="n"/>
      <c r="DJ632" s="254" t="n"/>
      <c r="DK632" s="254" t="n"/>
      <c r="DL632" s="95" t="n"/>
      <c r="DM632" s="254" t="inlineStr">
        <is>
          <t>T</t>
        </is>
      </c>
      <c r="DN632" s="95" t="n">
        <v>1</v>
      </c>
      <c r="DO632" s="95" t="n">
        <v>7</v>
      </c>
    </row>
    <row r="633" ht="14.5" customHeight="1">
      <c r="A633" s="203" t="inlineStr">
        <is>
          <t>MPZ-12</t>
        </is>
      </c>
      <c r="B633" s="260"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61" t="inlineStr">
        <is>
          <t>532MAMPZ</t>
        </is>
      </c>
      <c r="BL633" s="61" t="inlineStr">
        <is>
          <t>GMAP-SIGA</t>
        </is>
      </c>
      <c r="BM633" s="254" t="inlineStr">
        <is>
          <t>NF</t>
        </is>
      </c>
      <c r="BN633" s="266" t="inlineStr">
        <is>
          <t>Tranque</t>
        </is>
      </c>
      <c r="BO633" s="254"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4" t="n"/>
      <c r="DB633" s="254" t="n"/>
      <c r="DC633" s="254" t="n"/>
      <c r="DD633" s="254" t="n"/>
      <c r="DE633" s="254" t="n"/>
      <c r="DF633" s="254" t="n"/>
      <c r="DG633" s="254" t="n"/>
      <c r="DH633" s="254" t="n"/>
      <c r="DI633" s="254" t="n"/>
      <c r="DJ633" s="254" t="inlineStr">
        <is>
          <t>M</t>
        </is>
      </c>
      <c r="DK633" s="254" t="n">
        <v>22</v>
      </c>
      <c r="DL633" s="95" t="n">
        <v>28</v>
      </c>
      <c r="DM633" s="254" t="n"/>
      <c r="DN633" s="95" t="n"/>
      <c r="DO633" s="95" t="n"/>
    </row>
    <row r="634" ht="13" customHeight="1">
      <c r="A634" s="203" t="inlineStr">
        <is>
          <t>MPZ-12A</t>
        </is>
      </c>
      <c r="B634" s="260" t="inlineStr">
        <is>
          <t>MPZ-12A TRANQUE</t>
        </is>
      </c>
      <c r="C634" s="254"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61" t="inlineStr">
        <is>
          <t>532MAMPZ</t>
        </is>
      </c>
      <c r="BL634" s="7" t="inlineStr">
        <is>
          <t>GMAP-SIGA</t>
        </is>
      </c>
      <c r="BM634" s="254" t="inlineStr">
        <is>
          <t>NF</t>
        </is>
      </c>
      <c r="BN634" s="266" t="inlineStr">
        <is>
          <t>Tranque</t>
        </is>
      </c>
      <c r="BO634" s="254" t="inlineStr">
        <is>
          <t>SI PAT TRANQUE</t>
        </is>
      </c>
      <c r="BP634" s="106" t="inlineStr">
        <is>
          <t>MPZ-12A TRANQUE/NF</t>
        </is>
      </c>
      <c r="BQ634" s="106">
        <f>VLOOKUP(BP634,[1]AGUA!$1:$1048576,2,FALSE)</f>
        <v/>
      </c>
      <c r="BR634" s="106">
        <f>VLOOKUP(BP634,[1]AGUA!$1:$1048576,6,FALSE)</f>
        <v/>
      </c>
      <c r="BS634" s="106">
        <f>VLOOKUP(BP634,[1]AGUA!$1:$1048576,7,FALSE)</f>
        <v/>
      </c>
      <c r="BT634" s="106" t="n"/>
      <c r="BU634" s="251"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4" t="n"/>
      <c r="DB634" s="254" t="n"/>
      <c r="DC634" s="254" t="n"/>
      <c r="DD634" s="254" t="n"/>
      <c r="DE634" s="254" t="n"/>
      <c r="DF634" s="254" t="n"/>
      <c r="DG634" s="254" t="n"/>
      <c r="DH634" s="254" t="n"/>
      <c r="DI634" s="254" t="n"/>
      <c r="DJ634" s="254" t="inlineStr">
        <is>
          <t>M</t>
        </is>
      </c>
      <c r="DK634" s="254" t="n">
        <v>8</v>
      </c>
      <c r="DL634" s="95" t="n">
        <v>14</v>
      </c>
      <c r="DM634" s="254" t="n"/>
      <c r="DN634" s="95" t="n"/>
      <c r="DO634" s="95" t="n"/>
    </row>
    <row r="635" ht="13" customHeight="1">
      <c r="A635" s="203" t="inlineStr">
        <is>
          <t>MPZ-12A</t>
        </is>
      </c>
      <c r="B635" s="260" t="inlineStr">
        <is>
          <t>MPZ-12A TRANQUE</t>
        </is>
      </c>
      <c r="C635" s="255"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255" t="n"/>
      <c r="BL635" s="7" t="inlineStr">
        <is>
          <t>GMAP-SIGA</t>
        </is>
      </c>
      <c r="BM635" s="254" t="inlineStr">
        <is>
          <t>ASUB</t>
        </is>
      </c>
      <c r="BN635" s="266" t="inlineStr">
        <is>
          <t>Tranque</t>
        </is>
      </c>
      <c r="BO635" s="254" t="inlineStr">
        <is>
          <t>SI PAT TRANQUE</t>
        </is>
      </c>
      <c r="BP635" s="106" t="inlineStr">
        <is>
          <t>MPZ-12A TRANQUE/ASUB</t>
        </is>
      </c>
      <c r="BQ635" s="106">
        <f>VLOOKUP(BP635,[1]AGUA!$1:$1048576,2,FALSE)</f>
        <v/>
      </c>
      <c r="BR635" s="106">
        <f>VLOOKUP(BP635,[1]AGUA!$1:$1048576,6,FALSE)</f>
        <v/>
      </c>
      <c r="BS635" s="106">
        <f>VLOOKUP(BP635,[1]AGUA!$1:$1048576,7,FALSE)</f>
        <v/>
      </c>
      <c r="BT635" s="106" t="n"/>
      <c r="BU635" s="252"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4" t="n"/>
      <c r="DB635" s="254" t="n"/>
      <c r="DC635" s="254" t="n"/>
      <c r="DD635" s="254" t="n"/>
      <c r="DE635" s="254" t="n"/>
      <c r="DF635" s="254" t="n"/>
      <c r="DG635" s="254" t="n"/>
      <c r="DH635" s="254" t="n"/>
      <c r="DI635" s="254" t="n"/>
      <c r="DJ635" s="254" t="n"/>
      <c r="DK635" s="254" t="n"/>
      <c r="DL635" s="95" t="n"/>
      <c r="DM635" s="254" t="inlineStr">
        <is>
          <t>M</t>
        </is>
      </c>
      <c r="DN635" s="95" t="n">
        <v>8</v>
      </c>
      <c r="DO635" s="95" t="n">
        <v>14</v>
      </c>
    </row>
    <row r="636" ht="13" customHeight="1">
      <c r="A636" s="203" t="inlineStr">
        <is>
          <t>MPZ-12AL2</t>
        </is>
      </c>
      <c r="B636" s="260"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61" t="inlineStr">
        <is>
          <t>532MAMPZ</t>
        </is>
      </c>
      <c r="BL636" s="61" t="inlineStr">
        <is>
          <t>GMAP-SIGA</t>
        </is>
      </c>
      <c r="BM636" s="254" t="inlineStr">
        <is>
          <t>NF</t>
        </is>
      </c>
      <c r="BN636" s="266" t="inlineStr">
        <is>
          <t>Tranque</t>
        </is>
      </c>
      <c r="BO636" s="254"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4" t="n"/>
      <c r="DB636" s="254" t="n"/>
      <c r="DC636" s="254" t="n"/>
      <c r="DD636" s="254" t="n"/>
      <c r="DE636" s="254" t="n"/>
      <c r="DF636" s="254" t="n"/>
      <c r="DG636" s="254" t="n"/>
      <c r="DH636" s="254" t="n"/>
      <c r="DI636" s="254" t="n"/>
      <c r="DJ636" s="254" t="inlineStr">
        <is>
          <t>M</t>
        </is>
      </c>
      <c r="DK636" s="254" t="n">
        <v>22</v>
      </c>
      <c r="DL636" s="95" t="n">
        <v>28</v>
      </c>
      <c r="DM636" s="254" t="n"/>
      <c r="DN636" s="95" t="n"/>
      <c r="DO636" s="95" t="n"/>
    </row>
    <row r="637" ht="13" customHeight="1">
      <c r="A637" s="203" t="inlineStr">
        <is>
          <t>MPZ-12L2</t>
        </is>
      </c>
      <c r="B637" s="260"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61" t="inlineStr">
        <is>
          <t>532MAMPZ</t>
        </is>
      </c>
      <c r="BL637" s="61" t="inlineStr">
        <is>
          <t>GMAP-SIGA</t>
        </is>
      </c>
      <c r="BM637" s="254" t="inlineStr">
        <is>
          <t>NF</t>
        </is>
      </c>
      <c r="BN637" s="266" t="inlineStr">
        <is>
          <t>Tranque</t>
        </is>
      </c>
      <c r="BO637" s="254"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4" t="n"/>
      <c r="DB637" s="254" t="n"/>
      <c r="DC637" s="254" t="n"/>
      <c r="DD637" s="254" t="n"/>
      <c r="DE637" s="254" t="n"/>
      <c r="DF637" s="254" t="n"/>
      <c r="DG637" s="254" t="n"/>
      <c r="DH637" s="254" t="n"/>
      <c r="DI637" s="254" t="n"/>
      <c r="DJ637" s="254" t="inlineStr">
        <is>
          <t>M</t>
        </is>
      </c>
      <c r="DK637" s="254" t="n">
        <v>22</v>
      </c>
      <c r="DL637" s="95" t="n">
        <v>28</v>
      </c>
      <c r="DM637" s="254" t="n"/>
      <c r="DN637" s="95" t="n"/>
      <c r="DO637" s="95" t="n"/>
    </row>
    <row r="638" ht="13" customHeight="1">
      <c r="A638" s="203" t="inlineStr">
        <is>
          <t>MTP-09</t>
        </is>
      </c>
      <c r="B638" s="260" t="inlineStr">
        <is>
          <t>MTP-09 TRANQUE</t>
        </is>
      </c>
      <c r="C638" s="254"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259" t="inlineStr">
        <is>
          <t>532MAMTP</t>
        </is>
      </c>
      <c r="BL638" s="7" t="inlineStr">
        <is>
          <t>GTAM/GGAYC</t>
        </is>
      </c>
      <c r="BM638" s="254" t="inlineStr">
        <is>
          <t>NF</t>
        </is>
      </c>
      <c r="BN638" s="266" t="inlineStr">
        <is>
          <t>Tranque</t>
        </is>
      </c>
      <c r="BO638" s="254"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4" t="n"/>
      <c r="DB638" s="254" t="n"/>
      <c r="DC638" s="254" t="n"/>
      <c r="DD638" s="254" t="n"/>
      <c r="DE638" s="254" t="n"/>
      <c r="DF638" s="254" t="n"/>
      <c r="DG638" s="254" t="n"/>
      <c r="DH638" s="254" t="n"/>
      <c r="DI638" s="254" t="n"/>
      <c r="DJ638" s="254" t="inlineStr">
        <is>
          <t>M</t>
        </is>
      </c>
      <c r="DK638" s="254" t="n">
        <v>1</v>
      </c>
      <c r="DL638" s="95" t="n">
        <v>7</v>
      </c>
      <c r="DM638" s="254" t="n"/>
      <c r="DN638" s="95" t="n"/>
      <c r="DO638" s="95" t="n"/>
    </row>
    <row r="639" ht="13" customHeight="1">
      <c r="A639" s="203" t="inlineStr">
        <is>
          <t>MTP-09</t>
        </is>
      </c>
      <c r="B639" s="255" t="n"/>
      <c r="C639" s="255"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255" t="n"/>
      <c r="BL639" s="7" t="inlineStr">
        <is>
          <t>GTAM</t>
        </is>
      </c>
      <c r="BM639" s="254" t="inlineStr">
        <is>
          <t>ASUB</t>
        </is>
      </c>
      <c r="BN639" s="266" t="inlineStr">
        <is>
          <t>Tranque</t>
        </is>
      </c>
      <c r="BO639" s="254"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inlineStr">
        <is>
          <t>R</t>
        </is>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4" t="n"/>
      <c r="DB639" s="254" t="n"/>
      <c r="DC639" s="254" t="n"/>
      <c r="DD639" s="254" t="n"/>
      <c r="DE639" s="254" t="n"/>
      <c r="DF639" s="254" t="n"/>
      <c r="DG639" s="254" t="n"/>
      <c r="DH639" s="254" t="n"/>
      <c r="DI639" s="254" t="n"/>
      <c r="DJ639" s="254" t="n"/>
      <c r="DK639" s="254" t="n"/>
      <c r="DL639" s="95" t="n"/>
      <c r="DM639" s="254" t="inlineStr">
        <is>
          <t>T</t>
        </is>
      </c>
      <c r="DN639" s="95" t="n">
        <v>1</v>
      </c>
      <c r="DO639" s="95" t="n">
        <v>7</v>
      </c>
    </row>
    <row r="640" ht="13" customHeight="1">
      <c r="A640" s="203" t="inlineStr">
        <is>
          <t>MTP-11</t>
        </is>
      </c>
      <c r="B640" s="260" t="inlineStr">
        <is>
          <t>MTP-11 LIXIVIACIÓN</t>
        </is>
      </c>
      <c r="C640" s="254"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259" t="inlineStr">
        <is>
          <t>532MAMTP</t>
        </is>
      </c>
      <c r="BL640" s="7" t="inlineStr">
        <is>
          <t>LIXIVIACIÓN</t>
        </is>
      </c>
      <c r="BM640" s="254" t="inlineStr">
        <is>
          <t>NF</t>
        </is>
      </c>
      <c r="BN640" s="266" t="inlineStr">
        <is>
          <t>Lixiviación</t>
        </is>
      </c>
      <c r="BO640" s="254" t="inlineStr">
        <is>
          <t>SI</t>
        </is>
      </c>
      <c r="BP640" s="106" t="inlineStr">
        <is>
          <t>MTP-11 LIXIVIACIÓN/NF</t>
        </is>
      </c>
      <c r="BQ640" s="106">
        <f>VLOOKUP(BP640,[1]AGUA!$1:$1048576,2,FALSE)</f>
        <v/>
      </c>
      <c r="BR640" s="106">
        <f>VLOOKUP(BP640,[1]AGUA!$1:$1048576,6,FALSE)</f>
        <v/>
      </c>
      <c r="BS640" s="106">
        <f>VLOOKUP(BP640,[1]AGUA!$1:$1048576,7,FALSE)</f>
        <v/>
      </c>
      <c r="BT640" s="106" t="n"/>
      <c r="BU640" s="251"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4" t="n"/>
      <c r="DB640" s="254" t="n"/>
      <c r="DC640" s="254" t="n"/>
      <c r="DD640" s="254" t="n"/>
      <c r="DE640" s="254" t="n"/>
      <c r="DF640" s="254" t="n"/>
      <c r="DG640" s="254" t="n"/>
      <c r="DH640" s="254" t="n"/>
      <c r="DI640" s="254" t="n"/>
      <c r="DJ640" s="254" t="inlineStr">
        <is>
          <t>M</t>
        </is>
      </c>
      <c r="DK640" s="254" t="n">
        <v>15</v>
      </c>
      <c r="DL640" s="95" t="n">
        <v>21</v>
      </c>
      <c r="DM640" s="254" t="n"/>
      <c r="DN640" s="95" t="n"/>
      <c r="DO640" s="95" t="n"/>
    </row>
    <row r="641" ht="13" customHeight="1">
      <c r="A641" s="203" t="inlineStr">
        <is>
          <t>MTP-11</t>
        </is>
      </c>
      <c r="B641" s="255" t="n"/>
      <c r="C641" s="255"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255" t="n"/>
      <c r="BL641" s="7" t="inlineStr">
        <is>
          <t>LIXIVIACIÓN</t>
        </is>
      </c>
      <c r="BM641" s="168" t="inlineStr">
        <is>
          <t>ASUB</t>
        </is>
      </c>
      <c r="BN641" s="266" t="inlineStr">
        <is>
          <t>Lixiviación</t>
        </is>
      </c>
      <c r="BO641" s="254" t="inlineStr">
        <is>
          <t>SI</t>
        </is>
      </c>
      <c r="BP641" s="106" t="inlineStr">
        <is>
          <t>MTP-11 LIXIVIACIÓN/ASUB</t>
        </is>
      </c>
      <c r="BQ641" s="106">
        <f>VLOOKUP(BP641,[1]AGUA!$1:$1048576,2,FALSE)</f>
        <v/>
      </c>
      <c r="BR641" s="106">
        <f>VLOOKUP(BP641,[1]AGUA!$1:$1048576,6,FALSE)</f>
        <v/>
      </c>
      <c r="BS641" s="106">
        <f>VLOOKUP(BP641,[1]AGUA!$1:$1048576,7,FALSE)</f>
        <v/>
      </c>
      <c r="BT641" s="106" t="n"/>
      <c r="BU641" s="252"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4" t="n"/>
      <c r="DB641" s="254" t="n"/>
      <c r="DC641" s="254" t="n"/>
      <c r="DD641" s="254" t="n"/>
      <c r="DE641" s="254" t="n"/>
      <c r="DF641" s="254" t="n"/>
      <c r="DG641" s="254" t="n"/>
      <c r="DH641" s="254" t="n"/>
      <c r="DI641" s="254" t="n"/>
      <c r="DJ641" s="254" t="n"/>
      <c r="DK641" s="254" t="n"/>
      <c r="DL641" s="95" t="n"/>
      <c r="DM641" s="254" t="inlineStr">
        <is>
          <t>T</t>
        </is>
      </c>
      <c r="DN641" s="95" t="n">
        <v>15</v>
      </c>
      <c r="DO641" s="95" t="n">
        <v>21</v>
      </c>
    </row>
    <row r="642" ht="13" customHeight="1">
      <c r="A642" s="203" t="inlineStr">
        <is>
          <t>MTP-12</t>
        </is>
      </c>
      <c r="B642" s="260" t="inlineStr">
        <is>
          <t>MTP-12 TRANQUE</t>
        </is>
      </c>
      <c r="C642" s="254"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259" t="inlineStr">
        <is>
          <t>532MAMTP</t>
        </is>
      </c>
      <c r="BL642" s="7" t="inlineStr">
        <is>
          <t>GTAM/GGAYC</t>
        </is>
      </c>
      <c r="BM642" s="254" t="inlineStr">
        <is>
          <t>NF</t>
        </is>
      </c>
      <c r="BN642" s="266" t="inlineStr">
        <is>
          <t>Tranque</t>
        </is>
      </c>
      <c r="BO642" s="254"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4" t="n"/>
      <c r="DB642" s="254" t="n"/>
      <c r="DC642" s="254" t="n"/>
      <c r="DD642" s="254" t="n"/>
      <c r="DE642" s="254" t="n"/>
      <c r="DF642" s="254" t="n"/>
      <c r="DG642" s="254" t="n"/>
      <c r="DH642" s="254" t="n"/>
      <c r="DI642" s="254" t="n"/>
      <c r="DJ642" s="254" t="inlineStr">
        <is>
          <t>M</t>
        </is>
      </c>
      <c r="DK642" s="254" t="n">
        <v>1</v>
      </c>
      <c r="DL642" s="95" t="n">
        <v>7</v>
      </c>
      <c r="DM642" s="254" t="n"/>
      <c r="DN642" s="95" t="n"/>
      <c r="DO642" s="95" t="n"/>
    </row>
    <row r="643" ht="13" customHeight="1">
      <c r="A643" s="203" t="inlineStr">
        <is>
          <t>MTP-12</t>
        </is>
      </c>
      <c r="B643" s="255" t="n"/>
      <c r="C643" s="255"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255" t="n"/>
      <c r="BL643" s="7" t="inlineStr">
        <is>
          <t>GTAM</t>
        </is>
      </c>
      <c r="BM643" s="254" t="inlineStr">
        <is>
          <t>ASUB</t>
        </is>
      </c>
      <c r="BN643" s="266" t="inlineStr">
        <is>
          <t>Tranque</t>
        </is>
      </c>
      <c r="BO643" s="254"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4" t="n"/>
      <c r="DB643" s="254" t="n"/>
      <c r="DC643" s="254" t="n"/>
      <c r="DD643" s="254" t="n"/>
      <c r="DE643" s="254" t="n"/>
      <c r="DF643" s="254" t="n"/>
      <c r="DG643" s="254" t="n"/>
      <c r="DH643" s="254" t="n"/>
      <c r="DI643" s="254" t="n"/>
      <c r="DJ643" s="254" t="n"/>
      <c r="DK643" s="254" t="n"/>
      <c r="DL643" s="95" t="n"/>
      <c r="DM643" s="254" t="inlineStr">
        <is>
          <t>T</t>
        </is>
      </c>
      <c r="DN643" s="95" t="n">
        <v>1</v>
      </c>
      <c r="DO643" s="95" t="n">
        <v>7</v>
      </c>
    </row>
    <row r="644" ht="13" customHeight="1">
      <c r="A644" s="203" t="inlineStr">
        <is>
          <t>MTP-13</t>
        </is>
      </c>
      <c r="B644" s="260" t="inlineStr">
        <is>
          <t>MTP-13 MICHINCHA</t>
        </is>
      </c>
      <c r="C644" s="254"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259" t="inlineStr">
        <is>
          <t>532MAMTP</t>
        </is>
      </c>
      <c r="BL644" s="7" t="inlineStr">
        <is>
          <t>GTAM/GGAYC</t>
        </is>
      </c>
      <c r="BM644" s="254" t="inlineStr">
        <is>
          <t>NF</t>
        </is>
      </c>
      <c r="BN644" s="266" t="inlineStr">
        <is>
          <t>Tranque (Canal del este)</t>
        </is>
      </c>
      <c r="BO644" s="254"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4" t="n"/>
      <c r="DB644" s="254" t="n"/>
      <c r="DC644" s="254" t="n"/>
      <c r="DD644" s="254" t="n"/>
      <c r="DE644" s="254" t="n"/>
      <c r="DF644" s="254" t="n"/>
      <c r="DG644" s="254" t="n"/>
      <c r="DH644" s="254" t="n"/>
      <c r="DI644" s="254" t="n"/>
      <c r="DJ644" s="254" t="inlineStr">
        <is>
          <t>M</t>
        </is>
      </c>
      <c r="DK644" s="254" t="n">
        <v>1</v>
      </c>
      <c r="DL644" s="95" t="n">
        <v>7</v>
      </c>
      <c r="DM644" s="254" t="n"/>
      <c r="DN644" s="95" t="n"/>
      <c r="DO644" s="95" t="n"/>
    </row>
    <row r="645" ht="13" customHeight="1">
      <c r="A645" s="203" t="inlineStr">
        <is>
          <t>MTP-13</t>
        </is>
      </c>
      <c r="B645" s="255" t="n"/>
      <c r="C645" s="255"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255" t="n"/>
      <c r="BL645" s="7" t="inlineStr">
        <is>
          <t>GTAM</t>
        </is>
      </c>
      <c r="BM645" s="254" t="inlineStr">
        <is>
          <t>ASUB</t>
        </is>
      </c>
      <c r="BN645" s="266" t="inlineStr">
        <is>
          <t>Tranque (Canal del este)</t>
        </is>
      </c>
      <c r="BO645" s="254"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4" t="n"/>
      <c r="DB645" s="254" t="n"/>
      <c r="DC645" s="254" t="n"/>
      <c r="DD645" s="254" t="n"/>
      <c r="DE645" s="254" t="n"/>
      <c r="DF645" s="254" t="n"/>
      <c r="DG645" s="254" t="n"/>
      <c r="DH645" s="254" t="n"/>
      <c r="DI645" s="254" t="n"/>
      <c r="DJ645" s="254" t="n"/>
      <c r="DK645" s="254" t="n"/>
      <c r="DL645" s="95" t="n"/>
      <c r="DM645" s="254" t="inlineStr">
        <is>
          <t>T</t>
        </is>
      </c>
      <c r="DN645" s="95" t="n">
        <v>1</v>
      </c>
      <c r="DO645" s="95" t="n">
        <v>7</v>
      </c>
    </row>
    <row r="646" ht="13" customHeight="1">
      <c r="A646" s="203" t="inlineStr">
        <is>
          <t>MTP-14</t>
        </is>
      </c>
      <c r="B646" s="260" t="inlineStr">
        <is>
          <t>MTP-14 TRANQUE</t>
        </is>
      </c>
      <c r="C646" s="254"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61" t="inlineStr">
        <is>
          <t>532MAMTP</t>
        </is>
      </c>
      <c r="BL646" s="7" t="inlineStr">
        <is>
          <t>GTAM/GGAYC</t>
        </is>
      </c>
      <c r="BM646" s="254" t="inlineStr">
        <is>
          <t>NF</t>
        </is>
      </c>
      <c r="BN646" s="266" t="inlineStr">
        <is>
          <t>Tranque</t>
        </is>
      </c>
      <c r="BO646" s="254"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4" t="n"/>
      <c r="DB646" s="254" t="n"/>
      <c r="DC646" s="254" t="n"/>
      <c r="DD646" s="254" t="n"/>
      <c r="DE646" s="254" t="n"/>
      <c r="DF646" s="254" t="n"/>
      <c r="DG646" s="254" t="n"/>
      <c r="DH646" s="254" t="n"/>
      <c r="DI646" s="254" t="n"/>
      <c r="DJ646" s="254" t="inlineStr">
        <is>
          <t>M</t>
        </is>
      </c>
      <c r="DK646" s="254" t="n">
        <v>1</v>
      </c>
      <c r="DL646" s="95" t="n">
        <v>7</v>
      </c>
      <c r="DM646" s="254" t="n"/>
      <c r="DN646" s="95" t="n"/>
      <c r="DO646" s="95" t="n"/>
    </row>
    <row r="647" ht="13" customHeight="1">
      <c r="A647" s="203" t="inlineStr">
        <is>
          <t>MTP-14</t>
        </is>
      </c>
      <c r="B647" s="255" t="n"/>
      <c r="C647" s="255"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255" t="n"/>
      <c r="BL647" s="7" t="inlineStr">
        <is>
          <t>GTAM</t>
        </is>
      </c>
      <c r="BM647" s="254" t="inlineStr">
        <is>
          <t>ASUB</t>
        </is>
      </c>
      <c r="BN647" s="266" t="inlineStr">
        <is>
          <t>Tranque</t>
        </is>
      </c>
      <c r="BO647" s="254"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inlineStr">
        <is>
          <t>R</t>
        </is>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4" t="n"/>
      <c r="DB647" s="254" t="n"/>
      <c r="DC647" s="254" t="n"/>
      <c r="DD647" s="254" t="n"/>
      <c r="DE647" s="254" t="n"/>
      <c r="DF647" s="254" t="n"/>
      <c r="DG647" s="254" t="n"/>
      <c r="DH647" s="254" t="n"/>
      <c r="DI647" s="254" t="n"/>
      <c r="DJ647" s="254" t="n"/>
      <c r="DK647" s="254" t="n"/>
      <c r="DL647" s="95" t="n"/>
      <c r="DM647" s="254" t="inlineStr">
        <is>
          <t>T</t>
        </is>
      </c>
      <c r="DN647" s="95" t="n">
        <v>1</v>
      </c>
      <c r="DO647" s="95" t="n">
        <v>7</v>
      </c>
    </row>
    <row r="648" ht="16.5" customHeight="1">
      <c r="A648" s="203" t="inlineStr">
        <is>
          <t>MTP-15</t>
        </is>
      </c>
      <c r="B648" s="260"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259" t="inlineStr">
        <is>
          <t>532MAMTP</t>
        </is>
      </c>
      <c r="BL648" s="7" t="inlineStr">
        <is>
          <t>GTAM</t>
        </is>
      </c>
      <c r="BM648" s="254" t="inlineStr">
        <is>
          <t>NF</t>
        </is>
      </c>
      <c r="BN648" s="266" t="inlineStr">
        <is>
          <t>Tranque</t>
        </is>
      </c>
      <c r="BO648" s="254"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4" t="n"/>
      <c r="DB648" s="254" t="n"/>
      <c r="DC648" s="254" t="n"/>
      <c r="DD648" s="254" t="n"/>
      <c r="DE648" s="254" t="n"/>
      <c r="DF648" s="254" t="n"/>
      <c r="DG648" s="254" t="n"/>
      <c r="DH648" s="254" t="n"/>
      <c r="DI648" s="254" t="n"/>
      <c r="DJ648" s="254" t="inlineStr">
        <is>
          <t>M</t>
        </is>
      </c>
      <c r="DK648" s="254" t="n">
        <v>15</v>
      </c>
      <c r="DL648" s="95" t="n">
        <v>21</v>
      </c>
      <c r="DM648" s="254" t="n"/>
      <c r="DN648" s="95" t="n"/>
      <c r="DO648" s="95" t="n"/>
    </row>
    <row r="649" ht="13" customHeight="1">
      <c r="A649" s="203" t="inlineStr">
        <is>
          <t>MTP-16</t>
        </is>
      </c>
      <c r="B649" s="260" t="inlineStr">
        <is>
          <t>MTP-16 TRANQUE</t>
        </is>
      </c>
      <c r="C649" s="254"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259" t="inlineStr">
        <is>
          <t>532MAMTP</t>
        </is>
      </c>
      <c r="BL649" s="7" t="inlineStr">
        <is>
          <t>GTAM</t>
        </is>
      </c>
      <c r="BM649" s="254" t="inlineStr">
        <is>
          <t>NF</t>
        </is>
      </c>
      <c r="BN649" s="266" t="inlineStr">
        <is>
          <t>Tranque</t>
        </is>
      </c>
      <c r="BO649" s="254" t="inlineStr">
        <is>
          <t>SI</t>
        </is>
      </c>
      <c r="BP649" s="106" t="inlineStr">
        <is>
          <t>MTP-16 TRANQUE/NF</t>
        </is>
      </c>
      <c r="BQ649" s="106">
        <f>VLOOKUP(BP649,[1]AGUA!$1:$1048576,2,FALSE)</f>
        <v/>
      </c>
      <c r="BR649" s="106">
        <f>VLOOKUP(BP649,[1]AGUA!$1:$1048576,6,FALSE)</f>
        <v/>
      </c>
      <c r="BS649" s="106">
        <f>VLOOKUP(BP649,[1]AGUA!$1:$1048576,7,FALSE)</f>
        <v/>
      </c>
      <c r="BT649" s="106" t="n"/>
      <c r="BU649" s="251"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4" t="n"/>
      <c r="DB649" s="254" t="n"/>
      <c r="DC649" s="254" t="n"/>
      <c r="DD649" s="254" t="n"/>
      <c r="DE649" s="254" t="n"/>
      <c r="DF649" s="254" t="n"/>
      <c r="DG649" s="254" t="n"/>
      <c r="DH649" s="254" t="n"/>
      <c r="DI649" s="254" t="n"/>
      <c r="DJ649" s="254" t="inlineStr">
        <is>
          <t>M</t>
        </is>
      </c>
      <c r="DK649" s="254" t="n">
        <v>15</v>
      </c>
      <c r="DL649" s="95" t="n">
        <v>21</v>
      </c>
      <c r="DM649" s="254" t="n"/>
      <c r="DN649" s="95" t="n"/>
      <c r="DO649" s="95" t="n"/>
    </row>
    <row r="650" ht="13" customHeight="1">
      <c r="A650" s="203" t="inlineStr">
        <is>
          <t>MTP-16</t>
        </is>
      </c>
      <c r="B650" s="255" t="n"/>
      <c r="C650" s="255"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255" t="n"/>
      <c r="BL650" s="7" t="inlineStr">
        <is>
          <t>GTAM</t>
        </is>
      </c>
      <c r="BM650" s="168" t="inlineStr">
        <is>
          <t>ASUB</t>
        </is>
      </c>
      <c r="BN650" s="266" t="inlineStr">
        <is>
          <t>Tranque</t>
        </is>
      </c>
      <c r="BO650" s="254" t="inlineStr">
        <is>
          <t>SI</t>
        </is>
      </c>
      <c r="BP650" s="106" t="inlineStr">
        <is>
          <t>MTP-16 TRANQUE/ASUB</t>
        </is>
      </c>
      <c r="BQ650" s="106">
        <f>VLOOKUP(BP650,[1]AGUA!$1:$1048576,2,FALSE)</f>
        <v/>
      </c>
      <c r="BR650" s="106">
        <f>VLOOKUP(BP650,[1]AGUA!$1:$1048576,6,FALSE)</f>
        <v/>
      </c>
      <c r="BS650" s="106">
        <f>VLOOKUP(BP650,[1]AGUA!$1:$1048576,7,FALSE)</f>
        <v/>
      </c>
      <c r="BT650" s="106" t="n"/>
      <c r="BU650" s="252"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4" t="n"/>
      <c r="DB650" s="254" t="n"/>
      <c r="DC650" s="254" t="n"/>
      <c r="DD650" s="254" t="n"/>
      <c r="DE650" s="254" t="n"/>
      <c r="DF650" s="254" t="n"/>
      <c r="DG650" s="254" t="n"/>
      <c r="DH650" s="254" t="n"/>
      <c r="DI650" s="254" t="n"/>
      <c r="DJ650" s="254" t="n"/>
      <c r="DK650" s="254" t="n"/>
      <c r="DL650" s="95" t="n"/>
      <c r="DM650" s="254" t="inlineStr">
        <is>
          <t>T</t>
        </is>
      </c>
      <c r="DN650" s="95" t="n">
        <v>15</v>
      </c>
      <c r="DO650" s="95" t="n">
        <v>21</v>
      </c>
    </row>
    <row r="651" ht="13" customFormat="1" customHeight="1" s="128">
      <c r="A651" s="203" t="inlineStr">
        <is>
          <t>MTP-17</t>
        </is>
      </c>
      <c r="B651" s="260" t="inlineStr">
        <is>
          <t>MTP-17 TRANQUE</t>
        </is>
      </c>
      <c r="C651" s="254"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259" t="inlineStr">
        <is>
          <t>184WW017</t>
        </is>
      </c>
      <c r="BL651" s="7" t="inlineStr">
        <is>
          <t>GTAM/GGAYC</t>
        </is>
      </c>
      <c r="BM651" s="254" t="inlineStr">
        <is>
          <t>NF</t>
        </is>
      </c>
      <c r="BN651" s="266" t="inlineStr">
        <is>
          <t>Tranque</t>
        </is>
      </c>
      <c r="BO651" s="254"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4" t="n"/>
      <c r="DB651" s="254" t="n"/>
      <c r="DC651" s="254" t="n"/>
      <c r="DD651" s="254" t="n"/>
      <c r="DE651" s="254" t="n"/>
      <c r="DF651" s="254" t="n"/>
      <c r="DG651" s="254" t="n"/>
      <c r="DH651" s="254" t="n"/>
      <c r="DI651" s="254" t="n"/>
      <c r="DJ651" s="254" t="inlineStr">
        <is>
          <t>M</t>
        </is>
      </c>
      <c r="DK651" s="254" t="n">
        <v>1</v>
      </c>
      <c r="DL651" s="95" t="n">
        <v>7</v>
      </c>
      <c r="DM651" s="254" t="n"/>
      <c r="DN651" s="95" t="n"/>
      <c r="DO651" s="95" t="n"/>
    </row>
    <row r="652" ht="13" customFormat="1" customHeight="1" s="128">
      <c r="A652" s="203" t="inlineStr">
        <is>
          <t>MTP-17</t>
        </is>
      </c>
      <c r="B652" s="255" t="n"/>
      <c r="C652" s="255"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255" t="n"/>
      <c r="BL652" s="7" t="inlineStr">
        <is>
          <t>GTAM</t>
        </is>
      </c>
      <c r="BM652" s="254" t="inlineStr">
        <is>
          <t>ASUB</t>
        </is>
      </c>
      <c r="BN652" s="266" t="inlineStr">
        <is>
          <t>Tranque</t>
        </is>
      </c>
      <c r="BO652" s="254"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inlineStr">
        <is>
          <t>S</t>
        </is>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4" t="n"/>
      <c r="DB652" s="254" t="n"/>
      <c r="DC652" s="254" t="n"/>
      <c r="DD652" s="254" t="n"/>
      <c r="DE652" s="254" t="n"/>
      <c r="DF652" s="254" t="n"/>
      <c r="DG652" s="254" t="n"/>
      <c r="DH652" s="254" t="n"/>
      <c r="DI652" s="254" t="n"/>
      <c r="DJ652" s="254" t="n"/>
      <c r="DK652" s="254" t="n"/>
      <c r="DL652" s="95" t="n"/>
      <c r="DM652" s="254" t="inlineStr">
        <is>
          <t>T-A</t>
        </is>
      </c>
      <c r="DN652" s="95" t="n">
        <v>1</v>
      </c>
      <c r="DO652" s="95" t="n">
        <v>7</v>
      </c>
    </row>
    <row r="653" ht="13" customHeight="1">
      <c r="A653" s="203" t="inlineStr">
        <is>
          <t>MTP-20</t>
        </is>
      </c>
      <c r="B653" s="260"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61" t="inlineStr">
        <is>
          <t>532MAMTP</t>
        </is>
      </c>
      <c r="BL653" s="61" t="inlineStr">
        <is>
          <t>GMAP-SIGA</t>
        </is>
      </c>
      <c r="BM653" s="254" t="inlineStr">
        <is>
          <t>NF</t>
        </is>
      </c>
      <c r="BN653" s="266" t="inlineStr">
        <is>
          <t>Tranque</t>
        </is>
      </c>
      <c r="BO653" s="254"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4" t="n"/>
      <c r="DB653" s="254" t="n"/>
      <c r="DC653" s="254" t="n"/>
      <c r="DD653" s="254" t="n"/>
      <c r="DE653" s="254" t="n"/>
      <c r="DF653" s="254" t="n"/>
      <c r="DG653" s="254" t="n"/>
      <c r="DH653" s="254" t="n"/>
      <c r="DI653" s="254" t="n"/>
      <c r="DJ653" s="254" t="inlineStr">
        <is>
          <t>M</t>
        </is>
      </c>
      <c r="DK653" s="254" t="n">
        <v>15</v>
      </c>
      <c r="DL653" s="95" t="n">
        <v>21</v>
      </c>
      <c r="DM653" s="254" t="n"/>
      <c r="DN653" s="95" t="n"/>
      <c r="DO653" s="95" t="n"/>
    </row>
    <row r="654" ht="13" customHeight="1">
      <c r="A654" s="203" t="inlineStr">
        <is>
          <t>NS</t>
        </is>
      </c>
      <c r="B654" s="260"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259" t="n"/>
      <c r="BL654" s="61" t="inlineStr">
        <is>
          <t>GMAP-SIGA</t>
        </is>
      </c>
      <c r="BM654" s="254" t="inlineStr">
        <is>
          <t>NF</t>
        </is>
      </c>
      <c r="BN654" s="266" t="inlineStr">
        <is>
          <t>Michincha (camino internacional)</t>
        </is>
      </c>
      <c r="BO654" s="254" t="inlineStr">
        <is>
          <t>SI PAT TRANQUE</t>
        </is>
      </c>
      <c r="BP654" s="254"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4" t="n"/>
      <c r="DB654" s="254" t="n"/>
      <c r="DC654" s="254" t="n"/>
      <c r="DD654" s="254" t="n"/>
      <c r="DE654" s="254" t="n"/>
      <c r="DF654" s="254" t="n"/>
      <c r="DG654" s="254" t="n"/>
      <c r="DH654" s="254" t="n"/>
      <c r="DI654" s="254" t="n"/>
      <c r="DJ654" s="254" t="inlineStr">
        <is>
          <t>M</t>
        </is>
      </c>
      <c r="DK654" s="254" t="n">
        <v>1</v>
      </c>
      <c r="DL654" s="95" t="n">
        <v>14</v>
      </c>
      <c r="DM654" s="254" t="n"/>
      <c r="DN654" s="95" t="n"/>
      <c r="DO654" s="95" t="n"/>
    </row>
    <row r="655" ht="13" customHeight="1">
      <c r="A655" s="203" t="inlineStr">
        <is>
          <t>NS</t>
        </is>
      </c>
      <c r="B655" s="260"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259" t="n"/>
      <c r="BL655" s="61" t="inlineStr">
        <is>
          <t>GMAP-SIGA</t>
        </is>
      </c>
      <c r="BM655" s="254" t="inlineStr">
        <is>
          <t>ASUB</t>
        </is>
      </c>
      <c r="BN655" s="266" t="inlineStr">
        <is>
          <t>Michincha (camino internacional)</t>
        </is>
      </c>
      <c r="BO655" s="254" t="inlineStr">
        <is>
          <t>SI PAT TRANQUE</t>
        </is>
      </c>
      <c r="BP655" s="254"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4" t="n"/>
      <c r="DB655" s="254" t="n"/>
      <c r="DC655" s="254" t="n"/>
      <c r="DD655" s="254" t="n"/>
      <c r="DE655" s="254" t="n"/>
      <c r="DF655" s="254" t="n"/>
      <c r="DG655" s="254" t="n"/>
      <c r="DH655" s="254" t="n"/>
      <c r="DI655" s="254" t="n"/>
      <c r="DJ655" s="254" t="n"/>
      <c r="DK655" s="254" t="n"/>
      <c r="DL655" s="95" t="n"/>
      <c r="DM655" s="254" t="inlineStr">
        <is>
          <t>M</t>
        </is>
      </c>
      <c r="DN655" s="95" t="n">
        <v>1</v>
      </c>
      <c r="DO655" s="95" t="n">
        <v>14</v>
      </c>
    </row>
    <row r="656" ht="13" customHeight="1">
      <c r="A656" s="203" t="inlineStr">
        <is>
          <t>P-4B</t>
        </is>
      </c>
      <c r="B656" s="260" t="inlineStr">
        <is>
          <t>P-4B MICHINCHA</t>
        </is>
      </c>
      <c r="C656" s="254"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61" t="inlineStr">
        <is>
          <t>531WW001</t>
        </is>
      </c>
      <c r="BL656" s="7" t="inlineStr">
        <is>
          <t>GTAM/GGAYC</t>
        </is>
      </c>
      <c r="BM656" s="254" t="inlineStr">
        <is>
          <t>NF</t>
        </is>
      </c>
      <c r="BN656" s="266" t="inlineStr">
        <is>
          <t>Michincha</t>
        </is>
      </c>
      <c r="BO656" s="254"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4" t="n"/>
      <c r="DB656" s="254" t="n"/>
      <c r="DC656" s="254" t="n"/>
      <c r="DD656" s="254" t="n"/>
      <c r="DE656" s="254" t="n"/>
      <c r="DF656" s="254" t="n"/>
      <c r="DG656" s="254" t="n"/>
      <c r="DH656" s="254" t="n"/>
      <c r="DI656" s="254" t="n"/>
      <c r="DJ656" s="254" t="inlineStr">
        <is>
          <t>M</t>
        </is>
      </c>
      <c r="DK656" s="254" t="n">
        <v>1</v>
      </c>
      <c r="DL656" s="95" t="n">
        <v>7</v>
      </c>
      <c r="DM656" s="254" t="n"/>
      <c r="DN656" s="95" t="n"/>
      <c r="DO656" s="95" t="n"/>
    </row>
    <row r="657" ht="13" customHeight="1">
      <c r="A657" s="203" t="inlineStr">
        <is>
          <t>P-4B</t>
        </is>
      </c>
      <c r="B657" s="255" t="n"/>
      <c r="C657" s="255"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255" t="n"/>
      <c r="BL657" s="7" t="inlineStr">
        <is>
          <t>GTAM</t>
        </is>
      </c>
      <c r="BM657" s="254" t="inlineStr">
        <is>
          <t>ASUB</t>
        </is>
      </c>
      <c r="BN657" s="266" t="inlineStr">
        <is>
          <t>Michincha</t>
        </is>
      </c>
      <c r="BO657" s="254"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4" t="n"/>
      <c r="DB657" s="254" t="n"/>
      <c r="DC657" s="254" t="n"/>
      <c r="DD657" s="254" t="n"/>
      <c r="DE657" s="254" t="n"/>
      <c r="DF657" s="254" t="n"/>
      <c r="DG657" s="254" t="n"/>
      <c r="DH657" s="254" t="n"/>
      <c r="DI657" s="254" t="n"/>
      <c r="DJ657" s="254" t="n"/>
      <c r="DK657" s="254" t="n"/>
      <c r="DL657" s="95" t="n"/>
      <c r="DM657" s="254" t="inlineStr">
        <is>
          <t>T</t>
        </is>
      </c>
      <c r="DN657" s="95" t="n">
        <v>1</v>
      </c>
      <c r="DO657" s="95" t="n">
        <v>7</v>
      </c>
    </row>
    <row r="658" ht="13" customHeight="1">
      <c r="A658" s="203" t="inlineStr">
        <is>
          <t>P-6</t>
        </is>
      </c>
      <c r="B658" s="260" t="inlineStr">
        <is>
          <t>P-6 MICHINCHA</t>
        </is>
      </c>
      <c r="C658" s="254"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61" t="inlineStr">
        <is>
          <t>531WW006</t>
        </is>
      </c>
      <c r="BL658" s="7" t="inlineStr">
        <is>
          <t>GTAM/GGAYC</t>
        </is>
      </c>
      <c r="BM658" s="254" t="inlineStr">
        <is>
          <t>NF</t>
        </is>
      </c>
      <c r="BN658" s="266" t="inlineStr">
        <is>
          <t>Michincha</t>
        </is>
      </c>
      <c r="BO658" s="254"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4" t="n"/>
      <c r="DB658" s="254" t="n"/>
      <c r="DC658" s="254" t="n"/>
      <c r="DD658" s="254" t="n"/>
      <c r="DE658" s="254" t="n"/>
      <c r="DF658" s="254" t="n"/>
      <c r="DG658" s="254" t="n"/>
      <c r="DH658" s="254" t="n"/>
      <c r="DI658" s="254" t="n"/>
      <c r="DJ658" s="254" t="inlineStr">
        <is>
          <t>M</t>
        </is>
      </c>
      <c r="DK658" s="254" t="n">
        <v>1</v>
      </c>
      <c r="DL658" s="95" t="n">
        <v>7</v>
      </c>
      <c r="DM658" s="254" t="n"/>
      <c r="DN658" s="95" t="n"/>
      <c r="DO658" s="95" t="n"/>
    </row>
    <row r="659" ht="13" customHeight="1">
      <c r="A659" s="203" t="inlineStr">
        <is>
          <t>P-6</t>
        </is>
      </c>
      <c r="B659" s="255" t="n"/>
      <c r="C659" s="255"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255" t="n"/>
      <c r="BL659" s="7" t="inlineStr">
        <is>
          <t>GTAM</t>
        </is>
      </c>
      <c r="BM659" s="254" t="inlineStr">
        <is>
          <t>ASUB</t>
        </is>
      </c>
      <c r="BN659" s="266" t="inlineStr">
        <is>
          <t>Michincha</t>
        </is>
      </c>
      <c r="BO659" s="254"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4" t="n"/>
      <c r="DB659" s="254" t="n"/>
      <c r="DC659" s="254" t="n"/>
      <c r="DD659" s="254" t="n"/>
      <c r="DE659" s="254" t="n"/>
      <c r="DF659" s="254" t="n"/>
      <c r="DG659" s="254" t="n"/>
      <c r="DH659" s="254" t="n"/>
      <c r="DI659" s="254" t="n"/>
      <c r="DJ659" s="254" t="n"/>
      <c r="DK659" s="254" t="n"/>
      <c r="DL659" s="95" t="n"/>
      <c r="DM659" s="254" t="inlineStr">
        <is>
          <t>T</t>
        </is>
      </c>
      <c r="DN659" s="95" t="n">
        <v>1</v>
      </c>
      <c r="DO659" s="95" t="n">
        <v>7</v>
      </c>
    </row>
    <row r="660" ht="13.5" customHeight="1">
      <c r="A660" s="203" t="inlineStr">
        <is>
          <t>PC-01</t>
        </is>
      </c>
      <c r="B660" s="260"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259" t="inlineStr">
        <is>
          <t>532MAPC</t>
        </is>
      </c>
      <c r="BL660" s="61" t="inlineStr">
        <is>
          <t>GMAP-SIGA</t>
        </is>
      </c>
      <c r="BM660" s="254" t="inlineStr">
        <is>
          <t>NF</t>
        </is>
      </c>
      <c r="BN660" s="266" t="inlineStr">
        <is>
          <t>Coposa Centro</t>
        </is>
      </c>
      <c r="BO660" s="254"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4" t="n"/>
      <c r="DB660" s="254" t="n"/>
      <c r="DC660" s="254" t="n"/>
      <c r="DD660" s="254" t="n"/>
      <c r="DE660" s="254" t="n"/>
      <c r="DF660" s="254" t="n"/>
      <c r="DG660" s="254" t="n"/>
      <c r="DH660" s="254" t="n"/>
      <c r="DI660" s="254" t="n"/>
      <c r="DJ660" s="254" t="inlineStr">
        <is>
          <t>M</t>
        </is>
      </c>
      <c r="DK660" s="254" t="n">
        <v>22</v>
      </c>
      <c r="DL660" s="95" t="n">
        <v>28</v>
      </c>
      <c r="DM660" s="254" t="n"/>
      <c r="DN660" s="95" t="n"/>
      <c r="DO660" s="95" t="n"/>
    </row>
    <row r="661" ht="13.5" customHeight="1">
      <c r="A661" s="205" t="inlineStr">
        <is>
          <t>PC-04</t>
        </is>
      </c>
      <c r="B661" s="260"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61" t="inlineStr">
        <is>
          <t>532MAPC</t>
        </is>
      </c>
      <c r="BL661" s="61" t="inlineStr">
        <is>
          <t>GMAP-SIGA</t>
        </is>
      </c>
      <c r="BM661" s="254" t="inlineStr">
        <is>
          <t>NF</t>
        </is>
      </c>
      <c r="BN661" s="266" t="inlineStr">
        <is>
          <t>Coposa Centro</t>
        </is>
      </c>
      <c r="BO661" s="254"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4" t="n"/>
      <c r="DC661" s="254" t="n"/>
      <c r="DD661" s="254" t="n"/>
      <c r="DE661" s="254" t="n"/>
      <c r="DF661" s="254" t="n"/>
      <c r="DG661" s="254" t="n"/>
      <c r="DH661" s="254" t="n"/>
      <c r="DI661" s="254" t="n"/>
      <c r="DJ661" s="254" t="inlineStr">
        <is>
          <t>M</t>
        </is>
      </c>
      <c r="DK661" s="254" t="n">
        <v>15</v>
      </c>
      <c r="DL661" s="95" t="n">
        <v>28</v>
      </c>
      <c r="DM661" s="254" t="n"/>
      <c r="DN661" s="95" t="n"/>
      <c r="DO661" s="95" t="n"/>
    </row>
    <row r="662" ht="13" customHeight="1">
      <c r="A662" s="205" t="inlineStr">
        <is>
          <t>PC-05</t>
        </is>
      </c>
      <c r="B662" s="260"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61" t="inlineStr">
        <is>
          <t>532MAPC</t>
        </is>
      </c>
      <c r="BL662" s="61" t="inlineStr">
        <is>
          <t>GMAP-SIGA</t>
        </is>
      </c>
      <c r="BM662" s="254" t="inlineStr">
        <is>
          <t>NF</t>
        </is>
      </c>
      <c r="BN662" s="266" t="inlineStr">
        <is>
          <t>Jachucoposa</t>
        </is>
      </c>
      <c r="BO662" s="254"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4" t="n"/>
      <c r="DC662" s="254" t="n"/>
      <c r="DD662" s="254" t="n"/>
      <c r="DE662" s="254" t="n"/>
      <c r="DF662" s="254" t="n"/>
      <c r="DG662" s="254" t="n"/>
      <c r="DH662" s="254" t="n"/>
      <c r="DI662" s="254" t="n"/>
      <c r="DJ662" s="254" t="inlineStr">
        <is>
          <t>M</t>
        </is>
      </c>
      <c r="DK662" s="254" t="n">
        <v>15</v>
      </c>
      <c r="DL662" s="95" t="n">
        <v>28</v>
      </c>
      <c r="DM662" s="254" t="n"/>
      <c r="DN662" s="95" t="n"/>
      <c r="DO662" s="95" t="n"/>
    </row>
    <row r="663" ht="13" customHeight="1">
      <c r="A663" s="203" t="inlineStr">
        <is>
          <t>PC-06</t>
        </is>
      </c>
      <c r="B663" s="260"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61" t="inlineStr">
        <is>
          <t>532MAPC</t>
        </is>
      </c>
      <c r="BL663" s="61" t="inlineStr">
        <is>
          <t>GMAP-SIGA</t>
        </is>
      </c>
      <c r="BM663" s="254" t="inlineStr">
        <is>
          <t>NF</t>
        </is>
      </c>
      <c r="BN663" s="266" t="inlineStr">
        <is>
          <t>Jachucoposa</t>
        </is>
      </c>
      <c r="BO663" s="254"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4" t="n"/>
      <c r="DB663" s="254" t="n"/>
      <c r="DC663" s="254" t="n"/>
      <c r="DD663" s="254" t="n"/>
      <c r="DE663" s="254" t="n"/>
      <c r="DF663" s="254" t="n"/>
      <c r="DG663" s="254" t="n"/>
      <c r="DH663" s="254" t="n"/>
      <c r="DI663" s="254" t="n"/>
      <c r="DJ663" s="254" t="inlineStr">
        <is>
          <t>M</t>
        </is>
      </c>
      <c r="DK663" s="254" t="n">
        <v>8</v>
      </c>
      <c r="DL663" s="95" t="n">
        <v>14</v>
      </c>
      <c r="DM663" s="254" t="n"/>
      <c r="DN663" s="95" t="n"/>
      <c r="DO663" s="95" t="n"/>
    </row>
    <row r="664" ht="13" customHeight="1">
      <c r="A664" s="203" t="inlineStr">
        <is>
          <t>PC-2</t>
        </is>
      </c>
      <c r="B664" s="260"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61" t="inlineStr">
        <is>
          <t>532MAQCY</t>
        </is>
      </c>
      <c r="BL664" s="61" t="inlineStr">
        <is>
          <t>GMAP-SIGA</t>
        </is>
      </c>
      <c r="BM664" s="254" t="inlineStr">
        <is>
          <t>NF</t>
        </is>
      </c>
      <c r="BN664" s="266" t="inlineStr">
        <is>
          <t>Quebrada Caya</t>
        </is>
      </c>
      <c r="BO664" s="254"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4" t="n"/>
      <c r="DB664" s="254" t="n"/>
      <c r="DC664" s="254" t="n"/>
      <c r="DD664" s="254" t="n"/>
      <c r="DE664" s="254" t="n"/>
      <c r="DF664" s="254" t="n"/>
      <c r="DG664" s="254" t="n"/>
      <c r="DH664" s="254" t="n"/>
      <c r="DI664" s="254" t="n"/>
      <c r="DJ664" s="254" t="inlineStr">
        <is>
          <t>STRAL</t>
        </is>
      </c>
      <c r="DK664" s="254" t="n">
        <v>15</v>
      </c>
      <c r="DL664" s="95" t="n">
        <v>28</v>
      </c>
      <c r="DM664" s="254" t="n"/>
      <c r="DN664" s="95" t="n"/>
      <c r="DO664" s="95" t="n"/>
    </row>
    <row r="665" ht="13" customHeight="1">
      <c r="A665" s="203" t="inlineStr">
        <is>
          <t>PC-3</t>
        </is>
      </c>
      <c r="B665" s="260"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61" t="inlineStr">
        <is>
          <t>532MAQCY</t>
        </is>
      </c>
      <c r="BL665" s="61" t="inlineStr">
        <is>
          <t>GMAP-SIGA</t>
        </is>
      </c>
      <c r="BM665" s="254" t="inlineStr">
        <is>
          <t>NF</t>
        </is>
      </c>
      <c r="BN665" s="266" t="inlineStr">
        <is>
          <t>Quebrada Caya</t>
        </is>
      </c>
      <c r="BO665" s="254"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4" t="n"/>
      <c r="DB665" s="254" t="n"/>
      <c r="DC665" s="254" t="n"/>
      <c r="DD665" s="254" t="n"/>
      <c r="DE665" s="254" t="n"/>
      <c r="DF665" s="254" t="n"/>
      <c r="DG665" s="254" t="n"/>
      <c r="DH665" s="254" t="n"/>
      <c r="DI665" s="254" t="n"/>
      <c r="DJ665" s="254" t="inlineStr">
        <is>
          <t>STRAL</t>
        </is>
      </c>
      <c r="DK665" s="254" t="n">
        <v>15</v>
      </c>
      <c r="DL665" s="95" t="n">
        <v>28</v>
      </c>
      <c r="DM665" s="254" t="n"/>
      <c r="DN665" s="95" t="n"/>
      <c r="DO665" s="95" t="n"/>
    </row>
    <row r="666" ht="13" customHeight="1">
      <c r="A666" s="203" t="inlineStr">
        <is>
          <t>PCA-01</t>
        </is>
      </c>
      <c r="B666" s="260"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61" t="inlineStr">
        <is>
          <t>532MAPCA01</t>
        </is>
      </c>
      <c r="BL666" s="61" t="inlineStr">
        <is>
          <t>GMAP-SIGA</t>
        </is>
      </c>
      <c r="BM666" s="254" t="inlineStr">
        <is>
          <t>NF</t>
        </is>
      </c>
      <c r="BN666" s="266" t="inlineStr">
        <is>
          <t>Huinquintipa</t>
        </is>
      </c>
      <c r="BO666" s="254"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4" t="n"/>
      <c r="DB666" s="254" t="n"/>
      <c r="DC666" s="254" t="n"/>
      <c r="DD666" s="254" t="n"/>
      <c r="DE666" s="254" t="n"/>
      <c r="DF666" s="254" t="n"/>
      <c r="DG666" s="254" t="n"/>
      <c r="DH666" s="254" t="n"/>
      <c r="DI666" s="254" t="n"/>
      <c r="DJ666" s="254" t="inlineStr">
        <is>
          <t>B</t>
        </is>
      </c>
      <c r="DK666" s="254" t="n">
        <v>22</v>
      </c>
      <c r="DL666" s="95" t="n">
        <v>28</v>
      </c>
      <c r="DM666" s="254" t="n"/>
      <c r="DN666" s="95" t="n"/>
      <c r="DO666" s="95" t="n"/>
    </row>
    <row r="667" ht="13.5" customHeight="1">
      <c r="A667" s="203" t="inlineStr">
        <is>
          <t>PCA-02</t>
        </is>
      </c>
      <c r="B667" s="260"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259" t="inlineStr">
        <is>
          <t>532MAPCA</t>
        </is>
      </c>
      <c r="BL667" s="61" t="inlineStr">
        <is>
          <t>GMAP-SIGA</t>
        </is>
      </c>
      <c r="BM667" s="254" t="inlineStr">
        <is>
          <t>NF</t>
        </is>
      </c>
      <c r="BN667" s="180" t="inlineStr">
        <is>
          <t>San Nicolás</t>
        </is>
      </c>
      <c r="BO667" s="254"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4" t="n"/>
      <c r="DB667" s="254" t="n"/>
      <c r="DC667" s="254" t="n"/>
      <c r="DD667" s="254" t="n"/>
      <c r="DE667" s="254" t="n"/>
      <c r="DF667" s="254" t="n"/>
      <c r="DG667" s="254" t="n"/>
      <c r="DH667" s="254" t="n"/>
      <c r="DI667" s="254" t="n"/>
      <c r="DJ667" s="254" t="inlineStr">
        <is>
          <t>M</t>
        </is>
      </c>
      <c r="DK667" s="254" t="n">
        <v>22</v>
      </c>
      <c r="DL667" s="95" t="n">
        <v>28</v>
      </c>
      <c r="DM667" s="254" t="n"/>
      <c r="DN667" s="95" t="n"/>
      <c r="DO667" s="95" t="n"/>
    </row>
    <row r="668" ht="13" customHeight="1">
      <c r="A668" s="203" t="inlineStr">
        <is>
          <t>PCA-03</t>
        </is>
      </c>
      <c r="B668" s="260"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61" t="inlineStr">
        <is>
          <t>532MAPCA03</t>
        </is>
      </c>
      <c r="BL668" s="61" t="inlineStr">
        <is>
          <t>GMAP-SIGA</t>
        </is>
      </c>
      <c r="BM668" s="254" t="inlineStr">
        <is>
          <t>NF</t>
        </is>
      </c>
      <c r="BN668" s="266" t="inlineStr">
        <is>
          <t>Huinquintipa</t>
        </is>
      </c>
      <c r="BO668" s="254"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4" t="n"/>
      <c r="DB668" s="254" t="n"/>
      <c r="DC668" s="254" t="n"/>
      <c r="DD668" s="254" t="n"/>
      <c r="DE668" s="254" t="n"/>
      <c r="DF668" s="254" t="n"/>
      <c r="DG668" s="254" t="n"/>
      <c r="DH668" s="254" t="n"/>
      <c r="DI668" s="254" t="n"/>
      <c r="DJ668" s="254" t="inlineStr">
        <is>
          <t>M</t>
        </is>
      </c>
      <c r="DK668" s="254" t="n">
        <v>22</v>
      </c>
      <c r="DL668" s="95" t="n">
        <v>28</v>
      </c>
      <c r="DM668" s="254" t="n"/>
      <c r="DN668" s="95" t="n"/>
      <c r="DO668" s="95" t="n"/>
    </row>
    <row r="669" ht="13" customHeight="1">
      <c r="A669" s="203" t="inlineStr">
        <is>
          <t>PCA-07</t>
        </is>
      </c>
      <c r="B669" s="260" t="inlineStr">
        <is>
          <t>PCA-07 CHICLLA</t>
        </is>
      </c>
      <c r="C669" s="254"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259" t="inlineStr">
        <is>
          <t>532MAPCA</t>
        </is>
      </c>
      <c r="BL669" s="7" t="inlineStr">
        <is>
          <t>GMAP-SIGA</t>
        </is>
      </c>
      <c r="BM669" s="254" t="inlineStr">
        <is>
          <t>NF</t>
        </is>
      </c>
      <c r="BN669" s="266" t="inlineStr">
        <is>
          <t>Chiclla</t>
        </is>
      </c>
      <c r="BO669" s="254" t="inlineStr">
        <is>
          <t>SI</t>
        </is>
      </c>
      <c r="BP669" s="106" t="inlineStr">
        <is>
          <t>PCA-07 CHICLLA/NF</t>
        </is>
      </c>
      <c r="BQ669" s="106">
        <f>VLOOKUP(BP669,[1]AGUA!$1:$1048576,2,FALSE)</f>
        <v/>
      </c>
      <c r="BR669" s="106">
        <f>VLOOKUP(BP669,[1]AGUA!$1:$1048576,6,FALSE)</f>
        <v/>
      </c>
      <c r="BS669" s="106">
        <f>VLOOKUP(BP669,[1]AGUA!$1:$1048576,7,FALSE)</f>
        <v/>
      </c>
      <c r="BT669" s="106" t="n"/>
      <c r="BU669" s="251"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4" t="n"/>
      <c r="DB669" s="208" t="n"/>
      <c r="DC669" s="254" t="n"/>
      <c r="DD669" s="254" t="n"/>
      <c r="DE669" s="254" t="n"/>
      <c r="DF669" s="254" t="n"/>
      <c r="DG669" s="209" t="n"/>
      <c r="DH669" s="209" t="n"/>
      <c r="DI669" s="254" t="n"/>
      <c r="DJ669" s="254" t="inlineStr">
        <is>
          <t>T</t>
        </is>
      </c>
      <c r="DK669" s="254" t="n">
        <v>15</v>
      </c>
      <c r="DL669" s="95" t="n">
        <v>28</v>
      </c>
      <c r="DM669" s="254" t="n"/>
      <c r="DN669" s="95" t="n"/>
      <c r="DO669" s="95" t="n"/>
    </row>
    <row r="670" ht="13" customHeight="1">
      <c r="A670" s="203" t="inlineStr">
        <is>
          <t>PCA-07</t>
        </is>
      </c>
      <c r="B670" s="255" t="n"/>
      <c r="C670" s="255"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255" t="n"/>
      <c r="BL670" s="7" t="inlineStr">
        <is>
          <t>GMAP-SIGA</t>
        </is>
      </c>
      <c r="BM670" s="254" t="inlineStr">
        <is>
          <t>ASUB</t>
        </is>
      </c>
      <c r="BN670" s="266" t="inlineStr">
        <is>
          <t>Chiclla</t>
        </is>
      </c>
      <c r="BO670" s="254" t="inlineStr">
        <is>
          <t>SI</t>
        </is>
      </c>
      <c r="BP670" s="106" t="inlineStr">
        <is>
          <t>PCA-07 CHICLLA/ASUB</t>
        </is>
      </c>
      <c r="BQ670" s="106">
        <f>VLOOKUP(BP670,[1]AGUA!$1:$1048576,2,FALSE)</f>
        <v/>
      </c>
      <c r="BR670" s="106">
        <f>VLOOKUP(BP670,[1]AGUA!$1:$1048576,6,FALSE)</f>
        <v/>
      </c>
      <c r="BS670" s="106">
        <f>VLOOKUP(BP670,[1]AGUA!$1:$1048576,7,FALSE)</f>
        <v/>
      </c>
      <c r="BT670" s="106" t="n"/>
      <c r="BU670" s="252"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4" t="n"/>
      <c r="DB670" s="208" t="n"/>
      <c r="DC670" s="254" t="n"/>
      <c r="DD670" s="254" t="n"/>
      <c r="DE670" s="254" t="n"/>
      <c r="DF670" s="254" t="n"/>
      <c r="DG670" s="209" t="n"/>
      <c r="DH670" s="209" t="n"/>
      <c r="DI670" s="254" t="n"/>
      <c r="DJ670" s="254" t="n"/>
      <c r="DK670" s="254" t="n"/>
      <c r="DL670" s="95" t="n"/>
      <c r="DM670" s="254" t="inlineStr">
        <is>
          <t>T</t>
        </is>
      </c>
      <c r="DN670" s="95" t="n">
        <v>15</v>
      </c>
      <c r="DO670" s="95" t="n">
        <v>28</v>
      </c>
    </row>
    <row r="671" ht="13" customHeight="1">
      <c r="A671" s="203" t="inlineStr">
        <is>
          <t>PCA-08</t>
        </is>
      </c>
      <c r="B671" s="260" t="inlineStr">
        <is>
          <t>PCA-08 CHICLLA</t>
        </is>
      </c>
      <c r="C671" s="254"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61" t="inlineStr">
        <is>
          <t>532WLPCA-08</t>
        </is>
      </c>
      <c r="BL671" s="7" t="inlineStr">
        <is>
          <t>GMAP-SIGA</t>
        </is>
      </c>
      <c r="BM671" s="254" t="inlineStr">
        <is>
          <t>NF</t>
        </is>
      </c>
      <c r="BN671" s="266" t="inlineStr">
        <is>
          <t>Chiclla</t>
        </is>
      </c>
      <c r="BO671" s="254" t="inlineStr">
        <is>
          <t>SI</t>
        </is>
      </c>
      <c r="BP671" s="106" t="inlineStr">
        <is>
          <t>PCA-08 CHICLLA/NF</t>
        </is>
      </c>
      <c r="BQ671" s="106">
        <f>VLOOKUP(BP671,[1]AGUA!$1:$1048576,2,FALSE)</f>
        <v/>
      </c>
      <c r="BR671" s="106">
        <f>VLOOKUP(BP671,[1]AGUA!$1:$1048576,6,FALSE)</f>
        <v/>
      </c>
      <c r="BS671" s="106">
        <f>VLOOKUP(BP671,[1]AGUA!$1:$1048576,7,FALSE)</f>
        <v/>
      </c>
      <c r="BT671" s="106" t="n"/>
      <c r="BU671" s="251"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4" t="n"/>
      <c r="DB671" s="208" t="n"/>
      <c r="DC671" s="254" t="n"/>
      <c r="DD671" s="254" t="n"/>
      <c r="DE671" s="254" t="n"/>
      <c r="DF671" s="254" t="n"/>
      <c r="DG671" s="209" t="n"/>
      <c r="DH671" s="209" t="n"/>
      <c r="DI671" s="254" t="n"/>
      <c r="DJ671" s="254" t="inlineStr">
        <is>
          <t>T</t>
        </is>
      </c>
      <c r="DK671" s="254" t="n">
        <v>15</v>
      </c>
      <c r="DL671" s="95" t="n">
        <v>28</v>
      </c>
      <c r="DM671" s="254" t="n"/>
      <c r="DN671" s="95" t="n"/>
      <c r="DO671" s="95" t="n"/>
    </row>
    <row r="672" ht="13.5" customHeight="1">
      <c r="A672" s="203" t="inlineStr">
        <is>
          <t>PCA-08</t>
        </is>
      </c>
      <c r="B672" s="255" t="n"/>
      <c r="C672" s="255"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255" t="n"/>
      <c r="BL672" s="7" t="inlineStr">
        <is>
          <t>GMAP-SIGA</t>
        </is>
      </c>
      <c r="BM672" s="254" t="inlineStr">
        <is>
          <t>ASUB</t>
        </is>
      </c>
      <c r="BN672" s="266" t="inlineStr">
        <is>
          <t>Chiclla</t>
        </is>
      </c>
      <c r="BO672" s="254" t="inlineStr">
        <is>
          <t>SI</t>
        </is>
      </c>
      <c r="BP672" s="106" t="inlineStr">
        <is>
          <t>PCA-08 CHICLLA/ASUB</t>
        </is>
      </c>
      <c r="BQ672" s="106">
        <f>VLOOKUP(BP672,[1]AGUA!$1:$1048576,2,FALSE)</f>
        <v/>
      </c>
      <c r="BR672" s="106">
        <f>VLOOKUP(BP672,[1]AGUA!$1:$1048576,6,FALSE)</f>
        <v/>
      </c>
      <c r="BS672" s="106">
        <f>VLOOKUP(BP672,[1]AGUA!$1:$1048576,7,FALSE)</f>
        <v/>
      </c>
      <c r="BT672" s="106" t="n"/>
      <c r="BU672" s="252"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4" t="n"/>
      <c r="DB672" s="208" t="n"/>
      <c r="DC672" s="254" t="n"/>
      <c r="DD672" s="254" t="n"/>
      <c r="DE672" s="254" t="n"/>
      <c r="DF672" s="254" t="n"/>
      <c r="DG672" s="209" t="n"/>
      <c r="DH672" s="209" t="n"/>
      <c r="DI672" s="254" t="n"/>
      <c r="DJ672" s="254" t="n"/>
      <c r="DK672" s="254" t="n"/>
      <c r="DL672" s="95" t="n"/>
      <c r="DM672" s="254" t="inlineStr">
        <is>
          <t>T</t>
        </is>
      </c>
      <c r="DN672" s="95" t="n">
        <v>15</v>
      </c>
      <c r="DO672" s="95" t="n">
        <v>28</v>
      </c>
    </row>
    <row r="673" ht="12.65" customHeight="1">
      <c r="A673" s="203" t="inlineStr">
        <is>
          <t>PCA-09</t>
        </is>
      </c>
      <c r="B673" s="260"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61" t="inlineStr">
        <is>
          <t>532WLPCA-09</t>
        </is>
      </c>
      <c r="BL673" s="61" t="inlineStr">
        <is>
          <t>GMAP-SIGA</t>
        </is>
      </c>
      <c r="BM673" s="254" t="inlineStr">
        <is>
          <t>NF</t>
        </is>
      </c>
      <c r="BN673" s="266" t="inlineStr">
        <is>
          <t>Rosario</t>
        </is>
      </c>
      <c r="BO673" s="254"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4" t="n"/>
      <c r="DB673" s="254" t="n"/>
      <c r="DC673" s="254" t="n"/>
      <c r="DD673" s="254" t="n"/>
      <c r="DE673" s="254" t="n"/>
      <c r="DF673" s="254" t="n"/>
      <c r="DG673" s="254" t="n"/>
      <c r="DH673" s="254" t="n"/>
      <c r="DI673" s="254" t="n"/>
      <c r="DJ673" s="254" t="inlineStr">
        <is>
          <t>M</t>
        </is>
      </c>
      <c r="DK673" s="254" t="n">
        <v>22</v>
      </c>
      <c r="DL673" s="95" t="n">
        <v>28</v>
      </c>
      <c r="DM673" s="254" t="n"/>
      <c r="DN673" s="95" t="n"/>
      <c r="DO673" s="95" t="n"/>
    </row>
    <row r="674" ht="13" customHeight="1">
      <c r="A674" s="203" t="inlineStr">
        <is>
          <t>PCH-01</t>
        </is>
      </c>
      <c r="B674" s="260"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61" t="inlineStr">
        <is>
          <t>532MASALLI</t>
        </is>
      </c>
      <c r="BL674" s="61" t="inlineStr">
        <is>
          <t>GMAP-SIGA</t>
        </is>
      </c>
      <c r="BM674" s="254" t="inlineStr">
        <is>
          <t>NF</t>
        </is>
      </c>
      <c r="BN674" s="266" t="inlineStr">
        <is>
          <t>Sallihuinca</t>
        </is>
      </c>
      <c r="BO674" s="254"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4" t="n"/>
      <c r="DB674" s="254" t="n"/>
      <c r="DC674" s="254" t="n"/>
      <c r="DD674" s="254" t="n"/>
      <c r="DE674" s="254" t="n"/>
      <c r="DF674" s="254" t="n"/>
      <c r="DG674" s="254" t="n"/>
      <c r="DH674" s="254" t="n"/>
      <c r="DI674" s="254" t="n"/>
      <c r="DJ674" s="254" t="inlineStr">
        <is>
          <t>B</t>
        </is>
      </c>
      <c r="DK674" s="254" t="n">
        <v>22</v>
      </c>
      <c r="DL674" s="95" t="n">
        <v>28</v>
      </c>
      <c r="DM674" s="254" t="n"/>
      <c r="DN674" s="95" t="n"/>
      <c r="DO674" s="95" t="n"/>
    </row>
    <row r="675" ht="13" customHeight="1">
      <c r="A675" s="203" t="inlineStr">
        <is>
          <t>PCH-02</t>
        </is>
      </c>
      <c r="B675" s="260"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61" t="inlineStr">
        <is>
          <t>532MACEU</t>
        </is>
      </c>
      <c r="BL675" s="61" t="inlineStr">
        <is>
          <t>GMAP-SIGA</t>
        </is>
      </c>
      <c r="BM675" s="254" t="inlineStr">
        <is>
          <t>NF</t>
        </is>
      </c>
      <c r="BN675" s="266" t="inlineStr">
        <is>
          <t>Chiclla</t>
        </is>
      </c>
      <c r="BO675" s="254"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4" t="n"/>
      <c r="DB675" s="254" t="n"/>
      <c r="DC675" s="254" t="n"/>
      <c r="DD675" s="254" t="n"/>
      <c r="DE675" s="254" t="n"/>
      <c r="DF675" s="254" t="n"/>
      <c r="DG675" s="254" t="n"/>
      <c r="DH675" s="254" t="n"/>
      <c r="DI675" s="254" t="n"/>
      <c r="DJ675" s="254" t="inlineStr">
        <is>
          <t>B</t>
        </is>
      </c>
      <c r="DK675" s="254" t="n">
        <v>22</v>
      </c>
      <c r="DL675" s="95" t="n">
        <v>28</v>
      </c>
      <c r="DM675" s="254" t="n"/>
      <c r="DN675" s="95" t="n"/>
      <c r="DO675" s="95" t="n"/>
    </row>
    <row r="676" ht="12.5" customHeight="1">
      <c r="A676" s="203" t="inlineStr">
        <is>
          <t>PCH-03</t>
        </is>
      </c>
      <c r="B676" s="260"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61" t="inlineStr">
        <is>
          <t>532MAMALP</t>
        </is>
      </c>
      <c r="BL676" s="61" t="inlineStr">
        <is>
          <t>GMAP-SIGA</t>
        </is>
      </c>
      <c r="BM676" s="254" t="inlineStr">
        <is>
          <t>NF</t>
        </is>
      </c>
      <c r="BN676" s="266" t="inlineStr">
        <is>
          <t>Ceusis</t>
        </is>
      </c>
      <c r="BO676" s="254"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4" t="n"/>
      <c r="DB676" s="254" t="n"/>
      <c r="DC676" s="254" t="n"/>
      <c r="DD676" s="254" t="n"/>
      <c r="DE676" s="254" t="n"/>
      <c r="DF676" s="254" t="n"/>
      <c r="DG676" s="254" t="n"/>
      <c r="DH676" s="254" t="n"/>
      <c r="DI676" s="254" t="n"/>
      <c r="DJ676" s="254" t="inlineStr">
        <is>
          <t>B</t>
        </is>
      </c>
      <c r="DK676" s="254" t="n">
        <v>22</v>
      </c>
      <c r="DL676" s="95" t="n">
        <v>28</v>
      </c>
      <c r="DM676" s="254" t="n"/>
      <c r="DN676" s="95" t="n"/>
      <c r="DO676" s="95" t="n"/>
    </row>
    <row r="677" ht="13" customHeight="1">
      <c r="A677" s="203" t="inlineStr">
        <is>
          <t>PCH-04</t>
        </is>
      </c>
      <c r="B677" s="260"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61" t="inlineStr">
        <is>
          <t>532WLPCH-04</t>
        </is>
      </c>
      <c r="BL677" s="61" t="inlineStr">
        <is>
          <t>GMAP-SIGA</t>
        </is>
      </c>
      <c r="BM677" s="254" t="inlineStr">
        <is>
          <t>NF</t>
        </is>
      </c>
      <c r="BN677" s="266" t="inlineStr">
        <is>
          <t>Chiclla</t>
        </is>
      </c>
      <c r="BO677" s="254"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4" t="n"/>
      <c r="DB677" s="254" t="n"/>
      <c r="DC677" s="254" t="n"/>
      <c r="DD677" s="254" t="n"/>
      <c r="DE677" s="254" t="n"/>
      <c r="DF677" s="254" t="n"/>
      <c r="DG677" s="254" t="n"/>
      <c r="DH677" s="254" t="n"/>
      <c r="DI677" s="254" t="n"/>
      <c r="DJ677" s="254" t="inlineStr">
        <is>
          <t>B</t>
        </is>
      </c>
      <c r="DK677" s="254" t="n">
        <v>22</v>
      </c>
      <c r="DL677" s="95" t="n">
        <v>28</v>
      </c>
      <c r="DM677" s="254" t="n"/>
      <c r="DN677" s="95" t="n"/>
      <c r="DO677" s="95" t="n"/>
    </row>
    <row r="678" ht="13" customHeight="1">
      <c r="A678" s="203" t="inlineStr">
        <is>
          <t>PCH-05</t>
        </is>
      </c>
      <c r="B678" s="260"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61" t="inlineStr">
        <is>
          <t>532MASALLI</t>
        </is>
      </c>
      <c r="BL678" s="61" t="inlineStr">
        <is>
          <t>GMAP-SIGA</t>
        </is>
      </c>
      <c r="BM678" s="254" t="inlineStr">
        <is>
          <t>NF</t>
        </is>
      </c>
      <c r="BN678" s="266" t="inlineStr">
        <is>
          <t>Sallihuinca</t>
        </is>
      </c>
      <c r="BO678" s="254"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4" t="n"/>
      <c r="DB678" s="254" t="n"/>
      <c r="DC678" s="254" t="n"/>
      <c r="DD678" s="254" t="n"/>
      <c r="DE678" s="254" t="n"/>
      <c r="DF678" s="254" t="n"/>
      <c r="DG678" s="254" t="n"/>
      <c r="DH678" s="254" t="n"/>
      <c r="DI678" s="254" t="n"/>
      <c r="DJ678" s="254" t="inlineStr">
        <is>
          <t>B</t>
        </is>
      </c>
      <c r="DK678" s="254" t="n">
        <v>22</v>
      </c>
      <c r="DL678" s="95" t="n">
        <v>28</v>
      </c>
      <c r="DM678" s="254" t="n"/>
      <c r="DN678" s="95" t="n"/>
      <c r="DO678" s="95" t="n"/>
    </row>
    <row r="679" ht="13.5" customHeight="1">
      <c r="A679" s="203" t="inlineStr">
        <is>
          <t>PCH-06</t>
        </is>
      </c>
      <c r="B679" s="260"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61" t="inlineStr">
        <is>
          <t>532WLPCH-06</t>
        </is>
      </c>
      <c r="BL679" s="61" t="inlineStr">
        <is>
          <t>GMAP-SIGA</t>
        </is>
      </c>
      <c r="BM679" s="254" t="inlineStr">
        <is>
          <t>NF</t>
        </is>
      </c>
      <c r="BN679" s="266" t="inlineStr">
        <is>
          <t>Mal paso</t>
        </is>
      </c>
      <c r="BO679" s="254"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4" t="n"/>
      <c r="DB679" s="254" t="n"/>
      <c r="DC679" s="254" t="n"/>
      <c r="DD679" s="254" t="n"/>
      <c r="DE679" s="254" t="n"/>
      <c r="DF679" s="254" t="n"/>
      <c r="DG679" s="254" t="n"/>
      <c r="DH679" s="254" t="n"/>
      <c r="DI679" s="254" t="n"/>
      <c r="DJ679" s="254" t="inlineStr">
        <is>
          <t>B</t>
        </is>
      </c>
      <c r="DK679" s="254" t="n">
        <v>22</v>
      </c>
      <c r="DL679" s="95" t="n">
        <v>28</v>
      </c>
      <c r="DM679" s="254" t="n"/>
      <c r="DN679" s="95" t="n"/>
      <c r="DO679" s="95" t="n"/>
    </row>
    <row r="680" ht="13" customHeight="1">
      <c r="A680" s="203" t="inlineStr">
        <is>
          <t>PCN-02</t>
        </is>
      </c>
      <c r="B680" s="260"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61" t="inlineStr">
        <is>
          <t>532MAPCN02</t>
        </is>
      </c>
      <c r="BL680" s="61" t="inlineStr">
        <is>
          <t>GMAP-SIGA</t>
        </is>
      </c>
      <c r="BM680" s="254" t="inlineStr">
        <is>
          <t>NF</t>
        </is>
      </c>
      <c r="BN680" s="266" t="inlineStr">
        <is>
          <t>Coposa Centro</t>
        </is>
      </c>
      <c r="BO680" s="254"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4" t="n"/>
      <c r="DB680" s="254" t="n"/>
      <c r="DC680" s="254" t="n"/>
      <c r="DD680" s="254" t="n"/>
      <c r="DE680" s="254" t="n"/>
      <c r="DF680" s="254" t="n"/>
      <c r="DG680" s="254" t="n"/>
      <c r="DH680" s="254" t="n"/>
      <c r="DI680" s="254" t="n"/>
      <c r="DJ680" s="254" t="inlineStr">
        <is>
          <t>T</t>
        </is>
      </c>
      <c r="DK680" s="254" t="n">
        <v>22</v>
      </c>
      <c r="DL680" s="95" t="n">
        <v>28</v>
      </c>
      <c r="DM680" s="254" t="n"/>
      <c r="DN680" s="95" t="n"/>
      <c r="DO680" s="95" t="n"/>
    </row>
    <row r="681" ht="13" customHeight="1">
      <c r="A681" s="205" t="inlineStr">
        <is>
          <t>PDC-01</t>
        </is>
      </c>
      <c r="B681" s="260"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61" t="inlineStr">
        <is>
          <t>532MAPDCS</t>
        </is>
      </c>
      <c r="BL681" s="61" t="inlineStr">
        <is>
          <t>GMAP-SIGA</t>
        </is>
      </c>
      <c r="BM681" s="254" t="inlineStr">
        <is>
          <t>NF</t>
        </is>
      </c>
      <c r="BN681" s="266" t="inlineStr">
        <is>
          <t>Coposa Norte</t>
        </is>
      </c>
      <c r="BO681" s="254"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4" t="n"/>
      <c r="DC681" s="254" t="n"/>
      <c r="DD681" s="254" t="n"/>
      <c r="DE681" s="254" t="n"/>
      <c r="DF681" s="254" t="n"/>
      <c r="DG681" s="254" t="n"/>
      <c r="DH681" s="254" t="n"/>
      <c r="DI681" s="254" t="n"/>
      <c r="DJ681" s="254" t="inlineStr">
        <is>
          <t>M</t>
        </is>
      </c>
      <c r="DK681" s="254" t="n">
        <v>15</v>
      </c>
      <c r="DL681" s="95" t="n">
        <v>28</v>
      </c>
      <c r="DM681" s="254" t="n"/>
      <c r="DN681" s="95" t="n"/>
      <c r="DO681" s="95" t="n"/>
    </row>
    <row r="682" ht="13" customHeight="1">
      <c r="A682" s="205" t="inlineStr">
        <is>
          <t>PDS-01</t>
        </is>
      </c>
      <c r="B682" s="260"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61" t="inlineStr">
        <is>
          <t>532MAPDCS</t>
        </is>
      </c>
      <c r="BL682" s="61" t="inlineStr">
        <is>
          <t>GMAP-SIGA</t>
        </is>
      </c>
      <c r="BM682" s="254" t="inlineStr">
        <is>
          <t>NF</t>
        </is>
      </c>
      <c r="BN682" s="266" t="inlineStr">
        <is>
          <t>Coposa Centro</t>
        </is>
      </c>
      <c r="BO682" s="254"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4" t="n"/>
      <c r="DC682" s="254" t="n"/>
      <c r="DD682" s="254" t="n"/>
      <c r="DE682" s="254" t="n"/>
      <c r="DF682" s="254" t="n"/>
      <c r="DG682" s="254" t="n"/>
      <c r="DH682" s="254" t="n"/>
      <c r="DI682" s="254" t="n"/>
      <c r="DJ682" s="254" t="inlineStr">
        <is>
          <t>M</t>
        </is>
      </c>
      <c r="DK682" s="254" t="n">
        <v>15</v>
      </c>
      <c r="DL682" s="95" t="n">
        <v>28</v>
      </c>
      <c r="DM682" s="254" t="n"/>
      <c r="DN682" s="95" t="n"/>
      <c r="DO682" s="95" t="n"/>
    </row>
    <row r="683" ht="13" customHeight="1">
      <c r="A683" s="205" t="inlineStr">
        <is>
          <t>PEC-01</t>
        </is>
      </c>
      <c r="B683" s="260"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61" t="inlineStr">
        <is>
          <t>532MAPEC</t>
        </is>
      </c>
      <c r="BL683" s="61" t="inlineStr">
        <is>
          <t>GMAP-SIGA</t>
        </is>
      </c>
      <c r="BM683" s="254" t="inlineStr">
        <is>
          <t>NF</t>
        </is>
      </c>
      <c r="BN683" s="266"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4" t="n"/>
      <c r="DC683" s="254" t="n"/>
      <c r="DD683" s="254" t="n"/>
      <c r="DE683" s="254" t="n"/>
      <c r="DF683" s="254" t="n"/>
      <c r="DG683" s="254" t="n"/>
      <c r="DH683" s="254" t="n"/>
      <c r="DI683" s="254" t="n"/>
      <c r="DJ683" s="254" t="inlineStr">
        <is>
          <t>M</t>
        </is>
      </c>
      <c r="DK683" s="254" t="n">
        <v>15</v>
      </c>
      <c r="DL683" s="95" t="n">
        <v>28</v>
      </c>
      <c r="DM683" s="254" t="n"/>
      <c r="DN683" s="95" t="n"/>
      <c r="DO683" s="95" t="n"/>
    </row>
    <row r="684" ht="13" customHeight="1">
      <c r="A684" s="203" t="inlineStr">
        <is>
          <t>PEC-02</t>
        </is>
      </c>
      <c r="B684" s="260"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61" t="inlineStr">
        <is>
          <t>532MAPEC</t>
        </is>
      </c>
      <c r="BL684" s="61" t="inlineStr">
        <is>
          <t>GMAP-SIGA</t>
        </is>
      </c>
      <c r="BM684" s="254" t="inlineStr">
        <is>
          <t>NF</t>
        </is>
      </c>
      <c r="BN684" s="266"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4" t="n"/>
      <c r="DB684" s="254" t="n"/>
      <c r="DC684" s="254" t="n"/>
      <c r="DD684" s="254" t="n"/>
      <c r="DE684" s="254" t="n"/>
      <c r="DF684" s="254" t="n"/>
      <c r="DG684" s="254" t="n"/>
      <c r="DH684" s="254" t="n"/>
      <c r="DI684" s="254" t="n"/>
      <c r="DJ684" s="254" t="inlineStr">
        <is>
          <t>Q</t>
        </is>
      </c>
      <c r="DK684" s="198" t="inlineStr">
        <is>
          <t>1 y 15</t>
        </is>
      </c>
      <c r="DL684" s="95" t="inlineStr">
        <is>
          <t>14 y 28</t>
        </is>
      </c>
      <c r="DM684" s="254" t="n"/>
      <c r="DN684" s="95" t="n"/>
      <c r="DO684" s="95" t="n"/>
    </row>
    <row r="685" ht="12.5" customHeight="1">
      <c r="A685" s="215" t="inlineStr">
        <is>
          <t>PEC-06</t>
        </is>
      </c>
      <c r="B685" s="260"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61" t="inlineStr">
        <is>
          <t>532MAPEC</t>
        </is>
      </c>
      <c r="BL685" s="61" t="inlineStr">
        <is>
          <t>GMAP-SIGA</t>
        </is>
      </c>
      <c r="BM685" s="254" t="inlineStr">
        <is>
          <t>NF</t>
        </is>
      </c>
      <c r="BN685" s="266" t="inlineStr">
        <is>
          <t>Jachucoposa</t>
        </is>
      </c>
      <c r="BO685" s="254"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4" t="n"/>
      <c r="DB685" s="254" t="n"/>
      <c r="DC685" s="254" t="n"/>
      <c r="DD685" s="254" t="n"/>
      <c r="DE685" s="254" t="n"/>
      <c r="DF685" s="254" t="n"/>
      <c r="DG685" s="254" t="n"/>
      <c r="DH685" s="254" t="n"/>
      <c r="DI685" s="254" t="n"/>
      <c r="DJ685" s="254" t="inlineStr">
        <is>
          <t>T</t>
        </is>
      </c>
      <c r="DK685" s="254" t="n">
        <v>15</v>
      </c>
      <c r="DL685" s="95" t="n">
        <v>21</v>
      </c>
      <c r="DM685" s="254" t="n"/>
      <c r="DN685" s="95" t="n"/>
      <c r="DO685" s="95" t="n"/>
    </row>
    <row r="686" ht="12.65" customHeight="1">
      <c r="A686" s="203" t="inlineStr">
        <is>
          <t>PEC-06</t>
        </is>
      </c>
      <c r="B686" s="260"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61" t="inlineStr">
        <is>
          <t>532MAPEC</t>
        </is>
      </c>
      <c r="BL686" s="61" t="inlineStr">
        <is>
          <t>GMAP-SIGA</t>
        </is>
      </c>
      <c r="BM686" s="254" t="inlineStr">
        <is>
          <t>ASUB</t>
        </is>
      </c>
      <c r="BN686" s="266" t="inlineStr">
        <is>
          <t>Jachucoposa</t>
        </is>
      </c>
      <c r="BO686" s="254"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4" t="n"/>
      <c r="DB686" s="254" t="n"/>
      <c r="DC686" s="254" t="n"/>
      <c r="DD686" s="254" t="n"/>
      <c r="DE686" s="254" t="n"/>
      <c r="DF686" s="254" t="n"/>
      <c r="DG686" s="254" t="n"/>
      <c r="DH686" s="254" t="n"/>
      <c r="DI686" s="254" t="n"/>
      <c r="DJ686" s="254" t="n"/>
      <c r="DK686" s="254" t="n"/>
      <c r="DL686" s="95" t="n"/>
      <c r="DM686" s="254" t="n"/>
      <c r="DN686" s="95" t="n"/>
      <c r="DO686" s="95" t="n"/>
    </row>
    <row r="687" ht="13" customHeight="1">
      <c r="A687" s="203" t="inlineStr">
        <is>
          <t>PEM-01</t>
        </is>
      </c>
      <c r="B687" s="260"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61" t="inlineStr">
        <is>
          <t>532MAPEM01</t>
        </is>
      </c>
      <c r="BL687" s="61" t="inlineStr">
        <is>
          <t>LIXIVIACIÓN</t>
        </is>
      </c>
      <c r="BM687" s="254" t="inlineStr">
        <is>
          <t>NF</t>
        </is>
      </c>
      <c r="BN687" s="266" t="inlineStr">
        <is>
          <t>Lixiviación</t>
        </is>
      </c>
      <c r="BO687" s="254"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4" t="n"/>
      <c r="DB687" s="254" t="n"/>
      <c r="DC687" s="254" t="n"/>
      <c r="DD687" s="254" t="n"/>
      <c r="DE687" s="254" t="n"/>
      <c r="DF687" s="254" t="n"/>
      <c r="DG687" s="254" t="n"/>
      <c r="DH687" s="254" t="n"/>
      <c r="DI687" s="254" t="n"/>
      <c r="DJ687" s="254" t="inlineStr">
        <is>
          <t>M</t>
        </is>
      </c>
      <c r="DK687" s="254" t="n">
        <v>22</v>
      </c>
      <c r="DL687" s="95" t="n">
        <v>28</v>
      </c>
      <c r="DM687" s="254" t="n"/>
      <c r="DN687" s="95" t="n"/>
      <c r="DO687" s="95" t="n"/>
    </row>
    <row r="688" ht="13" customHeight="1">
      <c r="A688" s="203" t="inlineStr">
        <is>
          <t>PEM-02</t>
        </is>
      </c>
      <c r="B688" s="260" t="inlineStr">
        <is>
          <t>PEM-02 MICHINCHA</t>
        </is>
      </c>
      <c r="C688" s="254"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259" t="inlineStr">
        <is>
          <t>532MAPEM02</t>
        </is>
      </c>
      <c r="BL688" s="7" t="inlineStr">
        <is>
          <t>GMAP-SIGA</t>
        </is>
      </c>
      <c r="BM688" s="254" t="inlineStr">
        <is>
          <t>NF</t>
        </is>
      </c>
      <c r="BN688" s="266" t="inlineStr">
        <is>
          <t>Michincha</t>
        </is>
      </c>
      <c r="BO688" s="254" t="inlineStr">
        <is>
          <t>NO</t>
        </is>
      </c>
      <c r="BP688" s="106" t="inlineStr">
        <is>
          <t>PEM-02 MICHINCHA/NF</t>
        </is>
      </c>
      <c r="BQ688" s="106">
        <f>VLOOKUP(BP688,[1]AGUA!$1:$1048576,2,FALSE)</f>
        <v/>
      </c>
      <c r="BR688" s="106">
        <f>VLOOKUP(BP688,[1]AGUA!$1:$1048576,6,FALSE)</f>
        <v/>
      </c>
      <c r="BS688" s="106">
        <f>VLOOKUP(BP688,[1]AGUA!$1:$1048576,7,FALSE)</f>
        <v/>
      </c>
      <c r="BT688" s="106" t="n"/>
      <c r="BU688" s="251"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4" t="n"/>
      <c r="DB688" s="254" t="n"/>
      <c r="DC688" s="254" t="n"/>
      <c r="DD688" s="254" t="n"/>
      <c r="DE688" s="254" t="n"/>
      <c r="DF688" s="254" t="n"/>
      <c r="DG688" s="254" t="n"/>
      <c r="DH688" s="254" t="n"/>
      <c r="DI688" s="254" t="n"/>
      <c r="DJ688" s="254" t="inlineStr">
        <is>
          <t>M</t>
        </is>
      </c>
      <c r="DK688" s="254" t="n">
        <v>22</v>
      </c>
      <c r="DL688" s="95" t="n">
        <v>28</v>
      </c>
      <c r="DM688" s="254" t="n"/>
      <c r="DN688" s="95" t="n"/>
      <c r="DO688" s="95" t="n"/>
    </row>
    <row r="689" ht="13" customHeight="1">
      <c r="A689" s="203" t="inlineStr">
        <is>
          <t>PEM-02</t>
        </is>
      </c>
      <c r="B689" s="255" t="n"/>
      <c r="C689" s="255"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255" t="n"/>
      <c r="BL689" s="7" t="inlineStr">
        <is>
          <t>GMAP-SIGA</t>
        </is>
      </c>
      <c r="BM689" s="254" t="inlineStr">
        <is>
          <t>ASUB</t>
        </is>
      </c>
      <c r="BN689" s="266" t="inlineStr">
        <is>
          <t>Michincha</t>
        </is>
      </c>
      <c r="BO689" s="254" t="inlineStr">
        <is>
          <t>NO</t>
        </is>
      </c>
      <c r="BP689" s="106" t="inlineStr">
        <is>
          <t>PEM-02 MICHINCHA/ASUB</t>
        </is>
      </c>
      <c r="BQ689" s="106">
        <f>VLOOKUP(BP689,[1]AGUA!$1:$1048576,2,FALSE)</f>
        <v/>
      </c>
      <c r="BR689" s="106">
        <f>VLOOKUP(BP689,[1]AGUA!$1:$1048576,6,FALSE)</f>
        <v/>
      </c>
      <c r="BS689" s="106">
        <f>VLOOKUP(BP689,[1]AGUA!$1:$1048576,7,FALSE)</f>
        <v/>
      </c>
      <c r="BT689" s="106" t="n"/>
      <c r="BU689" s="252"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4" t="n"/>
      <c r="DB689" s="254" t="n"/>
      <c r="DC689" s="254" t="n"/>
      <c r="DD689" s="254" t="n"/>
      <c r="DE689" s="254" t="n"/>
      <c r="DF689" s="254" t="n"/>
      <c r="DG689" s="254" t="n"/>
      <c r="DH689" s="254" t="n"/>
      <c r="DI689" s="254" t="n"/>
      <c r="DJ689" s="254" t="n"/>
      <c r="DK689" s="254" t="n"/>
      <c r="DL689" s="95" t="n"/>
      <c r="DM689" s="254" t="inlineStr">
        <is>
          <t>M</t>
        </is>
      </c>
      <c r="DN689" s="95" t="n">
        <v>22</v>
      </c>
      <c r="DO689" s="95" t="n">
        <v>28</v>
      </c>
    </row>
    <row r="690" ht="13" customHeight="1">
      <c r="A690" s="203" t="inlineStr">
        <is>
          <t>PEM-05</t>
        </is>
      </c>
      <c r="B690" s="260" t="inlineStr">
        <is>
          <t>PEM-05 TRANQUE</t>
        </is>
      </c>
      <c r="C690" s="254"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259" t="inlineStr">
        <is>
          <t>532MAPEM05</t>
        </is>
      </c>
      <c r="BL690" s="7" t="inlineStr">
        <is>
          <t>GMAP-SIGA</t>
        </is>
      </c>
      <c r="BM690" s="254" t="inlineStr">
        <is>
          <t>NF</t>
        </is>
      </c>
      <c r="BN690" s="266" t="inlineStr">
        <is>
          <t>Tranque</t>
        </is>
      </c>
      <c r="BO690" s="254" t="inlineStr">
        <is>
          <t>SI PAT TRANQUE</t>
        </is>
      </c>
      <c r="BP690" s="106" t="inlineStr">
        <is>
          <t>PEM-05 TRANQUE/NF</t>
        </is>
      </c>
      <c r="BQ690" s="106">
        <f>VLOOKUP(BP690,[1]AGUA!$1:$1048576,2,FALSE)</f>
        <v/>
      </c>
      <c r="BR690" s="106">
        <f>VLOOKUP(BP690,[1]AGUA!$1:$1048576,6,FALSE)</f>
        <v/>
      </c>
      <c r="BS690" s="106">
        <f>VLOOKUP(BP690,[1]AGUA!$1:$1048576,7,FALSE)</f>
        <v/>
      </c>
      <c r="BT690" s="106" t="n"/>
      <c r="BU690" s="251"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4" t="n"/>
      <c r="DB690" s="254" t="n"/>
      <c r="DC690" s="254" t="n"/>
      <c r="DD690" s="254" t="n"/>
      <c r="DE690" s="254" t="n"/>
      <c r="DF690" s="254" t="n"/>
      <c r="DG690" s="254" t="n"/>
      <c r="DH690" s="254" t="n"/>
      <c r="DI690" s="254" t="n"/>
      <c r="DJ690" s="254" t="inlineStr">
        <is>
          <t>M</t>
        </is>
      </c>
      <c r="DK690" s="254" t="n">
        <v>8</v>
      </c>
      <c r="DL690" s="95" t="n">
        <v>14</v>
      </c>
      <c r="DM690" s="254" t="n"/>
      <c r="DN690" s="95" t="n"/>
      <c r="DO690" s="95" t="n"/>
    </row>
    <row r="691" ht="13" customHeight="1">
      <c r="A691" s="203" t="inlineStr">
        <is>
          <t>PEM-05</t>
        </is>
      </c>
      <c r="B691" s="255" t="n"/>
      <c r="C691" s="255"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255" t="n"/>
      <c r="BL691" s="7" t="inlineStr">
        <is>
          <t>GMAP-SIGA</t>
        </is>
      </c>
      <c r="BM691" s="254" t="inlineStr">
        <is>
          <t>ASUB</t>
        </is>
      </c>
      <c r="BN691" s="266" t="inlineStr">
        <is>
          <t>Tranque</t>
        </is>
      </c>
      <c r="BO691" s="254" t="inlineStr">
        <is>
          <t>SI PAT TRANQUE</t>
        </is>
      </c>
      <c r="BP691" s="106" t="inlineStr">
        <is>
          <t>PEM-05 TRANQUE/ASUB</t>
        </is>
      </c>
      <c r="BQ691" s="106">
        <f>VLOOKUP(BP691,[1]AGUA!$1:$1048576,2,FALSE)</f>
        <v/>
      </c>
      <c r="BR691" s="106">
        <f>VLOOKUP(BP691,[1]AGUA!$1:$1048576,6,FALSE)</f>
        <v/>
      </c>
      <c r="BS691" s="106">
        <f>VLOOKUP(BP691,[1]AGUA!$1:$1048576,7,FALSE)</f>
        <v/>
      </c>
      <c r="BT691" s="106" t="n"/>
      <c r="BU691" s="252"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4" t="n"/>
      <c r="DB691" s="254" t="n"/>
      <c r="DC691" s="254" t="n"/>
      <c r="DD691" s="254" t="n"/>
      <c r="DE691" s="254" t="n"/>
      <c r="DF691" s="254" t="n"/>
      <c r="DG691" s="254" t="n"/>
      <c r="DH691" s="254" t="n"/>
      <c r="DI691" s="254" t="n"/>
      <c r="DJ691" s="254" t="n"/>
      <c r="DK691" s="254" t="n"/>
      <c r="DL691" s="95" t="n"/>
      <c r="DM691" s="254" t="inlineStr">
        <is>
          <t>M</t>
        </is>
      </c>
      <c r="DN691" s="95" t="n">
        <v>8</v>
      </c>
      <c r="DO691" s="95" t="n">
        <v>14</v>
      </c>
    </row>
    <row r="692" ht="13" customHeight="1">
      <c r="A692" s="203" t="inlineStr">
        <is>
          <t>PEM-06</t>
        </is>
      </c>
      <c r="B692" s="260" t="inlineStr">
        <is>
          <t>PEM-06 TRANQUE</t>
        </is>
      </c>
      <c r="C692" s="254"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259" t="inlineStr">
        <is>
          <t>532MAPEM06</t>
        </is>
      </c>
      <c r="BL692" s="7" t="inlineStr">
        <is>
          <t>GMAP-SIGA</t>
        </is>
      </c>
      <c r="BM692" s="254" t="inlineStr">
        <is>
          <t>NF</t>
        </is>
      </c>
      <c r="BN692" s="266" t="inlineStr">
        <is>
          <t>Tranque</t>
        </is>
      </c>
      <c r="BO692" s="254" t="inlineStr">
        <is>
          <t>SI PAT TRANQUE</t>
        </is>
      </c>
      <c r="BP692" s="106" t="inlineStr">
        <is>
          <t>PEM-06 TRANQUE/NF</t>
        </is>
      </c>
      <c r="BQ692" s="106">
        <f>VLOOKUP(BP692,[1]AGUA!$1:$1048576,2,FALSE)</f>
        <v/>
      </c>
      <c r="BR692" s="106">
        <f>VLOOKUP(BP692,[1]AGUA!$1:$1048576,6,FALSE)</f>
        <v/>
      </c>
      <c r="BS692" s="106">
        <f>VLOOKUP(BP692,[1]AGUA!$1:$1048576,7,FALSE)</f>
        <v/>
      </c>
      <c r="BT692" s="106" t="n"/>
      <c r="BU692" s="251"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4" t="n"/>
      <c r="DB692" s="254" t="n"/>
      <c r="DC692" s="254" t="n"/>
      <c r="DD692" s="254" t="n"/>
      <c r="DE692" s="254" t="n"/>
      <c r="DF692" s="254" t="n"/>
      <c r="DG692" s="254" t="n"/>
      <c r="DH692" s="254" t="n"/>
      <c r="DI692" s="254" t="n"/>
      <c r="DJ692" s="254" t="inlineStr">
        <is>
          <t>M</t>
        </is>
      </c>
      <c r="DK692" s="254" t="n">
        <v>8</v>
      </c>
      <c r="DL692" s="95" t="n">
        <v>14</v>
      </c>
      <c r="DM692" s="254" t="n"/>
      <c r="DN692" s="95" t="n"/>
      <c r="DO692" s="95" t="n"/>
    </row>
    <row r="693" ht="13" customHeight="1">
      <c r="A693" s="203" t="inlineStr">
        <is>
          <t>PEM-06</t>
        </is>
      </c>
      <c r="B693" s="255" t="n"/>
      <c r="C693" s="255"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255" t="n"/>
      <c r="BL693" s="7" t="inlineStr">
        <is>
          <t>GMAP-SIGA</t>
        </is>
      </c>
      <c r="BM693" s="254" t="inlineStr">
        <is>
          <t>ASUB</t>
        </is>
      </c>
      <c r="BN693" s="266" t="inlineStr">
        <is>
          <t>Tranque</t>
        </is>
      </c>
      <c r="BO693" s="254" t="inlineStr">
        <is>
          <t>SI PAT TRANQUE</t>
        </is>
      </c>
      <c r="BP693" s="106" t="inlineStr">
        <is>
          <t>PEM-06 TRANQUE/ASUB</t>
        </is>
      </c>
      <c r="BQ693" s="106">
        <f>VLOOKUP(BP693,[1]AGUA!$1:$1048576,2,FALSE)</f>
        <v/>
      </c>
      <c r="BR693" s="106">
        <f>VLOOKUP(BP693,[1]AGUA!$1:$1048576,6,FALSE)</f>
        <v/>
      </c>
      <c r="BS693" s="106">
        <f>VLOOKUP(BP693,[1]AGUA!$1:$1048576,7,FALSE)</f>
        <v/>
      </c>
      <c r="BT693" s="106" t="n"/>
      <c r="BU693" s="252"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4" t="n"/>
      <c r="DB693" s="254" t="n"/>
      <c r="DC693" s="254" t="n"/>
      <c r="DD693" s="254" t="n"/>
      <c r="DE693" s="254" t="n"/>
      <c r="DF693" s="254" t="n"/>
      <c r="DG693" s="254" t="n"/>
      <c r="DH693" s="254" t="n"/>
      <c r="DI693" s="254" t="n"/>
      <c r="DJ693" s="254" t="n"/>
      <c r="DK693" s="254" t="n"/>
      <c r="DL693" s="95" t="n"/>
      <c r="DM693" s="254" t="inlineStr">
        <is>
          <t>M</t>
        </is>
      </c>
      <c r="DN693" s="95" t="n">
        <v>8</v>
      </c>
      <c r="DO693" s="95" t="n">
        <v>14</v>
      </c>
    </row>
    <row r="694" ht="13" customHeight="1">
      <c r="A694" s="203" t="inlineStr">
        <is>
          <t>PEM-07</t>
        </is>
      </c>
      <c r="B694" s="260"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259" t="inlineStr">
        <is>
          <t>532MAPEM07</t>
        </is>
      </c>
      <c r="BL694" s="61" t="inlineStr">
        <is>
          <t>GMAP-SIGA</t>
        </is>
      </c>
      <c r="BM694" s="254" t="inlineStr">
        <is>
          <t>NF</t>
        </is>
      </c>
      <c r="BN694" s="266" t="inlineStr">
        <is>
          <t>Michincha</t>
        </is>
      </c>
      <c r="BO694" s="254"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4" t="n"/>
      <c r="DB694" s="254" t="n"/>
      <c r="DC694" s="254" t="n"/>
      <c r="DD694" s="254" t="n"/>
      <c r="DE694" s="254" t="n"/>
      <c r="DF694" s="254" t="n"/>
      <c r="DG694" s="254" t="n"/>
      <c r="DH694" s="254" t="n"/>
      <c r="DI694" s="254" t="n"/>
      <c r="DJ694" s="254" t="inlineStr">
        <is>
          <t>B</t>
        </is>
      </c>
      <c r="DK694" s="254" t="n">
        <v>22</v>
      </c>
      <c r="DL694" s="95" t="n">
        <v>28</v>
      </c>
      <c r="DM694" s="254" t="n"/>
      <c r="DN694" s="95" t="n"/>
      <c r="DO694" s="95" t="n"/>
    </row>
    <row r="695" ht="13" customHeight="1">
      <c r="A695" s="203" t="inlineStr">
        <is>
          <t>PEM-07B</t>
        </is>
      </c>
      <c r="B695" s="260"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259" t="inlineStr">
        <is>
          <t>532MPEM07B</t>
        </is>
      </c>
      <c r="BL695" s="61" t="inlineStr">
        <is>
          <t>GMAP-SIGA</t>
        </is>
      </c>
      <c r="BM695" s="254" t="inlineStr">
        <is>
          <t>NF</t>
        </is>
      </c>
      <c r="BN695" s="266" t="inlineStr">
        <is>
          <t>Michincha</t>
        </is>
      </c>
      <c r="BO695" s="254"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4" t="n"/>
      <c r="DB695" s="254" t="n"/>
      <c r="DC695" s="254" t="n"/>
      <c r="DD695" s="254" t="n"/>
      <c r="DE695" s="254" t="n"/>
      <c r="DF695" s="254" t="n"/>
      <c r="DG695" s="254" t="n"/>
      <c r="DH695" s="254" t="n"/>
      <c r="DI695" s="254" t="n"/>
      <c r="DJ695" s="254" t="inlineStr">
        <is>
          <t>B</t>
        </is>
      </c>
      <c r="DK695" s="254" t="n">
        <v>22</v>
      </c>
      <c r="DL695" s="95" t="n">
        <v>28</v>
      </c>
      <c r="DM695" s="254" t="n"/>
      <c r="DN695" s="95" t="n"/>
      <c r="DO695" s="95" t="n"/>
    </row>
    <row r="696" ht="13" customHeight="1">
      <c r="A696" s="203" t="inlineStr">
        <is>
          <t>PEM-09</t>
        </is>
      </c>
      <c r="B696" s="260"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61" t="inlineStr">
        <is>
          <t>532MAPEM09</t>
        </is>
      </c>
      <c r="BL696" s="61" t="inlineStr">
        <is>
          <t>LIXIVIACIÓN</t>
        </is>
      </c>
      <c r="BM696" s="254" t="inlineStr">
        <is>
          <t>NF</t>
        </is>
      </c>
      <c r="BN696" s="266" t="inlineStr">
        <is>
          <t>Lixiviación</t>
        </is>
      </c>
      <c r="BO696" s="254"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4" t="n"/>
      <c r="DB696" s="254" t="n"/>
      <c r="DC696" s="254" t="n"/>
      <c r="DD696" s="254" t="n"/>
      <c r="DE696" s="254" t="n"/>
      <c r="DF696" s="254" t="n"/>
      <c r="DG696" s="254" t="n"/>
      <c r="DH696" s="254" t="n"/>
      <c r="DI696" s="254" t="n"/>
      <c r="DJ696" s="254" t="inlineStr">
        <is>
          <t>M</t>
        </is>
      </c>
      <c r="DK696" s="254" t="n">
        <v>22</v>
      </c>
      <c r="DL696" s="95" t="n">
        <v>28</v>
      </c>
      <c r="DM696" s="254" t="n"/>
      <c r="DN696" s="95" t="n"/>
      <c r="DO696" s="95" t="n"/>
    </row>
    <row r="697" ht="13" customHeight="1">
      <c r="A697" s="203" t="inlineStr">
        <is>
          <t>PEM-10</t>
        </is>
      </c>
      <c r="B697" s="260"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259" t="inlineStr">
        <is>
          <t>532MAPEM10</t>
        </is>
      </c>
      <c r="BL697" s="61" t="inlineStr">
        <is>
          <t>GMAP-SIGA</t>
        </is>
      </c>
      <c r="BM697" s="254" t="inlineStr">
        <is>
          <t>NF</t>
        </is>
      </c>
      <c r="BN697" s="266" t="inlineStr">
        <is>
          <t>Michincha</t>
        </is>
      </c>
      <c r="BO697" s="254"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4" t="n"/>
      <c r="DB697" s="254" t="n"/>
      <c r="DC697" s="254" t="n"/>
      <c r="DD697" s="254" t="n"/>
      <c r="DE697" s="254" t="n"/>
      <c r="DF697" s="254" t="n"/>
      <c r="DG697" s="254" t="n"/>
      <c r="DH697" s="254" t="n"/>
      <c r="DI697" s="254" t="n"/>
      <c r="DJ697" s="254" t="inlineStr">
        <is>
          <t>B</t>
        </is>
      </c>
      <c r="DK697" s="254" t="n">
        <v>22</v>
      </c>
      <c r="DL697" s="95" t="n">
        <v>28</v>
      </c>
      <c r="DM697" s="254" t="n"/>
      <c r="DN697" s="95" t="n"/>
      <c r="DO697" s="95" t="n"/>
    </row>
    <row r="698" ht="13" customHeight="1">
      <c r="A698" s="203" t="inlineStr">
        <is>
          <t>PEP-01</t>
        </is>
      </c>
      <c r="B698" s="260" t="inlineStr">
        <is>
          <t>PEP-01 PORTEZUELO</t>
        </is>
      </c>
      <c r="C698" s="254"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259" t="inlineStr">
        <is>
          <t>530PP014</t>
        </is>
      </c>
      <c r="BL698" s="7" t="inlineStr">
        <is>
          <t>GTAM</t>
        </is>
      </c>
      <c r="BM698" s="254" t="inlineStr">
        <is>
          <t>NF</t>
        </is>
      </c>
      <c r="BN698" s="266"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1"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4" t="n"/>
      <c r="DB698" s="254" t="n"/>
      <c r="DC698" s="254" t="n"/>
      <c r="DD698" s="254" t="n"/>
      <c r="DE698" s="254" t="n"/>
      <c r="DF698" s="254" t="n"/>
      <c r="DG698" s="254" t="n"/>
      <c r="DH698" s="254" t="n"/>
      <c r="DI698" s="254" t="n"/>
      <c r="DJ698" s="254" t="inlineStr">
        <is>
          <t>M</t>
        </is>
      </c>
      <c r="DK698" s="254" t="n">
        <v>8</v>
      </c>
      <c r="DL698" s="95" t="n">
        <v>21</v>
      </c>
      <c r="DM698" s="254" t="n"/>
      <c r="DN698" s="95" t="n"/>
      <c r="DO698" s="95" t="n"/>
    </row>
    <row r="699" ht="13" customHeight="1">
      <c r="A699" s="203" t="inlineStr">
        <is>
          <t>PEP-01</t>
        </is>
      </c>
      <c r="B699" s="255" t="n"/>
      <c r="C699" s="255"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255" t="n"/>
      <c r="BL699" s="7" t="inlineStr">
        <is>
          <t>GTAM</t>
        </is>
      </c>
      <c r="BM699" s="254" t="inlineStr">
        <is>
          <t>ASUB</t>
        </is>
      </c>
      <c r="BN699" s="266" t="inlineStr">
        <is>
          <t>Portezuelo</t>
        </is>
      </c>
      <c r="BO699" s="254" t="inlineStr">
        <is>
          <t>SI / PAT FRONTERA</t>
        </is>
      </c>
      <c r="BP699" s="106" t="inlineStr">
        <is>
          <t>PEP-01 PORTEZUELO/ASUB</t>
        </is>
      </c>
      <c r="BQ699" s="106">
        <f>VLOOKUP(BP699,[1]AGUA!$1:$1048576,2,FALSE)</f>
        <v/>
      </c>
      <c r="BR699" s="106">
        <f>VLOOKUP(BP699,[1]AGUA!$1:$1048576,6,FALSE)</f>
        <v/>
      </c>
      <c r="BS699" s="106">
        <f>VLOOKUP(BP699,[1]AGUA!$1:$1048576,7,FALSE)</f>
        <v/>
      </c>
      <c r="BT699" s="106" t="n"/>
      <c r="BU699" s="252"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4" t="n"/>
      <c r="DB699" s="254" t="n"/>
      <c r="DC699" s="254" t="n"/>
      <c r="DD699" s="254" t="n"/>
      <c r="DE699" s="254" t="n"/>
      <c r="DF699" s="254" t="n"/>
      <c r="DG699" s="254" t="n"/>
      <c r="DH699" s="254" t="n"/>
      <c r="DI699" s="254" t="n"/>
      <c r="DJ699" s="254" t="n"/>
      <c r="DK699" s="254" t="n"/>
      <c r="DL699" s="95" t="n"/>
      <c r="DM699" s="254" t="inlineStr">
        <is>
          <t>M</t>
        </is>
      </c>
      <c r="DN699" s="95" t="n">
        <v>8</v>
      </c>
      <c r="DO699" s="95" t="n">
        <v>21</v>
      </c>
    </row>
    <row r="700" ht="13" customHeight="1">
      <c r="A700" s="203" t="inlineStr">
        <is>
          <t>PEP-02</t>
        </is>
      </c>
      <c r="B700" s="260"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61" t="inlineStr">
        <is>
          <t>532MAPEP02</t>
        </is>
      </c>
      <c r="BL700" s="61" t="inlineStr">
        <is>
          <t>GTAM</t>
        </is>
      </c>
      <c r="BM700" s="254" t="inlineStr">
        <is>
          <t>NF</t>
        </is>
      </c>
      <c r="BN700" s="266"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4" t="n"/>
      <c r="DB700" s="254" t="n"/>
      <c r="DC700" s="254" t="n"/>
      <c r="DD700" s="254" t="n"/>
      <c r="DE700" s="254" t="n"/>
      <c r="DF700" s="254" t="n"/>
      <c r="DG700" s="254" t="n"/>
      <c r="DH700" s="254" t="n"/>
      <c r="DI700" s="254" t="n"/>
      <c r="DJ700" s="254" t="inlineStr">
        <is>
          <t>M</t>
        </is>
      </c>
      <c r="DK700" s="254" t="n">
        <v>8</v>
      </c>
      <c r="DL700" s="95" t="n">
        <v>21</v>
      </c>
      <c r="DM700" s="254" t="n"/>
      <c r="DN700" s="95" t="n"/>
      <c r="DO700" s="95" t="n"/>
    </row>
    <row r="701" ht="12.5" customHeight="1">
      <c r="A701" s="203" t="inlineStr">
        <is>
          <t>PEP-02</t>
        </is>
      </c>
      <c r="B701" s="260"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61" t="n"/>
      <c r="BL701" s="61" t="n"/>
      <c r="BM701" s="254" t="inlineStr">
        <is>
          <t>ASUB</t>
        </is>
      </c>
      <c r="BN701" s="266" t="inlineStr">
        <is>
          <t>Portezuelo</t>
        </is>
      </c>
      <c r="BO701" s="254"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4" t="n"/>
      <c r="DB701" s="254" t="n"/>
      <c r="DC701" s="254" t="n"/>
      <c r="DD701" s="254" t="n"/>
      <c r="DE701" s="254" t="n"/>
      <c r="DF701" s="254" t="n"/>
      <c r="DG701" s="254" t="n"/>
      <c r="DH701" s="254" t="n"/>
      <c r="DI701" s="254" t="n"/>
      <c r="DJ701" s="254" t="n"/>
      <c r="DK701" s="254" t="n"/>
      <c r="DL701" s="95" t="n"/>
      <c r="DM701" s="254" t="n"/>
      <c r="DN701" s="95" t="n"/>
      <c r="DO701" s="95" t="n"/>
    </row>
    <row r="702" ht="13" customHeight="1">
      <c r="A702" s="203" t="inlineStr">
        <is>
          <t>PEP-03</t>
        </is>
      </c>
      <c r="B702" s="260" t="inlineStr">
        <is>
          <t>PEP-03 PORTEZUELO</t>
        </is>
      </c>
      <c r="C702" s="254"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259" t="inlineStr">
        <is>
          <t>530PP053</t>
        </is>
      </c>
      <c r="BL702" s="7" t="inlineStr">
        <is>
          <t>GTAM</t>
        </is>
      </c>
      <c r="BM702" s="254" t="inlineStr">
        <is>
          <t>NF</t>
        </is>
      </c>
      <c r="BN702" s="266"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1"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4" t="n"/>
      <c r="DB702" s="254" t="n"/>
      <c r="DC702" s="254" t="n"/>
      <c r="DD702" s="254" t="n"/>
      <c r="DE702" s="254" t="n"/>
      <c r="DF702" s="254" t="n"/>
      <c r="DG702" s="254" t="n"/>
      <c r="DH702" s="254" t="n"/>
      <c r="DI702" s="254" t="n"/>
      <c r="DJ702" s="254" t="inlineStr">
        <is>
          <t>M</t>
        </is>
      </c>
      <c r="DK702" s="254" t="n">
        <v>8</v>
      </c>
      <c r="DL702" s="95" t="n">
        <v>21</v>
      </c>
      <c r="DM702" s="254" t="n"/>
      <c r="DN702" s="95" t="n"/>
      <c r="DO702" s="95" t="n"/>
    </row>
    <row r="703" ht="12.5" customHeight="1">
      <c r="A703" s="203" t="inlineStr">
        <is>
          <t>PEP-03</t>
        </is>
      </c>
      <c r="B703" s="255" t="n"/>
      <c r="C703" s="255"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255" t="n"/>
      <c r="BL703" s="7" t="inlineStr">
        <is>
          <t>GTAM</t>
        </is>
      </c>
      <c r="BM703" s="254" t="inlineStr">
        <is>
          <t>ASUB</t>
        </is>
      </c>
      <c r="BN703" s="266" t="inlineStr">
        <is>
          <t>Portezuelo</t>
        </is>
      </c>
      <c r="BO703" s="254"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252"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4" t="n"/>
      <c r="DB703" s="254" t="n"/>
      <c r="DC703" s="254" t="n"/>
      <c r="DD703" s="254" t="n"/>
      <c r="DE703" s="254" t="n"/>
      <c r="DF703" s="254" t="n"/>
      <c r="DG703" s="254" t="n"/>
      <c r="DH703" s="254" t="n"/>
      <c r="DI703" s="254" t="n"/>
      <c r="DJ703" s="254" t="n"/>
      <c r="DK703" s="254" t="n"/>
      <c r="DL703" s="95" t="n"/>
      <c r="DM703" s="254" t="inlineStr">
        <is>
          <t>M</t>
        </is>
      </c>
      <c r="DN703" s="95" t="n">
        <v>8</v>
      </c>
      <c r="DO703" s="95" t="n">
        <v>21</v>
      </c>
    </row>
    <row r="704" ht="13" customHeight="1">
      <c r="A704" s="203" t="inlineStr">
        <is>
          <t>PEP-04</t>
        </is>
      </c>
      <c r="B704" s="260" t="inlineStr">
        <is>
          <t>PEP-04C PORTEZUELO</t>
        </is>
      </c>
      <c r="C704" s="254"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259" t="inlineStr">
        <is>
          <t>530PP034</t>
        </is>
      </c>
      <c r="BL704" s="7" t="inlineStr">
        <is>
          <t>GTAM</t>
        </is>
      </c>
      <c r="BM704" s="254" t="inlineStr">
        <is>
          <t>NF</t>
        </is>
      </c>
      <c r="BN704" s="266"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1"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4" t="n"/>
      <c r="DB704" s="254" t="n"/>
      <c r="DC704" s="254" t="n"/>
      <c r="DD704" s="254" t="n"/>
      <c r="DE704" s="254" t="n"/>
      <c r="DF704" s="254" t="n"/>
      <c r="DG704" s="254" t="n"/>
      <c r="DH704" s="254" t="n"/>
      <c r="DI704" s="254" t="n"/>
      <c r="DJ704" s="254" t="inlineStr">
        <is>
          <t>M</t>
        </is>
      </c>
      <c r="DK704" s="254" t="n">
        <v>8</v>
      </c>
      <c r="DL704" s="95" t="n">
        <v>21</v>
      </c>
      <c r="DM704" s="254" t="n"/>
      <c r="DN704" s="95" t="n"/>
      <c r="DO704" s="95" t="n"/>
    </row>
    <row r="705" ht="13" customHeight="1">
      <c r="A705" s="203" t="inlineStr">
        <is>
          <t>PEP-04</t>
        </is>
      </c>
      <c r="B705" s="255" t="n"/>
      <c r="C705" s="255"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255" t="n"/>
      <c r="BL705" s="7" t="inlineStr">
        <is>
          <t>GTAM</t>
        </is>
      </c>
      <c r="BM705" s="254" t="inlineStr">
        <is>
          <t>ASUB</t>
        </is>
      </c>
      <c r="BN705" s="266" t="inlineStr">
        <is>
          <t>Portezuelo</t>
        </is>
      </c>
      <c r="BO705" s="254" t="inlineStr">
        <is>
          <t>SI / PAT FRONTERA</t>
        </is>
      </c>
      <c r="BP705" s="106" t="inlineStr">
        <is>
          <t>PEP-04C PORTEZUELO/ASUB</t>
        </is>
      </c>
      <c r="BQ705" s="106">
        <f>VLOOKUP(BP705,[1]AGUA!$1:$1048576,2,FALSE)</f>
        <v/>
      </c>
      <c r="BR705" s="106">
        <f>VLOOKUP(BP705,[1]AGUA!$1:$1048576,6,FALSE)</f>
        <v/>
      </c>
      <c r="BS705" s="106">
        <f>VLOOKUP(BP705,[1]AGUA!$1:$1048576,7,FALSE)</f>
        <v/>
      </c>
      <c r="BT705" s="106" t="n"/>
      <c r="BU705" s="252"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4" t="n"/>
      <c r="DB705" s="254" t="n"/>
      <c r="DC705" s="254" t="n"/>
      <c r="DD705" s="254" t="n"/>
      <c r="DE705" s="254" t="n"/>
      <c r="DF705" s="254" t="n"/>
      <c r="DG705" s="254" t="n"/>
      <c r="DH705" s="254" t="n"/>
      <c r="DI705" s="254" t="n"/>
      <c r="DJ705" s="254" t="n"/>
      <c r="DK705" s="254" t="n"/>
      <c r="DL705" s="95" t="n"/>
      <c r="DM705" s="254" t="inlineStr">
        <is>
          <t>M</t>
        </is>
      </c>
      <c r="DN705" s="95" t="n">
        <v>8</v>
      </c>
      <c r="DO705" s="95" t="n">
        <v>21</v>
      </c>
    </row>
    <row r="706" ht="13" customHeight="1">
      <c r="A706" s="203" t="inlineStr">
        <is>
          <t>PER-12</t>
        </is>
      </c>
      <c r="B706" s="260"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61" t="inlineStr">
        <is>
          <t>532MAPER12</t>
        </is>
      </c>
      <c r="BL706" s="61" t="inlineStr">
        <is>
          <t>GMAP-SIGA</t>
        </is>
      </c>
      <c r="BM706" s="254" t="inlineStr">
        <is>
          <t>NF</t>
        </is>
      </c>
      <c r="BN706" s="266" t="inlineStr">
        <is>
          <t>Yabricollita (FUERA)</t>
        </is>
      </c>
      <c r="BO706" s="254"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4" t="n"/>
      <c r="DB706" s="254" t="n"/>
      <c r="DC706" s="254" t="n"/>
      <c r="DD706" s="254" t="n"/>
      <c r="DE706" s="254" t="n"/>
      <c r="DF706" s="254" t="n"/>
      <c r="DG706" s="254" t="n"/>
      <c r="DH706" s="254" t="n"/>
      <c r="DI706" s="254" t="n"/>
      <c r="DJ706" s="254" t="inlineStr">
        <is>
          <t>B</t>
        </is>
      </c>
      <c r="DK706" s="254" t="n">
        <v>22</v>
      </c>
      <c r="DL706" s="95" t="n">
        <v>28</v>
      </c>
      <c r="DM706" s="254" t="n"/>
      <c r="DN706" s="95" t="n"/>
      <c r="DO706" s="95" t="n"/>
    </row>
    <row r="707" ht="13" customHeight="1">
      <c r="A707" s="203" t="inlineStr">
        <is>
          <t>PEU-2B</t>
        </is>
      </c>
      <c r="B707" s="260"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259" t="inlineStr">
        <is>
          <t>532MPEU02B</t>
        </is>
      </c>
      <c r="BL707" s="61" t="inlineStr">
        <is>
          <t>GMAP-SIGA</t>
        </is>
      </c>
      <c r="BM707" s="254" t="inlineStr">
        <is>
          <t>NF</t>
        </is>
      </c>
      <c r="BN707" s="266" t="inlineStr">
        <is>
          <t>Michincha</t>
        </is>
      </c>
      <c r="BO707" s="254"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4" t="n"/>
      <c r="DB707" s="254" t="n"/>
      <c r="DC707" s="254" t="n"/>
      <c r="DD707" s="254" t="n"/>
      <c r="DE707" s="254" t="n"/>
      <c r="DF707" s="254" t="n"/>
      <c r="DG707" s="254" t="n"/>
      <c r="DH707" s="254" t="n"/>
      <c r="DI707" s="254" t="n"/>
      <c r="DJ707" s="254" t="inlineStr">
        <is>
          <t>M</t>
        </is>
      </c>
      <c r="DK707" s="254" t="n">
        <v>22</v>
      </c>
      <c r="DL707" s="95" t="n">
        <v>28</v>
      </c>
      <c r="DM707" s="254" t="n"/>
      <c r="DN707" s="95" t="n"/>
      <c r="DO707" s="95" t="n"/>
    </row>
    <row r="708" ht="13" customHeight="1">
      <c r="A708" s="203" t="inlineStr">
        <is>
          <t>PIEZ-11</t>
        </is>
      </c>
      <c r="B708" s="260"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259" t="inlineStr">
        <is>
          <t>532MPIEZ19</t>
        </is>
      </c>
      <c r="BL708" s="61" t="inlineStr">
        <is>
          <t>MINA</t>
        </is>
      </c>
      <c r="BM708" s="254" t="inlineStr">
        <is>
          <t>NF</t>
        </is>
      </c>
      <c r="BN708" s="266" t="inlineStr">
        <is>
          <t>Ujina</t>
        </is>
      </c>
      <c r="BO708" s="254"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4" t="n"/>
      <c r="DB708" s="254" t="n"/>
      <c r="DC708" s="254" t="n"/>
      <c r="DD708" s="254" t="n"/>
      <c r="DE708" s="254" t="n"/>
      <c r="DF708" s="254" t="n"/>
      <c r="DG708" s="254" t="n"/>
      <c r="DH708" s="254" t="n"/>
      <c r="DI708" s="254" t="n"/>
      <c r="DJ708" s="254" t="inlineStr">
        <is>
          <t>M</t>
        </is>
      </c>
      <c r="DK708" s="254" t="n">
        <v>8</v>
      </c>
      <c r="DL708" s="95" t="n">
        <v>14</v>
      </c>
      <c r="DM708" s="254" t="n"/>
      <c r="DN708" s="95" t="n"/>
      <c r="DO708" s="95" t="n"/>
    </row>
    <row r="709" ht="13" customHeight="1">
      <c r="A709" s="203" t="inlineStr">
        <is>
          <t>PLIX-01A</t>
        </is>
      </c>
      <c r="B709" s="260" t="inlineStr">
        <is>
          <t>PLIX-01A LIXIVIACIÓN</t>
        </is>
      </c>
      <c r="C709" s="254"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259" t="inlineStr">
        <is>
          <t>532MAPLIX</t>
        </is>
      </c>
      <c r="BL709" s="7" t="inlineStr">
        <is>
          <t>LIXIVIACIÓN</t>
        </is>
      </c>
      <c r="BM709" s="254" t="inlineStr">
        <is>
          <t>NF</t>
        </is>
      </c>
      <c r="BN709" s="266" t="inlineStr">
        <is>
          <t>Lixiviación</t>
        </is>
      </c>
      <c r="BO709" s="254"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4" t="n"/>
      <c r="DB709" s="254" t="n"/>
      <c r="DC709" s="254" t="n"/>
      <c r="DD709" s="254" t="n"/>
      <c r="DE709" s="254" t="n"/>
      <c r="DF709" s="254" t="n"/>
      <c r="DG709" s="254" t="n"/>
      <c r="DH709" s="254" t="n"/>
      <c r="DI709" s="254" t="n"/>
      <c r="DJ709" s="254" t="inlineStr">
        <is>
          <t>M</t>
        </is>
      </c>
      <c r="DK709" s="254" t="n">
        <v>1</v>
      </c>
      <c r="DL709" s="95" t="n">
        <v>7</v>
      </c>
      <c r="DM709" s="254" t="n"/>
      <c r="DN709" s="95" t="n"/>
      <c r="DO709" s="95" t="n"/>
    </row>
    <row r="710" ht="13" customHeight="1">
      <c r="A710" s="203" t="inlineStr">
        <is>
          <t>PLIX-01A</t>
        </is>
      </c>
      <c r="B710" s="255" t="n"/>
      <c r="C710" s="255"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255" t="n"/>
      <c r="BL710" s="7" t="inlineStr">
        <is>
          <t>LIXIVIACIÓN</t>
        </is>
      </c>
      <c r="BM710" s="254" t="inlineStr">
        <is>
          <t>ASUB</t>
        </is>
      </c>
      <c r="BN710" s="266" t="inlineStr">
        <is>
          <t>Lixiviación</t>
        </is>
      </c>
      <c r="BO710" s="254"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4" t="n"/>
      <c r="DB710" s="254" t="n"/>
      <c r="DC710" s="254" t="n"/>
      <c r="DD710" s="254" t="n"/>
      <c r="DE710" s="254" t="n"/>
      <c r="DF710" s="254" t="n"/>
      <c r="DG710" s="254" t="n"/>
      <c r="DH710" s="254" t="n"/>
      <c r="DI710" s="254" t="n"/>
      <c r="DJ710" s="254" t="n"/>
      <c r="DK710" s="254" t="n"/>
      <c r="DL710" s="95" t="n"/>
      <c r="DM710" s="254" t="inlineStr">
        <is>
          <t>M</t>
        </is>
      </c>
      <c r="DN710" s="95" t="n">
        <v>1</v>
      </c>
      <c r="DO710" s="95" t="n">
        <v>7</v>
      </c>
    </row>
    <row r="711" ht="13" customHeight="1">
      <c r="A711" s="203" t="inlineStr">
        <is>
          <t>PLIX-01B</t>
        </is>
      </c>
      <c r="B711" s="260" t="inlineStr">
        <is>
          <t>PLIX-01B LIXIVIACIÓN</t>
        </is>
      </c>
      <c r="C711" s="254"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259" t="inlineStr">
        <is>
          <t>532MAPLIX</t>
        </is>
      </c>
      <c r="BL711" s="7" t="inlineStr">
        <is>
          <t>LIXIVIACIÓN</t>
        </is>
      </c>
      <c r="BM711" s="254" t="inlineStr">
        <is>
          <t>NF</t>
        </is>
      </c>
      <c r="BN711" s="266" t="inlineStr">
        <is>
          <t>Lixiviación</t>
        </is>
      </c>
      <c r="BO711" s="254"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4" t="n"/>
      <c r="DB711" s="254" t="n"/>
      <c r="DC711" s="254" t="n"/>
      <c r="DD711" s="254" t="n"/>
      <c r="DE711" s="254" t="n"/>
      <c r="DF711" s="254" t="n"/>
      <c r="DG711" s="254" t="n"/>
      <c r="DH711" s="254" t="n"/>
      <c r="DI711" s="254" t="n"/>
      <c r="DJ711" s="254" t="inlineStr">
        <is>
          <t>M</t>
        </is>
      </c>
      <c r="DK711" s="254" t="n">
        <v>1</v>
      </c>
      <c r="DL711" s="95" t="n">
        <v>7</v>
      </c>
      <c r="DM711" s="254" t="n"/>
      <c r="DN711" s="95" t="n"/>
      <c r="DO711" s="95" t="n"/>
    </row>
    <row r="712" ht="13" customHeight="1">
      <c r="A712" s="203" t="inlineStr">
        <is>
          <t>PLIX-01B</t>
        </is>
      </c>
      <c r="B712" s="255" t="n"/>
      <c r="C712" s="255"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255" t="n"/>
      <c r="BL712" s="7" t="inlineStr">
        <is>
          <t>LIXIVIACIÓN</t>
        </is>
      </c>
      <c r="BM712" s="254" t="inlineStr">
        <is>
          <t>ASUB</t>
        </is>
      </c>
      <c r="BN712" s="266" t="inlineStr">
        <is>
          <t>Lixiviación</t>
        </is>
      </c>
      <c r="BO712" s="254"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4" t="n"/>
      <c r="DB712" s="254" t="n"/>
      <c r="DC712" s="254" t="n"/>
      <c r="DD712" s="254" t="n"/>
      <c r="DE712" s="254" t="n"/>
      <c r="DF712" s="254" t="n"/>
      <c r="DG712" s="254" t="n"/>
      <c r="DH712" s="254" t="n"/>
      <c r="DI712" s="254" t="n"/>
      <c r="DJ712" s="254" t="n"/>
      <c r="DK712" s="254" t="n"/>
      <c r="DL712" s="95" t="n"/>
      <c r="DM712" s="254" t="inlineStr">
        <is>
          <t>M</t>
        </is>
      </c>
      <c r="DN712" s="95" t="n">
        <v>1</v>
      </c>
      <c r="DO712" s="95" t="n">
        <v>7</v>
      </c>
    </row>
    <row r="713" ht="13" customHeight="1">
      <c r="A713" s="203" t="inlineStr">
        <is>
          <t>PLIX-02A</t>
        </is>
      </c>
      <c r="B713" s="260" t="inlineStr">
        <is>
          <t>PLIX-02A LIXIVIACIÓN</t>
        </is>
      </c>
      <c r="C713" s="254"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259" t="inlineStr">
        <is>
          <t>532MAPLIX</t>
        </is>
      </c>
      <c r="BL713" s="7" t="inlineStr">
        <is>
          <t>LIXIVIACIÓN</t>
        </is>
      </c>
      <c r="BM713" s="254" t="inlineStr">
        <is>
          <t>NF</t>
        </is>
      </c>
      <c r="BN713" s="266" t="inlineStr">
        <is>
          <t>Lixiviación</t>
        </is>
      </c>
      <c r="BO713" s="254"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4" t="n"/>
      <c r="DB713" s="254" t="n"/>
      <c r="DC713" s="254" t="n"/>
      <c r="DD713" s="254" t="n"/>
      <c r="DE713" s="254" t="n"/>
      <c r="DF713" s="254" t="n"/>
      <c r="DG713" s="254" t="n"/>
      <c r="DH713" s="254" t="n"/>
      <c r="DI713" s="254" t="n"/>
      <c r="DJ713" s="254" t="inlineStr">
        <is>
          <t>M</t>
        </is>
      </c>
      <c r="DK713" s="254" t="n">
        <v>1</v>
      </c>
      <c r="DL713" s="95" t="n">
        <v>7</v>
      </c>
      <c r="DM713" s="254" t="n"/>
      <c r="DN713" s="95" t="n"/>
      <c r="DO713" s="95" t="n"/>
    </row>
    <row r="714" ht="13" customHeight="1">
      <c r="A714" s="203" t="inlineStr">
        <is>
          <t>PLIX-02A</t>
        </is>
      </c>
      <c r="B714" s="255" t="n"/>
      <c r="C714" s="255"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255" t="n"/>
      <c r="BL714" s="7" t="inlineStr">
        <is>
          <t>LIXIVIACIÓN</t>
        </is>
      </c>
      <c r="BM714" s="254" t="inlineStr">
        <is>
          <t>ASUB</t>
        </is>
      </c>
      <c r="BN714" s="266" t="inlineStr">
        <is>
          <t>Lixiviación</t>
        </is>
      </c>
      <c r="BO714" s="254"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4" t="n"/>
      <c r="DB714" s="254" t="n"/>
      <c r="DC714" s="254" t="n"/>
      <c r="DD714" s="254" t="n"/>
      <c r="DE714" s="254" t="n"/>
      <c r="DF714" s="254" t="n"/>
      <c r="DG714" s="254" t="n"/>
      <c r="DH714" s="254" t="n"/>
      <c r="DI714" s="254" t="n"/>
      <c r="DJ714" s="254" t="n"/>
      <c r="DK714" s="254" t="n"/>
      <c r="DL714" s="95" t="n"/>
      <c r="DM714" s="254" t="inlineStr">
        <is>
          <t>M</t>
        </is>
      </c>
      <c r="DN714" s="95" t="n">
        <v>1</v>
      </c>
      <c r="DO714" s="95" t="n">
        <v>7</v>
      </c>
    </row>
    <row r="715" ht="13" customHeight="1">
      <c r="A715" s="203" t="inlineStr">
        <is>
          <t>PLIX-02B</t>
        </is>
      </c>
      <c r="B715" s="260" t="inlineStr">
        <is>
          <t>PLIX-02B LIXIVIACIÓN</t>
        </is>
      </c>
      <c r="C715" s="254"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259" t="inlineStr">
        <is>
          <t>532MAPLIX</t>
        </is>
      </c>
      <c r="BL715" s="7" t="inlineStr">
        <is>
          <t>LIXIVIACIÓN</t>
        </is>
      </c>
      <c r="BM715" s="254" t="inlineStr">
        <is>
          <t>NF</t>
        </is>
      </c>
      <c r="BN715" s="266" t="inlineStr">
        <is>
          <t>Lixiviación</t>
        </is>
      </c>
      <c r="BO715" s="254"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4" t="n"/>
      <c r="DB715" s="254" t="n"/>
      <c r="DC715" s="254" t="n"/>
      <c r="DD715" s="254" t="n"/>
      <c r="DE715" s="254" t="n"/>
      <c r="DF715" s="254" t="n"/>
      <c r="DG715" s="254" t="n"/>
      <c r="DH715" s="254" t="n"/>
      <c r="DI715" s="254" t="n"/>
      <c r="DJ715" s="254" t="inlineStr">
        <is>
          <t>M</t>
        </is>
      </c>
      <c r="DK715" s="254" t="n">
        <v>1</v>
      </c>
      <c r="DL715" s="95" t="n">
        <v>7</v>
      </c>
      <c r="DM715" s="254" t="n"/>
      <c r="DN715" s="95" t="n"/>
      <c r="DO715" s="95" t="n"/>
    </row>
    <row r="716" ht="13" customHeight="1">
      <c r="A716" s="203" t="inlineStr">
        <is>
          <t>PLIX-02B</t>
        </is>
      </c>
      <c r="B716" s="255" t="n"/>
      <c r="C716" s="255"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255" t="n"/>
      <c r="BL716" s="7" t="inlineStr">
        <is>
          <t>LIXIVIACIÓN</t>
        </is>
      </c>
      <c r="BM716" s="254" t="inlineStr">
        <is>
          <t>ASUB</t>
        </is>
      </c>
      <c r="BN716" s="266" t="inlineStr">
        <is>
          <t>Lixiviación</t>
        </is>
      </c>
      <c r="BO716" s="254"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4" t="n"/>
      <c r="DB716" s="254" t="n"/>
      <c r="DC716" s="254" t="n"/>
      <c r="DD716" s="254" t="n"/>
      <c r="DE716" s="254" t="n"/>
      <c r="DF716" s="254" t="n"/>
      <c r="DG716" s="254" t="n"/>
      <c r="DH716" s="254" t="n"/>
      <c r="DI716" s="254" t="n"/>
      <c r="DJ716" s="254" t="n"/>
      <c r="DK716" s="254" t="n"/>
      <c r="DL716" s="95" t="n"/>
      <c r="DM716" s="254" t="inlineStr">
        <is>
          <t>M</t>
        </is>
      </c>
      <c r="DN716" s="95" t="n">
        <v>1</v>
      </c>
      <c r="DO716" s="95" t="n">
        <v>7</v>
      </c>
    </row>
    <row r="717" ht="13" customHeight="1">
      <c r="A717" s="203" t="inlineStr">
        <is>
          <t>PLIX-03A</t>
        </is>
      </c>
      <c r="B717" s="260" t="inlineStr">
        <is>
          <t>PLIX-03A LIXIVIACIÓN</t>
        </is>
      </c>
      <c r="C717" s="254"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259" t="inlineStr">
        <is>
          <t>532MAPLIX</t>
        </is>
      </c>
      <c r="BL717" s="7" t="inlineStr">
        <is>
          <t>LIXIVIACIÓN</t>
        </is>
      </c>
      <c r="BM717" s="254" t="inlineStr">
        <is>
          <t>NF</t>
        </is>
      </c>
      <c r="BN717" s="266" t="inlineStr">
        <is>
          <t>Lixiviación</t>
        </is>
      </c>
      <c r="BO717" s="254"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4" t="n"/>
      <c r="DB717" s="254" t="n"/>
      <c r="DC717" s="254" t="n"/>
      <c r="DD717" s="254" t="n"/>
      <c r="DE717" s="254" t="n"/>
      <c r="DF717" s="254" t="n"/>
      <c r="DG717" s="254" t="n"/>
      <c r="DH717" s="254" t="n"/>
      <c r="DI717" s="254" t="n"/>
      <c r="DJ717" s="254" t="inlineStr">
        <is>
          <t>M</t>
        </is>
      </c>
      <c r="DK717" s="254" t="n">
        <v>1</v>
      </c>
      <c r="DL717" s="95" t="n">
        <v>7</v>
      </c>
      <c r="DM717" s="254" t="n"/>
      <c r="DN717" s="95" t="n"/>
      <c r="DO717" s="95" t="n"/>
    </row>
    <row r="718" ht="13" customHeight="1">
      <c r="A718" s="203" t="inlineStr">
        <is>
          <t>PLIX-03A</t>
        </is>
      </c>
      <c r="B718" s="255" t="n"/>
      <c r="C718" s="255"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255" t="n"/>
      <c r="BL718" s="7" t="inlineStr">
        <is>
          <t>LIXIVIACIÓN</t>
        </is>
      </c>
      <c r="BM718" s="254" t="inlineStr">
        <is>
          <t>ASUB</t>
        </is>
      </c>
      <c r="BN718" s="266" t="inlineStr">
        <is>
          <t>Lixiviación</t>
        </is>
      </c>
      <c r="BO718" s="254"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4" t="n"/>
      <c r="DB718" s="254" t="n"/>
      <c r="DC718" s="254" t="n"/>
      <c r="DD718" s="254" t="n"/>
      <c r="DE718" s="254" t="n"/>
      <c r="DF718" s="254" t="n"/>
      <c r="DG718" s="254" t="n"/>
      <c r="DH718" s="254" t="n"/>
      <c r="DI718" s="254" t="n"/>
      <c r="DJ718" s="254" t="n"/>
      <c r="DK718" s="254" t="n"/>
      <c r="DL718" s="95" t="n"/>
      <c r="DM718" s="254" t="inlineStr">
        <is>
          <t>M</t>
        </is>
      </c>
      <c r="DN718" s="95" t="n">
        <v>1</v>
      </c>
      <c r="DO718" s="95" t="n">
        <v>7</v>
      </c>
    </row>
    <row r="719" ht="13" customHeight="1">
      <c r="A719" s="203" t="inlineStr">
        <is>
          <t>PLIX-03B</t>
        </is>
      </c>
      <c r="B719" s="260" t="inlineStr">
        <is>
          <t>PLIX-03B LIXIVIACIÓN</t>
        </is>
      </c>
      <c r="C719" s="254"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259" t="inlineStr">
        <is>
          <t>532MAPLIX</t>
        </is>
      </c>
      <c r="BL719" s="7" t="inlineStr">
        <is>
          <t>LIXIVIACIÓN</t>
        </is>
      </c>
      <c r="BM719" s="254" t="inlineStr">
        <is>
          <t>NF</t>
        </is>
      </c>
      <c r="BN719" s="266" t="inlineStr">
        <is>
          <t>Lixiviación</t>
        </is>
      </c>
      <c r="BO719" s="254"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4" t="n"/>
      <c r="DB719" s="254" t="n"/>
      <c r="DC719" s="254" t="n"/>
      <c r="DD719" s="254" t="n"/>
      <c r="DE719" s="254" t="n"/>
      <c r="DF719" s="254" t="n"/>
      <c r="DG719" s="254" t="n"/>
      <c r="DH719" s="254" t="n"/>
      <c r="DI719" s="254" t="n"/>
      <c r="DJ719" s="254" t="inlineStr">
        <is>
          <t>M</t>
        </is>
      </c>
      <c r="DK719" s="254" t="n">
        <v>1</v>
      </c>
      <c r="DL719" s="95" t="n">
        <v>7</v>
      </c>
      <c r="DM719" s="254" t="n"/>
      <c r="DN719" s="95" t="n"/>
      <c r="DO719" s="95" t="n"/>
    </row>
    <row r="720" ht="13" customHeight="1">
      <c r="A720" s="203" t="inlineStr">
        <is>
          <t>PLIX-03B</t>
        </is>
      </c>
      <c r="B720" s="255" t="n"/>
      <c r="C720" s="255"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255" t="n"/>
      <c r="BL720" s="7" t="inlineStr">
        <is>
          <t>LIXIVIACIÓN</t>
        </is>
      </c>
      <c r="BM720" s="254" t="inlineStr">
        <is>
          <t>ASUB</t>
        </is>
      </c>
      <c r="BN720" s="266" t="inlineStr">
        <is>
          <t>Lixiviación</t>
        </is>
      </c>
      <c r="BO720" s="254"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4" t="n"/>
      <c r="DB720" s="254" t="n"/>
      <c r="DC720" s="254" t="n"/>
      <c r="DD720" s="254" t="n"/>
      <c r="DE720" s="254" t="n"/>
      <c r="DF720" s="254" t="n"/>
      <c r="DG720" s="254" t="n"/>
      <c r="DH720" s="254" t="n"/>
      <c r="DI720" s="254" t="n"/>
      <c r="DJ720" s="254" t="n"/>
      <c r="DK720" s="254" t="n"/>
      <c r="DL720" s="95" t="n"/>
      <c r="DM720" s="254" t="inlineStr">
        <is>
          <t>M</t>
        </is>
      </c>
      <c r="DN720" s="95" t="n">
        <v>1</v>
      </c>
      <c r="DO720" s="95" t="n">
        <v>7</v>
      </c>
    </row>
    <row r="721" ht="13" customHeight="1">
      <c r="A721" s="203" t="inlineStr">
        <is>
          <t>PLIX-04</t>
        </is>
      </c>
      <c r="B721" s="260" t="inlineStr">
        <is>
          <t>PLIX-04 LIXIVIACIÓN</t>
        </is>
      </c>
      <c r="C721" s="254"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259" t="inlineStr">
        <is>
          <t>532MAPLIX</t>
        </is>
      </c>
      <c r="BL721" s="7" t="inlineStr">
        <is>
          <t>LIXIVIACIÓN</t>
        </is>
      </c>
      <c r="BM721" s="254" t="inlineStr">
        <is>
          <t>NF</t>
        </is>
      </c>
      <c r="BN721" s="266" t="inlineStr">
        <is>
          <t>Lixiviación</t>
        </is>
      </c>
      <c r="BO721" s="254"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4" t="n"/>
      <c r="DB721" s="254" t="n"/>
      <c r="DC721" s="254" t="n"/>
      <c r="DD721" s="254" t="n"/>
      <c r="DE721" s="254" t="n"/>
      <c r="DF721" s="254" t="n"/>
      <c r="DG721" s="254" t="n"/>
      <c r="DH721" s="254" t="n"/>
      <c r="DI721" s="254" t="n"/>
      <c r="DJ721" s="254" t="inlineStr">
        <is>
          <t>M</t>
        </is>
      </c>
      <c r="DK721" s="254" t="n">
        <v>1</v>
      </c>
      <c r="DL721" s="95" t="n">
        <v>7</v>
      </c>
      <c r="DM721" s="254" t="n"/>
      <c r="DN721" s="95" t="n"/>
      <c r="DO721" s="95" t="n"/>
    </row>
    <row r="722" ht="13" customHeight="1">
      <c r="A722" s="203" t="inlineStr">
        <is>
          <t>PLIX-04</t>
        </is>
      </c>
      <c r="B722" s="255" t="n"/>
      <c r="C722" s="255"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255" t="n"/>
      <c r="BL722" s="7" t="inlineStr">
        <is>
          <t>LIXIVIACIÓN</t>
        </is>
      </c>
      <c r="BM722" s="254" t="inlineStr">
        <is>
          <t>ASUB</t>
        </is>
      </c>
      <c r="BN722" s="266" t="inlineStr">
        <is>
          <t>Lixiviación</t>
        </is>
      </c>
      <c r="BO722" s="254"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4" t="n"/>
      <c r="DB722" s="254" t="n"/>
      <c r="DC722" s="254" t="n"/>
      <c r="DD722" s="254" t="n"/>
      <c r="DE722" s="254" t="n"/>
      <c r="DF722" s="254" t="n"/>
      <c r="DG722" s="254" t="n"/>
      <c r="DH722" s="254" t="n"/>
      <c r="DI722" s="254" t="n"/>
      <c r="DJ722" s="254" t="n"/>
      <c r="DK722" s="254" t="n"/>
      <c r="DL722" s="95" t="n"/>
      <c r="DM722" s="254" t="inlineStr">
        <is>
          <t>M</t>
        </is>
      </c>
      <c r="DN722" s="95" t="n">
        <v>1</v>
      </c>
      <c r="DO722" s="95" t="n">
        <v>7</v>
      </c>
    </row>
    <row r="723" ht="13" customHeight="1">
      <c r="A723" s="203" t="inlineStr">
        <is>
          <t>PLIX-05A</t>
        </is>
      </c>
      <c r="B723" s="260" t="inlineStr">
        <is>
          <t>PLIX-05A LIXIVIACIÓN</t>
        </is>
      </c>
      <c r="C723" s="254"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259" t="inlineStr">
        <is>
          <t>532MAPLIX</t>
        </is>
      </c>
      <c r="BL723" s="7" t="inlineStr">
        <is>
          <t>LIXIVIACIÓN</t>
        </is>
      </c>
      <c r="BM723" s="254" t="inlineStr">
        <is>
          <t>NF</t>
        </is>
      </c>
      <c r="BN723" s="266" t="inlineStr">
        <is>
          <t>Lixiviación</t>
        </is>
      </c>
      <c r="BO723" s="254"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4" t="n"/>
      <c r="DB723" s="254" t="n"/>
      <c r="DC723" s="254" t="n"/>
      <c r="DD723" s="254" t="n"/>
      <c r="DE723" s="254" t="n"/>
      <c r="DF723" s="254" t="n"/>
      <c r="DG723" s="254" t="n"/>
      <c r="DH723" s="254" t="n"/>
      <c r="DI723" s="254" t="n"/>
      <c r="DJ723" s="254" t="inlineStr">
        <is>
          <t>M</t>
        </is>
      </c>
      <c r="DK723" s="254" t="n">
        <v>1</v>
      </c>
      <c r="DL723" s="95" t="n">
        <v>7</v>
      </c>
      <c r="DM723" s="254" t="n"/>
      <c r="DN723" s="95" t="n"/>
      <c r="DO723" s="95" t="n"/>
    </row>
    <row r="724" ht="13" customHeight="1">
      <c r="A724" s="203" t="inlineStr">
        <is>
          <t>PLIX-05A</t>
        </is>
      </c>
      <c r="B724" s="255" t="n"/>
      <c r="C724" s="255"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255" t="n"/>
      <c r="BL724" s="7" t="inlineStr">
        <is>
          <t>LIXIVIACIÓN</t>
        </is>
      </c>
      <c r="BM724" s="254" t="inlineStr">
        <is>
          <t>ASUB</t>
        </is>
      </c>
      <c r="BN724" s="266" t="inlineStr">
        <is>
          <t>Lixiviación</t>
        </is>
      </c>
      <c r="BO724" s="254"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4" t="n"/>
      <c r="DB724" s="254" t="n"/>
      <c r="DC724" s="254" t="n"/>
      <c r="DD724" s="254" t="n"/>
      <c r="DE724" s="254" t="n"/>
      <c r="DF724" s="254" t="n"/>
      <c r="DG724" s="254" t="n"/>
      <c r="DH724" s="254" t="n"/>
      <c r="DI724" s="254" t="n"/>
      <c r="DJ724" s="254" t="n"/>
      <c r="DK724" s="254" t="n"/>
      <c r="DL724" s="95" t="n"/>
      <c r="DM724" s="254" t="inlineStr">
        <is>
          <t>M</t>
        </is>
      </c>
      <c r="DN724" s="95" t="n">
        <v>1</v>
      </c>
      <c r="DO724" s="95" t="n">
        <v>7</v>
      </c>
    </row>
    <row r="725" ht="13" customHeight="1">
      <c r="A725" s="203" t="inlineStr">
        <is>
          <t>PLIX-05B</t>
        </is>
      </c>
      <c r="B725" s="260" t="inlineStr">
        <is>
          <t>PLIX-05B LIXIVIACIÓN</t>
        </is>
      </c>
      <c r="C725" s="254"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259" t="inlineStr">
        <is>
          <t>532MAPLIX</t>
        </is>
      </c>
      <c r="BL725" s="7" t="inlineStr">
        <is>
          <t>LIXIVIACIÓN</t>
        </is>
      </c>
      <c r="BM725" s="254" t="inlineStr">
        <is>
          <t>NF</t>
        </is>
      </c>
      <c r="BN725" s="266" t="inlineStr">
        <is>
          <t>Lixiviación</t>
        </is>
      </c>
      <c r="BO725" s="254"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4" t="n"/>
      <c r="DB725" s="254" t="n"/>
      <c r="DC725" s="254" t="n"/>
      <c r="DD725" s="254" t="n"/>
      <c r="DE725" s="254" t="n"/>
      <c r="DF725" s="254" t="n"/>
      <c r="DG725" s="254" t="n"/>
      <c r="DH725" s="254" t="n"/>
      <c r="DI725" s="254" t="n"/>
      <c r="DJ725" s="254" t="inlineStr">
        <is>
          <t>M</t>
        </is>
      </c>
      <c r="DK725" s="254" t="n">
        <v>1</v>
      </c>
      <c r="DL725" s="95" t="n">
        <v>7</v>
      </c>
      <c r="DM725" s="254" t="n"/>
      <c r="DN725" s="95" t="n"/>
      <c r="DO725" s="95" t="n"/>
    </row>
    <row r="726" ht="13" customHeight="1">
      <c r="A726" s="203" t="inlineStr">
        <is>
          <t>PLIX-05B</t>
        </is>
      </c>
      <c r="B726" s="255" t="n"/>
      <c r="C726" s="255"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255" t="n"/>
      <c r="BL726" s="7" t="inlineStr">
        <is>
          <t>LIXIVIACIÓN</t>
        </is>
      </c>
      <c r="BM726" s="254" t="inlineStr">
        <is>
          <t>ASUB</t>
        </is>
      </c>
      <c r="BN726" s="266" t="inlineStr">
        <is>
          <t>Lixiviación</t>
        </is>
      </c>
      <c r="BO726" s="254"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4" t="n"/>
      <c r="DB726" s="254" t="n"/>
      <c r="DC726" s="254" t="n"/>
      <c r="DD726" s="254" t="n"/>
      <c r="DE726" s="254" t="n"/>
      <c r="DF726" s="254" t="n"/>
      <c r="DG726" s="254" t="n"/>
      <c r="DH726" s="254" t="n"/>
      <c r="DI726" s="254" t="n"/>
      <c r="DJ726" s="254" t="n"/>
      <c r="DK726" s="254" t="n"/>
      <c r="DL726" s="95" t="n"/>
      <c r="DM726" s="254" t="inlineStr">
        <is>
          <t>M</t>
        </is>
      </c>
      <c r="DN726" s="95" t="n">
        <v>1</v>
      </c>
      <c r="DO726" s="95" t="n">
        <v>7</v>
      </c>
    </row>
    <row r="727" ht="13" customHeight="1">
      <c r="A727" s="203" t="inlineStr">
        <is>
          <t>PLIX-06</t>
        </is>
      </c>
      <c r="B727" s="260" t="inlineStr">
        <is>
          <t>PLIX-06 LIXIVIACIÓN</t>
        </is>
      </c>
      <c r="C727" s="254"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259" t="inlineStr">
        <is>
          <t>532MAPLIX</t>
        </is>
      </c>
      <c r="BL727" s="7" t="inlineStr">
        <is>
          <t>LIXIVIACIÓN</t>
        </is>
      </c>
      <c r="BM727" s="254" t="inlineStr">
        <is>
          <t>NF</t>
        </is>
      </c>
      <c r="BN727" s="266" t="inlineStr">
        <is>
          <t>Lixiviación</t>
        </is>
      </c>
      <c r="BO727" s="254"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4" t="n"/>
      <c r="DB727" s="254" t="n"/>
      <c r="DC727" s="254" t="n"/>
      <c r="DD727" s="254" t="n"/>
      <c r="DE727" s="254" t="n"/>
      <c r="DF727" s="254" t="n"/>
      <c r="DG727" s="254" t="n"/>
      <c r="DH727" s="254" t="n"/>
      <c r="DI727" s="254" t="n"/>
      <c r="DJ727" s="254" t="inlineStr">
        <is>
          <t>M</t>
        </is>
      </c>
      <c r="DK727" s="254" t="n">
        <v>1</v>
      </c>
      <c r="DL727" s="95" t="n">
        <v>7</v>
      </c>
      <c r="DM727" s="254" t="n"/>
      <c r="DN727" s="95" t="n"/>
      <c r="DO727" s="95" t="n"/>
    </row>
    <row r="728" ht="13" customHeight="1">
      <c r="A728" s="203" t="inlineStr">
        <is>
          <t>PLIX-06</t>
        </is>
      </c>
      <c r="B728" s="255" t="n"/>
      <c r="C728" s="255"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255" t="n"/>
      <c r="BL728" s="7" t="inlineStr">
        <is>
          <t>LIXIVIACIÓN</t>
        </is>
      </c>
      <c r="BM728" s="254" t="inlineStr">
        <is>
          <t>ASUB</t>
        </is>
      </c>
      <c r="BN728" s="266" t="inlineStr">
        <is>
          <t>Lixiviación</t>
        </is>
      </c>
      <c r="BO728" s="254"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4" t="n"/>
      <c r="DB728" s="254" t="n"/>
      <c r="DC728" s="254" t="n"/>
      <c r="DD728" s="254" t="n"/>
      <c r="DE728" s="254" t="n"/>
      <c r="DF728" s="254" t="n"/>
      <c r="DG728" s="254" t="n"/>
      <c r="DH728" s="254" t="n"/>
      <c r="DI728" s="254" t="n"/>
      <c r="DJ728" s="254" t="n"/>
      <c r="DK728" s="254" t="n"/>
      <c r="DL728" s="95" t="n"/>
      <c r="DM728" s="254" t="inlineStr">
        <is>
          <t>M</t>
        </is>
      </c>
      <c r="DN728" s="95" t="n">
        <v>1</v>
      </c>
      <c r="DO728" s="95" t="n">
        <v>7</v>
      </c>
    </row>
    <row r="729" ht="13" customHeight="1">
      <c r="A729" s="203" t="inlineStr">
        <is>
          <t>PLIX-07A</t>
        </is>
      </c>
      <c r="B729" s="260" t="inlineStr">
        <is>
          <t>PLIX-07A LIXIVIACIÓN</t>
        </is>
      </c>
      <c r="C729" s="254"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259" t="inlineStr">
        <is>
          <t>532MAPLIX</t>
        </is>
      </c>
      <c r="BL729" s="7" t="inlineStr">
        <is>
          <t>LIXIVIACIÓN</t>
        </is>
      </c>
      <c r="BM729" s="254" t="inlineStr">
        <is>
          <t>NF</t>
        </is>
      </c>
      <c r="BN729" s="266" t="inlineStr">
        <is>
          <t>Lixiviación</t>
        </is>
      </c>
      <c r="BO729" s="254"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4" t="n"/>
      <c r="DB729" s="254" t="n"/>
      <c r="DC729" s="254" t="n"/>
      <c r="DD729" s="254" t="n"/>
      <c r="DE729" s="254" t="n"/>
      <c r="DF729" s="254" t="n"/>
      <c r="DG729" s="254" t="n"/>
      <c r="DH729" s="254" t="n"/>
      <c r="DI729" s="254" t="n"/>
      <c r="DJ729" s="254" t="inlineStr">
        <is>
          <t>M</t>
        </is>
      </c>
      <c r="DK729" s="254" t="n">
        <v>1</v>
      </c>
      <c r="DL729" s="95" t="n">
        <v>7</v>
      </c>
      <c r="DM729" s="254" t="n"/>
      <c r="DN729" s="95" t="n"/>
      <c r="DO729" s="95" t="n"/>
    </row>
    <row r="730" ht="13" customHeight="1">
      <c r="A730" s="203" t="inlineStr">
        <is>
          <t>PLIX-07A</t>
        </is>
      </c>
      <c r="B730" s="255" t="n"/>
      <c r="C730" s="255"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255" t="n"/>
      <c r="BL730" s="7" t="inlineStr">
        <is>
          <t>LIXIVIACIÓN</t>
        </is>
      </c>
      <c r="BM730" s="254" t="inlineStr">
        <is>
          <t>ASUB</t>
        </is>
      </c>
      <c r="BN730" s="266" t="inlineStr">
        <is>
          <t>Lixiviación</t>
        </is>
      </c>
      <c r="BO730" s="254"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4" t="n"/>
      <c r="DB730" s="254" t="n"/>
      <c r="DC730" s="254" t="n"/>
      <c r="DD730" s="254" t="n"/>
      <c r="DE730" s="254" t="n"/>
      <c r="DF730" s="254" t="n"/>
      <c r="DG730" s="254" t="n"/>
      <c r="DH730" s="254" t="n"/>
      <c r="DI730" s="254" t="n"/>
      <c r="DJ730" s="254" t="n"/>
      <c r="DK730" s="254" t="n"/>
      <c r="DL730" s="95" t="n"/>
      <c r="DM730" s="254" t="inlineStr">
        <is>
          <t>M</t>
        </is>
      </c>
      <c r="DN730" s="95" t="n">
        <v>1</v>
      </c>
      <c r="DO730" s="95" t="n">
        <v>7</v>
      </c>
    </row>
    <row r="731" ht="13" customHeight="1">
      <c r="A731" s="203" t="inlineStr">
        <is>
          <t>PLIX-07B</t>
        </is>
      </c>
      <c r="B731" s="260" t="inlineStr">
        <is>
          <t>PLIX-07B LIXIVIACIÓN</t>
        </is>
      </c>
      <c r="C731" s="254"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259" t="inlineStr">
        <is>
          <t>532MAPLIX</t>
        </is>
      </c>
      <c r="BL731" s="7" t="inlineStr">
        <is>
          <t>LIXIVIACIÓN</t>
        </is>
      </c>
      <c r="BM731" s="254" t="inlineStr">
        <is>
          <t>NF</t>
        </is>
      </c>
      <c r="BN731" s="266" t="inlineStr">
        <is>
          <t>Lixiviación</t>
        </is>
      </c>
      <c r="BO731" s="254"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4" t="n"/>
      <c r="DB731" s="254" t="n"/>
      <c r="DC731" s="254" t="n"/>
      <c r="DD731" s="254" t="n"/>
      <c r="DE731" s="254" t="n"/>
      <c r="DF731" s="254" t="n"/>
      <c r="DG731" s="254" t="n"/>
      <c r="DH731" s="254" t="n"/>
      <c r="DI731" s="254" t="n"/>
      <c r="DJ731" s="254" t="inlineStr">
        <is>
          <t>M</t>
        </is>
      </c>
      <c r="DK731" s="254" t="n">
        <v>1</v>
      </c>
      <c r="DL731" s="95" t="n">
        <v>7</v>
      </c>
      <c r="DM731" s="254" t="n"/>
      <c r="DN731" s="95" t="n"/>
      <c r="DO731" s="95" t="n"/>
    </row>
    <row r="732" ht="13" customHeight="1">
      <c r="A732" s="203" t="inlineStr">
        <is>
          <t>PLIX-07B</t>
        </is>
      </c>
      <c r="B732" s="255" t="n"/>
      <c r="C732" s="255"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255" t="n"/>
      <c r="BL732" s="7" t="inlineStr">
        <is>
          <t>LIXIVIACIÓN</t>
        </is>
      </c>
      <c r="BM732" s="254" t="inlineStr">
        <is>
          <t>ASUB</t>
        </is>
      </c>
      <c r="BN732" s="266" t="inlineStr">
        <is>
          <t>Lixiviación</t>
        </is>
      </c>
      <c r="BO732" s="254"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4" t="n"/>
      <c r="DB732" s="254" t="n"/>
      <c r="DC732" s="254" t="n"/>
      <c r="DD732" s="254" t="n"/>
      <c r="DE732" s="254" t="n"/>
      <c r="DF732" s="254" t="n"/>
      <c r="DG732" s="254" t="n"/>
      <c r="DH732" s="254" t="n"/>
      <c r="DI732" s="254" t="n"/>
      <c r="DJ732" s="254" t="n"/>
      <c r="DK732" s="254" t="n"/>
      <c r="DL732" s="95" t="n"/>
      <c r="DM732" s="254" t="inlineStr">
        <is>
          <t>M</t>
        </is>
      </c>
      <c r="DN732" s="95" t="n">
        <v>1</v>
      </c>
      <c r="DO732" s="95" t="n">
        <v>7</v>
      </c>
    </row>
    <row r="733" ht="13" customHeight="1">
      <c r="A733" s="203" t="inlineStr">
        <is>
          <t>PLIX-08A</t>
        </is>
      </c>
      <c r="B733" s="260" t="inlineStr">
        <is>
          <t>PLIX-08A LIXIVIACIÓN</t>
        </is>
      </c>
      <c r="C733" s="254"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259" t="inlineStr">
        <is>
          <t>532MAPLIX</t>
        </is>
      </c>
      <c r="BL733" s="7" t="inlineStr">
        <is>
          <t>LIXIVIACIÓN</t>
        </is>
      </c>
      <c r="BM733" s="254" t="inlineStr">
        <is>
          <t>NF</t>
        </is>
      </c>
      <c r="BN733" s="266" t="inlineStr">
        <is>
          <t>Lixiviación</t>
        </is>
      </c>
      <c r="BO733" s="254"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4" t="n"/>
      <c r="DB733" s="254" t="n"/>
      <c r="DC733" s="254" t="n"/>
      <c r="DD733" s="254" t="n"/>
      <c r="DE733" s="254" t="n"/>
      <c r="DF733" s="254" t="n"/>
      <c r="DG733" s="254" t="n"/>
      <c r="DH733" s="254" t="n"/>
      <c r="DI733" s="254" t="n"/>
      <c r="DJ733" s="254" t="inlineStr">
        <is>
          <t>M</t>
        </is>
      </c>
      <c r="DK733" s="254" t="n">
        <v>1</v>
      </c>
      <c r="DL733" s="95" t="n">
        <v>7</v>
      </c>
      <c r="DM733" s="254" t="n"/>
      <c r="DN733" s="95" t="n"/>
      <c r="DO733" s="95" t="n"/>
    </row>
    <row r="734" ht="13" customHeight="1">
      <c r="A734" s="203" t="inlineStr">
        <is>
          <t>PLIX-08A</t>
        </is>
      </c>
      <c r="B734" s="255" t="n"/>
      <c r="C734" s="255"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255" t="n"/>
      <c r="BL734" s="7" t="inlineStr">
        <is>
          <t>LIXIVIACIÓN</t>
        </is>
      </c>
      <c r="BM734" s="254" t="inlineStr">
        <is>
          <t>ASUB</t>
        </is>
      </c>
      <c r="BN734" s="266" t="inlineStr">
        <is>
          <t>Lixiviación</t>
        </is>
      </c>
      <c r="BO734" s="254"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4" t="n"/>
      <c r="DB734" s="254" t="n"/>
      <c r="DC734" s="254" t="n"/>
      <c r="DD734" s="254" t="n"/>
      <c r="DE734" s="254" t="n"/>
      <c r="DF734" s="254" t="n"/>
      <c r="DG734" s="254" t="n"/>
      <c r="DH734" s="254" t="n"/>
      <c r="DI734" s="254" t="n"/>
      <c r="DJ734" s="254" t="n"/>
      <c r="DK734" s="254" t="n"/>
      <c r="DL734" s="95" t="n"/>
      <c r="DM734" s="254" t="inlineStr">
        <is>
          <t>M</t>
        </is>
      </c>
      <c r="DN734" s="95" t="n">
        <v>1</v>
      </c>
      <c r="DO734" s="95" t="n">
        <v>7</v>
      </c>
    </row>
    <row r="735" ht="13" customHeight="1">
      <c r="A735" s="203" t="inlineStr">
        <is>
          <t>PLIX-08B</t>
        </is>
      </c>
      <c r="B735" s="260" t="inlineStr">
        <is>
          <t>PLIX-08B LIXIVIACIÓN</t>
        </is>
      </c>
      <c r="C735" s="254"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259" t="inlineStr">
        <is>
          <t>532MAPLIX</t>
        </is>
      </c>
      <c r="BL735" s="7" t="inlineStr">
        <is>
          <t>LIXIVIACIÓN</t>
        </is>
      </c>
      <c r="BM735" s="254" t="inlineStr">
        <is>
          <t>NF</t>
        </is>
      </c>
      <c r="BN735" s="266" t="inlineStr">
        <is>
          <t>Lixiviación</t>
        </is>
      </c>
      <c r="BO735" s="254"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4" t="n"/>
      <c r="DB735" s="254" t="n"/>
      <c r="DC735" s="254" t="n"/>
      <c r="DD735" s="254" t="n"/>
      <c r="DE735" s="254" t="n"/>
      <c r="DF735" s="254" t="n"/>
      <c r="DG735" s="254" t="n"/>
      <c r="DH735" s="254" t="n"/>
      <c r="DI735" s="254" t="n"/>
      <c r="DJ735" s="254" t="inlineStr">
        <is>
          <t>M</t>
        </is>
      </c>
      <c r="DK735" s="254" t="n">
        <v>1</v>
      </c>
      <c r="DL735" s="95" t="n">
        <v>7</v>
      </c>
      <c r="DM735" s="254" t="n"/>
      <c r="DN735" s="95" t="n"/>
      <c r="DO735" s="95" t="n"/>
    </row>
    <row r="736" ht="13" customHeight="1">
      <c r="A736" s="203" t="inlineStr">
        <is>
          <t>PLIX-08B</t>
        </is>
      </c>
      <c r="B736" s="255" t="n"/>
      <c r="C736" s="255"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255" t="n"/>
      <c r="BL736" s="7" t="inlineStr">
        <is>
          <t>LIXIVIACIÓN</t>
        </is>
      </c>
      <c r="BM736" s="254" t="inlineStr">
        <is>
          <t>ASUB</t>
        </is>
      </c>
      <c r="BN736" s="266" t="inlineStr">
        <is>
          <t>Lixiviación</t>
        </is>
      </c>
      <c r="BO736" s="254"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4" t="n"/>
      <c r="DB736" s="254" t="n"/>
      <c r="DC736" s="254" t="n"/>
      <c r="DD736" s="254" t="n"/>
      <c r="DE736" s="254" t="n"/>
      <c r="DF736" s="254" t="n"/>
      <c r="DG736" s="254" t="n"/>
      <c r="DH736" s="254" t="n"/>
      <c r="DI736" s="254" t="n"/>
      <c r="DJ736" s="254" t="n"/>
      <c r="DK736" s="254" t="n"/>
      <c r="DL736" s="95" t="n"/>
      <c r="DM736" s="254" t="inlineStr">
        <is>
          <t>M</t>
        </is>
      </c>
      <c r="DN736" s="95" t="n">
        <v>1</v>
      </c>
      <c r="DO736" s="95" t="n">
        <v>7</v>
      </c>
    </row>
    <row r="737" ht="13" customHeight="1">
      <c r="A737" s="203" t="inlineStr">
        <is>
          <t>PLIX-09</t>
        </is>
      </c>
      <c r="B737" s="260" t="inlineStr">
        <is>
          <t>PLIX-09 LIXIVIACIÓN</t>
        </is>
      </c>
      <c r="C737" s="254"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259" t="inlineStr">
        <is>
          <t>532MAPLIX</t>
        </is>
      </c>
      <c r="BL737" s="7" t="inlineStr">
        <is>
          <t>LIXIVIACIÓN</t>
        </is>
      </c>
      <c r="BM737" s="254" t="inlineStr">
        <is>
          <t>NF</t>
        </is>
      </c>
      <c r="BN737" s="266" t="inlineStr">
        <is>
          <t>Lixiviación</t>
        </is>
      </c>
      <c r="BO737" s="254"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4" t="n"/>
      <c r="DB737" s="254" t="n"/>
      <c r="DC737" s="254" t="n"/>
      <c r="DD737" s="254" t="n"/>
      <c r="DE737" s="254" t="n"/>
      <c r="DF737" s="254" t="n"/>
      <c r="DG737" s="254" t="n"/>
      <c r="DH737" s="254" t="n"/>
      <c r="DI737" s="254" t="n"/>
      <c r="DJ737" s="254" t="inlineStr">
        <is>
          <t>M</t>
        </is>
      </c>
      <c r="DK737" s="254" t="n">
        <v>1</v>
      </c>
      <c r="DL737" s="95" t="n">
        <v>7</v>
      </c>
      <c r="DM737" s="254" t="n"/>
      <c r="DN737" s="95" t="n"/>
      <c r="DO737" s="95" t="n"/>
    </row>
    <row r="738" ht="13" customHeight="1">
      <c r="A738" s="203" t="inlineStr">
        <is>
          <t>PLIX-09</t>
        </is>
      </c>
      <c r="B738" s="255" t="n"/>
      <c r="C738" s="255"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255" t="n"/>
      <c r="BL738" s="7" t="inlineStr">
        <is>
          <t>LIXIVIACIÓN</t>
        </is>
      </c>
      <c r="BM738" s="254" t="inlineStr">
        <is>
          <t>ASUB</t>
        </is>
      </c>
      <c r="BN738" s="266" t="inlineStr">
        <is>
          <t>Lixiviación</t>
        </is>
      </c>
      <c r="BO738" s="254"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4" t="n"/>
      <c r="DB738" s="254" t="n"/>
      <c r="DC738" s="254" t="n"/>
      <c r="DD738" s="254" t="n"/>
      <c r="DE738" s="254" t="n"/>
      <c r="DF738" s="254" t="n"/>
      <c r="DG738" s="254" t="n"/>
      <c r="DH738" s="254" t="n"/>
      <c r="DI738" s="254" t="n"/>
      <c r="DJ738" s="254" t="n"/>
      <c r="DK738" s="254" t="n"/>
      <c r="DL738" s="95" t="n"/>
      <c r="DM738" s="254" t="inlineStr">
        <is>
          <t>M</t>
        </is>
      </c>
      <c r="DN738" s="95" t="n">
        <v>1</v>
      </c>
      <c r="DO738" s="95" t="n">
        <v>7</v>
      </c>
    </row>
    <row r="739" ht="13" customHeight="1">
      <c r="A739" s="203" t="inlineStr">
        <is>
          <t>PLIX-10A</t>
        </is>
      </c>
      <c r="B739" s="260" t="inlineStr">
        <is>
          <t>PLIX-10A LIXIVIACIÓN</t>
        </is>
      </c>
      <c r="C739" s="254"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259" t="inlineStr">
        <is>
          <t>532MAPLIX</t>
        </is>
      </c>
      <c r="BL739" s="7" t="inlineStr">
        <is>
          <t>LIXIVIACIÓN</t>
        </is>
      </c>
      <c r="BM739" s="254" t="inlineStr">
        <is>
          <t>NF</t>
        </is>
      </c>
      <c r="BN739" s="266" t="inlineStr">
        <is>
          <t>Lixiviación</t>
        </is>
      </c>
      <c r="BO739" s="254"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4" t="n"/>
      <c r="DB739" s="254" t="n"/>
      <c r="DC739" s="254" t="n"/>
      <c r="DD739" s="254" t="n"/>
      <c r="DE739" s="254" t="n"/>
      <c r="DF739" s="254" t="n"/>
      <c r="DG739" s="254" t="n"/>
      <c r="DH739" s="254" t="n"/>
      <c r="DI739" s="254" t="n"/>
      <c r="DJ739" s="254" t="inlineStr">
        <is>
          <t>M</t>
        </is>
      </c>
      <c r="DK739" s="254" t="n">
        <v>1</v>
      </c>
      <c r="DL739" s="95" t="n">
        <v>7</v>
      </c>
      <c r="DM739" s="254" t="n"/>
      <c r="DN739" s="95" t="n"/>
      <c r="DO739" s="95" t="n"/>
    </row>
    <row r="740" ht="13" customHeight="1">
      <c r="A740" s="203" t="inlineStr">
        <is>
          <t>PLIX-10A</t>
        </is>
      </c>
      <c r="B740" s="255" t="n"/>
      <c r="C740" s="255"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255" t="n"/>
      <c r="BL740" s="7" t="inlineStr">
        <is>
          <t>LIXIVIACIÓN</t>
        </is>
      </c>
      <c r="BM740" s="254" t="inlineStr">
        <is>
          <t>ASUB</t>
        </is>
      </c>
      <c r="BN740" s="266" t="inlineStr">
        <is>
          <t>Lixiviación</t>
        </is>
      </c>
      <c r="BO740" s="254"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4" t="n"/>
      <c r="DB740" s="254" t="n"/>
      <c r="DC740" s="254" t="n"/>
      <c r="DD740" s="254" t="n"/>
      <c r="DE740" s="254" t="n"/>
      <c r="DF740" s="254" t="n"/>
      <c r="DG740" s="254" t="n"/>
      <c r="DH740" s="254" t="n"/>
      <c r="DI740" s="254" t="n"/>
      <c r="DJ740" s="254" t="n"/>
      <c r="DK740" s="254" t="n"/>
      <c r="DL740" s="95" t="n"/>
      <c r="DM740" s="254" t="inlineStr">
        <is>
          <t>M</t>
        </is>
      </c>
      <c r="DN740" s="95" t="n">
        <v>1</v>
      </c>
      <c r="DO740" s="95" t="n">
        <v>7</v>
      </c>
    </row>
    <row r="741" ht="13" customHeight="1">
      <c r="A741" s="203" t="inlineStr">
        <is>
          <t>PLIX-10B</t>
        </is>
      </c>
      <c r="B741" s="260" t="inlineStr">
        <is>
          <t>PLIX-10B LIXIVIACIÓN</t>
        </is>
      </c>
      <c r="C741" s="254"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259" t="inlineStr">
        <is>
          <t>532MAPLIX</t>
        </is>
      </c>
      <c r="BL741" s="7" t="inlineStr">
        <is>
          <t>LIXIVIACIÓN</t>
        </is>
      </c>
      <c r="BM741" s="254" t="inlineStr">
        <is>
          <t>NF</t>
        </is>
      </c>
      <c r="BN741" s="266" t="inlineStr">
        <is>
          <t>Lixiviación</t>
        </is>
      </c>
      <c r="BO741" s="254"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4" t="n"/>
      <c r="DB741" s="254" t="n"/>
      <c r="DC741" s="254" t="n"/>
      <c r="DD741" s="254" t="n"/>
      <c r="DE741" s="254" t="n"/>
      <c r="DF741" s="254" t="n"/>
      <c r="DG741" s="254" t="n"/>
      <c r="DH741" s="254" t="n"/>
      <c r="DI741" s="254" t="n"/>
      <c r="DJ741" s="254" t="inlineStr">
        <is>
          <t>M</t>
        </is>
      </c>
      <c r="DK741" s="254" t="n">
        <v>1</v>
      </c>
      <c r="DL741" s="95" t="n">
        <v>7</v>
      </c>
      <c r="DM741" s="254" t="n"/>
      <c r="DN741" s="95" t="n"/>
      <c r="DO741" s="95" t="n"/>
    </row>
    <row r="742" ht="13" customHeight="1">
      <c r="A742" s="203" t="inlineStr">
        <is>
          <t>PLIX-10B</t>
        </is>
      </c>
      <c r="B742" s="255" t="n"/>
      <c r="C742" s="255"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255" t="n"/>
      <c r="BL742" s="7" t="inlineStr">
        <is>
          <t>LIXIVIACIÓN</t>
        </is>
      </c>
      <c r="BM742" s="254" t="inlineStr">
        <is>
          <t>ASUB</t>
        </is>
      </c>
      <c r="BN742" s="266" t="inlineStr">
        <is>
          <t>Lixiviación</t>
        </is>
      </c>
      <c r="BO742" s="254"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4" t="n"/>
      <c r="DB742" s="254" t="n"/>
      <c r="DC742" s="254" t="n"/>
      <c r="DD742" s="254" t="n"/>
      <c r="DE742" s="254" t="n"/>
      <c r="DF742" s="254" t="n"/>
      <c r="DG742" s="254" t="n"/>
      <c r="DH742" s="254" t="n"/>
      <c r="DI742" s="254" t="n"/>
      <c r="DJ742" s="254" t="n"/>
      <c r="DK742" s="254" t="n"/>
      <c r="DL742" s="95" t="n"/>
      <c r="DM742" s="254" t="inlineStr">
        <is>
          <t>M</t>
        </is>
      </c>
      <c r="DN742" s="95" t="n">
        <v>1</v>
      </c>
      <c r="DO742" s="95" t="n">
        <v>7</v>
      </c>
    </row>
    <row r="743" ht="13" customHeight="1">
      <c r="A743" s="203" t="inlineStr">
        <is>
          <t>PLIX-11A</t>
        </is>
      </c>
      <c r="B743" s="260" t="inlineStr">
        <is>
          <t>PLIX-11A LIXIVIACIÓN</t>
        </is>
      </c>
      <c r="C743" s="254"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259" t="inlineStr">
        <is>
          <t>532MAPLIX</t>
        </is>
      </c>
      <c r="BL743" s="7" t="inlineStr">
        <is>
          <t>LIXIVIACIÓN</t>
        </is>
      </c>
      <c r="BM743" s="254" t="inlineStr">
        <is>
          <t>NF</t>
        </is>
      </c>
      <c r="BN743" s="266" t="inlineStr">
        <is>
          <t>Lixiviación</t>
        </is>
      </c>
      <c r="BO743" s="254"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4" t="n"/>
      <c r="DB743" s="254" t="n"/>
      <c r="DC743" s="254" t="n"/>
      <c r="DD743" s="254" t="n"/>
      <c r="DE743" s="254" t="n"/>
      <c r="DF743" s="254" t="n"/>
      <c r="DG743" s="254" t="n"/>
      <c r="DH743" s="254" t="n"/>
      <c r="DI743" s="254" t="n"/>
      <c r="DJ743" s="254" t="inlineStr">
        <is>
          <t>M</t>
        </is>
      </c>
      <c r="DK743" s="254" t="n">
        <v>1</v>
      </c>
      <c r="DL743" s="95" t="n">
        <v>7</v>
      </c>
      <c r="DM743" s="254" t="n"/>
      <c r="DN743" s="95" t="n"/>
      <c r="DO743" s="95" t="n"/>
    </row>
    <row r="744" ht="13" customHeight="1">
      <c r="A744" s="203" t="inlineStr">
        <is>
          <t>PLIX-11A</t>
        </is>
      </c>
      <c r="B744" s="255" t="n"/>
      <c r="C744" s="255"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255" t="n"/>
      <c r="BL744" s="7" t="inlineStr">
        <is>
          <t>LIXIVIACIÓN</t>
        </is>
      </c>
      <c r="BM744" s="254" t="inlineStr">
        <is>
          <t>ASUB</t>
        </is>
      </c>
      <c r="BN744" s="266" t="inlineStr">
        <is>
          <t>Lixiviación</t>
        </is>
      </c>
      <c r="BO744" s="254"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4" t="n"/>
      <c r="DB744" s="254" t="n"/>
      <c r="DC744" s="254" t="n"/>
      <c r="DD744" s="254" t="n"/>
      <c r="DE744" s="254" t="n"/>
      <c r="DF744" s="254" t="n"/>
      <c r="DG744" s="254" t="n"/>
      <c r="DH744" s="254" t="n"/>
      <c r="DI744" s="254" t="n"/>
      <c r="DJ744" s="254" t="n"/>
      <c r="DK744" s="254" t="n"/>
      <c r="DL744" s="95" t="n"/>
      <c r="DM744" s="254" t="inlineStr">
        <is>
          <t>M</t>
        </is>
      </c>
      <c r="DN744" s="95" t="n">
        <v>1</v>
      </c>
      <c r="DO744" s="95" t="n">
        <v>7</v>
      </c>
    </row>
    <row r="745" ht="13" customHeight="1">
      <c r="A745" s="203" t="inlineStr">
        <is>
          <t>PLIX-11B</t>
        </is>
      </c>
      <c r="B745" s="260" t="inlineStr">
        <is>
          <t>PLIX-11B LIXIVIACIÓN</t>
        </is>
      </c>
      <c r="C745" s="254"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259" t="inlineStr">
        <is>
          <t>532MAPLIX</t>
        </is>
      </c>
      <c r="BL745" s="7" t="inlineStr">
        <is>
          <t>LIXIVIACIÓN</t>
        </is>
      </c>
      <c r="BM745" s="254" t="inlineStr">
        <is>
          <t>NF</t>
        </is>
      </c>
      <c r="BN745" s="266" t="inlineStr">
        <is>
          <t>Lixiviación</t>
        </is>
      </c>
      <c r="BO745" s="254"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4" t="n"/>
      <c r="DB745" s="254" t="n"/>
      <c r="DC745" s="254" t="n"/>
      <c r="DD745" s="254" t="n"/>
      <c r="DE745" s="254" t="n"/>
      <c r="DF745" s="254" t="n"/>
      <c r="DG745" s="254" t="n"/>
      <c r="DH745" s="254" t="n"/>
      <c r="DI745" s="254" t="n"/>
      <c r="DJ745" s="254" t="inlineStr">
        <is>
          <t>M</t>
        </is>
      </c>
      <c r="DK745" s="254" t="n">
        <v>1</v>
      </c>
      <c r="DL745" s="95" t="n">
        <v>7</v>
      </c>
      <c r="DM745" s="254" t="n"/>
      <c r="DN745" s="95" t="n"/>
      <c r="DO745" s="95" t="n"/>
    </row>
    <row r="746" ht="13" customHeight="1">
      <c r="A746" s="203" t="inlineStr">
        <is>
          <t>PLIX-11B</t>
        </is>
      </c>
      <c r="B746" s="255" t="n"/>
      <c r="C746" s="255"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255" t="n"/>
      <c r="BL746" s="7" t="inlineStr">
        <is>
          <t>LIXIVIACIÓN</t>
        </is>
      </c>
      <c r="BM746" s="254" t="inlineStr">
        <is>
          <t>ASUB</t>
        </is>
      </c>
      <c r="BN746" s="266" t="inlineStr">
        <is>
          <t>Lixiviación</t>
        </is>
      </c>
      <c r="BO746" s="254"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4" t="n"/>
      <c r="DB746" s="254" t="n"/>
      <c r="DC746" s="254" t="n"/>
      <c r="DD746" s="254" t="n"/>
      <c r="DE746" s="254" t="n"/>
      <c r="DF746" s="254" t="n"/>
      <c r="DG746" s="254" t="n"/>
      <c r="DH746" s="254" t="n"/>
      <c r="DI746" s="254" t="n"/>
      <c r="DJ746" s="254" t="n"/>
      <c r="DK746" s="254" t="n"/>
      <c r="DL746" s="95" t="n"/>
      <c r="DM746" s="254" t="inlineStr">
        <is>
          <t>M</t>
        </is>
      </c>
      <c r="DN746" s="95" t="n">
        <v>1</v>
      </c>
      <c r="DO746" s="95" t="n">
        <v>7</v>
      </c>
    </row>
    <row r="747" ht="13" customHeight="1">
      <c r="A747" s="203" t="inlineStr">
        <is>
          <t>PLIX-12B</t>
        </is>
      </c>
      <c r="B747" s="260" t="inlineStr">
        <is>
          <t>PLIX-12 LIXIVIACIÓN</t>
        </is>
      </c>
      <c r="C747" s="254"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259" t="inlineStr">
        <is>
          <t>532MAPLIX</t>
        </is>
      </c>
      <c r="BL747" s="7" t="inlineStr">
        <is>
          <t>LIXIVIACIÓN</t>
        </is>
      </c>
      <c r="BM747" s="254" t="inlineStr">
        <is>
          <t>NF</t>
        </is>
      </c>
      <c r="BN747" s="266" t="inlineStr">
        <is>
          <t>Lixiviación</t>
        </is>
      </c>
      <c r="BO747" s="254"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4" t="n"/>
      <c r="DB747" s="254" t="n"/>
      <c r="DC747" s="254" t="n"/>
      <c r="DD747" s="254" t="n"/>
      <c r="DE747" s="254" t="n"/>
      <c r="DF747" s="254" t="n"/>
      <c r="DG747" s="254" t="n"/>
      <c r="DH747" s="254" t="n"/>
      <c r="DI747" s="254" t="n"/>
      <c r="DJ747" s="254" t="inlineStr">
        <is>
          <t>M</t>
        </is>
      </c>
      <c r="DK747" s="254" t="n">
        <v>1</v>
      </c>
      <c r="DL747" s="95" t="n">
        <v>7</v>
      </c>
      <c r="DM747" s="254" t="n"/>
      <c r="DN747" s="95" t="n"/>
      <c r="DO747" s="95" t="n"/>
    </row>
    <row r="748" ht="13" customHeight="1">
      <c r="A748" s="203" t="inlineStr">
        <is>
          <t>PLIX-12B</t>
        </is>
      </c>
      <c r="B748" s="255" t="n"/>
      <c r="C748" s="255"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255" t="n"/>
      <c r="BL748" s="7" t="inlineStr">
        <is>
          <t>LIXIVIACIÓN</t>
        </is>
      </c>
      <c r="BM748" s="254" t="inlineStr">
        <is>
          <t>ASUB</t>
        </is>
      </c>
      <c r="BN748" s="266" t="inlineStr">
        <is>
          <t>Lixiviación</t>
        </is>
      </c>
      <c r="BO748" s="254"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4" t="n"/>
      <c r="DB748" s="254" t="n"/>
      <c r="DC748" s="254" t="n"/>
      <c r="DD748" s="254" t="n"/>
      <c r="DE748" s="254" t="n"/>
      <c r="DF748" s="254" t="n"/>
      <c r="DG748" s="254" t="n"/>
      <c r="DH748" s="254" t="n"/>
      <c r="DI748" s="254" t="n"/>
      <c r="DJ748" s="254" t="n"/>
      <c r="DK748" s="254" t="n"/>
      <c r="DL748" s="95" t="n"/>
      <c r="DM748" s="254" t="inlineStr">
        <is>
          <t>M</t>
        </is>
      </c>
      <c r="DN748" s="95" t="n">
        <v>1</v>
      </c>
      <c r="DO748" s="95" t="n">
        <v>7</v>
      </c>
    </row>
    <row r="749" ht="13" customHeight="1">
      <c r="A749" s="203" t="inlineStr">
        <is>
          <t>PLIX-13A</t>
        </is>
      </c>
      <c r="B749" s="260" t="inlineStr">
        <is>
          <t>PLIX-13A LIXIVIACIÓN</t>
        </is>
      </c>
      <c r="C749" s="254"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259" t="inlineStr">
        <is>
          <t>532MAPLIX</t>
        </is>
      </c>
      <c r="BL749" s="7" t="inlineStr">
        <is>
          <t>LIXIVIACIÓN</t>
        </is>
      </c>
      <c r="BM749" s="254" t="inlineStr">
        <is>
          <t>NF</t>
        </is>
      </c>
      <c r="BN749" s="266" t="inlineStr">
        <is>
          <t>Lixiviación</t>
        </is>
      </c>
      <c r="BO749" s="254"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4" t="n"/>
      <c r="DB749" s="254" t="n"/>
      <c r="DC749" s="254" t="n"/>
      <c r="DD749" s="254" t="n"/>
      <c r="DE749" s="254" t="n"/>
      <c r="DF749" s="254" t="n"/>
      <c r="DG749" s="254" t="n"/>
      <c r="DH749" s="254" t="n"/>
      <c r="DI749" s="254" t="n"/>
      <c r="DJ749" s="254" t="inlineStr">
        <is>
          <t>M</t>
        </is>
      </c>
      <c r="DK749" s="254" t="n">
        <v>1</v>
      </c>
      <c r="DL749" s="95" t="n">
        <v>7</v>
      </c>
      <c r="DM749" s="254" t="n"/>
      <c r="DN749" s="95" t="n"/>
      <c r="DO749" s="95" t="n"/>
    </row>
    <row r="750" ht="13" customHeight="1">
      <c r="A750" s="203" t="inlineStr">
        <is>
          <t>PLIX-13A</t>
        </is>
      </c>
      <c r="B750" s="255" t="n"/>
      <c r="C750" s="255"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255" t="n"/>
      <c r="BL750" s="7" t="inlineStr">
        <is>
          <t>LIXIVIACIÓN</t>
        </is>
      </c>
      <c r="BM750" s="254" t="inlineStr">
        <is>
          <t>ASUB</t>
        </is>
      </c>
      <c r="BN750" s="266" t="inlineStr">
        <is>
          <t>Lixiviación</t>
        </is>
      </c>
      <c r="BO750" s="254"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4" t="n"/>
      <c r="DB750" s="254" t="n"/>
      <c r="DC750" s="254" t="n"/>
      <c r="DD750" s="254" t="n"/>
      <c r="DE750" s="254" t="n"/>
      <c r="DF750" s="254" t="n"/>
      <c r="DG750" s="254" t="n"/>
      <c r="DH750" s="254" t="n"/>
      <c r="DI750" s="254" t="n"/>
      <c r="DJ750" s="254" t="n"/>
      <c r="DK750" s="254" t="n"/>
      <c r="DL750" s="95" t="n"/>
      <c r="DM750" s="254" t="inlineStr">
        <is>
          <t>M</t>
        </is>
      </c>
      <c r="DN750" s="95" t="n">
        <v>1</v>
      </c>
      <c r="DO750" s="95" t="n">
        <v>7</v>
      </c>
    </row>
    <row r="751" ht="13" customHeight="1">
      <c r="A751" s="203" t="inlineStr">
        <is>
          <t>PLIX-13B</t>
        </is>
      </c>
      <c r="B751" s="260" t="inlineStr">
        <is>
          <t>PLIX-13B LIXIVIACIÓN</t>
        </is>
      </c>
      <c r="C751" s="254"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259" t="inlineStr">
        <is>
          <t>532MAPLIX</t>
        </is>
      </c>
      <c r="BL751" s="7" t="inlineStr">
        <is>
          <t>LIXIVIACIÓN</t>
        </is>
      </c>
      <c r="BM751" s="254" t="inlineStr">
        <is>
          <t>NF</t>
        </is>
      </c>
      <c r="BN751" s="266" t="inlineStr">
        <is>
          <t>Lixiviación</t>
        </is>
      </c>
      <c r="BO751" s="254"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4" t="n"/>
      <c r="DB751" s="254" t="n"/>
      <c r="DC751" s="254" t="n"/>
      <c r="DD751" s="254" t="n"/>
      <c r="DE751" s="254" t="n"/>
      <c r="DF751" s="254" t="n"/>
      <c r="DG751" s="254" t="n"/>
      <c r="DH751" s="254" t="n"/>
      <c r="DI751" s="254" t="n"/>
      <c r="DJ751" s="254" t="inlineStr">
        <is>
          <t>M</t>
        </is>
      </c>
      <c r="DK751" s="254" t="n">
        <v>1</v>
      </c>
      <c r="DL751" s="95" t="n">
        <v>7</v>
      </c>
      <c r="DM751" s="254" t="n"/>
      <c r="DN751" s="95" t="n"/>
      <c r="DO751" s="95" t="n"/>
    </row>
    <row r="752" ht="13" customHeight="1">
      <c r="A752" s="203" t="inlineStr">
        <is>
          <t>PLIX-13B</t>
        </is>
      </c>
      <c r="B752" s="255" t="n"/>
      <c r="C752" s="255"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255" t="n"/>
      <c r="BL752" s="7" t="inlineStr">
        <is>
          <t>LIXIVIACIÓN</t>
        </is>
      </c>
      <c r="BM752" s="254" t="inlineStr">
        <is>
          <t>ASUB</t>
        </is>
      </c>
      <c r="BN752" s="266" t="inlineStr">
        <is>
          <t>Lixiviación</t>
        </is>
      </c>
      <c r="BO752" s="254"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4" t="n"/>
      <c r="DB752" s="254" t="n"/>
      <c r="DC752" s="254" t="n"/>
      <c r="DD752" s="254" t="n"/>
      <c r="DE752" s="254" t="n"/>
      <c r="DF752" s="254" t="n"/>
      <c r="DG752" s="254" t="n"/>
      <c r="DH752" s="254" t="n"/>
      <c r="DI752" s="254" t="n"/>
      <c r="DJ752" s="254" t="n"/>
      <c r="DK752" s="254" t="n"/>
      <c r="DL752" s="95" t="n"/>
      <c r="DM752" s="254" t="inlineStr">
        <is>
          <t>M</t>
        </is>
      </c>
      <c r="DN752" s="95" t="n">
        <v>1</v>
      </c>
      <c r="DO752" s="95" t="n">
        <v>7</v>
      </c>
    </row>
    <row r="753" ht="13" customHeight="1">
      <c r="A753" s="203" t="inlineStr">
        <is>
          <t>PLIX-14</t>
        </is>
      </c>
      <c r="B753" s="260" t="inlineStr">
        <is>
          <t>PLIX-14 LIXIVIACIÓN</t>
        </is>
      </c>
      <c r="C753" s="254"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259" t="inlineStr">
        <is>
          <t>532MAPLIX</t>
        </is>
      </c>
      <c r="BL753" s="7" t="inlineStr">
        <is>
          <t>LIXIVIACIÓN</t>
        </is>
      </c>
      <c r="BM753" s="254" t="inlineStr">
        <is>
          <t>NF</t>
        </is>
      </c>
      <c r="BN753" s="266" t="inlineStr">
        <is>
          <t>Lixiviación</t>
        </is>
      </c>
      <c r="BO753" s="254"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4" t="n"/>
      <c r="DB753" s="254" t="n"/>
      <c r="DC753" s="254" t="n"/>
      <c r="DD753" s="254" t="n"/>
      <c r="DE753" s="254" t="n"/>
      <c r="DF753" s="254" t="n"/>
      <c r="DG753" s="254" t="n"/>
      <c r="DH753" s="254" t="n"/>
      <c r="DI753" s="254" t="n"/>
      <c r="DJ753" s="254" t="inlineStr">
        <is>
          <t>M</t>
        </is>
      </c>
      <c r="DK753" s="254" t="n">
        <v>1</v>
      </c>
      <c r="DL753" s="95" t="n">
        <v>7</v>
      </c>
      <c r="DM753" s="254" t="n"/>
      <c r="DN753" s="95" t="n"/>
      <c r="DO753" s="95" t="n"/>
    </row>
    <row r="754" ht="13" customHeight="1">
      <c r="A754" s="203" t="inlineStr">
        <is>
          <t>PLIX-14</t>
        </is>
      </c>
      <c r="B754" s="255" t="n"/>
      <c r="C754" s="255"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255" t="n"/>
      <c r="BL754" s="7" t="inlineStr">
        <is>
          <t>LIXIVIACIÓN</t>
        </is>
      </c>
      <c r="BM754" s="254" t="inlineStr">
        <is>
          <t>ASUB</t>
        </is>
      </c>
      <c r="BN754" s="266" t="inlineStr">
        <is>
          <t>Lixiviación</t>
        </is>
      </c>
      <c r="BO754" s="254"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4" t="n"/>
      <c r="DB754" s="254" t="n"/>
      <c r="DC754" s="254" t="n"/>
      <c r="DD754" s="254" t="n"/>
      <c r="DE754" s="254" t="n"/>
      <c r="DF754" s="254" t="n"/>
      <c r="DG754" s="254" t="n"/>
      <c r="DH754" s="254" t="n"/>
      <c r="DI754" s="254" t="n"/>
      <c r="DJ754" s="254" t="n"/>
      <c r="DK754" s="254" t="n"/>
      <c r="DL754" s="95" t="n"/>
      <c r="DM754" s="254" t="inlineStr">
        <is>
          <t>M</t>
        </is>
      </c>
      <c r="DN754" s="95" t="n">
        <v>1</v>
      </c>
      <c r="DO754" s="95" t="n">
        <v>7</v>
      </c>
    </row>
    <row r="755" ht="13" customHeight="1">
      <c r="A755" s="203" t="inlineStr">
        <is>
          <t>PMA-01</t>
        </is>
      </c>
      <c r="B755" s="260"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61" t="inlineStr">
        <is>
          <t>532MACOPA</t>
        </is>
      </c>
      <c r="BL755" s="61" t="inlineStr">
        <is>
          <t>GMAP-SIGA</t>
        </is>
      </c>
      <c r="BM755" s="254" t="inlineStr">
        <is>
          <t>NF</t>
        </is>
      </c>
      <c r="BN755" s="266" t="inlineStr">
        <is>
          <t>Tranque</t>
        </is>
      </c>
      <c r="BO755" s="254"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4" t="n"/>
      <c r="DB755" s="254" t="n"/>
      <c r="DC755" s="254" t="n"/>
      <c r="DD755" s="254" t="n"/>
      <c r="DE755" s="254" t="n"/>
      <c r="DF755" s="254" t="n"/>
      <c r="DG755" s="254" t="n"/>
      <c r="DH755" s="254" t="n"/>
      <c r="DI755" s="254" t="n"/>
      <c r="DJ755" s="254" t="inlineStr">
        <is>
          <t>M</t>
        </is>
      </c>
      <c r="DK755" s="254" t="n">
        <v>22</v>
      </c>
      <c r="DL755" s="95" t="n">
        <v>28</v>
      </c>
      <c r="DM755" s="254" t="n"/>
      <c r="DN755" s="95" t="n"/>
      <c r="DO755" s="95" t="n"/>
    </row>
    <row r="756" ht="14.15" customHeight="1">
      <c r="A756" s="203" t="inlineStr">
        <is>
          <t>PMA-02</t>
        </is>
      </c>
      <c r="B756" s="260"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61" t="inlineStr">
        <is>
          <t>532MAPMA02</t>
        </is>
      </c>
      <c r="BL756" s="61" t="inlineStr">
        <is>
          <t>Chancado</t>
        </is>
      </c>
      <c r="BM756" s="254" t="inlineStr">
        <is>
          <t>NF</t>
        </is>
      </c>
      <c r="BN756" s="266" t="inlineStr">
        <is>
          <t>Jachujina</t>
        </is>
      </c>
      <c r="BO756" s="254"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4" t="n"/>
      <c r="DB756" s="254" t="n"/>
      <c r="DC756" s="254" t="n"/>
      <c r="DD756" s="254" t="n"/>
      <c r="DE756" s="254" t="n"/>
      <c r="DF756" s="254" t="n"/>
      <c r="DG756" s="254" t="n"/>
      <c r="DH756" s="254" t="n"/>
      <c r="DI756" s="254" t="n"/>
      <c r="DJ756" s="254" t="inlineStr">
        <is>
          <t>M</t>
        </is>
      </c>
      <c r="DK756" s="254" t="n">
        <v>22</v>
      </c>
      <c r="DL756" s="95" t="n">
        <v>28</v>
      </c>
      <c r="DM756" s="254" t="n"/>
      <c r="DN756" s="95" t="n"/>
      <c r="DO756" s="95" t="n"/>
    </row>
    <row r="757" ht="13" customHeight="1">
      <c r="A757" s="203" t="inlineStr">
        <is>
          <t>RF-1</t>
        </is>
      </c>
      <c r="B757" s="260"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4" t="inlineStr">
        <is>
          <t>NF</t>
        </is>
      </c>
      <c r="BN757" s="266" t="inlineStr">
        <is>
          <t>Yabricollita</t>
        </is>
      </c>
      <c r="BO757" s="254"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4" t="n"/>
      <c r="DB757" s="254" t="n"/>
      <c r="DC757" s="254" t="n"/>
      <c r="DD757" s="207" t="n"/>
      <c r="DE757" s="254" t="n"/>
      <c r="DF757" s="254" t="n"/>
      <c r="DG757" s="254" t="n"/>
      <c r="DH757" s="254" t="n"/>
      <c r="DI757" s="214" t="n"/>
      <c r="DJ757" s="254" t="inlineStr">
        <is>
          <t>M</t>
        </is>
      </c>
      <c r="DK757" s="254" t="n">
        <v>1</v>
      </c>
      <c r="DL757" s="95" t="n">
        <v>16</v>
      </c>
      <c r="DM757" s="254" t="n"/>
      <c r="DN757" s="95" t="n"/>
      <c r="DO757" s="95" t="n"/>
    </row>
    <row r="758" ht="13" customHeight="1">
      <c r="A758" s="203" t="inlineStr">
        <is>
          <t>RF-1</t>
        </is>
      </c>
      <c r="B758" s="260"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4" t="inlineStr">
        <is>
          <t>ASUB</t>
        </is>
      </c>
      <c r="BN758" s="266" t="inlineStr">
        <is>
          <t>Yabricollita</t>
        </is>
      </c>
      <c r="BO758" s="254"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4" t="n"/>
      <c r="DB758" s="254" t="n"/>
      <c r="DC758" s="254" t="n"/>
      <c r="DD758" s="207" t="n"/>
      <c r="DE758" s="254" t="n"/>
      <c r="DF758" s="254" t="n"/>
      <c r="DG758" s="254" t="n"/>
      <c r="DH758" s="254" t="n"/>
      <c r="DI758" s="214" t="n"/>
      <c r="DJ758" s="254" t="n"/>
      <c r="DK758" s="254" t="n"/>
      <c r="DL758" s="95" t="n"/>
      <c r="DM758" s="254" t="inlineStr">
        <is>
          <t>M</t>
        </is>
      </c>
      <c r="DN758" s="254" t="n">
        <v>1</v>
      </c>
      <c r="DO758" s="95" t="n">
        <v>16</v>
      </c>
    </row>
    <row r="759" ht="13.5" customHeight="1">
      <c r="A759" s="203" t="inlineStr">
        <is>
          <t>RF-2</t>
        </is>
      </c>
      <c r="B759" s="260" t="inlineStr">
        <is>
          <t>RF-2 SALLIHUINCA</t>
        </is>
      </c>
      <c r="C759" s="254"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61" t="inlineStr">
        <is>
          <t>920WLRF-02</t>
        </is>
      </c>
      <c r="BL759" s="7" t="inlineStr">
        <is>
          <t>GMAP-SIGA</t>
        </is>
      </c>
      <c r="BM759" s="254" t="inlineStr">
        <is>
          <t>NF</t>
        </is>
      </c>
      <c r="BN759" s="266" t="inlineStr">
        <is>
          <t xml:space="preserve">Sallihuinca </t>
        </is>
      </c>
      <c r="BO759" s="254" t="inlineStr">
        <is>
          <t>SI</t>
        </is>
      </c>
      <c r="BP759" s="261" t="inlineStr">
        <is>
          <t>RF-2 SALLIHUINCA/NF</t>
        </is>
      </c>
      <c r="BQ759" s="106">
        <f>VLOOKUP(BP759,[1]AGUA!$1:$1048576,2,FALSE)</f>
        <v/>
      </c>
      <c r="BR759" s="106">
        <f>VLOOKUP(BP759,[1]AGUA!$1:$1048576,6,FALSE)</f>
        <v/>
      </c>
      <c r="BS759" s="106">
        <f>VLOOKUP(BP759,[1]AGUA!$1:$1048576,7,FALSE)</f>
        <v/>
      </c>
      <c r="BT759" s="106" t="n"/>
      <c r="BU759" s="251"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4" t="n"/>
      <c r="DB759" s="208" t="n"/>
      <c r="DC759" s="254" t="n"/>
      <c r="DD759" s="207" t="n"/>
      <c r="DE759" s="254" t="n"/>
      <c r="DF759" s="202" t="n"/>
      <c r="DG759" s="209" t="n"/>
      <c r="DH759" s="220" t="n"/>
      <c r="DI759" s="254" t="n"/>
      <c r="DJ759" s="254" t="inlineStr">
        <is>
          <t>M</t>
        </is>
      </c>
      <c r="DK759" s="254" t="n">
        <v>1</v>
      </c>
      <c r="DL759" s="95" t="n">
        <v>16</v>
      </c>
      <c r="DM759" s="254" t="n"/>
      <c r="DN759" s="95" t="n"/>
      <c r="DO759" s="95" t="n"/>
    </row>
    <row r="760" ht="13" customHeight="1">
      <c r="A760" s="203" t="inlineStr">
        <is>
          <t>RF-2</t>
        </is>
      </c>
      <c r="B760" s="255" t="n"/>
      <c r="C760" s="255"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255" t="n"/>
      <c r="BL760" s="7" t="inlineStr">
        <is>
          <t>GMAP-SIGA</t>
        </is>
      </c>
      <c r="BM760" s="254" t="inlineStr">
        <is>
          <t>ASUB</t>
        </is>
      </c>
      <c r="BN760" s="266" t="inlineStr">
        <is>
          <t xml:space="preserve">Sallihuinca </t>
        </is>
      </c>
      <c r="BO760" s="254" t="inlineStr">
        <is>
          <t>SI</t>
        </is>
      </c>
      <c r="BP760" s="261" t="inlineStr">
        <is>
          <t>RF-2 SALLIHUINCA/ASUB</t>
        </is>
      </c>
      <c r="BQ760" s="106">
        <f>VLOOKUP(BP760,[1]AGUA!$1:$1048576,2,FALSE)</f>
        <v/>
      </c>
      <c r="BR760" s="106">
        <f>VLOOKUP(BP760,[1]AGUA!$1:$1048576,6,FALSE)</f>
        <v/>
      </c>
      <c r="BS760" s="106">
        <f>VLOOKUP(BP760,[1]AGUA!$1:$1048576,7,FALSE)</f>
        <v/>
      </c>
      <c r="BT760" s="106" t="n"/>
      <c r="BU760" s="252"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4" t="n"/>
      <c r="DB760" s="208" t="n"/>
      <c r="DC760" s="254" t="n"/>
      <c r="DD760" s="207" t="n"/>
      <c r="DE760" s="254" t="n"/>
      <c r="DF760" s="202" t="n"/>
      <c r="DG760" s="209" t="n"/>
      <c r="DH760" s="220" t="n"/>
      <c r="DI760" s="254" t="n"/>
      <c r="DJ760" s="254" t="n"/>
      <c r="DK760" s="254" t="n"/>
      <c r="DL760" s="95" t="n"/>
      <c r="DM760" s="254" t="inlineStr">
        <is>
          <t>M</t>
        </is>
      </c>
      <c r="DN760" s="95" t="n">
        <v>1</v>
      </c>
      <c r="DO760" s="95" t="n">
        <v>16</v>
      </c>
    </row>
    <row r="761" ht="13" customHeight="1">
      <c r="A761" s="203" t="inlineStr">
        <is>
          <t>RF-3 (RAC-GWQ-HG-01P)</t>
        </is>
      </c>
      <c r="B761" s="260"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4" t="inlineStr">
        <is>
          <t>NF</t>
        </is>
      </c>
      <c r="BN761" s="266" t="inlineStr">
        <is>
          <t>Huinquintipa</t>
        </is>
      </c>
      <c r="BO761" s="254" t="inlineStr">
        <is>
          <t>SI</t>
        </is>
      </c>
      <c r="BP761" s="261"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4" t="n"/>
      <c r="DB761" s="208" t="n"/>
      <c r="DC761" s="254" t="n"/>
      <c r="DD761" s="254" t="n"/>
      <c r="DE761" s="254" t="n"/>
      <c r="DF761" s="254" t="n"/>
      <c r="DG761" s="209" t="n"/>
      <c r="DH761" s="105" t="n"/>
      <c r="DI761" s="254" t="n"/>
      <c r="DJ761" s="254" t="inlineStr">
        <is>
          <t>M</t>
        </is>
      </c>
      <c r="DK761" s="254" t="n">
        <v>8</v>
      </c>
      <c r="DL761" s="95" t="n">
        <v>21</v>
      </c>
      <c r="DM761" s="254" t="n"/>
      <c r="DN761" s="95" t="n"/>
      <c r="DO761" s="95" t="n"/>
    </row>
    <row r="762" ht="13" customHeight="1">
      <c r="A762" s="203" t="inlineStr">
        <is>
          <t>RF-3 (RAC-GWQ-HG-01P)</t>
        </is>
      </c>
      <c r="B762" s="260"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4" t="inlineStr">
        <is>
          <t>ASUB</t>
        </is>
      </c>
      <c r="BN762" s="266" t="inlineStr">
        <is>
          <t>Huinquintipa</t>
        </is>
      </c>
      <c r="BO762" s="254" t="inlineStr">
        <is>
          <t>SI</t>
        </is>
      </c>
      <c r="BP762" s="261"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4" t="n"/>
      <c r="DB762" s="208" t="n"/>
      <c r="DC762" s="254" t="n"/>
      <c r="DD762" s="254" t="n"/>
      <c r="DE762" s="254" t="n"/>
      <c r="DF762" s="254" t="n"/>
      <c r="DG762" s="209" t="n"/>
      <c r="DH762" s="105" t="n"/>
      <c r="DI762" s="254" t="n"/>
      <c r="DJ762" s="254" t="n"/>
      <c r="DK762" s="254" t="n"/>
      <c r="DL762" s="95" t="n"/>
      <c r="DM762" s="254" t="inlineStr">
        <is>
          <t>M</t>
        </is>
      </c>
      <c r="DN762" s="95" t="n">
        <v>8</v>
      </c>
      <c r="DO762" s="95" t="n">
        <v>21</v>
      </c>
    </row>
    <row r="763" ht="13" customHeight="1">
      <c r="A763" s="203" t="inlineStr">
        <is>
          <t>RF-4</t>
        </is>
      </c>
      <c r="B763" s="260"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4" t="inlineStr">
        <is>
          <t>NF</t>
        </is>
      </c>
      <c r="BN763" s="266" t="inlineStr">
        <is>
          <t>San Nicolás</t>
        </is>
      </c>
      <c r="BO763" s="254" t="inlineStr">
        <is>
          <t>SI</t>
        </is>
      </c>
      <c r="BP763" s="261"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4" t="n"/>
      <c r="DB763" s="208" t="n"/>
      <c r="DC763" s="254" t="n"/>
      <c r="DD763" s="254" t="n"/>
      <c r="DE763" s="254" t="n"/>
      <c r="DF763" s="254" t="n"/>
      <c r="DG763" s="209" t="n"/>
      <c r="DH763" s="105" t="n"/>
      <c r="DI763" s="254" t="n"/>
      <c r="DJ763" s="254" t="inlineStr">
        <is>
          <t>M</t>
        </is>
      </c>
      <c r="DK763" s="254" t="n">
        <v>1</v>
      </c>
      <c r="DL763" s="95" t="n">
        <v>16</v>
      </c>
      <c r="DM763" s="254" t="n"/>
      <c r="DN763" s="95" t="n"/>
      <c r="DO763" s="95" t="n"/>
    </row>
    <row r="764" ht="13" customHeight="1">
      <c r="A764" s="203" t="inlineStr">
        <is>
          <t>RF-4</t>
        </is>
      </c>
      <c r="B764" s="260"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4" t="inlineStr">
        <is>
          <t>ASUB</t>
        </is>
      </c>
      <c r="BN764" s="266" t="inlineStr">
        <is>
          <t>San Nicolás</t>
        </is>
      </c>
      <c r="BO764" s="254" t="inlineStr">
        <is>
          <t>SI</t>
        </is>
      </c>
      <c r="BP764" s="261"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4" t="n"/>
      <c r="DB764" s="208" t="n"/>
      <c r="DC764" s="254" t="n"/>
      <c r="DD764" s="254" t="n"/>
      <c r="DE764" s="254" t="n"/>
      <c r="DF764" s="254" t="n"/>
      <c r="DG764" s="209" t="n"/>
      <c r="DH764" s="105" t="n"/>
      <c r="DI764" s="254" t="n"/>
      <c r="DJ764" s="254" t="n"/>
      <c r="DK764" s="254" t="n"/>
      <c r="DL764" s="95" t="n"/>
      <c r="DM764" s="254" t="inlineStr">
        <is>
          <t>M</t>
        </is>
      </c>
      <c r="DN764" s="254" t="n">
        <v>1</v>
      </c>
      <c r="DO764" s="95" t="n">
        <v>16</v>
      </c>
    </row>
    <row r="765" ht="15" customHeight="1">
      <c r="A765" s="203" t="inlineStr">
        <is>
          <t>Punto 1</t>
        </is>
      </c>
      <c r="B765" s="260"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4" t="inlineStr">
        <is>
          <t>ASUP</t>
        </is>
      </c>
      <c r="BN765" s="266" t="inlineStr">
        <is>
          <t>Chiclla</t>
        </is>
      </c>
      <c r="BO765" s="254"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4" t="n"/>
      <c r="DB765" s="208" t="n"/>
      <c r="DC765" s="254" t="n"/>
      <c r="DD765" s="254" t="n"/>
      <c r="DE765" s="254" t="n"/>
      <c r="DF765" s="254" t="n"/>
      <c r="DG765" s="209" t="n"/>
      <c r="DH765" s="105" t="n"/>
      <c r="DI765" s="254" t="n"/>
      <c r="DJ765" s="254" t="inlineStr">
        <is>
          <t>M</t>
        </is>
      </c>
      <c r="DK765" s="254" t="n">
        <v>1</v>
      </c>
      <c r="DL765" s="95" t="n">
        <v>16</v>
      </c>
      <c r="DM765" s="254" t="n"/>
      <c r="DN765" s="254" t="n"/>
      <c r="DO765" s="95" t="n"/>
    </row>
    <row r="766" ht="13" customHeight="1">
      <c r="A766" s="203" t="inlineStr">
        <is>
          <t>RF-5</t>
        </is>
      </c>
      <c r="B766" s="260"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4" t="inlineStr">
        <is>
          <t>NF</t>
        </is>
      </c>
      <c r="BN766" s="266" t="inlineStr">
        <is>
          <t>Chiclla</t>
        </is>
      </c>
      <c r="BO766" s="254"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4" t="n"/>
      <c r="DB766" s="208" t="n"/>
      <c r="DC766" s="254" t="n"/>
      <c r="DD766" s="254" t="n"/>
      <c r="DE766" s="254" t="n"/>
      <c r="DF766" s="254" t="n"/>
      <c r="DG766" s="209" t="n"/>
      <c r="DH766" s="105" t="n"/>
      <c r="DI766" s="254" t="n"/>
      <c r="DJ766" s="254" t="inlineStr">
        <is>
          <t>M</t>
        </is>
      </c>
      <c r="DK766" s="254" t="n">
        <v>1</v>
      </c>
      <c r="DL766" s="95" t="n">
        <v>16</v>
      </c>
      <c r="DM766" s="254" t="n"/>
      <c r="DN766" s="95" t="n"/>
      <c r="DO766" s="95" t="n"/>
    </row>
    <row r="767" ht="12.5" customHeight="1">
      <c r="A767" s="203" t="inlineStr">
        <is>
          <t>RF-5</t>
        </is>
      </c>
      <c r="B767" s="260"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4" t="inlineStr">
        <is>
          <t>ASUB</t>
        </is>
      </c>
      <c r="BN767" s="266" t="inlineStr">
        <is>
          <t>Chiclla</t>
        </is>
      </c>
      <c r="BO767" s="254"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4" t="n"/>
      <c r="DB767" s="208" t="n"/>
      <c r="DC767" s="254" t="n"/>
      <c r="DD767" s="254" t="n"/>
      <c r="DE767" s="254" t="n"/>
      <c r="DF767" s="254" t="n"/>
      <c r="DG767" s="209" t="n"/>
      <c r="DH767" s="105" t="n"/>
      <c r="DI767" s="254" t="n"/>
      <c r="DJ767" s="254" t="n"/>
      <c r="DK767" s="254" t="n"/>
      <c r="DL767" s="95" t="n"/>
      <c r="DM767" s="254" t="inlineStr">
        <is>
          <t>M</t>
        </is>
      </c>
      <c r="DN767" s="95" t="n">
        <v>1</v>
      </c>
      <c r="DO767" s="95" t="n">
        <v>16</v>
      </c>
    </row>
    <row r="768" ht="13" customHeight="1">
      <c r="A768" s="203" t="inlineStr">
        <is>
          <t>PMA-03</t>
        </is>
      </c>
      <c r="B768" s="260" t="inlineStr">
        <is>
          <t>PMA-03 UJINA</t>
        </is>
      </c>
      <c r="C768" s="254"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259" t="inlineStr">
        <is>
          <t>532MAPMA03</t>
        </is>
      </c>
      <c r="BL768" s="7" t="inlineStr">
        <is>
          <t>GMAP-SIGA</t>
        </is>
      </c>
      <c r="BM768" s="254" t="inlineStr">
        <is>
          <t>NF</t>
        </is>
      </c>
      <c r="BN768" s="266" t="inlineStr">
        <is>
          <t>Ujina</t>
        </is>
      </c>
      <c r="BO768" s="254" t="inlineStr">
        <is>
          <t>SI</t>
        </is>
      </c>
      <c r="BP768" s="106" t="inlineStr">
        <is>
          <t>PMA-03 UJINA/NF</t>
        </is>
      </c>
      <c r="BQ768" s="106">
        <f>VLOOKUP(BP768,[1]AGUA!$1:$1048576,2,FALSE)</f>
        <v/>
      </c>
      <c r="BR768" s="106">
        <f>VLOOKUP(BP768,[1]AGUA!$1:$1048576,6,FALSE)</f>
        <v/>
      </c>
      <c r="BS768" s="106">
        <f>VLOOKUP(BP768,[1]AGUA!$1:$1048576,7,FALSE)</f>
        <v/>
      </c>
      <c r="BT768" s="106" t="n"/>
      <c r="BU768" s="251"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4" t="n"/>
      <c r="DB768" s="254" t="n"/>
      <c r="DC768" s="254" t="n"/>
      <c r="DD768" s="254" t="n"/>
      <c r="DE768" s="254" t="n"/>
      <c r="DF768" s="254" t="n"/>
      <c r="DG768" s="254" t="n"/>
      <c r="DH768" s="254" t="n"/>
      <c r="DI768" s="254" t="n"/>
      <c r="DJ768" s="254" t="inlineStr">
        <is>
          <t>M</t>
        </is>
      </c>
      <c r="DK768" s="254" t="n">
        <v>15</v>
      </c>
      <c r="DL768" s="95" t="n">
        <v>21</v>
      </c>
      <c r="DM768" s="254" t="n"/>
      <c r="DN768" s="95" t="n"/>
      <c r="DO768" s="95" t="n"/>
    </row>
    <row r="769" ht="13" customHeight="1">
      <c r="A769" s="203" t="inlineStr">
        <is>
          <t>PMA-03</t>
        </is>
      </c>
      <c r="B769" s="255" t="n"/>
      <c r="C769" s="255"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255" t="n"/>
      <c r="BL769" s="7" t="inlineStr">
        <is>
          <t>GMAP-SIGA</t>
        </is>
      </c>
      <c r="BM769" s="168" t="inlineStr">
        <is>
          <t>ASUB</t>
        </is>
      </c>
      <c r="BN769" s="266" t="inlineStr">
        <is>
          <t>Ujina</t>
        </is>
      </c>
      <c r="BO769" s="254" t="inlineStr">
        <is>
          <t>SI</t>
        </is>
      </c>
      <c r="BP769" s="106" t="inlineStr">
        <is>
          <t>PMA-03 UJINA/ASUB</t>
        </is>
      </c>
      <c r="BQ769" s="106">
        <f>VLOOKUP(BP769,[1]AGUA!$1:$1048576,2,FALSE)</f>
        <v/>
      </c>
      <c r="BR769" s="106">
        <f>VLOOKUP(BP769,[1]AGUA!$1:$1048576,6,FALSE)</f>
        <v/>
      </c>
      <c r="BS769" s="106">
        <f>VLOOKUP(BP769,[1]AGUA!$1:$1048576,7,FALSE)</f>
        <v/>
      </c>
      <c r="BT769" s="106" t="n"/>
      <c r="BU769" s="252"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4" t="n"/>
      <c r="DB769" s="254" t="n"/>
      <c r="DC769" s="254" t="n"/>
      <c r="DD769" s="254" t="n"/>
      <c r="DE769" s="254" t="n"/>
      <c r="DF769" s="254" t="n"/>
      <c r="DG769" s="254" t="n"/>
      <c r="DH769" s="254" t="n"/>
      <c r="DI769" s="254" t="n"/>
      <c r="DJ769" s="254" t="n"/>
      <c r="DK769" s="254" t="n"/>
      <c r="DL769" s="95" t="n"/>
      <c r="DM769" s="254" t="inlineStr">
        <is>
          <t>M</t>
        </is>
      </c>
      <c r="DN769" s="95" t="n">
        <v>15</v>
      </c>
      <c r="DO769" s="95" t="n">
        <v>28</v>
      </c>
    </row>
    <row r="770" ht="13" customHeight="1">
      <c r="A770" s="203" t="inlineStr">
        <is>
          <t>PMA-04</t>
        </is>
      </c>
      <c r="B770" s="260" t="inlineStr">
        <is>
          <t>PMA-04 CHICLLA</t>
        </is>
      </c>
      <c r="C770" s="254"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61" t="inlineStr">
        <is>
          <t>532WLPMA-04</t>
        </is>
      </c>
      <c r="BL770" s="7" t="inlineStr">
        <is>
          <t>GMAP-SIGA</t>
        </is>
      </c>
      <c r="BM770" s="254" t="inlineStr">
        <is>
          <t>NF</t>
        </is>
      </c>
      <c r="BN770" s="266" t="inlineStr">
        <is>
          <t>Chiclla</t>
        </is>
      </c>
      <c r="BO770" s="254" t="inlineStr">
        <is>
          <t>SI</t>
        </is>
      </c>
      <c r="BP770" s="106" t="inlineStr">
        <is>
          <t>PMA-04 CHICLLA/NF</t>
        </is>
      </c>
      <c r="BQ770" s="106">
        <f>VLOOKUP(BP770,[1]AGUA!$1:$1048576,2,FALSE)</f>
        <v/>
      </c>
      <c r="BR770" s="106">
        <f>VLOOKUP(BP770,[1]AGUA!$1:$1048576,6,FALSE)</f>
        <v/>
      </c>
      <c r="BS770" s="106">
        <f>VLOOKUP(BP770,[1]AGUA!$1:$1048576,7,FALSE)</f>
        <v/>
      </c>
      <c r="BT770" s="106" t="n"/>
      <c r="BU770" s="251"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266" t="n"/>
      <c r="DB770" s="210" t="n"/>
      <c r="DC770" s="266" t="n"/>
      <c r="DD770" s="266" t="n"/>
      <c r="DE770" s="266" t="n"/>
      <c r="DF770" s="266" t="n"/>
      <c r="DG770" s="211" t="n"/>
      <c r="DH770" s="106" t="n"/>
      <c r="DI770" s="266" t="n"/>
      <c r="DJ770" s="254" t="inlineStr">
        <is>
          <t>M</t>
        </is>
      </c>
      <c r="DK770" s="254" t="n">
        <v>1</v>
      </c>
      <c r="DL770" s="95" t="n">
        <v>14</v>
      </c>
      <c r="DM770" s="254" t="n"/>
      <c r="DN770" s="95" t="n"/>
      <c r="DO770" s="95" t="n"/>
    </row>
    <row r="771" ht="13" customHeight="1">
      <c r="A771" s="203" t="inlineStr">
        <is>
          <t>PMA-04</t>
        </is>
      </c>
      <c r="B771" s="255" t="n"/>
      <c r="C771" s="255"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255" t="n"/>
      <c r="BL771" s="7" t="inlineStr">
        <is>
          <t>GMAP-SIGA</t>
        </is>
      </c>
      <c r="BM771" s="254" t="inlineStr">
        <is>
          <t>ASUB</t>
        </is>
      </c>
      <c r="BN771" s="266" t="inlineStr">
        <is>
          <t>Chiclla</t>
        </is>
      </c>
      <c r="BO771" s="254" t="inlineStr">
        <is>
          <t>SI</t>
        </is>
      </c>
      <c r="BP771" s="106" t="inlineStr">
        <is>
          <t>PMA-04 CHICLLA/ASUB</t>
        </is>
      </c>
      <c r="BQ771" s="106">
        <f>VLOOKUP(BP771,[1]AGUA!$1:$1048576,2,FALSE)</f>
        <v/>
      </c>
      <c r="BR771" s="106">
        <f>VLOOKUP(BP771,[1]AGUA!$1:$1048576,6,FALSE)</f>
        <v/>
      </c>
      <c r="BS771" s="106">
        <f>VLOOKUP(BP771,[1]AGUA!$1:$1048576,7,FALSE)</f>
        <v/>
      </c>
      <c r="BT771" s="106" t="n"/>
      <c r="BU771" s="252"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266" t="n"/>
      <c r="DB771" s="210" t="n"/>
      <c r="DC771" s="266" t="n"/>
      <c r="DD771" s="266" t="n"/>
      <c r="DE771" s="266" t="n"/>
      <c r="DF771" s="266" t="n"/>
      <c r="DG771" s="211" t="n"/>
      <c r="DH771" s="106" t="n"/>
      <c r="DI771" s="266" t="n"/>
      <c r="DJ771" s="254" t="n"/>
      <c r="DK771" s="254" t="n"/>
      <c r="DL771" s="95" t="n"/>
      <c r="DM771" s="254" t="inlineStr">
        <is>
          <t>M</t>
        </is>
      </c>
      <c r="DN771" s="95" t="n">
        <v>1</v>
      </c>
      <c r="DO771" s="95" t="n">
        <v>14</v>
      </c>
    </row>
    <row r="772" ht="13" customHeight="1">
      <c r="A772" s="203" t="inlineStr">
        <is>
          <t>PMA-05</t>
        </is>
      </c>
      <c r="B772" s="260"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61" t="inlineStr">
        <is>
          <t>532WLPMA-05</t>
        </is>
      </c>
      <c r="BL772" s="61" t="inlineStr">
        <is>
          <t>GMAP-SIGA</t>
        </is>
      </c>
      <c r="BM772" s="254" t="inlineStr">
        <is>
          <t>NF</t>
        </is>
      </c>
      <c r="BN772" s="266" t="inlineStr">
        <is>
          <t>Sallihuinca</t>
        </is>
      </c>
      <c r="BO772" s="254"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4" t="n"/>
      <c r="DB772" s="254" t="n"/>
      <c r="DC772" s="254" t="n"/>
      <c r="DD772" s="254" t="n"/>
      <c r="DE772" s="254" t="n"/>
      <c r="DF772" s="254" t="n"/>
      <c r="DG772" s="254" t="n"/>
      <c r="DH772" s="254" t="n"/>
      <c r="DI772" s="254" t="n"/>
      <c r="DJ772" s="254" t="inlineStr">
        <is>
          <t>T</t>
        </is>
      </c>
      <c r="DK772" s="254" t="n">
        <v>22</v>
      </c>
      <c r="DL772" s="95" t="n">
        <v>28</v>
      </c>
      <c r="DM772" s="254" t="n"/>
      <c r="DN772" s="95" t="n"/>
      <c r="DO772" s="95" t="n"/>
    </row>
    <row r="773" ht="1.5" customHeight="1">
      <c r="A773" s="203" t="inlineStr">
        <is>
          <t>PMA-06</t>
        </is>
      </c>
      <c r="B773" s="260"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61" t="inlineStr">
        <is>
          <t>532WLPMA-06</t>
        </is>
      </c>
      <c r="BL773" s="61" t="inlineStr">
        <is>
          <t>GMAP-SIGA</t>
        </is>
      </c>
      <c r="BM773" s="254" t="inlineStr">
        <is>
          <t>NF</t>
        </is>
      </c>
      <c r="BN773" s="266" t="inlineStr">
        <is>
          <t>Sallihuinca</t>
        </is>
      </c>
      <c r="BO773" s="254"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4" t="n"/>
      <c r="DB773" s="254" t="n"/>
      <c r="DC773" s="254" t="n"/>
      <c r="DD773" s="254" t="n"/>
      <c r="DE773" s="254" t="n"/>
      <c r="DF773" s="254" t="n"/>
      <c r="DG773" s="254" t="n"/>
      <c r="DH773" s="254" t="n"/>
      <c r="DI773" s="254" t="n"/>
      <c r="DJ773" s="254" t="inlineStr">
        <is>
          <t>B</t>
        </is>
      </c>
      <c r="DK773" s="254" t="n">
        <v>22</v>
      </c>
      <c r="DL773" s="95" t="n">
        <v>28</v>
      </c>
      <c r="DM773" s="254" t="n"/>
      <c r="DN773" s="95" t="n"/>
      <c r="DO773" s="95" t="n"/>
    </row>
    <row r="774" ht="13" customHeight="1">
      <c r="A774" s="203" t="inlineStr">
        <is>
          <t>PMA-07</t>
        </is>
      </c>
      <c r="B774" s="260" t="inlineStr">
        <is>
          <t>PMA-07 HUINQUINTIPA</t>
        </is>
      </c>
      <c r="C774" s="254"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61" t="inlineStr">
        <is>
          <t>532MAPMA07</t>
        </is>
      </c>
      <c r="BL774" s="7" t="inlineStr">
        <is>
          <t>GMAP-SIGA</t>
        </is>
      </c>
      <c r="BM774" s="254" t="inlineStr">
        <is>
          <t>NF</t>
        </is>
      </c>
      <c r="BN774" s="266" t="inlineStr">
        <is>
          <t>Huinquintipa</t>
        </is>
      </c>
      <c r="BO774" s="254" t="inlineStr">
        <is>
          <t>SI</t>
        </is>
      </c>
      <c r="BP774" s="106" t="inlineStr">
        <is>
          <t>PMA-07 HUINQUINTIPA/NF</t>
        </is>
      </c>
      <c r="BQ774" s="106">
        <f>VLOOKUP(BP774,[1]AGUA!$1:$1048576,2,FALSE)</f>
        <v/>
      </c>
      <c r="BR774" s="106">
        <f>VLOOKUP(BP774,[1]AGUA!$1:$1048576,6,FALSE)</f>
        <v/>
      </c>
      <c r="BS774" s="106">
        <f>VLOOKUP(BP774,[1]AGUA!$1:$1048576,7,FALSE)</f>
        <v/>
      </c>
      <c r="BT774" s="106" t="n"/>
      <c r="BU774" s="251"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266" t="n"/>
      <c r="DB774" s="210" t="n"/>
      <c r="DC774" s="266" t="n"/>
      <c r="DD774" s="266" t="n"/>
      <c r="DE774" s="266" t="n"/>
      <c r="DF774" s="266" t="n"/>
      <c r="DG774" s="211" t="n"/>
      <c r="DH774" s="211" t="n"/>
      <c r="DI774" s="266" t="n"/>
      <c r="DJ774" s="254" t="inlineStr">
        <is>
          <t>M</t>
        </is>
      </c>
      <c r="DK774" s="254" t="n">
        <v>1</v>
      </c>
      <c r="DL774" s="95" t="n">
        <v>14</v>
      </c>
      <c r="DM774" s="254" t="n"/>
      <c r="DN774" s="95" t="n"/>
      <c r="DO774" s="95" t="n"/>
    </row>
    <row r="775" ht="13" customHeight="1">
      <c r="A775" s="203" t="inlineStr">
        <is>
          <t>PMA-07</t>
        </is>
      </c>
      <c r="B775" s="255" t="n"/>
      <c r="C775" s="255"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255" t="n"/>
      <c r="BL775" s="7" t="inlineStr">
        <is>
          <t>GMAP-SIGA</t>
        </is>
      </c>
      <c r="BM775" s="254" t="inlineStr">
        <is>
          <t>ASUB</t>
        </is>
      </c>
      <c r="BN775" s="266" t="inlineStr">
        <is>
          <t>Huinquintipa</t>
        </is>
      </c>
      <c r="BO775" s="254" t="inlineStr">
        <is>
          <t>SI</t>
        </is>
      </c>
      <c r="BP775" s="106" t="inlineStr">
        <is>
          <t>PMA-07 HUINQUINTIPA/ASUB</t>
        </is>
      </c>
      <c r="BQ775" s="106">
        <f>VLOOKUP(BP775,[1]AGUA!$1:$1048576,2,FALSE)</f>
        <v/>
      </c>
      <c r="BR775" s="106">
        <f>VLOOKUP(BP775,[1]AGUA!$1:$1048576,6,FALSE)</f>
        <v/>
      </c>
      <c r="BS775" s="106">
        <f>VLOOKUP(BP775,[1]AGUA!$1:$1048576,7,FALSE)</f>
        <v/>
      </c>
      <c r="BT775" s="106" t="n"/>
      <c r="BU775" s="252"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266" t="n"/>
      <c r="DB775" s="210" t="n"/>
      <c r="DC775" s="266" t="n"/>
      <c r="DD775" s="266" t="n"/>
      <c r="DE775" s="266" t="n"/>
      <c r="DF775" s="266" t="n"/>
      <c r="DG775" s="211" t="n"/>
      <c r="DH775" s="211" t="n"/>
      <c r="DI775" s="266" t="n"/>
      <c r="DJ775" s="254" t="n"/>
      <c r="DK775" s="254" t="n"/>
      <c r="DL775" s="95" t="n"/>
      <c r="DM775" s="254" t="inlineStr">
        <is>
          <t>M</t>
        </is>
      </c>
      <c r="DN775" s="95" t="n">
        <v>1</v>
      </c>
      <c r="DO775" s="95" t="n">
        <v>14</v>
      </c>
    </row>
    <row r="776" ht="13" customHeight="1">
      <c r="A776" s="203" t="inlineStr">
        <is>
          <t>PMA-08</t>
        </is>
      </c>
      <c r="B776" s="260" t="inlineStr">
        <is>
          <t>PMA-08 HUINQUINTIPA</t>
        </is>
      </c>
      <c r="C776" s="254"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61" t="inlineStr">
        <is>
          <t>532MAPMA08</t>
        </is>
      </c>
      <c r="BL776" s="7" t="inlineStr">
        <is>
          <t>GMAP-SIGA</t>
        </is>
      </c>
      <c r="BM776" s="254" t="inlineStr">
        <is>
          <t>NF</t>
        </is>
      </c>
      <c r="BN776" s="266" t="inlineStr">
        <is>
          <t>Huinquintipa</t>
        </is>
      </c>
      <c r="BO776" s="254" t="inlineStr">
        <is>
          <t>SI</t>
        </is>
      </c>
      <c r="BP776" s="106" t="inlineStr">
        <is>
          <t>PMA-08 HUINQUINTIPA/NF</t>
        </is>
      </c>
      <c r="BQ776" s="106">
        <f>VLOOKUP(BP776,[1]AGUA!$1:$1048576,2,FALSE)</f>
        <v/>
      </c>
      <c r="BR776" s="106">
        <f>VLOOKUP(BP776,[1]AGUA!$1:$1048576,6,FALSE)</f>
        <v/>
      </c>
      <c r="BS776" s="106">
        <f>VLOOKUP(BP776,[1]AGUA!$1:$1048576,7,FALSE)</f>
        <v/>
      </c>
      <c r="BT776" s="106" t="n"/>
      <c r="BU776" s="251"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266" t="n"/>
      <c r="DB776" s="210" t="n"/>
      <c r="DC776" s="266" t="n"/>
      <c r="DD776" s="266" t="n"/>
      <c r="DE776" s="266" t="n"/>
      <c r="DF776" s="266" t="n"/>
      <c r="DG776" s="211" t="n"/>
      <c r="DH776" s="211" t="n"/>
      <c r="DI776" s="266" t="n"/>
      <c r="DJ776" s="254" t="inlineStr">
        <is>
          <t>M</t>
        </is>
      </c>
      <c r="DK776" s="254" t="n">
        <v>1</v>
      </c>
      <c r="DL776" s="95" t="n">
        <v>14</v>
      </c>
      <c r="DM776" s="254" t="n"/>
      <c r="DN776" s="95" t="n"/>
      <c r="DO776" s="95" t="n"/>
    </row>
    <row r="777" ht="13" customHeight="1">
      <c r="A777" s="203" t="inlineStr">
        <is>
          <t>PMA-08</t>
        </is>
      </c>
      <c r="B777" s="255" t="n"/>
      <c r="C777" s="255"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255" t="n"/>
      <c r="BL777" s="7" t="inlineStr">
        <is>
          <t>GMAP-SIGA</t>
        </is>
      </c>
      <c r="BM777" s="254" t="inlineStr">
        <is>
          <t>ASUB</t>
        </is>
      </c>
      <c r="BN777" s="266" t="inlineStr">
        <is>
          <t>Huinquintipa</t>
        </is>
      </c>
      <c r="BO777" s="254" t="inlineStr">
        <is>
          <t>SI</t>
        </is>
      </c>
      <c r="BP777" s="106" t="inlineStr">
        <is>
          <t>PMA-08 HUINQUINTIPA/ASUB</t>
        </is>
      </c>
      <c r="BQ777" s="106">
        <f>VLOOKUP(BP777,[1]AGUA!$1:$1048576,2,FALSE)</f>
        <v/>
      </c>
      <c r="BR777" s="106">
        <f>VLOOKUP(BP777,[1]AGUA!$1:$1048576,6,FALSE)</f>
        <v/>
      </c>
      <c r="BS777" s="106">
        <f>VLOOKUP(BP777,[1]AGUA!$1:$1048576,7,FALSE)</f>
        <v/>
      </c>
      <c r="BT777" s="106" t="n"/>
      <c r="BU777" s="252"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266" t="n"/>
      <c r="DB777" s="210" t="n"/>
      <c r="DC777" s="266" t="n"/>
      <c r="DD777" s="266" t="n"/>
      <c r="DE777" s="266" t="n"/>
      <c r="DF777" s="266" t="n"/>
      <c r="DG777" s="211" t="n"/>
      <c r="DH777" s="211" t="n"/>
      <c r="DI777" s="266" t="n"/>
      <c r="DJ777" s="254" t="n"/>
      <c r="DK777" s="254" t="n"/>
      <c r="DL777" s="95" t="n"/>
      <c r="DM777" s="254" t="inlineStr">
        <is>
          <t>M</t>
        </is>
      </c>
      <c r="DN777" s="95" t="n">
        <v>1</v>
      </c>
      <c r="DO777" s="95" t="n">
        <v>14</v>
      </c>
    </row>
    <row r="778" ht="13.5" customHeight="1">
      <c r="A778" s="203" t="inlineStr">
        <is>
          <t>PMA-09</t>
        </is>
      </c>
      <c r="B778" s="260"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61" t="inlineStr">
        <is>
          <t>532MACOPA</t>
        </is>
      </c>
      <c r="BL778" s="61" t="inlineStr">
        <is>
          <t>GMAP-SIGA</t>
        </is>
      </c>
      <c r="BM778" s="254" t="inlineStr">
        <is>
          <t>NF</t>
        </is>
      </c>
      <c r="BN778" s="266" t="inlineStr">
        <is>
          <t>Copaquire</t>
        </is>
      </c>
      <c r="BO778" s="254"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4" t="n"/>
      <c r="DB778" s="254" t="n"/>
      <c r="DC778" s="254" t="n"/>
      <c r="DD778" s="254" t="n"/>
      <c r="DE778" s="254" t="n"/>
      <c r="DF778" s="254" t="n"/>
      <c r="DG778" s="254" t="n"/>
      <c r="DH778" s="254" t="n"/>
      <c r="DI778" s="254" t="n"/>
      <c r="DJ778" s="254" t="inlineStr">
        <is>
          <t>B</t>
        </is>
      </c>
      <c r="DK778" s="254" t="n">
        <v>22</v>
      </c>
      <c r="DL778" s="95" t="n">
        <v>28</v>
      </c>
      <c r="DM778" s="254" t="n"/>
      <c r="DN778" s="95" t="n"/>
      <c r="DO778" s="95" t="n"/>
    </row>
    <row r="779" ht="12.75" customHeight="1">
      <c r="A779" s="203" t="inlineStr">
        <is>
          <t>PMA-10</t>
        </is>
      </c>
      <c r="B779" s="260"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61" t="inlineStr">
        <is>
          <t>532WLPMA-10</t>
        </is>
      </c>
      <c r="BL779" s="61" t="inlineStr">
        <is>
          <t>GMAP-SIGA</t>
        </is>
      </c>
      <c r="BM779" s="254" t="inlineStr">
        <is>
          <t>NF</t>
        </is>
      </c>
      <c r="BN779" s="266" t="inlineStr">
        <is>
          <t>Chiclla</t>
        </is>
      </c>
      <c r="BO779" s="254"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4" t="n"/>
      <c r="DB779" s="254" t="n"/>
      <c r="DC779" s="254" t="n"/>
      <c r="DD779" s="254" t="n"/>
      <c r="DE779" s="254" t="n"/>
      <c r="DF779" s="254" t="n"/>
      <c r="DG779" s="254" t="n"/>
      <c r="DH779" s="254" t="n"/>
      <c r="DI779" s="254" t="n"/>
      <c r="DJ779" s="254" t="inlineStr">
        <is>
          <t>B</t>
        </is>
      </c>
      <c r="DK779" s="254" t="n">
        <v>22</v>
      </c>
      <c r="DL779" s="95" t="n">
        <v>28</v>
      </c>
      <c r="DM779" s="254" t="n"/>
      <c r="DN779" s="95" t="n"/>
      <c r="DO779" s="95" t="n"/>
    </row>
    <row r="780" ht="13" customHeight="1">
      <c r="A780" s="203" t="inlineStr">
        <is>
          <t>PMA-11</t>
        </is>
      </c>
      <c r="B780" s="260"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61" t="inlineStr">
        <is>
          <t>532MACEU</t>
        </is>
      </c>
      <c r="BL780" s="61" t="inlineStr">
        <is>
          <t>GMAP-SIGA</t>
        </is>
      </c>
      <c r="BM780" s="254" t="inlineStr">
        <is>
          <t>NF</t>
        </is>
      </c>
      <c r="BN780" s="266" t="inlineStr">
        <is>
          <t>Ceusis</t>
        </is>
      </c>
      <c r="BO780" s="254"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4" t="n"/>
      <c r="DB780" s="254" t="n"/>
      <c r="DC780" s="254" t="n"/>
      <c r="DD780" s="254" t="n"/>
      <c r="DE780" s="254" t="n"/>
      <c r="DF780" s="254" t="n"/>
      <c r="DG780" s="254" t="n"/>
      <c r="DH780" s="254" t="n"/>
      <c r="DI780" s="254" t="n"/>
      <c r="DJ780" s="254" t="inlineStr">
        <is>
          <t>B</t>
        </is>
      </c>
      <c r="DK780" s="254" t="n">
        <v>22</v>
      </c>
      <c r="DL780" s="95" t="n">
        <v>28</v>
      </c>
      <c r="DM780" s="254" t="n"/>
      <c r="DN780" s="95" t="n"/>
      <c r="DO780" s="95" t="n"/>
    </row>
    <row r="781" ht="13" customHeight="1">
      <c r="A781" s="203" t="inlineStr">
        <is>
          <t>PMA-12</t>
        </is>
      </c>
      <c r="B781" s="260"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61" t="inlineStr">
        <is>
          <t>532WLPMA-12</t>
        </is>
      </c>
      <c r="BL781" s="61" t="inlineStr">
        <is>
          <t>GMAP-SIGA</t>
        </is>
      </c>
      <c r="BM781" s="254" t="inlineStr">
        <is>
          <t>NF</t>
        </is>
      </c>
      <c r="BN781" s="266" t="inlineStr">
        <is>
          <t>Mal paso</t>
        </is>
      </c>
      <c r="BO781" s="254"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4" t="n"/>
      <c r="DB781" s="254" t="n"/>
      <c r="DC781" s="254" t="n"/>
      <c r="DD781" s="254" t="n"/>
      <c r="DE781" s="254" t="n"/>
      <c r="DF781" s="254" t="n"/>
      <c r="DG781" s="254" t="n"/>
      <c r="DH781" s="254" t="n"/>
      <c r="DI781" s="254" t="n"/>
      <c r="DJ781" s="254" t="inlineStr">
        <is>
          <t>B</t>
        </is>
      </c>
      <c r="DK781" s="254" t="n">
        <v>22</v>
      </c>
      <c r="DL781" s="95" t="n">
        <v>28</v>
      </c>
      <c r="DM781" s="254" t="n"/>
      <c r="DN781" s="95" t="n"/>
      <c r="DO781" s="95" t="n"/>
    </row>
    <row r="782" ht="13" customHeight="1">
      <c r="A782" s="203" t="inlineStr">
        <is>
          <t>PMA-13</t>
        </is>
      </c>
      <c r="B782" s="260"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61" t="inlineStr">
        <is>
          <t>532WLPMA-13</t>
        </is>
      </c>
      <c r="BL782" s="61" t="inlineStr">
        <is>
          <t>GMAP-SIGA</t>
        </is>
      </c>
      <c r="BM782" s="254" t="inlineStr">
        <is>
          <t>NF</t>
        </is>
      </c>
      <c r="BN782" s="266" t="inlineStr">
        <is>
          <t>Chiclla</t>
        </is>
      </c>
      <c r="BO782" s="254"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4" t="n"/>
      <c r="DB782" s="254" t="n"/>
      <c r="DC782" s="254" t="n"/>
      <c r="DD782" s="254" t="n"/>
      <c r="DE782" s="254" t="n"/>
      <c r="DF782" s="254" t="n"/>
      <c r="DG782" s="254" t="n"/>
      <c r="DH782" s="254" t="n"/>
      <c r="DI782" s="254" t="n"/>
      <c r="DJ782" s="254" t="inlineStr">
        <is>
          <t>B</t>
        </is>
      </c>
      <c r="DK782" s="254" t="n">
        <v>22</v>
      </c>
      <c r="DL782" s="95" t="n">
        <v>28</v>
      </c>
      <c r="DM782" s="254" t="n"/>
      <c r="DN782" s="95" t="n"/>
      <c r="DO782" s="95" t="n"/>
    </row>
    <row r="783" ht="13" customHeight="1">
      <c r="A783" s="203" t="inlineStr">
        <is>
          <t>PMA-14</t>
        </is>
      </c>
      <c r="B783" s="260"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61" t="inlineStr">
        <is>
          <t>532MACOPA</t>
        </is>
      </c>
      <c r="BL783" s="61" t="inlineStr">
        <is>
          <t>GMAP-SIGA</t>
        </is>
      </c>
      <c r="BM783" s="254" t="inlineStr">
        <is>
          <t>NF</t>
        </is>
      </c>
      <c r="BN783" s="266" t="inlineStr">
        <is>
          <t>Copaquire</t>
        </is>
      </c>
      <c r="BO783" s="254"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4" t="n"/>
      <c r="DB783" s="254" t="n"/>
      <c r="DC783" s="254" t="n"/>
      <c r="DD783" s="254" t="n"/>
      <c r="DE783" s="254" t="n"/>
      <c r="DF783" s="254" t="n"/>
      <c r="DG783" s="254" t="n"/>
      <c r="DH783" s="254" t="n"/>
      <c r="DI783" s="254" t="n"/>
      <c r="DJ783" s="254" t="inlineStr">
        <is>
          <t>B</t>
        </is>
      </c>
      <c r="DK783" s="254" t="n">
        <v>22</v>
      </c>
      <c r="DL783" s="95" t="n">
        <v>28</v>
      </c>
      <c r="DM783" s="254" t="n"/>
      <c r="DN783" s="95" t="n"/>
      <c r="DO783" s="95" t="n"/>
    </row>
    <row r="784" ht="13" customHeight="1">
      <c r="A784" s="203" t="inlineStr">
        <is>
          <t>PMA-15</t>
        </is>
      </c>
      <c r="B784" s="260"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61" t="inlineStr">
        <is>
          <t>532MACOPA</t>
        </is>
      </c>
      <c r="BL784" s="61" t="inlineStr">
        <is>
          <t>GMAP-SIGA</t>
        </is>
      </c>
      <c r="BM784" s="254" t="inlineStr">
        <is>
          <t>NF</t>
        </is>
      </c>
      <c r="BN784" s="266" t="inlineStr">
        <is>
          <t>Copaquire</t>
        </is>
      </c>
      <c r="BO784" s="254"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4" t="n"/>
      <c r="DB784" s="254" t="n"/>
      <c r="DC784" s="254" t="n"/>
      <c r="DD784" s="254" t="n"/>
      <c r="DE784" s="254" t="n"/>
      <c r="DF784" s="254" t="n"/>
      <c r="DG784" s="254" t="n"/>
      <c r="DH784" s="254" t="n"/>
      <c r="DI784" s="254" t="n"/>
      <c r="DJ784" s="254" t="inlineStr">
        <is>
          <t>B</t>
        </is>
      </c>
      <c r="DK784" s="254" t="n">
        <v>22</v>
      </c>
      <c r="DL784" s="95" t="n">
        <v>28</v>
      </c>
      <c r="DM784" s="254" t="n"/>
      <c r="DN784" s="95" t="n"/>
      <c r="DO784" s="95" t="n"/>
    </row>
    <row r="785" ht="13" customHeight="1">
      <c r="A785" s="203" t="inlineStr">
        <is>
          <t>PMA-16</t>
        </is>
      </c>
      <c r="B785" s="260"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61" t="inlineStr">
        <is>
          <t>532MACEU</t>
        </is>
      </c>
      <c r="BL785" s="61" t="inlineStr">
        <is>
          <t>GMAP-SIGA</t>
        </is>
      </c>
      <c r="BM785" s="254" t="inlineStr">
        <is>
          <t>NF</t>
        </is>
      </c>
      <c r="BN785" s="266" t="inlineStr">
        <is>
          <t>Ceusis</t>
        </is>
      </c>
      <c r="BO785" s="254"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4" t="n"/>
      <c r="DB785" s="254" t="n"/>
      <c r="DC785" s="254" t="n"/>
      <c r="DD785" s="254" t="n"/>
      <c r="DE785" s="254" t="n"/>
      <c r="DF785" s="254" t="n"/>
      <c r="DG785" s="254" t="n"/>
      <c r="DH785" s="254" t="n"/>
      <c r="DI785" s="254" t="n"/>
      <c r="DJ785" s="254" t="inlineStr">
        <is>
          <t>B</t>
        </is>
      </c>
      <c r="DK785" s="254" t="n">
        <v>22</v>
      </c>
      <c r="DL785" s="95" t="n">
        <v>28</v>
      </c>
      <c r="DM785" s="254" t="n"/>
      <c r="DN785" s="95" t="n"/>
      <c r="DO785" s="95" t="n"/>
    </row>
    <row r="786" ht="13" customHeight="1">
      <c r="A786" s="203" t="inlineStr">
        <is>
          <t>PMA-17</t>
        </is>
      </c>
      <c r="B786" s="260"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61" t="inlineStr">
        <is>
          <t>532WLPMA-17</t>
        </is>
      </c>
      <c r="BL786" s="61" t="inlineStr">
        <is>
          <t>GMAP-SIGA</t>
        </is>
      </c>
      <c r="BM786" s="254" t="inlineStr">
        <is>
          <t>NF</t>
        </is>
      </c>
      <c r="BN786" s="266" t="inlineStr">
        <is>
          <t>Mal paso</t>
        </is>
      </c>
      <c r="BO786" s="254"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4" t="n"/>
      <c r="DB786" s="254" t="n"/>
      <c r="DC786" s="254" t="n"/>
      <c r="DD786" s="254" t="n"/>
      <c r="DE786" s="254" t="n"/>
      <c r="DF786" s="254" t="n"/>
      <c r="DG786" s="254" t="n"/>
      <c r="DH786" s="254" t="n"/>
      <c r="DI786" s="254" t="n"/>
      <c r="DJ786" s="254" t="inlineStr">
        <is>
          <t>B</t>
        </is>
      </c>
      <c r="DK786" s="254" t="n">
        <v>22</v>
      </c>
      <c r="DL786" s="95" t="n">
        <v>28</v>
      </c>
      <c r="DM786" s="254" t="n"/>
      <c r="DN786" s="95" t="n"/>
      <c r="DO786" s="95" t="n"/>
    </row>
    <row r="787" ht="13" customHeight="1">
      <c r="A787" s="203" t="inlineStr">
        <is>
          <t>PMI-01</t>
        </is>
      </c>
      <c r="B787" s="260" t="inlineStr">
        <is>
          <t>PMI-01 MICHINCHA</t>
        </is>
      </c>
      <c r="C787" s="254"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259" t="inlineStr">
        <is>
          <t>532MAPMI</t>
        </is>
      </c>
      <c r="BL787" s="7" t="inlineStr">
        <is>
          <t>GTAM/GGAYC</t>
        </is>
      </c>
      <c r="BM787" s="254" t="inlineStr">
        <is>
          <t>NF</t>
        </is>
      </c>
      <c r="BN787" s="266" t="inlineStr">
        <is>
          <t>Michincha</t>
        </is>
      </c>
      <c r="BO787" s="254"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4" t="n"/>
      <c r="DB787" s="254" t="n"/>
      <c r="DC787" s="254" t="n"/>
      <c r="DD787" s="254" t="n"/>
      <c r="DE787" s="254" t="n"/>
      <c r="DF787" s="254" t="n"/>
      <c r="DG787" s="254" t="n"/>
      <c r="DH787" s="254" t="n"/>
      <c r="DI787" s="254" t="n"/>
      <c r="DJ787" s="254" t="inlineStr">
        <is>
          <t>M</t>
        </is>
      </c>
      <c r="DK787" s="254" t="n">
        <v>1</v>
      </c>
      <c r="DL787" s="95" t="n">
        <v>7</v>
      </c>
      <c r="DM787" s="254" t="n"/>
      <c r="DN787" s="95" t="n"/>
      <c r="DO787" s="95" t="n"/>
    </row>
    <row r="788" ht="13" customHeight="1">
      <c r="A788" s="203" t="inlineStr">
        <is>
          <t>PMI-01</t>
        </is>
      </c>
      <c r="B788" s="255" t="n"/>
      <c r="C788" s="255"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255" t="n"/>
      <c r="BL788" s="7" t="inlineStr">
        <is>
          <t>GTAM</t>
        </is>
      </c>
      <c r="BM788" s="254" t="inlineStr">
        <is>
          <t>ASUB</t>
        </is>
      </c>
      <c r="BN788" s="266" t="inlineStr">
        <is>
          <t>Michincha</t>
        </is>
      </c>
      <c r="BO788" s="254"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4" t="n"/>
      <c r="DB788" s="254" t="n"/>
      <c r="DC788" s="254" t="n"/>
      <c r="DD788" s="254" t="n"/>
      <c r="DE788" s="254" t="n"/>
      <c r="DF788" s="254" t="n"/>
      <c r="DG788" s="254" t="n"/>
      <c r="DH788" s="254" t="n"/>
      <c r="DI788" s="254" t="n"/>
      <c r="DJ788" s="254" t="n"/>
      <c r="DK788" s="254" t="n"/>
      <c r="DL788" s="95" t="n"/>
      <c r="DM788" s="254" t="inlineStr">
        <is>
          <t>T-A</t>
        </is>
      </c>
      <c r="DN788" s="95" t="n">
        <v>1</v>
      </c>
      <c r="DO788" s="95" t="n">
        <v>7</v>
      </c>
    </row>
    <row r="789" ht="13" customHeight="1">
      <c r="A789" s="203" t="inlineStr">
        <is>
          <t>PMI-02</t>
        </is>
      </c>
      <c r="B789" s="260"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259" t="inlineStr">
        <is>
          <t>532MAPMI</t>
        </is>
      </c>
      <c r="BL789" s="61" t="inlineStr">
        <is>
          <t>GMAP-SIGA</t>
        </is>
      </c>
      <c r="BM789" s="254" t="inlineStr">
        <is>
          <t>NF</t>
        </is>
      </c>
      <c r="BN789" s="266" t="inlineStr">
        <is>
          <t>Tranque</t>
        </is>
      </c>
      <c r="BO789" s="254"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4" t="n"/>
      <c r="DB789" s="254" t="n"/>
      <c r="DC789" s="254" t="n"/>
      <c r="DD789" s="254" t="n"/>
      <c r="DE789" s="254" t="n"/>
      <c r="DF789" s="254" t="n"/>
      <c r="DG789" s="254" t="n"/>
      <c r="DH789" s="254" t="n"/>
      <c r="DI789" s="254" t="n"/>
      <c r="DJ789" s="254" t="inlineStr">
        <is>
          <t>T</t>
        </is>
      </c>
      <c r="DK789" s="254" t="n">
        <v>22</v>
      </c>
      <c r="DL789" s="95" t="n">
        <v>28</v>
      </c>
      <c r="DM789" s="254" t="n"/>
      <c r="DN789" s="95" t="n"/>
      <c r="DO789" s="95" t="n"/>
    </row>
    <row r="790" ht="13" customHeight="1">
      <c r="A790" s="203" t="inlineStr">
        <is>
          <t>PMI-03</t>
        </is>
      </c>
      <c r="B790" s="260"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259" t="inlineStr">
        <is>
          <t>532MAPMI</t>
        </is>
      </c>
      <c r="BL790" s="61" t="inlineStr">
        <is>
          <t>GMAP-SIGA</t>
        </is>
      </c>
      <c r="BM790" s="254" t="inlineStr">
        <is>
          <t>NF</t>
        </is>
      </c>
      <c r="BN790" s="266" t="inlineStr">
        <is>
          <t>Michincha</t>
        </is>
      </c>
      <c r="BO790" s="254"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4" t="n"/>
      <c r="DB790" s="254" t="n"/>
      <c r="DC790" s="254" t="n"/>
      <c r="DD790" s="254" t="n"/>
      <c r="DE790" s="254" t="n"/>
      <c r="DF790" s="254" t="n"/>
      <c r="DG790" s="254" t="n"/>
      <c r="DH790" s="254" t="n"/>
      <c r="DI790" s="254" t="n"/>
      <c r="DJ790" s="254" t="inlineStr">
        <is>
          <t>B</t>
        </is>
      </c>
      <c r="DK790" s="254" t="n">
        <v>22</v>
      </c>
      <c r="DL790" s="95" t="n">
        <v>28</v>
      </c>
      <c r="DM790" s="254" t="n"/>
      <c r="DN790" s="95" t="n"/>
      <c r="DO790" s="95" t="n"/>
    </row>
    <row r="791" ht="13" customHeight="1">
      <c r="A791" s="203" t="inlineStr">
        <is>
          <t>PMI-04</t>
        </is>
      </c>
      <c r="B791" s="260"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259" t="inlineStr">
        <is>
          <t>532MAPMI</t>
        </is>
      </c>
      <c r="BL791" s="61" t="inlineStr">
        <is>
          <t>GMAP-SIGA</t>
        </is>
      </c>
      <c r="BM791" s="254" t="inlineStr">
        <is>
          <t>NF</t>
        </is>
      </c>
      <c r="BN791" s="266" t="inlineStr">
        <is>
          <t>Michincha</t>
        </is>
      </c>
      <c r="BO791" s="254"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4" t="n"/>
      <c r="DB791" s="254" t="n"/>
      <c r="DC791" s="254" t="n"/>
      <c r="DD791" s="254" t="n"/>
      <c r="DE791" s="254" t="n"/>
      <c r="DF791" s="254" t="n"/>
      <c r="DG791" s="254" t="n"/>
      <c r="DH791" s="105" t="n"/>
      <c r="DI791" s="254" t="n"/>
      <c r="DJ791" s="254" t="inlineStr">
        <is>
          <t>B</t>
        </is>
      </c>
      <c r="DK791" s="254" t="n">
        <v>22</v>
      </c>
      <c r="DL791" s="95" t="n">
        <v>28</v>
      </c>
      <c r="DM791" s="254" t="n"/>
      <c r="DN791" s="95" t="n"/>
      <c r="DO791" s="95" t="n"/>
    </row>
    <row r="792" ht="13" customHeight="1">
      <c r="A792" s="203" t="inlineStr">
        <is>
          <t>PMI-05</t>
        </is>
      </c>
      <c r="B792" s="260"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259" t="inlineStr">
        <is>
          <t>532MAPMI</t>
        </is>
      </c>
      <c r="BL792" s="61" t="inlineStr">
        <is>
          <t>GMAP-SIGA</t>
        </is>
      </c>
      <c r="BM792" s="254" t="inlineStr">
        <is>
          <t>NF</t>
        </is>
      </c>
      <c r="BN792" s="266" t="inlineStr">
        <is>
          <t>Michincha</t>
        </is>
      </c>
      <c r="BO792" s="254"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4" t="n"/>
      <c r="DB792" s="254" t="n"/>
      <c r="DC792" s="254" t="n"/>
      <c r="DD792" s="254" t="n"/>
      <c r="DE792" s="254" t="n"/>
      <c r="DF792" s="254" t="n"/>
      <c r="DG792" s="254" t="n"/>
      <c r="DH792" s="254" t="n"/>
      <c r="DI792" s="254" t="n"/>
      <c r="DJ792" s="254" t="inlineStr">
        <is>
          <t>B</t>
        </is>
      </c>
      <c r="DK792" s="254" t="n">
        <v>22</v>
      </c>
      <c r="DL792" s="95" t="n">
        <v>28</v>
      </c>
      <c r="DM792" s="254" t="n"/>
      <c r="DN792" s="95" t="n"/>
      <c r="DO792" s="95" t="n"/>
    </row>
    <row r="793" ht="13" customHeight="1">
      <c r="A793" s="203" t="inlineStr">
        <is>
          <t>PMI-06</t>
        </is>
      </c>
      <c r="B793" s="260" t="inlineStr">
        <is>
          <t>PMI-06 TRANQUE</t>
        </is>
      </c>
      <c r="C793" s="254"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259" t="inlineStr">
        <is>
          <t>532MAPMI</t>
        </is>
      </c>
      <c r="BL793" s="7" t="inlineStr">
        <is>
          <t>GMAP-SIGA</t>
        </is>
      </c>
      <c r="BM793" s="254" t="inlineStr">
        <is>
          <t>NF</t>
        </is>
      </c>
      <c r="BN793" s="266" t="inlineStr">
        <is>
          <t>Tranque</t>
        </is>
      </c>
      <c r="BO793" s="254"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4" t="n"/>
      <c r="DB793" s="254" t="n"/>
      <c r="DC793" s="254" t="n"/>
      <c r="DD793" s="254" t="n"/>
      <c r="DE793" s="254" t="n"/>
      <c r="DF793" s="254" t="n"/>
      <c r="DG793" s="254" t="n"/>
      <c r="DH793" s="254" t="n"/>
      <c r="DI793" s="254" t="n"/>
      <c r="DJ793" s="254" t="inlineStr">
        <is>
          <t>M</t>
        </is>
      </c>
      <c r="DK793" s="254" t="n">
        <v>22</v>
      </c>
      <c r="DL793" s="95" t="n">
        <v>28</v>
      </c>
      <c r="DM793" s="254" t="n"/>
      <c r="DN793" s="95" t="n"/>
      <c r="DO793" s="95" t="n"/>
    </row>
    <row r="794" ht="13" customHeight="1">
      <c r="A794" s="203" t="inlineStr">
        <is>
          <t>PMI-06</t>
        </is>
      </c>
      <c r="B794" s="255" t="n"/>
      <c r="C794" s="255"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255" t="n"/>
      <c r="BL794" s="7" t="inlineStr">
        <is>
          <t>GMAP-SIGA</t>
        </is>
      </c>
      <c r="BM794" s="254" t="inlineStr">
        <is>
          <t>ASUB</t>
        </is>
      </c>
      <c r="BN794" s="266" t="inlineStr">
        <is>
          <t>Tranque</t>
        </is>
      </c>
      <c r="BO794" s="254"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4" t="n"/>
      <c r="DB794" s="254" t="n"/>
      <c r="DC794" s="254" t="n"/>
      <c r="DD794" s="254" t="n"/>
      <c r="DE794" s="254" t="n"/>
      <c r="DF794" s="254" t="n"/>
      <c r="DG794" s="254" t="n"/>
      <c r="DH794" s="254" t="n"/>
      <c r="DI794" s="254" t="n"/>
      <c r="DJ794" s="254" t="n"/>
      <c r="DK794" s="254" t="n"/>
      <c r="DL794" s="95" t="n"/>
      <c r="DM794" s="254" t="inlineStr">
        <is>
          <t>T</t>
        </is>
      </c>
      <c r="DN794" s="95" t="n">
        <v>22</v>
      </c>
      <c r="DO794" s="95" t="n">
        <v>28</v>
      </c>
    </row>
    <row r="795" ht="13" customHeight="1">
      <c r="A795" s="203" t="inlineStr">
        <is>
          <t>PMI-07</t>
        </is>
      </c>
      <c r="B795" s="260" t="inlineStr">
        <is>
          <t>PMI-07 TRANQUE</t>
        </is>
      </c>
      <c r="C795" s="254"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259" t="inlineStr">
        <is>
          <t>532MAPMI</t>
        </is>
      </c>
      <c r="BL795" s="7" t="inlineStr">
        <is>
          <t>GMAP-SIGA</t>
        </is>
      </c>
      <c r="BM795" s="254" t="inlineStr">
        <is>
          <t>NF</t>
        </is>
      </c>
      <c r="BN795" s="266" t="inlineStr">
        <is>
          <t>Tranque</t>
        </is>
      </c>
      <c r="BO795" s="254"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4" t="n"/>
      <c r="DB795" s="254" t="n"/>
      <c r="DC795" s="254" t="n"/>
      <c r="DD795" s="254" t="n"/>
      <c r="DE795" s="254" t="n"/>
      <c r="DF795" s="254" t="n"/>
      <c r="DG795" s="254" t="n"/>
      <c r="DH795" s="254" t="n"/>
      <c r="DI795" s="254" t="n"/>
      <c r="DJ795" s="254" t="inlineStr">
        <is>
          <t>M</t>
        </is>
      </c>
      <c r="DK795" s="254" t="n">
        <v>22</v>
      </c>
      <c r="DL795" s="95" t="n">
        <v>28</v>
      </c>
      <c r="DM795" s="254" t="n"/>
      <c r="DN795" s="95" t="n"/>
      <c r="DO795" s="95" t="n"/>
    </row>
    <row r="796" ht="13" customHeight="1">
      <c r="A796" s="203" t="inlineStr">
        <is>
          <t>PMI-07</t>
        </is>
      </c>
      <c r="B796" s="255" t="n"/>
      <c r="C796" s="255"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255" t="n"/>
      <c r="BL796" s="7" t="inlineStr">
        <is>
          <t>GMAP-SIGA</t>
        </is>
      </c>
      <c r="BM796" s="254" t="inlineStr">
        <is>
          <t>ASUB</t>
        </is>
      </c>
      <c r="BN796" s="266" t="inlineStr">
        <is>
          <t>Tranque</t>
        </is>
      </c>
      <c r="BO796" s="254"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4" t="n"/>
      <c r="DB796" s="254" t="n"/>
      <c r="DC796" s="254" t="n"/>
      <c r="DD796" s="254" t="n"/>
      <c r="DE796" s="254" t="n"/>
      <c r="DF796" s="254" t="n"/>
      <c r="DG796" s="254" t="n"/>
      <c r="DH796" s="254" t="n"/>
      <c r="DI796" s="254" t="n"/>
      <c r="DJ796" s="254" t="n"/>
      <c r="DK796" s="254" t="n"/>
      <c r="DL796" s="95" t="n"/>
      <c r="DM796" s="254" t="inlineStr">
        <is>
          <t>T</t>
        </is>
      </c>
      <c r="DN796" s="95" t="n">
        <v>22</v>
      </c>
      <c r="DO796" s="95" t="n">
        <v>28</v>
      </c>
    </row>
    <row r="797" ht="13" customHeight="1">
      <c r="A797" s="203" t="inlineStr">
        <is>
          <t>PMI-08</t>
        </is>
      </c>
      <c r="B797" s="260" t="inlineStr">
        <is>
          <t>PMI-08 TRANQUE</t>
        </is>
      </c>
      <c r="C797" s="254"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259" t="inlineStr">
        <is>
          <t>532MAPMI</t>
        </is>
      </c>
      <c r="BL797" s="7" t="inlineStr">
        <is>
          <t>GMAP-SIGA</t>
        </is>
      </c>
      <c r="BM797" s="254" t="inlineStr">
        <is>
          <t>NF</t>
        </is>
      </c>
      <c r="BN797" s="266" t="inlineStr">
        <is>
          <t>Tranque</t>
        </is>
      </c>
      <c r="BO797" s="254"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4" t="n"/>
      <c r="DB797" s="254" t="n"/>
      <c r="DC797" s="254" t="n"/>
      <c r="DD797" s="254" t="n"/>
      <c r="DE797" s="254" t="n"/>
      <c r="DF797" s="254" t="n"/>
      <c r="DG797" s="254" t="n"/>
      <c r="DH797" s="254" t="n"/>
      <c r="DI797" s="254" t="n"/>
      <c r="DJ797" s="254" t="inlineStr">
        <is>
          <t>M</t>
        </is>
      </c>
      <c r="DK797" s="254" t="n">
        <v>8</v>
      </c>
      <c r="DL797" s="95" t="n">
        <v>14</v>
      </c>
      <c r="DM797" s="254" t="n"/>
      <c r="DN797" s="95" t="n"/>
      <c r="DO797" s="95" t="n"/>
    </row>
    <row r="798" ht="13" customHeight="1">
      <c r="A798" s="203" t="inlineStr">
        <is>
          <t>PMI-08</t>
        </is>
      </c>
      <c r="B798" s="255" t="n"/>
      <c r="C798" s="255"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255" t="n"/>
      <c r="BL798" s="7" t="inlineStr">
        <is>
          <t>GMAP-SIGA</t>
        </is>
      </c>
      <c r="BM798" s="254" t="inlineStr">
        <is>
          <t>ASUB</t>
        </is>
      </c>
      <c r="BN798" s="266" t="inlineStr">
        <is>
          <t>Tranque</t>
        </is>
      </c>
      <c r="BO798" s="254"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4" t="n"/>
      <c r="DB798" s="254" t="n"/>
      <c r="DC798" s="254" t="n"/>
      <c r="DD798" s="254" t="n"/>
      <c r="DE798" s="254" t="n"/>
      <c r="DF798" s="254" t="n"/>
      <c r="DG798" s="254" t="n"/>
      <c r="DH798" s="254" t="n"/>
      <c r="DI798" s="254" t="n"/>
      <c r="DJ798" s="254" t="n"/>
      <c r="DK798" s="254" t="n"/>
      <c r="DL798" s="95" t="n"/>
      <c r="DM798" s="254" t="inlineStr">
        <is>
          <t>M</t>
        </is>
      </c>
      <c r="DN798" s="95" t="n">
        <v>8</v>
      </c>
      <c r="DO798" s="95" t="n">
        <v>14</v>
      </c>
    </row>
    <row r="799" ht="13" customHeight="1">
      <c r="A799" s="203" t="inlineStr">
        <is>
          <t>PMI-09A</t>
        </is>
      </c>
      <c r="B799" s="260" t="inlineStr">
        <is>
          <t>PMI-09A FALLA PABELLON</t>
        </is>
      </c>
      <c r="C799" s="254"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259" t="inlineStr">
        <is>
          <t>532MAPMI</t>
        </is>
      </c>
      <c r="BL799" s="7" t="inlineStr">
        <is>
          <t>GMAP-SIGA</t>
        </is>
      </c>
      <c r="BM799" s="254" t="inlineStr">
        <is>
          <t>NF</t>
        </is>
      </c>
      <c r="BN799" s="106" t="inlineStr">
        <is>
          <t>Falla Pabellón</t>
        </is>
      </c>
      <c r="BO799" s="254"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4" t="n"/>
      <c r="DB799" s="254" t="n"/>
      <c r="DC799" s="254" t="n"/>
      <c r="DD799" s="254" t="n"/>
      <c r="DE799" s="254" t="n"/>
      <c r="DF799" s="254" t="n"/>
      <c r="DG799" s="254" t="n"/>
      <c r="DH799" s="254" t="n"/>
      <c r="DI799" s="254" t="n"/>
      <c r="DJ799" s="254" t="inlineStr">
        <is>
          <t>M</t>
        </is>
      </c>
      <c r="DK799" s="254" t="n">
        <v>8</v>
      </c>
      <c r="DL799" s="95" t="n">
        <v>14</v>
      </c>
      <c r="DM799" s="254" t="n"/>
      <c r="DN799" s="95" t="n"/>
      <c r="DO799" s="95" t="n"/>
    </row>
    <row r="800" ht="13" customHeight="1">
      <c r="A800" s="203" t="inlineStr">
        <is>
          <t>PMI-09A</t>
        </is>
      </c>
      <c r="B800" s="255" t="n"/>
      <c r="C800" s="255"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255" t="n"/>
      <c r="BL800" s="7" t="inlineStr">
        <is>
          <t>GMAP-SIGA</t>
        </is>
      </c>
      <c r="BM800" s="254" t="inlineStr">
        <is>
          <t>ASUB</t>
        </is>
      </c>
      <c r="BN800" s="106" t="inlineStr">
        <is>
          <t>Falla Pabellón</t>
        </is>
      </c>
      <c r="BO800" s="254"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4" t="n"/>
      <c r="DB800" s="254" t="n"/>
      <c r="DC800" s="254" t="n"/>
      <c r="DD800" s="254" t="n"/>
      <c r="DE800" s="254" t="n"/>
      <c r="DF800" s="254" t="n"/>
      <c r="DG800" s="254" t="n"/>
      <c r="DH800" s="254" t="n"/>
      <c r="DI800" s="254" t="n"/>
      <c r="DJ800" s="254" t="n"/>
      <c r="DK800" s="254" t="n"/>
      <c r="DL800" s="95" t="n"/>
      <c r="DM800" s="254" t="inlineStr">
        <is>
          <t>M</t>
        </is>
      </c>
      <c r="DN800" s="95" t="n">
        <v>8</v>
      </c>
      <c r="DO800" s="95" t="n">
        <v>14</v>
      </c>
    </row>
    <row r="801" ht="13" customHeight="1">
      <c r="A801" s="203" t="inlineStr">
        <is>
          <t>POP-02</t>
        </is>
      </c>
      <c r="B801" s="260"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61" t="inlineStr">
        <is>
          <t>532MAPOP02</t>
        </is>
      </c>
      <c r="BL801" s="61" t="inlineStr">
        <is>
          <t>GMAP-SIGA</t>
        </is>
      </c>
      <c r="BM801" s="254" t="inlineStr">
        <is>
          <t>NF</t>
        </is>
      </c>
      <c r="BN801" s="266" t="inlineStr">
        <is>
          <t>Coposa Centro</t>
        </is>
      </c>
      <c r="BO801" s="254"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4" t="n"/>
      <c r="DB801" s="254" t="n"/>
      <c r="DC801" s="254" t="n"/>
      <c r="DD801" s="254" t="n"/>
      <c r="DE801" s="254" t="n"/>
      <c r="DF801" s="254" t="n"/>
      <c r="DG801" s="254" t="n"/>
      <c r="DH801" s="254" t="n"/>
      <c r="DI801" s="254" t="n"/>
      <c r="DJ801" s="254" t="inlineStr">
        <is>
          <t>M</t>
        </is>
      </c>
      <c r="DK801" s="254" t="n">
        <v>22</v>
      </c>
      <c r="DL801" s="95" t="n">
        <v>28</v>
      </c>
      <c r="DM801" s="254" t="n"/>
      <c r="DN801" s="95" t="n"/>
      <c r="DO801" s="95" t="n"/>
    </row>
    <row r="802" ht="13.5" customHeight="1">
      <c r="A802" s="203" t="inlineStr">
        <is>
          <t>POPC-01</t>
        </is>
      </c>
      <c r="B802" s="260"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259" t="inlineStr">
        <is>
          <t>536ZP001</t>
        </is>
      </c>
      <c r="BL802" s="61" t="inlineStr">
        <is>
          <t>GMAP-SIGA</t>
        </is>
      </c>
      <c r="BM802" s="254" t="inlineStr">
        <is>
          <t>NF</t>
        </is>
      </c>
      <c r="BN802" s="266" t="inlineStr">
        <is>
          <t>Coposa Norte</t>
        </is>
      </c>
      <c r="BO802" s="254"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4" t="n"/>
      <c r="DB802" s="254" t="n"/>
      <c r="DC802" s="254" t="n"/>
      <c r="DD802" s="254" t="n"/>
      <c r="DE802" s="254" t="n"/>
      <c r="DF802" s="254" t="n"/>
      <c r="DG802" s="254" t="n"/>
      <c r="DH802" s="254" t="n"/>
      <c r="DI802" s="254" t="n"/>
      <c r="DJ802" s="254" t="inlineStr">
        <is>
          <t>M</t>
        </is>
      </c>
      <c r="DK802" s="254" t="n">
        <v>8</v>
      </c>
      <c r="DL802" s="95" t="n">
        <v>14</v>
      </c>
      <c r="DM802" s="254" t="n"/>
      <c r="DN802" s="95" t="n"/>
      <c r="DO802" s="95" t="n"/>
    </row>
    <row r="803" ht="13" customHeight="1">
      <c r="A803" s="203" t="inlineStr">
        <is>
          <t>POPC-02</t>
        </is>
      </c>
      <c r="B803" s="260"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259" t="inlineStr">
        <is>
          <t>536ZP001</t>
        </is>
      </c>
      <c r="BL803" s="61" t="inlineStr">
        <is>
          <t>GMAP-SIGA</t>
        </is>
      </c>
      <c r="BM803" s="254" t="inlineStr">
        <is>
          <t>NF</t>
        </is>
      </c>
      <c r="BN803" s="266" t="inlineStr">
        <is>
          <t>Coposa Norte</t>
        </is>
      </c>
      <c r="BO803" s="254"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4" t="n"/>
      <c r="DB803" s="254" t="n"/>
      <c r="DC803" s="254" t="n"/>
      <c r="DD803" s="254" t="n"/>
      <c r="DE803" s="254" t="n"/>
      <c r="DF803" s="254" t="n"/>
      <c r="DG803" s="254" t="n"/>
      <c r="DH803" s="254" t="n"/>
      <c r="DI803" s="254" t="n"/>
      <c r="DJ803" s="254" t="inlineStr">
        <is>
          <t>M</t>
        </is>
      </c>
      <c r="DK803" s="254" t="n">
        <v>8</v>
      </c>
      <c r="DL803" s="95" t="n">
        <v>14</v>
      </c>
      <c r="DM803" s="254" t="n"/>
      <c r="DN803" s="95" t="n"/>
      <c r="DO803" s="95" t="n"/>
    </row>
    <row r="804" ht="13" customHeight="1">
      <c r="A804" s="203" t="inlineStr">
        <is>
          <t>POS-01</t>
        </is>
      </c>
      <c r="B804" s="260"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259" t="inlineStr">
        <is>
          <t>532MAPOS</t>
        </is>
      </c>
      <c r="BL804" s="61" t="inlineStr">
        <is>
          <t>GMAP-SIGA</t>
        </is>
      </c>
      <c r="BM804" s="254" t="inlineStr">
        <is>
          <t>NF</t>
        </is>
      </c>
      <c r="BN804" s="266" t="inlineStr">
        <is>
          <t>Coposa Centro</t>
        </is>
      </c>
      <c r="BO804" s="254"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4" t="n"/>
      <c r="DB804" s="254" t="n"/>
      <c r="DC804" s="254" t="n"/>
      <c r="DD804" s="254" t="n"/>
      <c r="DE804" s="254" t="n"/>
      <c r="DF804" s="254" t="n"/>
      <c r="DG804" s="254" t="n"/>
      <c r="DH804" s="254" t="n"/>
      <c r="DI804" s="254" t="n"/>
      <c r="DJ804" s="254" t="inlineStr">
        <is>
          <t>M</t>
        </is>
      </c>
      <c r="DK804" s="254" t="n">
        <v>22</v>
      </c>
      <c r="DL804" s="95" t="n">
        <v>28</v>
      </c>
      <c r="DM804" s="254" t="n"/>
      <c r="DN804" s="95" t="n"/>
      <c r="DO804" s="95" t="n"/>
    </row>
    <row r="805" ht="13" customHeight="1">
      <c r="A805" s="203" t="inlineStr">
        <is>
          <t>POS-02</t>
        </is>
      </c>
      <c r="B805" s="260"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259" t="inlineStr">
        <is>
          <t>532MAPOS</t>
        </is>
      </c>
      <c r="BL805" s="61" t="inlineStr">
        <is>
          <t>GMAP-SIGA</t>
        </is>
      </c>
      <c r="BM805" s="254" t="inlineStr">
        <is>
          <t>NF</t>
        </is>
      </c>
      <c r="BN805" s="266" t="inlineStr">
        <is>
          <t>Coposa Centro</t>
        </is>
      </c>
      <c r="BO805" s="254"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4" t="n"/>
      <c r="DB805" s="254" t="n"/>
      <c r="DC805" s="254" t="n"/>
      <c r="DD805" s="254" t="n"/>
      <c r="DE805" s="254" t="n"/>
      <c r="DF805" s="254" t="n"/>
      <c r="DG805" s="254" t="n"/>
      <c r="DH805" s="254" t="n"/>
      <c r="DI805" s="254" t="n"/>
      <c r="DJ805" s="254" t="inlineStr">
        <is>
          <t>M</t>
        </is>
      </c>
      <c r="DK805" s="254" t="n">
        <v>22</v>
      </c>
      <c r="DL805" s="95" t="n">
        <v>28</v>
      </c>
      <c r="DM805" s="254" t="n"/>
      <c r="DN805" s="95" t="n"/>
      <c r="DO805" s="95" t="n"/>
    </row>
    <row r="806" ht="13" customHeight="1">
      <c r="A806" s="203" t="inlineStr">
        <is>
          <t>POS-03</t>
        </is>
      </c>
      <c r="B806" s="260"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259" t="inlineStr">
        <is>
          <t>532MAPOS</t>
        </is>
      </c>
      <c r="BL806" s="61" t="inlineStr">
        <is>
          <t>GMAP-SIGA</t>
        </is>
      </c>
      <c r="BM806" s="254" t="inlineStr">
        <is>
          <t>NF</t>
        </is>
      </c>
      <c r="BN806" s="266" t="inlineStr">
        <is>
          <t>Coposa Centro</t>
        </is>
      </c>
      <c r="BO806" s="254"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4" t="n"/>
      <c r="DB806" s="254" t="n"/>
      <c r="DC806" s="254" t="n"/>
      <c r="DD806" s="254" t="n"/>
      <c r="DE806" s="254" t="n"/>
      <c r="DF806" s="254" t="n"/>
      <c r="DG806" s="254" t="n"/>
      <c r="DH806" s="254" t="n"/>
      <c r="DI806" s="254" t="n"/>
      <c r="DJ806" s="254" t="inlineStr">
        <is>
          <t>M</t>
        </is>
      </c>
      <c r="DK806" s="254" t="n">
        <v>22</v>
      </c>
      <c r="DL806" s="95" t="n">
        <v>28</v>
      </c>
      <c r="DM806" s="254" t="n"/>
      <c r="DN806" s="95" t="n"/>
      <c r="DO806" s="95" t="n"/>
    </row>
    <row r="807" ht="13" customHeight="1">
      <c r="A807" s="203" t="inlineStr">
        <is>
          <t>PPC-01A</t>
        </is>
      </c>
      <c r="B807" s="260"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61" t="inlineStr">
        <is>
          <t>532MAPPC</t>
        </is>
      </c>
      <c r="BL807" s="61" t="inlineStr">
        <is>
          <t>GMAP-SIGA</t>
        </is>
      </c>
      <c r="BM807" s="254" t="inlineStr">
        <is>
          <t>NF</t>
        </is>
      </c>
      <c r="BN807" s="266"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4" t="n"/>
      <c r="DB807" s="254" t="n"/>
      <c r="DC807" s="254" t="n"/>
      <c r="DD807" s="254" t="n"/>
      <c r="DE807" s="254" t="n"/>
      <c r="DF807" s="254" t="n"/>
      <c r="DG807" s="254" t="n"/>
      <c r="DH807" s="254" t="n"/>
      <c r="DI807" s="254" t="n"/>
      <c r="DJ807" s="254" t="inlineStr">
        <is>
          <t>M</t>
        </is>
      </c>
      <c r="DK807" s="254" t="n">
        <v>8</v>
      </c>
      <c r="DL807" s="95" t="n">
        <v>21</v>
      </c>
      <c r="DM807" s="254" t="n"/>
      <c r="DN807" s="95" t="n"/>
      <c r="DO807" s="95" t="n"/>
    </row>
    <row r="808" ht="14.15" customHeight="1">
      <c r="A808" s="203" t="inlineStr">
        <is>
          <t>PPC-02</t>
        </is>
      </c>
      <c r="B808" s="260" t="inlineStr">
        <is>
          <t>PPC-02 COPOSA NORTE</t>
        </is>
      </c>
      <c r="C808" s="254"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61" t="inlineStr">
        <is>
          <t>532MAPPC</t>
        </is>
      </c>
      <c r="BL808" s="7" t="inlineStr">
        <is>
          <t>GTAM</t>
        </is>
      </c>
      <c r="BM808" s="254" t="inlineStr">
        <is>
          <t>NF</t>
        </is>
      </c>
      <c r="BN808" s="266"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1"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4" t="n"/>
      <c r="DB808" s="254" t="n"/>
      <c r="DC808" s="254" t="n"/>
      <c r="DD808" s="254" t="n"/>
      <c r="DE808" s="254" t="n"/>
      <c r="DF808" s="254" t="n"/>
      <c r="DG808" s="254" t="n"/>
      <c r="DH808" s="254" t="n"/>
      <c r="DI808" s="254" t="n"/>
      <c r="DJ808" s="254" t="inlineStr">
        <is>
          <t>M</t>
        </is>
      </c>
      <c r="DK808" s="254" t="n">
        <v>8</v>
      </c>
      <c r="DL808" s="95" t="n">
        <v>21</v>
      </c>
      <c r="DM808" s="254" t="n"/>
      <c r="DN808" s="95" t="n"/>
      <c r="DO808" s="95" t="n"/>
    </row>
    <row r="809" ht="13" customHeight="1">
      <c r="A809" s="203" t="inlineStr">
        <is>
          <t>PPC-02</t>
        </is>
      </c>
      <c r="B809" s="255" t="n"/>
      <c r="C809" s="255"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255" t="n"/>
      <c r="BL809" s="7" t="inlineStr">
        <is>
          <t>GTAM</t>
        </is>
      </c>
      <c r="BM809" s="254" t="inlineStr">
        <is>
          <t>ASUB</t>
        </is>
      </c>
      <c r="BN809" s="266"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252"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4" t="n"/>
      <c r="DB809" s="254" t="n"/>
      <c r="DC809" s="254" t="n"/>
      <c r="DD809" s="254" t="n"/>
      <c r="DE809" s="254" t="n"/>
      <c r="DF809" s="254" t="n"/>
      <c r="DG809" s="254" t="n"/>
      <c r="DH809" s="254" t="n"/>
      <c r="DI809" s="254" t="n"/>
      <c r="DJ809" s="254" t="n"/>
      <c r="DK809" s="254" t="n"/>
      <c r="DL809" s="95" t="n"/>
      <c r="DM809" s="254" t="inlineStr">
        <is>
          <t>T</t>
        </is>
      </c>
      <c r="DN809" s="95" t="n">
        <v>8</v>
      </c>
      <c r="DO809" s="95" t="n">
        <v>14</v>
      </c>
    </row>
    <row r="810" ht="13" customHeight="1">
      <c r="A810" s="203" t="inlineStr">
        <is>
          <t>PPC-03</t>
        </is>
      </c>
      <c r="B810" s="260" t="inlineStr">
        <is>
          <t>PPC-03 COPOSA SUR</t>
        </is>
      </c>
      <c r="C810" s="254"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259" t="inlineStr">
        <is>
          <t>537PP530</t>
        </is>
      </c>
      <c r="BL810" s="7" t="inlineStr">
        <is>
          <t>GTAM</t>
        </is>
      </c>
      <c r="BM810" s="254" t="inlineStr">
        <is>
          <t>NF</t>
        </is>
      </c>
      <c r="BN810" s="266" t="inlineStr">
        <is>
          <t>Coposa sur</t>
        </is>
      </c>
      <c r="BO810" s="254" t="inlineStr">
        <is>
          <t>SI</t>
        </is>
      </c>
      <c r="BP810" s="106" t="inlineStr">
        <is>
          <t>PPC-03 COPOSA SUR/NF</t>
        </is>
      </c>
      <c r="BQ810" s="106">
        <f>VLOOKUP(BP810,[1]AGUA!$1:$1048576,2,FALSE)</f>
        <v/>
      </c>
      <c r="BR810" s="106">
        <f>VLOOKUP(BP810,[1]AGUA!$1:$1048576,6,FALSE)</f>
        <v/>
      </c>
      <c r="BS810" s="106">
        <f>VLOOKUP(BP810,[1]AGUA!$1:$1048576,7,FALSE)</f>
        <v/>
      </c>
      <c r="BT810" s="106" t="n"/>
      <c r="BU810" s="251"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4" t="n"/>
      <c r="DB810" s="254" t="n"/>
      <c r="DC810" s="254" t="n"/>
      <c r="DD810" s="254" t="n"/>
      <c r="DE810" s="254" t="n"/>
      <c r="DF810" s="254" t="n"/>
      <c r="DG810" s="254" t="n"/>
      <c r="DH810" s="254" t="n"/>
      <c r="DI810" s="254" t="n"/>
      <c r="DJ810" s="254" t="inlineStr">
        <is>
          <t>M</t>
        </is>
      </c>
      <c r="DK810" s="254" t="n">
        <v>8</v>
      </c>
      <c r="DL810" s="95" t="n">
        <v>14</v>
      </c>
      <c r="DM810" s="254" t="n"/>
      <c r="DN810" s="95" t="n"/>
      <c r="DO810" s="95" t="n"/>
    </row>
    <row r="811" ht="13" customHeight="1">
      <c r="A811" s="203" t="inlineStr">
        <is>
          <t>PPC-03</t>
        </is>
      </c>
      <c r="B811" s="255" t="n"/>
      <c r="C811" s="255"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255" t="n"/>
      <c r="BL811" s="7" t="inlineStr">
        <is>
          <t>GTAM</t>
        </is>
      </c>
      <c r="BM811" s="254" t="inlineStr">
        <is>
          <t>ASUB</t>
        </is>
      </c>
      <c r="BN811" s="266" t="inlineStr">
        <is>
          <t>Coposa sur</t>
        </is>
      </c>
      <c r="BO811" s="254" t="inlineStr">
        <is>
          <t>SI</t>
        </is>
      </c>
      <c r="BP811" s="106" t="inlineStr">
        <is>
          <t>PPC-03 COPOSA SUR/ASUB</t>
        </is>
      </c>
      <c r="BQ811" s="106">
        <f>VLOOKUP(BP811,[1]AGUA!$1:$1048576,2,FALSE)</f>
        <v/>
      </c>
      <c r="BR811" s="106">
        <f>VLOOKUP(BP811,[1]AGUA!$1:$1048576,6,FALSE)</f>
        <v/>
      </c>
      <c r="BS811" s="106">
        <f>VLOOKUP(BP811,[1]AGUA!$1:$1048576,7,FALSE)</f>
        <v/>
      </c>
      <c r="BT811" s="106" t="n"/>
      <c r="BU811" s="252"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4" t="n"/>
      <c r="DB811" s="254" t="n"/>
      <c r="DC811" s="254" t="n"/>
      <c r="DD811" s="254" t="n"/>
      <c r="DE811" s="254" t="n"/>
      <c r="DF811" s="254" t="n"/>
      <c r="DG811" s="254" t="n"/>
      <c r="DH811" s="254" t="n"/>
      <c r="DI811" s="254" t="n"/>
      <c r="DJ811" s="254" t="n"/>
      <c r="DK811" s="254" t="n"/>
      <c r="DL811" s="95" t="n"/>
      <c r="DM811" s="254" t="inlineStr">
        <is>
          <t>M</t>
        </is>
      </c>
      <c r="DN811" s="95" t="n">
        <v>8</v>
      </c>
      <c r="DO811" s="95" t="n">
        <v>14</v>
      </c>
    </row>
    <row r="812" ht="14.15" customHeight="1">
      <c r="A812" s="203" t="inlineStr">
        <is>
          <t>PPC-04</t>
        </is>
      </c>
      <c r="B812" s="260"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61" t="inlineStr">
        <is>
          <t>532MAPPC</t>
        </is>
      </c>
      <c r="BL812" s="61" t="inlineStr">
        <is>
          <t>GMAP-SIGA</t>
        </is>
      </c>
      <c r="BM812" s="254" t="inlineStr">
        <is>
          <t>NF</t>
        </is>
      </c>
      <c r="BN812" s="266"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4" t="n"/>
      <c r="DB812" s="254" t="n"/>
      <c r="DC812" s="254" t="n"/>
      <c r="DD812" s="254" t="n"/>
      <c r="DE812" s="254" t="n"/>
      <c r="DF812" s="254" t="n"/>
      <c r="DG812" s="254" t="n"/>
      <c r="DH812" s="254" t="n"/>
      <c r="DI812" s="254" t="n"/>
      <c r="DJ812" s="254" t="inlineStr">
        <is>
          <t>M</t>
        </is>
      </c>
      <c r="DK812" s="254" t="n">
        <v>8</v>
      </c>
      <c r="DL812" s="95" t="n">
        <v>14</v>
      </c>
      <c r="DM812" s="254" t="n"/>
      <c r="DN812" s="95" t="n"/>
      <c r="DO812" s="95" t="n"/>
    </row>
    <row r="813" ht="13.5" customHeight="1">
      <c r="A813" s="203" t="inlineStr">
        <is>
          <t>PPC-07</t>
        </is>
      </c>
      <c r="B813" s="260" t="inlineStr">
        <is>
          <t>PPC-07 COPOSA NORTE</t>
        </is>
      </c>
      <c r="C813" s="254"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61" t="inlineStr">
        <is>
          <t>532MAPPC</t>
        </is>
      </c>
      <c r="BL813" s="7" t="inlineStr">
        <is>
          <t>GTAM</t>
        </is>
      </c>
      <c r="BM813" s="254" t="inlineStr">
        <is>
          <t>NF</t>
        </is>
      </c>
      <c r="BN813" s="266"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267"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4" t="n"/>
      <c r="DB813" s="254" t="n"/>
      <c r="DC813" s="254" t="n"/>
      <c r="DD813" s="254" t="n"/>
      <c r="DE813" s="254" t="n"/>
      <c r="DF813" s="254" t="n"/>
      <c r="DG813" s="254" t="n"/>
      <c r="DH813" s="254" t="n"/>
      <c r="DI813" s="254" t="n"/>
      <c r="DJ813" s="254" t="inlineStr">
        <is>
          <t>M</t>
        </is>
      </c>
      <c r="DK813" s="254" t="n">
        <v>8</v>
      </c>
      <c r="DL813" s="95" t="n">
        <v>21</v>
      </c>
      <c r="DM813" s="254" t="n"/>
      <c r="DN813" s="95" t="n"/>
      <c r="DO813" s="95" t="n"/>
    </row>
    <row r="814" ht="13.5" customHeight="1">
      <c r="A814" s="203" t="inlineStr">
        <is>
          <t>PPC-07</t>
        </is>
      </c>
      <c r="B814" s="255" t="n"/>
      <c r="C814" s="255"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255" t="n"/>
      <c r="BL814" s="7" t="inlineStr">
        <is>
          <t>GTAM</t>
        </is>
      </c>
      <c r="BM814" s="254" t="inlineStr">
        <is>
          <t>ASUB</t>
        </is>
      </c>
      <c r="BN814" s="266"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252"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4" t="n"/>
      <c r="DB814" s="254" t="n"/>
      <c r="DC814" s="254" t="n"/>
      <c r="DD814" s="254" t="n"/>
      <c r="DE814" s="254" t="n"/>
      <c r="DF814" s="254" t="n"/>
      <c r="DG814" s="254" t="n"/>
      <c r="DH814" s="254" t="n"/>
      <c r="DI814" s="254" t="n"/>
      <c r="DJ814" s="254" t="n"/>
      <c r="DK814" s="254" t="n"/>
      <c r="DL814" s="95" t="n"/>
      <c r="DM814" s="254" t="inlineStr">
        <is>
          <t>T</t>
        </is>
      </c>
      <c r="DN814" s="95" t="n">
        <v>8</v>
      </c>
      <c r="DO814" s="95" t="n">
        <v>14</v>
      </c>
    </row>
    <row r="815" ht="11.5" customHeight="1">
      <c r="A815" s="203" t="inlineStr">
        <is>
          <t>PPC-08</t>
        </is>
      </c>
      <c r="B815" s="260"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61" t="inlineStr">
        <is>
          <t>532MAPPC</t>
        </is>
      </c>
      <c r="BL815" s="61" t="inlineStr">
        <is>
          <t>GMAP-SIGA</t>
        </is>
      </c>
      <c r="BM815" s="254" t="inlineStr">
        <is>
          <t>NF</t>
        </is>
      </c>
      <c r="BN815" s="266"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4" t="n"/>
      <c r="DB815" s="254" t="n"/>
      <c r="DC815" s="254" t="n"/>
      <c r="DD815" s="254" t="n"/>
      <c r="DE815" s="254" t="n"/>
      <c r="DF815" s="254" t="n"/>
      <c r="DG815" s="254" t="n"/>
      <c r="DH815" s="254" t="n"/>
      <c r="DI815" s="254" t="n"/>
      <c r="DJ815" s="254" t="inlineStr">
        <is>
          <t>M</t>
        </is>
      </c>
      <c r="DK815" s="254" t="n">
        <v>8</v>
      </c>
      <c r="DL815" s="95" t="n">
        <v>14</v>
      </c>
      <c r="DM815" s="254" t="n"/>
      <c r="DN815" s="95" t="n"/>
      <c r="DO815" s="95" t="n"/>
    </row>
    <row r="816" ht="12.65" customHeight="1">
      <c r="A816" s="203" t="inlineStr">
        <is>
          <t>PPC-09</t>
        </is>
      </c>
      <c r="B816" s="260" t="inlineStr">
        <is>
          <t>PPC-09 COPOSA NORTE</t>
        </is>
      </c>
      <c r="C816" s="254"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259" t="inlineStr">
        <is>
          <t>532MAPPC</t>
        </is>
      </c>
      <c r="BL816" s="7" t="inlineStr">
        <is>
          <t>GTAM</t>
        </is>
      </c>
      <c r="BM816" s="254" t="inlineStr">
        <is>
          <t>NF</t>
        </is>
      </c>
      <c r="BN816" s="266"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1"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4" t="n"/>
      <c r="DB816" s="254" t="n"/>
      <c r="DC816" s="254" t="n"/>
      <c r="DD816" s="254" t="n"/>
      <c r="DE816" s="254" t="n"/>
      <c r="DF816" s="254" t="n"/>
      <c r="DG816" s="254" t="n"/>
      <c r="DH816" s="254" t="n"/>
      <c r="DI816" s="254" t="n"/>
      <c r="DJ816" s="254" t="inlineStr">
        <is>
          <t>M</t>
        </is>
      </c>
      <c r="DK816" s="254" t="n">
        <v>8</v>
      </c>
      <c r="DL816" s="95" t="n">
        <v>21</v>
      </c>
      <c r="DM816" s="254" t="n"/>
      <c r="DN816" s="95" t="n"/>
      <c r="DO816" s="95" t="n"/>
    </row>
    <row r="817" ht="13" customHeight="1">
      <c r="A817" s="203" t="inlineStr">
        <is>
          <t>PPC-09</t>
        </is>
      </c>
      <c r="B817" s="255" t="n"/>
      <c r="C817" s="255"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255" t="n"/>
      <c r="BL817" s="7" t="inlineStr">
        <is>
          <t>GTAM</t>
        </is>
      </c>
      <c r="BM817" s="254" t="inlineStr">
        <is>
          <t>ASUB</t>
        </is>
      </c>
      <c r="BN817" s="266"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252"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4" t="n"/>
      <c r="DB817" s="254" t="n"/>
      <c r="DC817" s="254" t="n"/>
      <c r="DD817" s="254" t="n"/>
      <c r="DE817" s="254" t="n"/>
      <c r="DF817" s="254" t="n"/>
      <c r="DG817" s="254" t="n"/>
      <c r="DH817" s="254" t="n"/>
      <c r="DI817" s="254" t="n"/>
      <c r="DJ817" s="254" t="n"/>
      <c r="DK817" s="254" t="n"/>
      <c r="DL817" s="95" t="n"/>
      <c r="DM817" s="254" t="inlineStr">
        <is>
          <t>T</t>
        </is>
      </c>
      <c r="DN817" s="95" t="n">
        <v>8</v>
      </c>
      <c r="DO817" s="95" t="n">
        <v>14</v>
      </c>
    </row>
    <row r="818" ht="13" customHeight="1">
      <c r="A818" s="203" t="inlineStr">
        <is>
          <t>PPC-10</t>
        </is>
      </c>
      <c r="B818" s="260" t="inlineStr">
        <is>
          <t>PPC-10 COPOSA NORTE</t>
        </is>
      </c>
      <c r="C818" s="254"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259" t="inlineStr">
        <is>
          <t>532MAPPC</t>
        </is>
      </c>
      <c r="BL818" s="7" t="inlineStr">
        <is>
          <t>GTAM</t>
        </is>
      </c>
      <c r="BM818" s="254" t="inlineStr">
        <is>
          <t>NF</t>
        </is>
      </c>
      <c r="BN818" s="266"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267"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4" t="n"/>
      <c r="DB818" s="254" t="n"/>
      <c r="DC818" s="254" t="n"/>
      <c r="DD818" s="254" t="n"/>
      <c r="DE818" s="254" t="n"/>
      <c r="DF818" s="254" t="n"/>
      <c r="DG818" s="254" t="n"/>
      <c r="DH818" s="254" t="n"/>
      <c r="DI818" s="254" t="n"/>
      <c r="DJ818" s="254" t="inlineStr">
        <is>
          <t>M</t>
        </is>
      </c>
      <c r="DK818" s="254" t="n">
        <v>8</v>
      </c>
      <c r="DL818" s="95" t="n">
        <v>21</v>
      </c>
      <c r="DM818" s="254" t="n"/>
      <c r="DN818" s="95" t="n"/>
      <c r="DO818" s="95" t="n"/>
    </row>
    <row r="819" ht="13" customHeight="1">
      <c r="A819" s="203" t="inlineStr">
        <is>
          <t>PPC-10</t>
        </is>
      </c>
      <c r="B819" s="255" t="n"/>
      <c r="C819" s="255"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255" t="n"/>
      <c r="BL819" s="7" t="inlineStr">
        <is>
          <t>GTAM</t>
        </is>
      </c>
      <c r="BM819" s="254" t="inlineStr">
        <is>
          <t>ASUB</t>
        </is>
      </c>
      <c r="BN819" s="266"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252"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4" t="n"/>
      <c r="DB819" s="254" t="n"/>
      <c r="DC819" s="254" t="n"/>
      <c r="DD819" s="254" t="n"/>
      <c r="DE819" s="254" t="n"/>
      <c r="DF819" s="254" t="n"/>
      <c r="DG819" s="254" t="n"/>
      <c r="DH819" s="254" t="n"/>
      <c r="DI819" s="254" t="n"/>
      <c r="DJ819" s="254" t="n"/>
      <c r="DK819" s="254" t="n"/>
      <c r="DL819" s="95" t="n"/>
      <c r="DM819" s="254" t="inlineStr">
        <is>
          <t>T</t>
        </is>
      </c>
      <c r="DN819" s="95" t="n">
        <v>8</v>
      </c>
      <c r="DO819" s="95" t="n">
        <v>14</v>
      </c>
    </row>
    <row r="820" ht="13" customHeight="1">
      <c r="A820" s="203" t="inlineStr">
        <is>
          <t>PPC-14</t>
        </is>
      </c>
      <c r="B820" s="260" t="inlineStr">
        <is>
          <t>PPC-14 COPOSA NORTE</t>
        </is>
      </c>
      <c r="C820" s="254"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259" t="inlineStr">
        <is>
          <t>532MAPPC</t>
        </is>
      </c>
      <c r="BL820" s="7" t="inlineStr">
        <is>
          <t>GTAM</t>
        </is>
      </c>
      <c r="BM820" s="254" t="inlineStr">
        <is>
          <t>NF</t>
        </is>
      </c>
      <c r="BN820" s="266"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1"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4" t="n"/>
      <c r="DB820" s="254" t="n"/>
      <c r="DC820" s="254" t="n"/>
      <c r="DD820" s="254" t="n"/>
      <c r="DE820" s="254" t="n"/>
      <c r="DF820" s="254" t="n"/>
      <c r="DG820" s="254" t="n"/>
      <c r="DH820" s="254" t="n"/>
      <c r="DI820" s="254" t="n"/>
      <c r="DJ820" s="254" t="inlineStr">
        <is>
          <t>M</t>
        </is>
      </c>
      <c r="DK820" s="254" t="n">
        <v>8</v>
      </c>
      <c r="DL820" s="95" t="n">
        <v>21</v>
      </c>
      <c r="DM820" s="254" t="n"/>
      <c r="DN820" s="95" t="n"/>
      <c r="DO820" s="95" t="n"/>
    </row>
    <row r="821" ht="12" customHeight="1">
      <c r="A821" s="203" t="inlineStr">
        <is>
          <t>PPC-14</t>
        </is>
      </c>
      <c r="B821" s="255" t="n"/>
      <c r="C821" s="255"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255" t="n"/>
      <c r="BL821" s="7" t="inlineStr">
        <is>
          <t>GTAM</t>
        </is>
      </c>
      <c r="BM821" s="254" t="inlineStr">
        <is>
          <t>ASUB</t>
        </is>
      </c>
      <c r="BN821" s="266"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252"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4" t="n"/>
      <c r="DB821" s="254" t="n"/>
      <c r="DC821" s="254" t="n"/>
      <c r="DD821" s="254" t="n"/>
      <c r="DE821" s="254" t="n"/>
      <c r="DF821" s="254" t="n"/>
      <c r="DG821" s="254" t="n"/>
      <c r="DH821" s="254" t="n"/>
      <c r="DI821" s="254" t="n"/>
      <c r="DJ821" s="254" t="n"/>
      <c r="DK821" s="254" t="n"/>
      <c r="DL821" s="95" t="n"/>
      <c r="DM821" s="254" t="inlineStr">
        <is>
          <t>T</t>
        </is>
      </c>
      <c r="DN821" s="95" t="n">
        <v>8</v>
      </c>
      <c r="DO821" s="95" t="n">
        <v>14</v>
      </c>
    </row>
    <row r="822" ht="13" customHeight="1">
      <c r="A822" s="203" t="inlineStr">
        <is>
          <t>PPC-15</t>
        </is>
      </c>
      <c r="B822" s="260" t="inlineStr">
        <is>
          <t>PPC-15 COPOSA NORTE</t>
        </is>
      </c>
      <c r="C822" s="254"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259" t="inlineStr">
        <is>
          <t>532MAPPC</t>
        </is>
      </c>
      <c r="BL822" s="7" t="inlineStr">
        <is>
          <t>GTAM</t>
        </is>
      </c>
      <c r="BM822" s="254" t="inlineStr">
        <is>
          <t>NF</t>
        </is>
      </c>
      <c r="BN822" s="266"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1"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4" t="n"/>
      <c r="DB822" s="254" t="n"/>
      <c r="DC822" s="254" t="n"/>
      <c r="DD822" s="254" t="n"/>
      <c r="DE822" s="254" t="n"/>
      <c r="DF822" s="254" t="n"/>
      <c r="DG822" s="254" t="n"/>
      <c r="DH822" s="254" t="n"/>
      <c r="DI822" s="254" t="n"/>
      <c r="DJ822" s="254" t="inlineStr">
        <is>
          <t>M</t>
        </is>
      </c>
      <c r="DK822" s="254" t="n">
        <v>8</v>
      </c>
      <c r="DL822" s="95" t="n">
        <v>21</v>
      </c>
      <c r="DM822" s="254" t="n"/>
      <c r="DN822" s="95" t="n"/>
      <c r="DO822" s="95" t="n"/>
    </row>
    <row r="823" ht="13" customHeight="1">
      <c r="A823" s="203" t="inlineStr">
        <is>
          <t>PPC-15</t>
        </is>
      </c>
      <c r="B823" s="255" t="n"/>
      <c r="C823" s="255"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255" t="n"/>
      <c r="BL823" s="7" t="inlineStr">
        <is>
          <t>GTAM</t>
        </is>
      </c>
      <c r="BM823" s="254" t="inlineStr">
        <is>
          <t>ASUB</t>
        </is>
      </c>
      <c r="BN823" s="266"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252"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4" t="n"/>
      <c r="DB823" s="254" t="n"/>
      <c r="DC823" s="254" t="n"/>
      <c r="DD823" s="254" t="n"/>
      <c r="DE823" s="254" t="n"/>
      <c r="DF823" s="254" t="n"/>
      <c r="DG823" s="254" t="n"/>
      <c r="DH823" s="254" t="n"/>
      <c r="DI823" s="254" t="n"/>
      <c r="DJ823" s="254" t="n"/>
      <c r="DK823" s="254" t="n"/>
      <c r="DL823" s="95" t="n"/>
      <c r="DM823" s="254" t="inlineStr">
        <is>
          <t>T</t>
        </is>
      </c>
      <c r="DN823" s="95" t="n">
        <v>8</v>
      </c>
      <c r="DO823" s="95" t="n">
        <v>14</v>
      </c>
    </row>
    <row r="824" ht="13" customHeight="1">
      <c r="A824" s="205" t="inlineStr">
        <is>
          <t>PPC-16</t>
        </is>
      </c>
      <c r="B824" s="260"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259" t="inlineStr">
        <is>
          <t>532MAPPC</t>
        </is>
      </c>
      <c r="BL824" s="61" t="inlineStr">
        <is>
          <t>GMAP-SIGA</t>
        </is>
      </c>
      <c r="BM824" s="254" t="inlineStr">
        <is>
          <t>NF</t>
        </is>
      </c>
      <c r="BN824" s="266"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4" t="n"/>
      <c r="DC824" s="254" t="n"/>
      <c r="DD824" s="254" t="n"/>
      <c r="DE824" s="254" t="n"/>
      <c r="DF824" s="254" t="n"/>
      <c r="DG824" s="254" t="n"/>
      <c r="DH824" s="254" t="n"/>
      <c r="DI824" s="254" t="n"/>
      <c r="DJ824" s="254" t="inlineStr">
        <is>
          <t>M</t>
        </is>
      </c>
      <c r="DK824" s="254" t="n">
        <v>15</v>
      </c>
      <c r="DL824" s="95" t="n">
        <v>28</v>
      </c>
      <c r="DM824" s="254" t="n"/>
      <c r="DN824" s="95" t="n"/>
      <c r="DO824" s="95" t="n"/>
    </row>
    <row r="825" ht="13" customHeight="1">
      <c r="A825" s="203" t="inlineStr">
        <is>
          <t>PPC-18</t>
        </is>
      </c>
      <c r="B825" s="260" t="inlineStr">
        <is>
          <t>PPC-18 COPOSA SUR</t>
        </is>
      </c>
      <c r="C825" s="254"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61" t="inlineStr">
        <is>
          <t>537WW532</t>
        </is>
      </c>
      <c r="BL825" s="7" t="inlineStr">
        <is>
          <t>GTAM</t>
        </is>
      </c>
      <c r="BM825" s="254" t="inlineStr">
        <is>
          <t>NF</t>
        </is>
      </c>
      <c r="BN825" s="266" t="inlineStr">
        <is>
          <t>Coposa sur</t>
        </is>
      </c>
      <c r="BO825" s="254" t="inlineStr">
        <is>
          <t>SI</t>
        </is>
      </c>
      <c r="BP825" s="106" t="inlineStr">
        <is>
          <t>PPC-18 COPOSA SUR/NF</t>
        </is>
      </c>
      <c r="BQ825" s="106">
        <f>VLOOKUP(BP825,[1]AGUA!$1:$1048576,2,FALSE)</f>
        <v/>
      </c>
      <c r="BR825" s="106">
        <f>VLOOKUP(BP825,[1]AGUA!$1:$1048576,6,FALSE)</f>
        <v/>
      </c>
      <c r="BS825" s="106">
        <f>VLOOKUP(BP825,[1]AGUA!$1:$1048576,7,FALSE)</f>
        <v/>
      </c>
      <c r="BT825" s="106" t="n"/>
      <c r="BU825" s="251"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4" t="n"/>
      <c r="DB825" s="254" t="n"/>
      <c r="DC825" s="254" t="n"/>
      <c r="DD825" s="254" t="n"/>
      <c r="DE825" s="254" t="n"/>
      <c r="DF825" s="254" t="n"/>
      <c r="DG825" s="254" t="n"/>
      <c r="DH825" s="254" t="n"/>
      <c r="DI825" s="254" t="n"/>
      <c r="DJ825" s="254" t="inlineStr">
        <is>
          <t>M</t>
        </is>
      </c>
      <c r="DK825" s="254" t="n">
        <v>8</v>
      </c>
      <c r="DL825" s="95" t="n">
        <v>14</v>
      </c>
      <c r="DM825" s="254" t="n"/>
      <c r="DN825" s="95" t="n"/>
      <c r="DO825" s="95" t="n"/>
    </row>
    <row r="826" ht="13" customHeight="1">
      <c r="A826" s="203" t="inlineStr">
        <is>
          <t>PPC-18</t>
        </is>
      </c>
      <c r="B826" s="255" t="n"/>
      <c r="C826" s="255"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255" t="n"/>
      <c r="BL826" s="7" t="inlineStr">
        <is>
          <t>GTAM</t>
        </is>
      </c>
      <c r="BM826" s="254" t="inlineStr">
        <is>
          <t>ASUB</t>
        </is>
      </c>
      <c r="BN826" s="266" t="inlineStr">
        <is>
          <t>Coposa sur</t>
        </is>
      </c>
      <c r="BO826" s="254" t="inlineStr">
        <is>
          <t>SI</t>
        </is>
      </c>
      <c r="BP826" s="106" t="inlineStr">
        <is>
          <t>PPC-18 COPOSA SUR/ASUB</t>
        </is>
      </c>
      <c r="BQ826" s="106">
        <f>VLOOKUP(BP826,[1]AGUA!$1:$1048576,2,FALSE)</f>
        <v/>
      </c>
      <c r="BR826" s="106">
        <f>VLOOKUP(BP826,[1]AGUA!$1:$1048576,6,FALSE)</f>
        <v/>
      </c>
      <c r="BS826" s="106">
        <f>VLOOKUP(BP826,[1]AGUA!$1:$1048576,7,FALSE)</f>
        <v/>
      </c>
      <c r="BT826" s="106" t="n"/>
      <c r="BU826" s="252"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4" t="n"/>
      <c r="DB826" s="254" t="n"/>
      <c r="DC826" s="254" t="n"/>
      <c r="DD826" s="254" t="n"/>
      <c r="DE826" s="254" t="n"/>
      <c r="DF826" s="254" t="n"/>
      <c r="DG826" s="254" t="n"/>
      <c r="DH826" s="254" t="n"/>
      <c r="DI826" s="254" t="n"/>
      <c r="DJ826" s="254" t="n"/>
      <c r="DK826" s="254" t="n"/>
      <c r="DL826" s="95" t="n"/>
      <c r="DM826" s="254" t="inlineStr">
        <is>
          <t>M</t>
        </is>
      </c>
      <c r="DN826" s="95" t="n">
        <v>8</v>
      </c>
      <c r="DO826" s="95" t="n">
        <v>14</v>
      </c>
    </row>
    <row r="827" ht="12.65" customHeight="1">
      <c r="A827" s="205" t="inlineStr">
        <is>
          <t>PPC-19</t>
        </is>
      </c>
      <c r="B827" s="260"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259" t="inlineStr">
        <is>
          <t>536ZP001</t>
        </is>
      </c>
      <c r="BL827" s="61" t="inlineStr">
        <is>
          <t>GMAP-SIGA</t>
        </is>
      </c>
      <c r="BM827" s="254" t="inlineStr">
        <is>
          <t>NF</t>
        </is>
      </c>
      <c r="BN827" s="266"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4" t="n"/>
      <c r="DC827" s="254" t="n"/>
      <c r="DD827" s="254" t="n"/>
      <c r="DE827" s="254" t="n"/>
      <c r="DF827" s="254" t="n"/>
      <c r="DG827" s="254" t="n"/>
      <c r="DH827" s="254" t="n"/>
      <c r="DI827" s="254" t="n"/>
      <c r="DJ827" s="254" t="inlineStr">
        <is>
          <t>M</t>
        </is>
      </c>
      <c r="DK827" s="254" t="n">
        <v>15</v>
      </c>
      <c r="DL827" s="95" t="n">
        <v>28</v>
      </c>
      <c r="DM827" s="254" t="n"/>
      <c r="DN827" s="95" t="n"/>
      <c r="DO827" s="95" t="n"/>
    </row>
    <row r="828" ht="13" customHeight="1">
      <c r="A828" s="203" t="inlineStr">
        <is>
          <t>PPC-20</t>
        </is>
      </c>
      <c r="B828" s="260" t="inlineStr">
        <is>
          <t>PPC-20 COPOSA NORTE</t>
        </is>
      </c>
      <c r="C828" s="254"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61" t="inlineStr">
        <is>
          <t>532MAPPC</t>
        </is>
      </c>
      <c r="BL828" s="7" t="inlineStr">
        <is>
          <t>GTAM</t>
        </is>
      </c>
      <c r="BM828" s="254" t="inlineStr">
        <is>
          <t>NF</t>
        </is>
      </c>
      <c r="BN828" s="266"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00"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4" t="n"/>
      <c r="DB828" s="254" t="n"/>
      <c r="DC828" s="254" t="n"/>
      <c r="DD828" s="254" t="n"/>
      <c r="DE828" s="254" t="n"/>
      <c r="DF828" s="254" t="n"/>
      <c r="DG828" s="254" t="n"/>
      <c r="DH828" s="254" t="n"/>
      <c r="DI828" s="254" t="n"/>
      <c r="DJ828" s="254" t="inlineStr">
        <is>
          <t>M</t>
        </is>
      </c>
      <c r="DK828" s="254" t="n">
        <v>8</v>
      </c>
      <c r="DL828" s="95" t="n">
        <v>21</v>
      </c>
      <c r="DM828" s="254" t="n"/>
      <c r="DN828" s="95" t="n"/>
      <c r="DO828" s="95" t="n"/>
    </row>
    <row r="829" ht="13" customHeight="1">
      <c r="A829" s="203" t="inlineStr">
        <is>
          <t>PPC-20</t>
        </is>
      </c>
      <c r="B829" s="255" t="n"/>
      <c r="C829" s="255"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255" t="n"/>
      <c r="BL829" s="7" t="inlineStr">
        <is>
          <t>GTAM</t>
        </is>
      </c>
      <c r="BM829" s="254" t="inlineStr">
        <is>
          <t>ASUB</t>
        </is>
      </c>
      <c r="BN829" s="266"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252"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4" t="n"/>
      <c r="DB829" s="254" t="n"/>
      <c r="DC829" s="254" t="n"/>
      <c r="DD829" s="254" t="n"/>
      <c r="DE829" s="254" t="n"/>
      <c r="DF829" s="254" t="n"/>
      <c r="DG829" s="254" t="n"/>
      <c r="DH829" s="254" t="n"/>
      <c r="DI829" s="254" t="n"/>
      <c r="DJ829" s="254" t="n"/>
      <c r="DK829" s="254" t="n"/>
      <c r="DL829" s="95" t="n"/>
      <c r="DM829" s="254" t="inlineStr">
        <is>
          <t>T</t>
        </is>
      </c>
      <c r="DN829" s="95" t="n">
        <v>8</v>
      </c>
      <c r="DO829" s="95" t="n">
        <v>14</v>
      </c>
    </row>
    <row r="830" ht="13" customHeight="1">
      <c r="A830" s="203" t="inlineStr">
        <is>
          <t>PPC-21</t>
        </is>
      </c>
      <c r="B830" s="260" t="inlineStr">
        <is>
          <t>PPC-21 COPOSA NORTE</t>
        </is>
      </c>
      <c r="C830" s="254"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61" t="inlineStr">
        <is>
          <t>532MAPPC</t>
        </is>
      </c>
      <c r="BL830" s="7" t="inlineStr">
        <is>
          <t>GTAM</t>
        </is>
      </c>
      <c r="BM830" s="254" t="inlineStr">
        <is>
          <t>NF</t>
        </is>
      </c>
      <c r="BN830" s="266"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267"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4" t="n"/>
      <c r="DB830" s="254" t="n"/>
      <c r="DC830" s="254" t="n"/>
      <c r="DD830" s="254" t="n"/>
      <c r="DE830" s="254" t="n"/>
      <c r="DF830" s="254" t="n"/>
      <c r="DG830" s="254" t="n"/>
      <c r="DH830" s="254" t="n"/>
      <c r="DI830" s="254" t="n"/>
      <c r="DJ830" s="254" t="inlineStr">
        <is>
          <t>M</t>
        </is>
      </c>
      <c r="DK830" s="254" t="n">
        <v>8</v>
      </c>
      <c r="DL830" s="95" t="n">
        <v>21</v>
      </c>
      <c r="DM830" s="254" t="n"/>
      <c r="DN830" s="95" t="n"/>
      <c r="DO830" s="95" t="n"/>
    </row>
    <row r="831" ht="13" customHeight="1">
      <c r="A831" s="203" t="inlineStr">
        <is>
          <t>PPC-21</t>
        </is>
      </c>
      <c r="B831" s="255" t="n"/>
      <c r="C831" s="255"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255" t="n"/>
      <c r="BL831" s="7" t="inlineStr">
        <is>
          <t>GTAM</t>
        </is>
      </c>
      <c r="BM831" s="254" t="inlineStr">
        <is>
          <t>ASUB</t>
        </is>
      </c>
      <c r="BN831" s="266"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252"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4" t="n"/>
      <c r="DB831" s="254" t="n"/>
      <c r="DC831" s="254" t="n"/>
      <c r="DD831" s="254" t="n"/>
      <c r="DE831" s="254" t="n"/>
      <c r="DF831" s="254" t="n"/>
      <c r="DG831" s="254" t="n"/>
      <c r="DH831" s="254" t="n"/>
      <c r="DI831" s="254" t="n"/>
      <c r="DJ831" s="254" t="n"/>
      <c r="DK831" s="254" t="n"/>
      <c r="DL831" s="95" t="n"/>
      <c r="DM831" s="254" t="inlineStr">
        <is>
          <t>T</t>
        </is>
      </c>
      <c r="DN831" s="95" t="n">
        <v>8</v>
      </c>
      <c r="DO831" s="95" t="n">
        <v>14</v>
      </c>
    </row>
    <row r="832" ht="13" customHeight="1">
      <c r="A832" s="203" t="inlineStr">
        <is>
          <t>PPC-23</t>
        </is>
      </c>
      <c r="B832" s="260" t="inlineStr">
        <is>
          <t>PPC-23 COPOSA SUR</t>
        </is>
      </c>
      <c r="C832" s="254"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259" t="inlineStr">
        <is>
          <t>537PP531</t>
        </is>
      </c>
      <c r="BL832" s="7" t="inlineStr">
        <is>
          <t>GTAM</t>
        </is>
      </c>
      <c r="BM832" s="254" t="inlineStr">
        <is>
          <t>NF</t>
        </is>
      </c>
      <c r="BN832" s="266" t="inlineStr">
        <is>
          <t>Coposa sur</t>
        </is>
      </c>
      <c r="BO832" s="254" t="inlineStr">
        <is>
          <t>SI</t>
        </is>
      </c>
      <c r="BP832" s="106" t="inlineStr">
        <is>
          <t>PPC-23 COPOSA SUR/NF</t>
        </is>
      </c>
      <c r="BQ832" s="106">
        <f>VLOOKUP(BP832,[1]AGUA!$1:$1048576,2,FALSE)</f>
        <v/>
      </c>
      <c r="BR832" s="106">
        <f>VLOOKUP(BP832,[1]AGUA!$1:$1048576,6,FALSE)</f>
        <v/>
      </c>
      <c r="BS832" s="106">
        <f>VLOOKUP(BP832,[1]AGUA!$1:$1048576,7,FALSE)</f>
        <v/>
      </c>
      <c r="BT832" s="106" t="n"/>
      <c r="BU832" s="251"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4" t="n"/>
      <c r="DB832" s="254" t="n"/>
      <c r="DC832" s="254" t="n"/>
      <c r="DD832" s="254" t="n"/>
      <c r="DE832" s="254" t="n"/>
      <c r="DF832" s="254" t="n"/>
      <c r="DG832" s="254" t="n"/>
      <c r="DH832" s="254" t="n"/>
      <c r="DI832" s="254" t="n"/>
      <c r="DJ832" s="254" t="inlineStr">
        <is>
          <t>M</t>
        </is>
      </c>
      <c r="DK832" s="254" t="n">
        <v>8</v>
      </c>
      <c r="DL832" s="95" t="n">
        <v>14</v>
      </c>
      <c r="DM832" s="254" t="n"/>
      <c r="DN832" s="95" t="n"/>
      <c r="DO832" s="95" t="n"/>
    </row>
    <row r="833" ht="13" customHeight="1">
      <c r="A833" s="203" t="inlineStr">
        <is>
          <t>PPC-23</t>
        </is>
      </c>
      <c r="B833" s="255" t="n"/>
      <c r="C833" s="255"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255" t="n"/>
      <c r="BL833" s="7" t="inlineStr">
        <is>
          <t>GTAM</t>
        </is>
      </c>
      <c r="BM833" s="254" t="inlineStr">
        <is>
          <t>ASUB</t>
        </is>
      </c>
      <c r="BN833" s="266" t="inlineStr">
        <is>
          <t>Coposa sur</t>
        </is>
      </c>
      <c r="BO833" s="254" t="inlineStr">
        <is>
          <t>SI</t>
        </is>
      </c>
      <c r="BP833" s="106" t="inlineStr">
        <is>
          <t>PPC-23 COPOSA SUR/ASUB</t>
        </is>
      </c>
      <c r="BQ833" s="106">
        <f>VLOOKUP(BP833,[1]AGUA!$1:$1048576,2,FALSE)</f>
        <v/>
      </c>
      <c r="BR833" s="106">
        <f>VLOOKUP(BP833,[1]AGUA!$1:$1048576,6,FALSE)</f>
        <v/>
      </c>
      <c r="BS833" s="106">
        <f>VLOOKUP(BP833,[1]AGUA!$1:$1048576,7,FALSE)</f>
        <v/>
      </c>
      <c r="BT833" s="106" t="n"/>
      <c r="BU833" s="252"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4" t="n"/>
      <c r="DB833" s="254" t="n"/>
      <c r="DC833" s="254" t="n"/>
      <c r="DD833" s="254" t="n"/>
      <c r="DE833" s="254" t="n"/>
      <c r="DF833" s="254" t="n"/>
      <c r="DG833" s="254" t="n"/>
      <c r="DH833" s="254" t="n"/>
      <c r="DI833" s="254" t="n"/>
      <c r="DJ833" s="254" t="n"/>
      <c r="DK833" s="254" t="n"/>
      <c r="DL833" s="95" t="n"/>
      <c r="DM833" s="254" t="inlineStr">
        <is>
          <t>M</t>
        </is>
      </c>
      <c r="DN833" s="95" t="n">
        <v>8</v>
      </c>
      <c r="DO833" s="95" t="n">
        <v>14</v>
      </c>
    </row>
    <row r="834" ht="13" customHeight="1">
      <c r="A834" s="203" t="inlineStr">
        <is>
          <t>PPC-27</t>
        </is>
      </c>
      <c r="B834" s="260" t="inlineStr">
        <is>
          <t>PPC-27 COPOSA SUR</t>
        </is>
      </c>
      <c r="C834" s="254"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259" t="inlineStr">
        <is>
          <t>537PP533</t>
        </is>
      </c>
      <c r="BL834" s="7" t="inlineStr">
        <is>
          <t>GTAM</t>
        </is>
      </c>
      <c r="BM834" s="254" t="inlineStr">
        <is>
          <t>NF</t>
        </is>
      </c>
      <c r="BN834" s="266" t="inlineStr">
        <is>
          <t>Coposa sur</t>
        </is>
      </c>
      <c r="BO834" s="254" t="inlineStr">
        <is>
          <t>SI</t>
        </is>
      </c>
      <c r="BP834" s="106" t="inlineStr">
        <is>
          <t>PPC-27 COPOSA SUR/NF</t>
        </is>
      </c>
      <c r="BQ834" s="106">
        <f>VLOOKUP(BP834,[1]AGUA!$1:$1048576,2,FALSE)</f>
        <v/>
      </c>
      <c r="BR834" s="106">
        <f>VLOOKUP(BP834,[1]AGUA!$1:$1048576,6,FALSE)</f>
        <v/>
      </c>
      <c r="BS834" s="106">
        <f>VLOOKUP(BP834,[1]AGUA!$1:$1048576,7,FALSE)</f>
        <v/>
      </c>
      <c r="BT834" s="106" t="n"/>
      <c r="BU834" s="251"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4" t="n"/>
      <c r="DB834" s="254" t="n"/>
      <c r="DC834" s="254" t="n"/>
      <c r="DD834" s="254" t="n"/>
      <c r="DE834" s="254" t="n"/>
      <c r="DF834" s="254" t="n"/>
      <c r="DG834" s="254" t="n"/>
      <c r="DH834" s="254" t="n"/>
      <c r="DI834" s="254" t="n"/>
      <c r="DJ834" s="254" t="inlineStr">
        <is>
          <t>M</t>
        </is>
      </c>
      <c r="DK834" s="254" t="n">
        <v>8</v>
      </c>
      <c r="DL834" s="95" t="n">
        <v>14</v>
      </c>
      <c r="DM834" s="254" t="n"/>
      <c r="DN834" s="95" t="n"/>
      <c r="DO834" s="95" t="n"/>
    </row>
    <row r="835" ht="13" customHeight="1">
      <c r="A835" s="203" t="inlineStr">
        <is>
          <t>PPC-27</t>
        </is>
      </c>
      <c r="B835" s="255" t="n"/>
      <c r="C835" s="255"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255" t="n"/>
      <c r="BL835" s="7" t="inlineStr">
        <is>
          <t>GTAM</t>
        </is>
      </c>
      <c r="BM835" s="254" t="inlineStr">
        <is>
          <t>ASUB</t>
        </is>
      </c>
      <c r="BN835" s="266" t="inlineStr">
        <is>
          <t>Coposa sur</t>
        </is>
      </c>
      <c r="BO835" s="254"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252"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4" t="n"/>
      <c r="DB835" s="254" t="n"/>
      <c r="DC835" s="254" t="n"/>
      <c r="DD835" s="254" t="n"/>
      <c r="DE835" s="254" t="n"/>
      <c r="DF835" s="254" t="n"/>
      <c r="DG835" s="254" t="n"/>
      <c r="DH835" s="254" t="n"/>
      <c r="DI835" s="254" t="n"/>
      <c r="DJ835" s="254" t="n"/>
      <c r="DK835" s="254" t="n"/>
      <c r="DL835" s="95" t="n"/>
      <c r="DM835" s="254" t="inlineStr">
        <is>
          <t>M</t>
        </is>
      </c>
      <c r="DN835" s="95" t="n">
        <v>8</v>
      </c>
      <c r="DO835" s="95" t="n">
        <v>14</v>
      </c>
    </row>
    <row r="836" ht="13" customHeight="1">
      <c r="A836" s="203" t="inlineStr">
        <is>
          <t>PPC-28</t>
        </is>
      </c>
      <c r="B836" s="260" t="inlineStr">
        <is>
          <t>PPC-28 COPOSA SUR</t>
        </is>
      </c>
      <c r="C836" s="254"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259" t="inlineStr">
        <is>
          <t>537PP534</t>
        </is>
      </c>
      <c r="BL836" s="7" t="inlineStr">
        <is>
          <t>GTAM</t>
        </is>
      </c>
      <c r="BM836" s="254" t="inlineStr">
        <is>
          <t>NF</t>
        </is>
      </c>
      <c r="BN836" s="266" t="inlineStr">
        <is>
          <t>Coposa sur</t>
        </is>
      </c>
      <c r="BO836" s="254" t="inlineStr">
        <is>
          <t>SI</t>
        </is>
      </c>
      <c r="BP836" s="106" t="inlineStr">
        <is>
          <t>PPC-28 COPOSA SUR/NF</t>
        </is>
      </c>
      <c r="BQ836" s="106">
        <f>VLOOKUP(BP836,[1]AGUA!$1:$1048576,2,FALSE)</f>
        <v/>
      </c>
      <c r="BR836" s="106">
        <f>VLOOKUP(BP836,[1]AGUA!$1:$1048576,6,FALSE)</f>
        <v/>
      </c>
      <c r="BS836" s="106">
        <f>VLOOKUP(BP836,[1]AGUA!$1:$1048576,7,FALSE)</f>
        <v/>
      </c>
      <c r="BT836" s="106" t="n"/>
      <c r="BU836" s="251"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4" t="n"/>
      <c r="DB836" s="254" t="n"/>
      <c r="DC836" s="254" t="n"/>
      <c r="DD836" s="254" t="n"/>
      <c r="DE836" s="254" t="n"/>
      <c r="DF836" s="254" t="n"/>
      <c r="DG836" s="254" t="n"/>
      <c r="DH836" s="254" t="n"/>
      <c r="DI836" s="254" t="n"/>
      <c r="DJ836" s="254" t="inlineStr">
        <is>
          <t>M</t>
        </is>
      </c>
      <c r="DK836" s="254" t="n">
        <v>8</v>
      </c>
      <c r="DL836" s="95" t="n">
        <v>14</v>
      </c>
      <c r="DM836" s="254" t="n"/>
      <c r="DN836" s="95" t="n"/>
      <c r="DO836" s="95" t="n"/>
    </row>
    <row r="837" ht="13.5" customHeight="1">
      <c r="A837" s="203" t="inlineStr">
        <is>
          <t>PPC-28</t>
        </is>
      </c>
      <c r="B837" s="255" t="n"/>
      <c r="C837" s="255"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255" t="n"/>
      <c r="BL837" s="7" t="inlineStr">
        <is>
          <t>GTAM</t>
        </is>
      </c>
      <c r="BM837" s="254" t="inlineStr">
        <is>
          <t>ASUB</t>
        </is>
      </c>
      <c r="BN837" s="266" t="inlineStr">
        <is>
          <t>Coposa sur</t>
        </is>
      </c>
      <c r="BO837" s="254" t="inlineStr">
        <is>
          <t>SI</t>
        </is>
      </c>
      <c r="BP837" s="106" t="inlineStr">
        <is>
          <t>PPC-28 COPOSA SUR/ASUB</t>
        </is>
      </c>
      <c r="BQ837" s="106">
        <f>VLOOKUP(BP837,[1]AGUA!$1:$1048576,2,FALSE)</f>
        <v/>
      </c>
      <c r="BR837" s="106">
        <f>VLOOKUP(BP837,[1]AGUA!$1:$1048576,6,FALSE)</f>
        <v/>
      </c>
      <c r="BS837" s="106">
        <f>VLOOKUP(BP837,[1]AGUA!$1:$1048576,7,FALSE)</f>
        <v/>
      </c>
      <c r="BT837" s="106" t="n"/>
      <c r="BU837" s="252"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4" t="n"/>
      <c r="DB837" s="254" t="n"/>
      <c r="DC837" s="254" t="n"/>
      <c r="DD837" s="254" t="n"/>
      <c r="DE837" s="254" t="n"/>
      <c r="DF837" s="254" t="n"/>
      <c r="DG837" s="254" t="n"/>
      <c r="DH837" s="254" t="n"/>
      <c r="DI837" s="254" t="n"/>
      <c r="DJ837" s="254" t="n"/>
      <c r="DK837" s="254" t="n"/>
      <c r="DL837" s="95" t="n"/>
      <c r="DM837" s="254" t="inlineStr">
        <is>
          <t>M</t>
        </is>
      </c>
      <c r="DN837" s="95" t="n">
        <v>8</v>
      </c>
      <c r="DO837" s="95" t="n">
        <v>14</v>
      </c>
    </row>
    <row r="838" ht="13" customHeight="1">
      <c r="A838" s="203" t="inlineStr">
        <is>
          <t>PPC-29</t>
        </is>
      </c>
      <c r="B838" s="260"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61" t="inlineStr">
        <is>
          <t>532MAPPC</t>
        </is>
      </c>
      <c r="BL838" s="61" t="inlineStr">
        <is>
          <t>GMAP-SIGA</t>
        </is>
      </c>
      <c r="BM838" s="254" t="inlineStr">
        <is>
          <t>NF</t>
        </is>
      </c>
      <c r="BN838" s="266"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4" t="n"/>
      <c r="DB838" s="254" t="n"/>
      <c r="DC838" s="254" t="n"/>
      <c r="DD838" s="254" t="n"/>
      <c r="DE838" s="254" t="n"/>
      <c r="DF838" s="254" t="n"/>
      <c r="DG838" s="254" t="n"/>
      <c r="DH838" s="254" t="n"/>
      <c r="DI838" s="254" t="n"/>
      <c r="DJ838" s="254" t="inlineStr">
        <is>
          <t>M</t>
        </is>
      </c>
      <c r="DK838" s="254" t="n">
        <v>8</v>
      </c>
      <c r="DL838" s="95" t="n">
        <v>21</v>
      </c>
      <c r="DM838" s="254" t="n"/>
      <c r="DN838" s="95" t="n"/>
      <c r="DO838" s="95" t="n"/>
    </row>
    <row r="839" ht="13" customHeight="1">
      <c r="A839" s="203" t="inlineStr">
        <is>
          <t>PPC-30</t>
        </is>
      </c>
      <c r="B839" s="260"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61" t="inlineStr">
        <is>
          <t>532MAPPC</t>
        </is>
      </c>
      <c r="BL839" s="61" t="inlineStr">
        <is>
          <t>GMAP-SIGA</t>
        </is>
      </c>
      <c r="BM839" s="254" t="inlineStr">
        <is>
          <t>NF</t>
        </is>
      </c>
      <c r="BN839" s="266" t="inlineStr">
        <is>
          <t>Coposa Centro</t>
        </is>
      </c>
      <c r="BO839" s="254"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4" t="n"/>
      <c r="DB839" s="254" t="n"/>
      <c r="DC839" s="254" t="n"/>
      <c r="DD839" s="254" t="n"/>
      <c r="DE839" s="254" t="n"/>
      <c r="DF839" s="254" t="n"/>
      <c r="DG839" s="254" t="n"/>
      <c r="DH839" s="254" t="n"/>
      <c r="DI839" s="254" t="n"/>
      <c r="DJ839" s="254" t="inlineStr">
        <is>
          <t>T</t>
        </is>
      </c>
      <c r="DK839" s="254" t="n">
        <v>8</v>
      </c>
      <c r="DL839" s="95" t="n">
        <v>14</v>
      </c>
      <c r="DM839" s="254" t="n"/>
      <c r="DN839" s="95" t="n"/>
      <c r="DO839" s="95" t="n"/>
    </row>
    <row r="840" ht="13" customHeight="1">
      <c r="A840" s="203" t="inlineStr">
        <is>
          <t>PPC-31</t>
        </is>
      </c>
      <c r="B840" s="260"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61" t="inlineStr">
        <is>
          <t>532MAPPC</t>
        </is>
      </c>
      <c r="BL840" s="61" t="inlineStr">
        <is>
          <t>GMAP-SIGA</t>
        </is>
      </c>
      <c r="BM840" s="254" t="inlineStr">
        <is>
          <t>NF</t>
        </is>
      </c>
      <c r="BN840" s="266" t="inlineStr">
        <is>
          <t>Coposa Norte</t>
        </is>
      </c>
      <c r="BO840" s="254"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4" t="n"/>
      <c r="DB840" s="254" t="n"/>
      <c r="DC840" s="254" t="n"/>
      <c r="DD840" s="254" t="n"/>
      <c r="DE840" s="254" t="n"/>
      <c r="DF840" s="254" t="n"/>
      <c r="DG840" s="254" t="n"/>
      <c r="DH840" s="254" t="n"/>
      <c r="DI840" s="254" t="n"/>
      <c r="DJ840" s="254" t="inlineStr">
        <is>
          <t>M</t>
        </is>
      </c>
      <c r="DK840" s="254" t="n">
        <v>8</v>
      </c>
      <c r="DL840" s="95" t="n">
        <v>14</v>
      </c>
      <c r="DM840" s="254" t="n"/>
      <c r="DN840" s="95" t="n"/>
      <c r="DO840" s="95" t="n"/>
    </row>
    <row r="841" ht="12" customHeight="1">
      <c r="A841" s="215" t="inlineStr">
        <is>
          <t>PPC-32</t>
        </is>
      </c>
      <c r="B841" s="260"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61" t="inlineStr">
        <is>
          <t>532MAPPC</t>
        </is>
      </c>
      <c r="BL841" s="61" t="inlineStr">
        <is>
          <t>GMAP-SIGA</t>
        </is>
      </c>
      <c r="BM841" s="254" t="inlineStr">
        <is>
          <t>NF</t>
        </is>
      </c>
      <c r="BN841" s="266" t="inlineStr">
        <is>
          <t>Coposa Sur</t>
        </is>
      </c>
      <c r="BO841" s="254"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4" t="n"/>
      <c r="DB841" s="254" t="n"/>
      <c r="DC841" s="254" t="n"/>
      <c r="DD841" s="254" t="n"/>
      <c r="DE841" s="254" t="n"/>
      <c r="DF841" s="254" t="n"/>
      <c r="DG841" s="254" t="n"/>
      <c r="DH841" s="254" t="n"/>
      <c r="DI841" s="254" t="n"/>
      <c r="DJ841" s="254" t="inlineStr">
        <is>
          <t>T</t>
        </is>
      </c>
      <c r="DK841" s="254" t="n">
        <v>8</v>
      </c>
      <c r="DL841" s="95" t="n">
        <v>14</v>
      </c>
      <c r="DM841" s="254" t="n"/>
      <c r="DN841" s="95" t="n"/>
      <c r="DO841" s="95" t="n"/>
    </row>
    <row r="842" ht="12" customHeight="1">
      <c r="A842" s="203" t="inlineStr">
        <is>
          <t>PPC-32</t>
        </is>
      </c>
      <c r="B842" s="260"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61" t="n"/>
      <c r="BL842" s="61" t="n"/>
      <c r="BM842" s="254" t="inlineStr">
        <is>
          <t>ASUB</t>
        </is>
      </c>
      <c r="BN842" s="266" t="inlineStr">
        <is>
          <t>Coposa sur</t>
        </is>
      </c>
      <c r="BO842" s="254"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4" t="n"/>
      <c r="DB842" s="254" t="n"/>
      <c r="DC842" s="254" t="n"/>
      <c r="DD842" s="254" t="n"/>
      <c r="DE842" s="254" t="n"/>
      <c r="DF842" s="254" t="n"/>
      <c r="DG842" s="254" t="n"/>
      <c r="DH842" s="254" t="n"/>
      <c r="DI842" s="254" t="n"/>
      <c r="DJ842" s="254" t="n"/>
      <c r="DK842" s="254" t="n"/>
      <c r="DL842" s="95" t="n"/>
      <c r="DM842" s="254" t="n"/>
      <c r="DN842" s="95" t="n"/>
      <c r="DO842" s="95" t="n"/>
    </row>
    <row r="843" ht="11.5" customHeight="1">
      <c r="A843" s="203" t="inlineStr">
        <is>
          <t>PPC-33</t>
        </is>
      </c>
      <c r="B843" s="260"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61" t="inlineStr">
        <is>
          <t>532MAPPC</t>
        </is>
      </c>
      <c r="BL843" s="61" t="inlineStr">
        <is>
          <t>GMAP-SIGA</t>
        </is>
      </c>
      <c r="BM843" s="254" t="inlineStr">
        <is>
          <t>NF</t>
        </is>
      </c>
      <c r="BN843" s="106" t="inlineStr">
        <is>
          <t>Falla Pabellón</t>
        </is>
      </c>
      <c r="BO843" s="254"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4" t="n"/>
      <c r="DB843" s="254" t="n"/>
      <c r="DC843" s="254" t="n"/>
      <c r="DD843" s="254" t="n"/>
      <c r="DE843" s="254" t="n"/>
      <c r="DF843" s="254" t="n"/>
      <c r="DG843" s="254" t="n"/>
      <c r="DH843" s="254" t="n"/>
      <c r="DI843" s="254" t="n"/>
      <c r="DJ843" s="254" t="inlineStr">
        <is>
          <t>T</t>
        </is>
      </c>
      <c r="DK843" s="254" t="n">
        <v>15</v>
      </c>
      <c r="DL843" s="95" t="n">
        <v>21</v>
      </c>
      <c r="DM843" s="254" t="n"/>
      <c r="DN843" s="95" t="n"/>
      <c r="DO843" s="95" t="n"/>
    </row>
    <row r="844" ht="11.5" customHeight="1">
      <c r="A844" s="203" t="inlineStr">
        <is>
          <t>PPC-33</t>
        </is>
      </c>
      <c r="B844" s="260"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61" t="n"/>
      <c r="BL844" s="61" t="n"/>
      <c r="BM844" s="254" t="inlineStr">
        <is>
          <t>ASUB</t>
        </is>
      </c>
      <c r="BN844" s="106" t="inlineStr">
        <is>
          <t>Falla Pabellón</t>
        </is>
      </c>
      <c r="BO844" s="254"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4" t="n"/>
      <c r="DB844" s="254" t="n"/>
      <c r="DC844" s="254" t="n"/>
      <c r="DD844" s="254" t="n"/>
      <c r="DE844" s="254" t="n"/>
      <c r="DF844" s="254" t="n"/>
      <c r="DG844" s="254" t="n"/>
      <c r="DH844" s="254" t="n"/>
      <c r="DI844" s="254" t="n"/>
      <c r="DJ844" s="254" t="inlineStr">
        <is>
          <t>T</t>
        </is>
      </c>
      <c r="DK844" s="254" t="n">
        <v>15</v>
      </c>
      <c r="DL844" s="95" t="n">
        <v>21</v>
      </c>
      <c r="DM844" s="254" t="n"/>
      <c r="DN844" s="95" t="n"/>
      <c r="DO844" s="95" t="n"/>
    </row>
    <row r="845" ht="13" customHeight="1">
      <c r="A845" s="205" t="inlineStr">
        <is>
          <t>PPS-01</t>
        </is>
      </c>
      <c r="B845" s="260"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61" t="inlineStr">
        <is>
          <t>532MAPPS</t>
        </is>
      </c>
      <c r="BL845" s="61" t="inlineStr">
        <is>
          <t>GMAP-SIGA</t>
        </is>
      </c>
      <c r="BM845" s="254" t="inlineStr">
        <is>
          <t>NF</t>
        </is>
      </c>
      <c r="BN845" s="266" t="inlineStr">
        <is>
          <t>Coposa Centro</t>
        </is>
      </c>
      <c r="BO845" s="254"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4" t="n"/>
      <c r="DC845" s="254" t="n"/>
      <c r="DD845" s="254" t="n"/>
      <c r="DE845" s="254" t="n"/>
      <c r="DF845" s="254" t="n"/>
      <c r="DG845" s="254" t="n"/>
      <c r="DH845" s="254" t="n"/>
      <c r="DI845" s="254" t="n"/>
      <c r="DJ845" s="254" t="inlineStr">
        <is>
          <t>Q</t>
        </is>
      </c>
      <c r="DK845" s="226" t="inlineStr">
        <is>
          <t>1- 15</t>
        </is>
      </c>
      <c r="DL845" s="226" t="inlineStr">
        <is>
          <t>14-28</t>
        </is>
      </c>
      <c r="DM845" s="254" t="n"/>
      <c r="DN845" s="95" t="n"/>
      <c r="DO845" s="95" t="n"/>
    </row>
    <row r="846" ht="13" customHeight="1">
      <c r="A846" s="203" t="inlineStr">
        <is>
          <t>PPS-01</t>
        </is>
      </c>
      <c r="B846" s="260"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61" t="n"/>
      <c r="BL846" s="61" t="n"/>
      <c r="BM846" s="254" t="inlineStr">
        <is>
          <t>ASUB</t>
        </is>
      </c>
      <c r="BN846" s="266" t="inlineStr">
        <is>
          <t>Coposa Centro</t>
        </is>
      </c>
      <c r="BO846" s="254"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4" t="n"/>
      <c r="DC846" s="254" t="n"/>
      <c r="DD846" s="254" t="n"/>
      <c r="DE846" s="254" t="n"/>
      <c r="DF846" s="254" t="n"/>
      <c r="DG846" s="254" t="n"/>
      <c r="DH846" s="254" t="n"/>
      <c r="DI846" s="254" t="n"/>
      <c r="DJ846" s="254" t="n"/>
      <c r="DK846" s="254" t="n"/>
      <c r="DL846" s="95" t="n"/>
      <c r="DM846" s="254" t="n"/>
      <c r="DN846" s="95" t="n"/>
      <c r="DO846" s="95" t="n"/>
    </row>
    <row r="847" ht="13.5" customHeight="1">
      <c r="A847" s="205" t="inlineStr">
        <is>
          <t>PPS-02B</t>
        </is>
      </c>
      <c r="B847" s="260"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61" t="inlineStr">
        <is>
          <t>532MAPPS</t>
        </is>
      </c>
      <c r="BL847" s="61" t="inlineStr">
        <is>
          <t>GMAP-SIGA</t>
        </is>
      </c>
      <c r="BM847" s="254" t="inlineStr">
        <is>
          <t>NF</t>
        </is>
      </c>
      <c r="BN847" s="266"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4" t="n"/>
      <c r="DC847" s="254" t="n"/>
      <c r="DD847" s="254" t="n"/>
      <c r="DE847" s="254" t="n"/>
      <c r="DF847" s="254" t="n"/>
      <c r="DG847" s="254" t="n"/>
      <c r="DH847" s="254" t="n"/>
      <c r="DI847" s="254" t="n"/>
      <c r="DJ847" s="254" t="inlineStr">
        <is>
          <t>Q</t>
        </is>
      </c>
      <c r="DK847" s="226" t="inlineStr">
        <is>
          <t>1- 15</t>
        </is>
      </c>
      <c r="DL847" s="226" t="inlineStr">
        <is>
          <t>14-28</t>
        </is>
      </c>
      <c r="DM847" s="254" t="n"/>
      <c r="DN847" s="95" t="n"/>
      <c r="DO847" s="95" t="n"/>
    </row>
    <row r="848" ht="13" customHeight="1">
      <c r="A848" s="203" t="inlineStr">
        <is>
          <t>PQC-B</t>
        </is>
      </c>
      <c r="B848" s="260"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61" t="inlineStr">
        <is>
          <t>532MAQCY</t>
        </is>
      </c>
      <c r="BL848" s="61" t="inlineStr">
        <is>
          <t>GMAP-SIGA</t>
        </is>
      </c>
      <c r="BM848" s="254" t="inlineStr">
        <is>
          <t>NF</t>
        </is>
      </c>
      <c r="BN848" s="266" t="inlineStr">
        <is>
          <t>Quebrada Caya</t>
        </is>
      </c>
      <c r="BO848" s="254"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4" t="n"/>
      <c r="DB848" s="254" t="n"/>
      <c r="DC848" s="254" t="n"/>
      <c r="DD848" s="254" t="n"/>
      <c r="DE848" s="254" t="n"/>
      <c r="DF848" s="254" t="n"/>
      <c r="DG848" s="254" t="n"/>
      <c r="DH848" s="254" t="n"/>
      <c r="DI848" s="254" t="n"/>
      <c r="DJ848" s="254" t="inlineStr">
        <is>
          <t>STRAL</t>
        </is>
      </c>
      <c r="DK848" s="254" t="n">
        <v>15</v>
      </c>
      <c r="DL848" s="95" t="n">
        <v>28</v>
      </c>
      <c r="DM848" s="254" t="n"/>
      <c r="DN848" s="95" t="n"/>
      <c r="DO848" s="95" t="n"/>
    </row>
    <row r="849" ht="13" customHeight="1">
      <c r="A849" s="203" t="inlineStr">
        <is>
          <t>PQC-C1</t>
        </is>
      </c>
      <c r="B849" s="260"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61" t="inlineStr">
        <is>
          <t>532MAQCY</t>
        </is>
      </c>
      <c r="BL849" s="61" t="inlineStr">
        <is>
          <t>GMAP-SIGA</t>
        </is>
      </c>
      <c r="BM849" s="254" t="inlineStr">
        <is>
          <t>NF</t>
        </is>
      </c>
      <c r="BN849" s="266" t="inlineStr">
        <is>
          <t>Quebrada Caya</t>
        </is>
      </c>
      <c r="BO849" s="254"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4" t="n"/>
      <c r="DB849" s="254" t="n"/>
      <c r="DC849" s="254" t="n"/>
      <c r="DD849" s="254" t="n"/>
      <c r="DE849" s="254" t="n"/>
      <c r="DF849" s="254" t="n"/>
      <c r="DG849" s="254" t="n"/>
      <c r="DH849" s="254" t="n"/>
      <c r="DI849" s="254" t="n"/>
      <c r="DJ849" s="254" t="inlineStr">
        <is>
          <t>STRAL</t>
        </is>
      </c>
      <c r="DK849" s="254" t="n">
        <v>15</v>
      </c>
      <c r="DL849" s="95" t="n">
        <v>28</v>
      </c>
      <c r="DM849" s="254" t="n"/>
      <c r="DN849" s="95" t="n"/>
      <c r="DO849" s="95" t="n"/>
    </row>
    <row r="850" ht="13" customHeight="1">
      <c r="A850" s="203" t="inlineStr">
        <is>
          <t>PQY-02</t>
        </is>
      </c>
      <c r="B850" s="260"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61" t="inlineStr">
        <is>
          <t>532MAPQY</t>
        </is>
      </c>
      <c r="BL850" s="61" t="inlineStr">
        <is>
          <t>GMAP-SIGA</t>
        </is>
      </c>
      <c r="BM850" s="254" t="inlineStr">
        <is>
          <t>NF</t>
        </is>
      </c>
      <c r="BN850" s="266" t="inlineStr">
        <is>
          <t>Yabricollita</t>
        </is>
      </c>
      <c r="BO850" s="254"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4" t="n"/>
      <c r="DB850" s="254" t="n"/>
      <c r="DC850" s="254" t="n"/>
      <c r="DD850" s="254" t="n"/>
      <c r="DE850" s="254" t="n"/>
      <c r="DF850" s="254" t="n"/>
      <c r="DG850" s="254" t="n"/>
      <c r="DH850" s="254" t="n"/>
      <c r="DI850" s="254" t="n"/>
      <c r="DJ850" s="254" t="inlineStr">
        <is>
          <t>T</t>
        </is>
      </c>
      <c r="DK850" s="254" t="n">
        <v>15</v>
      </c>
      <c r="DL850" s="95" t="n">
        <v>21</v>
      </c>
      <c r="DM850" s="254" t="n"/>
      <c r="DN850" s="95" t="n"/>
      <c r="DO850" s="95" t="n"/>
    </row>
    <row r="851" ht="13" customHeight="1">
      <c r="A851" s="203" t="inlineStr">
        <is>
          <t>PQY-03</t>
        </is>
      </c>
      <c r="B851" s="260"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61" t="inlineStr">
        <is>
          <t>532MAPQY</t>
        </is>
      </c>
      <c r="BL851" s="61" t="inlineStr">
        <is>
          <t>GMAP-SIGA</t>
        </is>
      </c>
      <c r="BM851" s="254" t="inlineStr">
        <is>
          <t>NF</t>
        </is>
      </c>
      <c r="BN851" s="266" t="inlineStr">
        <is>
          <t>Yabricollita</t>
        </is>
      </c>
      <c r="BO851" s="254"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4" t="n"/>
      <c r="DB851" s="254" t="n"/>
      <c r="DC851" s="254" t="n"/>
      <c r="DD851" s="254" t="n"/>
      <c r="DE851" s="254" t="n"/>
      <c r="DF851" s="254" t="n"/>
      <c r="DG851" s="254" t="n"/>
      <c r="DH851" s="254" t="n"/>
      <c r="DI851" s="254" t="n"/>
      <c r="DJ851" s="254" t="inlineStr">
        <is>
          <t>B</t>
        </is>
      </c>
      <c r="DK851" s="254" t="n">
        <v>15</v>
      </c>
      <c r="DL851" s="95" t="n">
        <v>21</v>
      </c>
      <c r="DM851" s="254" t="n"/>
      <c r="DN851" s="95" t="n"/>
      <c r="DO851" s="95" t="n"/>
    </row>
    <row r="852" ht="13" customHeight="1">
      <c r="A852" s="203" t="inlineStr">
        <is>
          <t>PUNTERA 1</t>
        </is>
      </c>
      <c r="B852" s="260" t="inlineStr">
        <is>
          <t>PUNTERA 1 (P-01)</t>
        </is>
      </c>
      <c r="C852" s="254"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61" t="inlineStr">
        <is>
          <t>532WLP-01</t>
        </is>
      </c>
      <c r="BL852" s="7" t="inlineStr">
        <is>
          <t>GMAP-SIGA</t>
        </is>
      </c>
      <c r="BM852" s="254" t="inlineStr">
        <is>
          <t>NF</t>
        </is>
      </c>
      <c r="BN852" s="266" t="inlineStr">
        <is>
          <t>Yabricollita</t>
        </is>
      </c>
      <c r="BO852" s="254" t="inlineStr">
        <is>
          <t>SI</t>
        </is>
      </c>
      <c r="BP852" s="106" t="inlineStr">
        <is>
          <t>PUNTERA 1 (P-01)/NF</t>
        </is>
      </c>
      <c r="BQ852" s="106">
        <f>VLOOKUP(BP852,[1]AGUA!$1:$1048576,2,FALSE)</f>
        <v/>
      </c>
      <c r="BR852" s="106">
        <f>VLOOKUP(BP852,[1]AGUA!$1:$1048576,6,FALSE)</f>
        <v/>
      </c>
      <c r="BS852" s="106">
        <f>VLOOKUP(BP852,[1]AGUA!$1:$1048576,7,FALSE)</f>
        <v/>
      </c>
      <c r="BT852" s="106" t="n"/>
      <c r="BU852" s="251"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4" t="n"/>
      <c r="DB852" s="254" t="n"/>
      <c r="DC852" s="254" t="n"/>
      <c r="DD852" s="207" t="n"/>
      <c r="DE852" s="254" t="n"/>
      <c r="DF852" s="254" t="n"/>
      <c r="DG852" s="254" t="n"/>
      <c r="DH852" s="254" t="n"/>
      <c r="DI852" s="214" t="n"/>
      <c r="DJ852" s="254" t="inlineStr">
        <is>
          <t>M</t>
        </is>
      </c>
      <c r="DK852" s="254" t="n">
        <v>1</v>
      </c>
      <c r="DL852" s="95" t="n">
        <v>16</v>
      </c>
      <c r="DM852" s="254" t="n"/>
      <c r="DN852" s="95" t="n"/>
      <c r="DO852" s="95" t="n"/>
    </row>
    <row r="853" ht="13" customHeight="1">
      <c r="A853" s="203" t="inlineStr">
        <is>
          <t>PUNTERA 1</t>
        </is>
      </c>
      <c r="B853" s="255" t="n"/>
      <c r="C853" s="255"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255" t="n"/>
      <c r="BL853" s="7" t="inlineStr">
        <is>
          <t>GMAP-SIGA</t>
        </is>
      </c>
      <c r="BM853" s="254" t="inlineStr">
        <is>
          <t>ASUB</t>
        </is>
      </c>
      <c r="BN853" s="266" t="inlineStr">
        <is>
          <t>Yabricollita</t>
        </is>
      </c>
      <c r="BO853" s="254" t="inlineStr">
        <is>
          <t>SI</t>
        </is>
      </c>
      <c r="BP853" s="106" t="inlineStr">
        <is>
          <t>PUNTERA 1 (P-01)/ASUB</t>
        </is>
      </c>
      <c r="BQ853" s="106">
        <f>VLOOKUP(BP853,[1]AGUA!$1:$1048576,2,FALSE)</f>
        <v/>
      </c>
      <c r="BR853" s="106">
        <f>VLOOKUP(BP853,[1]AGUA!$1:$1048576,6,FALSE)</f>
        <v/>
      </c>
      <c r="BS853" s="106">
        <f>VLOOKUP(BP853,[1]AGUA!$1:$1048576,7,FALSE)</f>
        <v/>
      </c>
      <c r="BT853" s="106" t="n"/>
      <c r="BU853" s="252"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4" t="n"/>
      <c r="DB853" s="254" t="n"/>
      <c r="DC853" s="254" t="n"/>
      <c r="DD853" s="207" t="n"/>
      <c r="DE853" s="254" t="n"/>
      <c r="DF853" s="254" t="n"/>
      <c r="DG853" s="254" t="n"/>
      <c r="DH853" s="254" t="n"/>
      <c r="DI853" s="214" t="n"/>
      <c r="DJ853" s="254" t="n"/>
      <c r="DK853" s="254" t="n"/>
      <c r="DL853" s="95" t="n"/>
      <c r="DM853" s="254" t="inlineStr">
        <is>
          <t>M</t>
        </is>
      </c>
      <c r="DN853" s="95" t="n">
        <v>1</v>
      </c>
      <c r="DO853" s="95" t="n">
        <v>16</v>
      </c>
    </row>
    <row r="854" ht="13" customHeight="1">
      <c r="A854" s="203" t="inlineStr">
        <is>
          <t>PUNTERA 2</t>
        </is>
      </c>
      <c r="B854" s="260" t="inlineStr">
        <is>
          <t>PUNTERA 2 SALLIHUINCA</t>
        </is>
      </c>
      <c r="C854" s="254"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61" t="inlineStr">
        <is>
          <t>532WLSL-P2</t>
        </is>
      </c>
      <c r="BL854" s="7" t="inlineStr">
        <is>
          <t>GMAP-SIGA</t>
        </is>
      </c>
      <c r="BM854" s="254" t="inlineStr">
        <is>
          <t>NF</t>
        </is>
      </c>
      <c r="BN854" s="266" t="inlineStr">
        <is>
          <t>Sallihuinca</t>
        </is>
      </c>
      <c r="BO854" s="254" t="inlineStr">
        <is>
          <t>SI</t>
        </is>
      </c>
      <c r="BP854" s="106" t="inlineStr">
        <is>
          <t>PUNTERA 2 SALLIHUINCA/NF</t>
        </is>
      </c>
      <c r="BQ854" s="106">
        <f>VLOOKUP(BP854,[1]AGUA!$1:$1048576,2,FALSE)</f>
        <v/>
      </c>
      <c r="BR854" s="106">
        <f>VLOOKUP(BP854,[1]AGUA!$1:$1048576,6,FALSE)</f>
        <v/>
      </c>
      <c r="BS854" s="106">
        <f>VLOOKUP(BP854,[1]AGUA!$1:$1048576,7,FALSE)</f>
        <v/>
      </c>
      <c r="BT854" s="106" t="n"/>
      <c r="BU854" s="251"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4" t="n"/>
      <c r="DB854" s="208" t="n"/>
      <c r="DC854" s="254" t="n"/>
      <c r="DD854" s="207" t="n"/>
      <c r="DE854" s="254" t="n"/>
      <c r="DF854" s="202" t="n"/>
      <c r="DG854" s="209" t="n"/>
      <c r="DH854" s="209" t="n"/>
      <c r="DI854" s="254" t="n"/>
      <c r="DJ854" s="254" t="inlineStr">
        <is>
          <t>M</t>
        </is>
      </c>
      <c r="DK854" s="254" t="n">
        <v>1</v>
      </c>
      <c r="DL854" s="95" t="n">
        <v>16</v>
      </c>
      <c r="DM854" s="254" t="n"/>
      <c r="DN854" s="95" t="n"/>
      <c r="DO854" s="95" t="n"/>
    </row>
    <row r="855" ht="13" customHeight="1">
      <c r="A855" s="203" t="inlineStr">
        <is>
          <t>PUNTERA 2</t>
        </is>
      </c>
      <c r="B855" s="255" t="n"/>
      <c r="C855" s="255"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255" t="n"/>
      <c r="BL855" s="7" t="inlineStr">
        <is>
          <t>GMAP-SIGA</t>
        </is>
      </c>
      <c r="BM855" s="254" t="inlineStr">
        <is>
          <t>ASUB</t>
        </is>
      </c>
      <c r="BN855" s="266" t="inlineStr">
        <is>
          <t>Sallihuinca</t>
        </is>
      </c>
      <c r="BO855" s="254" t="inlineStr">
        <is>
          <t>SI</t>
        </is>
      </c>
      <c r="BP855" s="106" t="inlineStr">
        <is>
          <t>PUNTERA 2 SALLIHUINCA/ASUB</t>
        </is>
      </c>
      <c r="BQ855" s="106">
        <f>VLOOKUP(BP855,[1]AGUA!$1:$1048576,2,FALSE)</f>
        <v/>
      </c>
      <c r="BR855" s="106">
        <f>VLOOKUP(BP855,[1]AGUA!$1:$1048576,6,FALSE)</f>
        <v/>
      </c>
      <c r="BS855" s="106">
        <f>VLOOKUP(BP855,[1]AGUA!$1:$1048576,7,FALSE)</f>
        <v/>
      </c>
      <c r="BT855" s="106" t="n"/>
      <c r="BU855" s="252"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4" t="n"/>
      <c r="DB855" s="208" t="n"/>
      <c r="DC855" s="254" t="n"/>
      <c r="DD855" s="207" t="n"/>
      <c r="DE855" s="254" t="n"/>
      <c r="DF855" s="202" t="n"/>
      <c r="DG855" s="209" t="n"/>
      <c r="DH855" s="209" t="n"/>
      <c r="DI855" s="254" t="n"/>
      <c r="DJ855" s="254" t="n"/>
      <c r="DK855" s="254" t="n"/>
      <c r="DL855" s="95" t="n"/>
      <c r="DM855" s="254" t="inlineStr">
        <is>
          <t>M</t>
        </is>
      </c>
      <c r="DN855" s="95" t="n">
        <v>1</v>
      </c>
      <c r="DO855" s="95" t="n">
        <v>16</v>
      </c>
    </row>
    <row r="856" ht="13" customHeight="1">
      <c r="A856" s="203" t="inlineStr">
        <is>
          <t>PUNTERA 3</t>
        </is>
      </c>
      <c r="B856" s="260" t="inlineStr">
        <is>
          <t>PUNTERA 3 (P-03)</t>
        </is>
      </c>
      <c r="C856" s="254"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61" t="inlineStr">
        <is>
          <t>532WLP-03</t>
        </is>
      </c>
      <c r="BL856" s="7" t="inlineStr">
        <is>
          <t>GMAP-SIGA</t>
        </is>
      </c>
      <c r="BM856" s="254" t="inlineStr">
        <is>
          <t>NF</t>
        </is>
      </c>
      <c r="BN856" s="266" t="inlineStr">
        <is>
          <t>Mal paso</t>
        </is>
      </c>
      <c r="BO856" s="254" t="inlineStr">
        <is>
          <t>SI</t>
        </is>
      </c>
      <c r="BP856" s="106" t="inlineStr">
        <is>
          <t>PUNTERA 3 (P-03)/NF</t>
        </is>
      </c>
      <c r="BQ856" s="106">
        <f>VLOOKUP(BP856,[1]AGUA!$1:$1048576,2,FALSE)</f>
        <v/>
      </c>
      <c r="BR856" s="106">
        <f>VLOOKUP(BP856,[1]AGUA!$1:$1048576,6,FALSE)</f>
        <v/>
      </c>
      <c r="BS856" s="106">
        <f>VLOOKUP(BP856,[1]AGUA!$1:$1048576,7,FALSE)</f>
        <v/>
      </c>
      <c r="BT856" s="106" t="n"/>
      <c r="BU856" s="251"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4" t="n"/>
      <c r="DB856" s="254" t="n"/>
      <c r="DC856" s="254" t="n"/>
      <c r="DD856" s="254" t="n"/>
      <c r="DE856" s="254" t="n"/>
      <c r="DF856" s="254" t="n"/>
      <c r="DG856" s="254" t="n"/>
      <c r="DH856" s="254" t="n"/>
      <c r="DI856" s="254" t="n"/>
      <c r="DJ856" s="254" t="inlineStr">
        <is>
          <t>M</t>
        </is>
      </c>
      <c r="DK856" s="254" t="n">
        <v>22</v>
      </c>
      <c r="DL856" s="95" t="n">
        <v>28</v>
      </c>
      <c r="DM856" s="254" t="n"/>
      <c r="DN856" s="95" t="n"/>
      <c r="DO856" s="95" t="n"/>
    </row>
    <row r="857" ht="13" customHeight="1">
      <c r="A857" s="203" t="inlineStr">
        <is>
          <t>PUNTERA 3</t>
        </is>
      </c>
      <c r="B857" s="255" t="n"/>
      <c r="C857" s="255"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255" t="n"/>
      <c r="BL857" s="7" t="inlineStr">
        <is>
          <t>GMAP-SIGA</t>
        </is>
      </c>
      <c r="BM857" s="254" t="inlineStr">
        <is>
          <t>ASUB</t>
        </is>
      </c>
      <c r="BN857" s="266" t="inlineStr">
        <is>
          <t>Mal paso</t>
        </is>
      </c>
      <c r="BO857" s="254" t="inlineStr">
        <is>
          <t>SI</t>
        </is>
      </c>
      <c r="BP857" s="106" t="inlineStr">
        <is>
          <t>PUNTERA 3 (P-03)/ASUB</t>
        </is>
      </c>
      <c r="BQ857" s="106">
        <f>VLOOKUP(BP857,[1]AGUA!$1:$1048576,2,FALSE)</f>
        <v/>
      </c>
      <c r="BR857" s="106">
        <f>VLOOKUP(BP857,[1]AGUA!$1:$1048576,6,FALSE)</f>
        <v/>
      </c>
      <c r="BS857" s="106">
        <f>VLOOKUP(BP857,[1]AGUA!$1:$1048576,7,FALSE)</f>
        <v/>
      </c>
      <c r="BT857" s="106" t="n"/>
      <c r="BU857" s="252"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4" t="n"/>
      <c r="DB857" s="254" t="n"/>
      <c r="DC857" s="254" t="n"/>
      <c r="DD857" s="254" t="n"/>
      <c r="DE857" s="254" t="n"/>
      <c r="DF857" s="254" t="n"/>
      <c r="DG857" s="254" t="n"/>
      <c r="DH857" s="254" t="n"/>
      <c r="DI857" s="254" t="n"/>
      <c r="DJ857" s="254" t="n"/>
      <c r="DK857" s="254" t="n"/>
      <c r="DL857" s="95" t="n"/>
      <c r="DM857" s="254" t="inlineStr">
        <is>
          <t>M</t>
        </is>
      </c>
      <c r="DN857" s="95" t="n">
        <v>22</v>
      </c>
      <c r="DO857" s="95" t="n">
        <v>28</v>
      </c>
    </row>
    <row r="858" ht="13" customHeight="1">
      <c r="A858" s="203" t="inlineStr">
        <is>
          <t>PUNTERA 4</t>
        </is>
      </c>
      <c r="B858" s="260" t="inlineStr">
        <is>
          <t>PUNTERA 4 CHICLLA</t>
        </is>
      </c>
      <c r="C858" s="254"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61" t="inlineStr">
        <is>
          <t>532WLP-04</t>
        </is>
      </c>
      <c r="BL858" s="7" t="inlineStr">
        <is>
          <t>GMAP-SIGA</t>
        </is>
      </c>
      <c r="BM858" s="254" t="inlineStr">
        <is>
          <t>NF</t>
        </is>
      </c>
      <c r="BN858" s="266" t="inlineStr">
        <is>
          <t>Chiclla</t>
        </is>
      </c>
      <c r="BO858" s="254" t="inlineStr">
        <is>
          <t>SI</t>
        </is>
      </c>
      <c r="BP858" s="106" t="inlineStr">
        <is>
          <t>PUNTERA 4 CHICLLA/NF</t>
        </is>
      </c>
      <c r="BQ858" s="106">
        <f>VLOOKUP(BP858,[1]AGUA!$1:$1048576,2,FALSE)</f>
        <v/>
      </c>
      <c r="BR858" s="106">
        <f>VLOOKUP(BP858,[1]AGUA!$1:$1048576,6,FALSE)</f>
        <v/>
      </c>
      <c r="BS858" s="106">
        <f>VLOOKUP(BP858,[1]AGUA!$1:$1048576,7,FALSE)</f>
        <v/>
      </c>
      <c r="BT858" s="106" t="n"/>
      <c r="BU858" s="251"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4" t="n"/>
      <c r="DB858" s="254" t="n"/>
      <c r="DC858" s="254" t="n"/>
      <c r="DD858" s="254" t="n"/>
      <c r="DE858" s="254" t="n"/>
      <c r="DF858" s="254" t="n"/>
      <c r="DG858" s="254" t="n"/>
      <c r="DH858" s="254" t="n"/>
      <c r="DI858" s="254" t="n"/>
      <c r="DJ858" s="254" t="inlineStr">
        <is>
          <t>M</t>
        </is>
      </c>
      <c r="DK858" s="254" t="n">
        <v>15</v>
      </c>
      <c r="DL858" s="95" t="n">
        <v>28</v>
      </c>
      <c r="DM858" s="254" t="n"/>
      <c r="DN858" s="95" t="n"/>
      <c r="DO858" s="95" t="n"/>
    </row>
    <row r="859" ht="13" customHeight="1">
      <c r="A859" s="203" t="inlineStr">
        <is>
          <t>PUNTERA 4</t>
        </is>
      </c>
      <c r="B859" s="255" t="n"/>
      <c r="C859" s="255"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255" t="n"/>
      <c r="BL859" s="7" t="inlineStr">
        <is>
          <t>GMAP-SIGA</t>
        </is>
      </c>
      <c r="BM859" s="168" t="inlineStr">
        <is>
          <t>ASUB</t>
        </is>
      </c>
      <c r="BN859" s="266" t="inlineStr">
        <is>
          <t>Chiclla</t>
        </is>
      </c>
      <c r="BO859" s="254" t="inlineStr">
        <is>
          <t>SI</t>
        </is>
      </c>
      <c r="BP859" s="106" t="inlineStr">
        <is>
          <t>PUNTERA 4 CHICLLA/ASUB</t>
        </is>
      </c>
      <c r="BQ859" s="106">
        <f>VLOOKUP(BP859,[1]AGUA!$1:$1048576,2,FALSE)</f>
        <v/>
      </c>
      <c r="BR859" s="106">
        <f>VLOOKUP(BP859,[1]AGUA!$1:$1048576,6,FALSE)</f>
        <v/>
      </c>
      <c r="BS859" s="106">
        <f>VLOOKUP(BP859,[1]AGUA!$1:$1048576,7,FALSE)</f>
        <v/>
      </c>
      <c r="BT859" s="106" t="n"/>
      <c r="BU859" s="252"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4" t="n"/>
      <c r="DB859" s="254" t="n"/>
      <c r="DC859" s="254" t="n"/>
      <c r="DD859" s="254" t="n"/>
      <c r="DE859" s="254" t="n"/>
      <c r="DF859" s="254" t="n"/>
      <c r="DG859" s="254" t="n"/>
      <c r="DH859" s="254" t="n"/>
      <c r="DI859" s="254" t="n"/>
      <c r="DJ859" s="254" t="n"/>
      <c r="DK859" s="254" t="n"/>
      <c r="DL859" s="95" t="n"/>
      <c r="DM859" s="254" t="inlineStr">
        <is>
          <t>M</t>
        </is>
      </c>
      <c r="DN859" s="95" t="n">
        <v>15</v>
      </c>
      <c r="DO859" s="95" t="n">
        <v>28</v>
      </c>
    </row>
    <row r="860" ht="13" customHeight="1">
      <c r="A860" s="203" t="inlineStr">
        <is>
          <t xml:space="preserve">Punto 2 </t>
        </is>
      </c>
      <c r="B860" s="260" t="n"/>
      <c r="C860" s="254"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61" t="n"/>
      <c r="BL860" s="7" t="inlineStr">
        <is>
          <t>GMAP-SIGA</t>
        </is>
      </c>
      <c r="BM860" s="168" t="inlineStr">
        <is>
          <t>ASUP</t>
        </is>
      </c>
      <c r="BN860" s="266" t="inlineStr">
        <is>
          <t>Ceusis</t>
        </is>
      </c>
      <c r="BO860" s="254" t="inlineStr">
        <is>
          <t>SI</t>
        </is>
      </c>
      <c r="BP860" s="106" t="inlineStr">
        <is>
          <t>Punto 2/ASUP</t>
        </is>
      </c>
      <c r="BQ860" s="106">
        <f>VLOOKUP(BP860,[1]AGUA!$1:$1048576,2,FALSE)</f>
        <v/>
      </c>
      <c r="BR860" s="106">
        <f>VLOOKUP(BP860,[1]AGUA!$1:$1048576,6,FALSE)</f>
        <v/>
      </c>
      <c r="BS860" s="106">
        <f>VLOOKUP(BP860,[1]AGUA!$1:$1048576,7,FALSE)</f>
        <v/>
      </c>
      <c r="BT860" s="106" t="n"/>
      <c r="BU860" s="251"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4" t="n"/>
      <c r="DB860" s="254" t="n"/>
      <c r="DC860" s="254" t="n"/>
      <c r="DD860" s="254" t="n"/>
      <c r="DE860" s="254" t="n"/>
      <c r="DF860" s="254" t="n"/>
      <c r="DG860" s="254" t="n"/>
      <c r="DH860" s="254" t="n"/>
      <c r="DI860" s="254" t="n"/>
      <c r="DJ860" s="254" t="n"/>
      <c r="DK860" s="254" t="n"/>
      <c r="DL860" s="95" t="n"/>
      <c r="DM860" s="254" t="n"/>
      <c r="DN860" s="95" t="n"/>
      <c r="DO860" s="95" t="n"/>
    </row>
    <row r="861" ht="14.15" customHeight="1">
      <c r="A861" s="203" t="inlineStr">
        <is>
          <t>PUNTERA 5</t>
        </is>
      </c>
      <c r="B861" s="260" t="inlineStr">
        <is>
          <t>PUNTERA 5 (P-05)</t>
        </is>
      </c>
      <c r="C861" s="254"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61" t="inlineStr">
        <is>
          <t>532WLP-05</t>
        </is>
      </c>
      <c r="BL861" s="7" t="inlineStr">
        <is>
          <t>GMAP-SIGA</t>
        </is>
      </c>
      <c r="BM861" s="254" t="inlineStr">
        <is>
          <t>NF</t>
        </is>
      </c>
      <c r="BN861" s="266" t="inlineStr">
        <is>
          <t>Ceusis</t>
        </is>
      </c>
      <c r="BO861" s="254" t="inlineStr">
        <is>
          <t>SI</t>
        </is>
      </c>
      <c r="BP861" s="106" t="inlineStr">
        <is>
          <t>PUNTERA 5 (P-05)/NF</t>
        </is>
      </c>
      <c r="BQ861" s="106">
        <f>VLOOKUP(BP861,[1]AGUA!$1:$1048576,2,FALSE)</f>
        <v/>
      </c>
      <c r="BR861" s="106">
        <f>VLOOKUP(BP861,[1]AGUA!$1:$1048576,6,FALSE)</f>
        <v/>
      </c>
      <c r="BS861" s="106">
        <f>VLOOKUP(BP861,[1]AGUA!$1:$1048576,7,FALSE)</f>
        <v/>
      </c>
      <c r="BT861" s="106" t="n"/>
      <c r="BU861" s="251"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4" t="n"/>
      <c r="DB861" s="254" t="n"/>
      <c r="DC861" s="254" t="n"/>
      <c r="DD861" s="254" t="n"/>
      <c r="DE861" s="254" t="n"/>
      <c r="DF861" s="254" t="n"/>
      <c r="DG861" s="254" t="n"/>
      <c r="DH861" s="254" t="n"/>
      <c r="DI861" s="254" t="n"/>
      <c r="DJ861" s="254" t="inlineStr">
        <is>
          <t>M</t>
        </is>
      </c>
      <c r="DK861" s="254" t="n">
        <v>22</v>
      </c>
      <c r="DL861" s="95" t="n">
        <v>28</v>
      </c>
      <c r="DM861" s="254" t="n"/>
      <c r="DN861" s="95" t="n"/>
      <c r="DO861" s="95" t="n"/>
    </row>
    <row r="862" ht="14.15" customHeight="1">
      <c r="A862" s="203" t="inlineStr">
        <is>
          <t>PUNTERA 5</t>
        </is>
      </c>
      <c r="B862" s="255" t="n"/>
      <c r="C862" s="255"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255" t="n"/>
      <c r="BL862" s="7" t="inlineStr">
        <is>
          <t>GMAP-SIGA</t>
        </is>
      </c>
      <c r="BM862" s="254" t="inlineStr">
        <is>
          <t>ASUB</t>
        </is>
      </c>
      <c r="BN862" s="266" t="inlineStr">
        <is>
          <t>Ceusis</t>
        </is>
      </c>
      <c r="BO862" s="254" t="inlineStr">
        <is>
          <t>SI</t>
        </is>
      </c>
      <c r="BP862" s="106" t="inlineStr">
        <is>
          <t>PUNTERA 5 (P-05)/ASUB</t>
        </is>
      </c>
      <c r="BQ862" s="106">
        <f>VLOOKUP(BP862,[1]AGUA!$1:$1048576,2,FALSE)</f>
        <v/>
      </c>
      <c r="BR862" s="106">
        <f>VLOOKUP(BP862,[1]AGUA!$1:$1048576,6,FALSE)</f>
        <v/>
      </c>
      <c r="BS862" s="106">
        <f>VLOOKUP(BP862,[1]AGUA!$1:$1048576,7,FALSE)</f>
        <v/>
      </c>
      <c r="BT862" s="106" t="n"/>
      <c r="BU862" s="252"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4" t="n"/>
      <c r="DB862" s="254" t="n"/>
      <c r="DC862" s="254" t="n"/>
      <c r="DD862" s="254" t="n"/>
      <c r="DE862" s="254" t="n"/>
      <c r="DF862" s="254" t="n"/>
      <c r="DG862" s="254" t="n"/>
      <c r="DH862" s="254" t="n"/>
      <c r="DI862" s="254" t="n"/>
      <c r="DJ862" s="254" t="n"/>
      <c r="DK862" s="254" t="n"/>
      <c r="DL862" s="95" t="n"/>
      <c r="DM862" s="254" t="inlineStr">
        <is>
          <t>M</t>
        </is>
      </c>
      <c r="DN862" s="95" t="n">
        <v>22</v>
      </c>
      <c r="DO862" s="95" t="n">
        <v>28</v>
      </c>
    </row>
    <row r="863" ht="13" customHeight="1">
      <c r="A863" s="203" t="inlineStr">
        <is>
          <t>QBE-2</t>
        </is>
      </c>
      <c r="B863" s="260"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259" t="inlineStr">
        <is>
          <t>532MAQBE</t>
        </is>
      </c>
      <c r="BL863" s="61" t="inlineStr">
        <is>
          <t>GMAP-SIGA</t>
        </is>
      </c>
      <c r="BM863" s="254" t="inlineStr">
        <is>
          <t>NF</t>
        </is>
      </c>
      <c r="BN863" s="266" t="inlineStr">
        <is>
          <t>Michincha</t>
        </is>
      </c>
      <c r="BO863" s="254"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4" t="n"/>
      <c r="DB863" s="254" t="n"/>
      <c r="DC863" s="254" t="n"/>
      <c r="DD863" s="254" t="n"/>
      <c r="DE863" s="254" t="n"/>
      <c r="DF863" s="254" t="n"/>
      <c r="DG863" s="254" t="n"/>
      <c r="DH863" s="254" t="n"/>
      <c r="DI863" s="254" t="n"/>
      <c r="DJ863" s="254" t="inlineStr">
        <is>
          <t>B</t>
        </is>
      </c>
      <c r="DK863" s="254" t="n">
        <v>22</v>
      </c>
      <c r="DL863" s="95" t="n">
        <v>28</v>
      </c>
      <c r="DM863" s="254" t="n"/>
      <c r="DN863" s="95" t="n"/>
      <c r="DO863" s="95" t="n"/>
    </row>
    <row r="864" ht="13" customHeight="1">
      <c r="A864" s="203" t="inlineStr">
        <is>
          <t>QBE-4A</t>
        </is>
      </c>
      <c r="B864" s="260"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259" t="inlineStr">
        <is>
          <t>532MAQBE</t>
        </is>
      </c>
      <c r="BL864" s="61" t="inlineStr">
        <is>
          <t>GMAP-SIGA</t>
        </is>
      </c>
      <c r="BM864" s="254" t="inlineStr">
        <is>
          <t>NF</t>
        </is>
      </c>
      <c r="BN864" s="266" t="inlineStr">
        <is>
          <t>Michincha</t>
        </is>
      </c>
      <c r="BO864" s="254"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4" t="n"/>
      <c r="DB864" s="254" t="n"/>
      <c r="DC864" s="254" t="n"/>
      <c r="DD864" s="254" t="n"/>
      <c r="DE864" s="254" t="n"/>
      <c r="DF864" s="254" t="n"/>
      <c r="DG864" s="254" t="n"/>
      <c r="DH864" s="254" t="n"/>
      <c r="DI864" s="254" t="n"/>
      <c r="DJ864" s="254" t="inlineStr">
        <is>
          <t>B</t>
        </is>
      </c>
      <c r="DK864" s="254" t="n">
        <v>22</v>
      </c>
      <c r="DL864" s="95" t="n">
        <v>28</v>
      </c>
      <c r="DM864" s="254" t="n"/>
      <c r="DN864" s="95" t="n"/>
      <c r="DO864" s="95" t="n"/>
    </row>
    <row r="865" ht="13" customHeight="1">
      <c r="A865" s="203" t="inlineStr">
        <is>
          <t>QBE-4B</t>
        </is>
      </c>
      <c r="B865" s="260"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259" t="inlineStr">
        <is>
          <t>532MAQBE</t>
        </is>
      </c>
      <c r="BL865" s="61" t="inlineStr">
        <is>
          <t>GMAP-SIGA</t>
        </is>
      </c>
      <c r="BM865" s="254" t="inlineStr">
        <is>
          <t>NF</t>
        </is>
      </c>
      <c r="BN865" s="266" t="inlineStr">
        <is>
          <t>Michincha</t>
        </is>
      </c>
      <c r="BO865" s="254"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4" t="n"/>
      <c r="DB865" s="254" t="n"/>
      <c r="DC865" s="254" t="n"/>
      <c r="DD865" s="254" t="n"/>
      <c r="DE865" s="254" t="n"/>
      <c r="DF865" s="254" t="n"/>
      <c r="DG865" s="254" t="n"/>
      <c r="DH865" s="254" t="n"/>
      <c r="DI865" s="254" t="n"/>
      <c r="DJ865" s="254" t="inlineStr">
        <is>
          <t>M</t>
        </is>
      </c>
      <c r="DK865" s="254" t="n">
        <v>22</v>
      </c>
      <c r="DL865" s="95" t="n">
        <v>28</v>
      </c>
      <c r="DM865" s="254" t="n"/>
      <c r="DN865" s="95" t="n"/>
      <c r="DO865" s="95" t="n"/>
    </row>
    <row r="866" ht="13" customHeight="1">
      <c r="A866" s="203" t="inlineStr">
        <is>
          <t>QCA-01</t>
        </is>
      </c>
      <c r="B866" s="260"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61" t="inlineStr">
        <is>
          <t>532MAQCY</t>
        </is>
      </c>
      <c r="BL866" s="61" t="inlineStr">
        <is>
          <t>GMAP-SIGA</t>
        </is>
      </c>
      <c r="BM866" s="254" t="inlineStr">
        <is>
          <t>NF</t>
        </is>
      </c>
      <c r="BN866" s="266" t="inlineStr">
        <is>
          <t>Quebrada Caya</t>
        </is>
      </c>
      <c r="BO866" s="254"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4" t="n"/>
      <c r="DB866" s="254" t="n"/>
      <c r="DC866" s="254" t="n"/>
      <c r="DD866" s="254" t="n"/>
      <c r="DE866" s="254" t="n"/>
      <c r="DF866" s="254" t="n"/>
      <c r="DG866" s="254" t="n"/>
      <c r="DH866" s="254" t="n"/>
      <c r="DI866" s="254" t="n"/>
      <c r="DJ866" s="254" t="inlineStr">
        <is>
          <t>STRAL</t>
        </is>
      </c>
      <c r="DK866" s="254" t="n">
        <v>15</v>
      </c>
      <c r="DL866" s="95" t="n">
        <v>28</v>
      </c>
      <c r="DM866" s="254" t="n"/>
      <c r="DN866" s="95" t="n"/>
      <c r="DO866" s="95" t="n"/>
    </row>
    <row r="867" ht="13" customHeight="1">
      <c r="A867" s="203" t="inlineStr">
        <is>
          <t>QCA-02</t>
        </is>
      </c>
      <c r="B867" s="260"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61" t="inlineStr">
        <is>
          <t>532MAQCY</t>
        </is>
      </c>
      <c r="BL867" s="61" t="inlineStr">
        <is>
          <t>GMAP-SIGA</t>
        </is>
      </c>
      <c r="BM867" s="254" t="inlineStr">
        <is>
          <t>NF</t>
        </is>
      </c>
      <c r="BN867" s="266" t="inlineStr">
        <is>
          <t>Quebrada Caya</t>
        </is>
      </c>
      <c r="BO867" s="254"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4" t="n"/>
      <c r="DB867" s="254" t="n"/>
      <c r="DC867" s="254" t="n"/>
      <c r="DD867" s="254" t="n"/>
      <c r="DE867" s="254" t="n"/>
      <c r="DF867" s="254" t="n"/>
      <c r="DG867" s="254" t="n"/>
      <c r="DH867" s="254" t="n"/>
      <c r="DI867" s="254" t="n"/>
      <c r="DJ867" s="254" t="inlineStr">
        <is>
          <t>STRAL</t>
        </is>
      </c>
      <c r="DK867" s="254" t="n">
        <v>15</v>
      </c>
      <c r="DL867" s="95" t="n">
        <v>28</v>
      </c>
      <c r="DM867" s="254" t="n"/>
      <c r="DN867" s="95" t="n"/>
      <c r="DO867" s="95" t="n"/>
    </row>
    <row r="868" ht="13" customHeight="1">
      <c r="A868" s="203" t="inlineStr">
        <is>
          <t>QCA-03</t>
        </is>
      </c>
      <c r="B868" s="260"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61" t="inlineStr">
        <is>
          <t>532MAQCY</t>
        </is>
      </c>
      <c r="BL868" s="61" t="inlineStr">
        <is>
          <t>GMAP-SIGA</t>
        </is>
      </c>
      <c r="BM868" s="254" t="inlineStr">
        <is>
          <t>NF</t>
        </is>
      </c>
      <c r="BN868" s="266" t="inlineStr">
        <is>
          <t>Quebrada Caya</t>
        </is>
      </c>
      <c r="BO868" s="254"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4" t="n"/>
      <c r="DB868" s="254" t="n"/>
      <c r="DC868" s="254" t="n"/>
      <c r="DD868" s="254" t="n"/>
      <c r="DE868" s="254" t="n"/>
      <c r="DF868" s="254" t="n"/>
      <c r="DG868" s="254" t="n"/>
      <c r="DH868" s="254" t="n"/>
      <c r="DI868" s="254" t="n"/>
      <c r="DJ868" s="254" t="inlineStr">
        <is>
          <t>STRAL</t>
        </is>
      </c>
      <c r="DK868" s="254" t="n">
        <v>15</v>
      </c>
      <c r="DL868" s="95" t="n">
        <v>28</v>
      </c>
      <c r="DM868" s="254" t="n"/>
      <c r="DN868" s="95" t="n"/>
      <c r="DO868" s="95" t="n"/>
    </row>
    <row r="869" ht="14.15" customHeight="1">
      <c r="A869" s="203" t="inlineStr">
        <is>
          <t>R-A-1</t>
        </is>
      </c>
      <c r="B869" s="260"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259" t="inlineStr">
        <is>
          <t>530WLRA1</t>
        </is>
      </c>
      <c r="BL869" s="61" t="inlineStr">
        <is>
          <t>GMAP-SIGA</t>
        </is>
      </c>
      <c r="BM869" s="254" t="inlineStr">
        <is>
          <t>NF</t>
        </is>
      </c>
      <c r="BN869" s="266"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4" t="n"/>
      <c r="DB869" s="254" t="n"/>
      <c r="DC869" s="254" t="n"/>
      <c r="DD869" s="254" t="n"/>
      <c r="DE869" s="254" t="n"/>
      <c r="DF869" s="254" t="n"/>
      <c r="DG869" s="254" t="n"/>
      <c r="DH869" s="254" t="n"/>
      <c r="DI869" s="254" t="n"/>
      <c r="DJ869" s="254" t="inlineStr">
        <is>
          <t>M</t>
        </is>
      </c>
      <c r="DK869" s="254" t="n">
        <v>15</v>
      </c>
      <c r="DL869" s="95" t="n">
        <v>28</v>
      </c>
      <c r="DM869" s="254" t="n"/>
      <c r="DN869" s="95" t="n"/>
      <c r="DO869" s="95" t="n"/>
    </row>
    <row r="870" ht="11.5" customHeight="1">
      <c r="A870" s="203" t="inlineStr">
        <is>
          <t>R-B-1</t>
        </is>
      </c>
      <c r="B870" s="260"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61" t="inlineStr">
        <is>
          <t>530WLRB1</t>
        </is>
      </c>
      <c r="BL870" s="61" t="inlineStr">
        <is>
          <t>GMAP-SIGA</t>
        </is>
      </c>
      <c r="BM870" s="254" t="inlineStr">
        <is>
          <t>NF</t>
        </is>
      </c>
      <c r="BN870" s="266"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4" t="n"/>
      <c r="DC870" s="254" t="n"/>
      <c r="DD870" s="254" t="n"/>
      <c r="DE870" s="254" t="n"/>
      <c r="DF870" s="254" t="n"/>
      <c r="DG870" s="254" t="n"/>
      <c r="DH870" s="254" t="n"/>
      <c r="DI870" s="254" t="n"/>
      <c r="DJ870" s="254" t="inlineStr">
        <is>
          <t>M</t>
        </is>
      </c>
      <c r="DK870" s="254" t="n">
        <v>8</v>
      </c>
      <c r="DL870" s="95" t="n">
        <v>21</v>
      </c>
      <c r="DM870" s="254" t="n"/>
      <c r="DN870" s="95" t="n"/>
      <c r="DO870" s="95" t="n"/>
    </row>
    <row r="871" ht="12" customHeight="1">
      <c r="A871" s="203" t="inlineStr">
        <is>
          <t>R-B-2</t>
        </is>
      </c>
      <c r="B871" s="260"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61" t="inlineStr">
        <is>
          <t>530WLRB2</t>
        </is>
      </c>
      <c r="BL871" s="61" t="inlineStr">
        <is>
          <t>GMAP-SIGA</t>
        </is>
      </c>
      <c r="BM871" s="254" t="inlineStr">
        <is>
          <t>NF</t>
        </is>
      </c>
      <c r="BN871" s="266"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4" t="n"/>
      <c r="DB871" s="254" t="n"/>
      <c r="DC871" s="254" t="n"/>
      <c r="DD871" s="254" t="n"/>
      <c r="DE871" s="254" t="n"/>
      <c r="DF871" s="254" t="n"/>
      <c r="DG871" s="254" t="n"/>
      <c r="DH871" s="254" t="n"/>
      <c r="DI871" s="254" t="n"/>
      <c r="DJ871" s="254" t="inlineStr">
        <is>
          <t>M</t>
        </is>
      </c>
      <c r="DK871" s="254" t="n">
        <v>8</v>
      </c>
      <c r="DL871" s="95" t="n">
        <v>21</v>
      </c>
      <c r="DM871" s="254" t="n"/>
      <c r="DN871" s="95" t="n"/>
      <c r="DO871" s="95" t="n"/>
    </row>
    <row r="872" ht="13" customHeight="1">
      <c r="A872" s="205" t="inlineStr">
        <is>
          <t>R-B-2B</t>
        </is>
      </c>
      <c r="B872" s="260"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259" t="n"/>
      <c r="BL872" s="61" t="inlineStr">
        <is>
          <t>GMAP-SIGA</t>
        </is>
      </c>
      <c r="BM872" s="254" t="inlineStr">
        <is>
          <t>NF</t>
        </is>
      </c>
      <c r="BN872" s="266"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4" t="n"/>
      <c r="DC872" s="254" t="n"/>
      <c r="DD872" s="254" t="n"/>
      <c r="DE872" s="254" t="n"/>
      <c r="DF872" s="254" t="n"/>
      <c r="DG872" s="254" t="n"/>
      <c r="DH872" s="254" t="n"/>
      <c r="DI872" s="254" t="n"/>
      <c r="DJ872" s="254" t="inlineStr">
        <is>
          <t>M</t>
        </is>
      </c>
      <c r="DK872" s="254" t="n">
        <v>15</v>
      </c>
      <c r="DL872" s="95" t="n">
        <v>28</v>
      </c>
      <c r="DM872" s="254" t="n"/>
      <c r="DN872" s="95" t="n"/>
      <c r="DO872" s="95" t="n"/>
    </row>
    <row r="873" ht="13" customHeight="1">
      <c r="A873" s="215" t="inlineStr">
        <is>
          <t>R-C-1</t>
        </is>
      </c>
      <c r="B873" s="260"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259" t="inlineStr">
        <is>
          <t>530WLRC1</t>
        </is>
      </c>
      <c r="BL873" s="61" t="inlineStr">
        <is>
          <t>GMAP-SIGA</t>
        </is>
      </c>
      <c r="BM873" s="254" t="inlineStr">
        <is>
          <t>NF</t>
        </is>
      </c>
      <c r="BN873" s="266"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4" t="n"/>
      <c r="DB873" s="254" t="n"/>
      <c r="DC873" s="254" t="n"/>
      <c r="DD873" s="254" t="n"/>
      <c r="DE873" s="254" t="n"/>
      <c r="DF873" s="254" t="n"/>
      <c r="DG873" s="254" t="n"/>
      <c r="DH873" s="254" t="n"/>
      <c r="DI873" s="254" t="n"/>
      <c r="DJ873" s="168" t="inlineStr">
        <is>
          <t>M</t>
        </is>
      </c>
      <c r="DK873" s="254" t="n">
        <v>8</v>
      </c>
      <c r="DL873" s="95" t="n">
        <v>21</v>
      </c>
      <c r="DM873" s="95" t="n"/>
      <c r="DN873" s="95" t="n"/>
      <c r="DO873" s="95" t="n"/>
      <c r="DP873" s="94" t="n"/>
      <c r="DQ873" s="94" t="n"/>
      <c r="DR873" s="94" t="n"/>
    </row>
    <row r="874" ht="13" customHeight="1">
      <c r="A874" s="203" t="inlineStr">
        <is>
          <t>R-C-2</t>
        </is>
      </c>
      <c r="B874" s="260"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4" t="inlineStr">
        <is>
          <t>NF</t>
        </is>
      </c>
      <c r="BN874" s="266"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4" t="n"/>
      <c r="DB874" s="254" t="n"/>
      <c r="DC874" s="254" t="n"/>
      <c r="DD874" s="254" t="n"/>
      <c r="DE874" s="254" t="n"/>
      <c r="DF874" s="254" t="n"/>
      <c r="DG874" s="254" t="n"/>
      <c r="DH874" s="254" t="n"/>
      <c r="DI874" s="254" t="n"/>
      <c r="DJ874" s="168" t="inlineStr">
        <is>
          <t>M</t>
        </is>
      </c>
      <c r="DK874" s="254" t="n">
        <v>8</v>
      </c>
      <c r="DL874" s="95" t="n">
        <v>21</v>
      </c>
      <c r="DM874" s="254" t="n"/>
      <c r="DN874" s="95" t="n"/>
      <c r="DO874" s="95" t="n"/>
    </row>
    <row r="875" ht="13" customHeight="1">
      <c r="A875" s="203" t="inlineStr">
        <is>
          <t>R-C-3B</t>
        </is>
      </c>
      <c r="B875" s="260"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4" t="inlineStr">
        <is>
          <t>NF</t>
        </is>
      </c>
      <c r="BN875" s="266"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4" t="n"/>
      <c r="DB875" s="254" t="n"/>
      <c r="DC875" s="254" t="n"/>
      <c r="DD875" s="254" t="n"/>
      <c r="DE875" s="254" t="n"/>
      <c r="DF875" s="254" t="n"/>
      <c r="DG875" s="254" t="n"/>
      <c r="DH875" s="254" t="n"/>
      <c r="DI875" s="254" t="n"/>
      <c r="DJ875" s="168" t="inlineStr">
        <is>
          <t>M</t>
        </is>
      </c>
      <c r="DK875" s="254" t="n">
        <v>8</v>
      </c>
      <c r="DL875" s="95" t="n">
        <v>21</v>
      </c>
      <c r="DM875" s="254" t="n"/>
      <c r="DN875" s="95" t="n"/>
      <c r="DO875" s="95" t="n"/>
    </row>
    <row r="876" ht="13" customHeight="1">
      <c r="A876" s="203" t="inlineStr">
        <is>
          <t>R-D-1</t>
        </is>
      </c>
      <c r="B876" s="260"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4" t="inlineStr">
        <is>
          <t>NF</t>
        </is>
      </c>
      <c r="BN876" s="266" t="inlineStr">
        <is>
          <t>Coposa Norte</t>
        </is>
      </c>
      <c r="BO876" s="168" t="inlineStr">
        <is>
          <t>SI / PAT FRONTERA</t>
        </is>
      </c>
      <c r="BP876" s="254"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4" t="n"/>
      <c r="DB876" s="254" t="n"/>
      <c r="DC876" s="254" t="n"/>
      <c r="DD876" s="254" t="n"/>
      <c r="DE876" s="254" t="n"/>
      <c r="DF876" s="254" t="n"/>
      <c r="DG876" s="254" t="n"/>
      <c r="DH876" s="254" t="n"/>
      <c r="DI876" s="254" t="n"/>
      <c r="DJ876" s="254" t="n"/>
      <c r="DK876" s="254" t="n"/>
      <c r="DL876" s="95" t="n"/>
      <c r="DM876" s="254" t="n"/>
      <c r="DN876" s="95" t="n"/>
      <c r="DO876" s="95" t="n"/>
    </row>
    <row r="877" ht="13" customHeight="1">
      <c r="A877" s="203" t="inlineStr">
        <is>
          <t>R-D-2</t>
        </is>
      </c>
      <c r="B877" s="260"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4" t="inlineStr">
        <is>
          <t>NF</t>
        </is>
      </c>
      <c r="BN877" s="266" t="inlineStr">
        <is>
          <t>Coposa Norte</t>
        </is>
      </c>
      <c r="BO877" s="168" t="inlineStr">
        <is>
          <t>SI / PAT FRONTERA</t>
        </is>
      </c>
      <c r="BP877" s="254"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4" t="n"/>
      <c r="DB877" s="254" t="n"/>
      <c r="DC877" s="254" t="n"/>
      <c r="DD877" s="254" t="n"/>
      <c r="DE877" s="254" t="n"/>
      <c r="DF877" s="254" t="n"/>
      <c r="DG877" s="254" t="n"/>
      <c r="DH877" s="254" t="n"/>
      <c r="DI877" s="254" t="n"/>
      <c r="DJ877" s="254" t="inlineStr">
        <is>
          <t>S</t>
        </is>
      </c>
      <c r="DK877" s="254" t="n"/>
      <c r="DL877" s="95" t="n"/>
      <c r="DM877" s="254" t="n"/>
      <c r="DN877" s="95" t="n"/>
      <c r="DO877" s="95" t="n"/>
    </row>
    <row r="878" ht="12.65" customHeight="1">
      <c r="A878" s="203" t="inlineStr">
        <is>
          <t>R-PORT-1</t>
        </is>
      </c>
      <c r="B878" s="260"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4" t="inlineStr">
        <is>
          <t>NF</t>
        </is>
      </c>
      <c r="BN878" s="266"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4" t="n"/>
      <c r="DB878" s="254" t="n"/>
      <c r="DC878" s="254" t="n"/>
      <c r="DD878" s="254" t="n"/>
      <c r="DE878" s="254" t="n"/>
      <c r="DF878" s="254" t="n"/>
      <c r="DG878" s="254" t="n"/>
      <c r="DH878" s="254" t="n"/>
      <c r="DI878" s="254" t="n"/>
      <c r="DJ878" s="254" t="inlineStr">
        <is>
          <t>S</t>
        </is>
      </c>
      <c r="DK878" s="254" t="n"/>
      <c r="DL878" s="95" t="n"/>
      <c r="DM878" s="254" t="n"/>
      <c r="DN878" s="95" t="n"/>
      <c r="DO878" s="95" t="n"/>
    </row>
    <row r="879" ht="13" customHeight="1">
      <c r="A879" s="203" t="inlineStr">
        <is>
          <t>REC-01</t>
        </is>
      </c>
      <c r="B879" s="260"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259" t="inlineStr">
        <is>
          <t>532MAREC01</t>
        </is>
      </c>
      <c r="BL879" s="61" t="inlineStr">
        <is>
          <t>GMAP-SIGA</t>
        </is>
      </c>
      <c r="BM879" s="254" t="inlineStr">
        <is>
          <t>NF</t>
        </is>
      </c>
      <c r="BN879" s="266" t="inlineStr">
        <is>
          <t>Coposa Centro</t>
        </is>
      </c>
      <c r="BO879" s="254"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4" t="n"/>
      <c r="DB879" s="254" t="n"/>
      <c r="DC879" s="254" t="n"/>
      <c r="DD879" s="254" t="n"/>
      <c r="DE879" s="254" t="n"/>
      <c r="DF879" s="254" t="n"/>
      <c r="DG879" s="254" t="n"/>
      <c r="DH879" s="254" t="n"/>
      <c r="DI879" s="254" t="n"/>
      <c r="DJ879" s="254" t="inlineStr">
        <is>
          <t>M</t>
        </is>
      </c>
      <c r="DK879" s="254" t="n">
        <v>22</v>
      </c>
      <c r="DL879" s="95" t="n">
        <v>28</v>
      </c>
      <c r="DM879" s="254" t="n"/>
      <c r="DN879" s="95" t="n"/>
      <c r="DO879" s="95" t="n"/>
    </row>
    <row r="880" ht="13" customHeight="1">
      <c r="A880" s="203" t="inlineStr">
        <is>
          <t>RMA01</t>
        </is>
      </c>
      <c r="B880" s="260"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61" t="inlineStr">
        <is>
          <t>532MARMA01</t>
        </is>
      </c>
      <c r="BL880" s="61" t="inlineStr">
        <is>
          <t>GMAP-SIGA</t>
        </is>
      </c>
      <c r="BM880" s="254" t="inlineStr">
        <is>
          <t>NF</t>
        </is>
      </c>
      <c r="BN880" s="266" t="inlineStr">
        <is>
          <t>Huinquintipa</t>
        </is>
      </c>
      <c r="BO880" s="254"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4" t="n"/>
      <c r="DB880" s="254" t="n"/>
      <c r="DC880" s="254" t="n"/>
      <c r="DD880" s="254" t="n"/>
      <c r="DE880" s="254" t="n"/>
      <c r="DF880" s="254" t="n"/>
      <c r="DG880" s="254" t="n"/>
      <c r="DH880" s="254" t="n"/>
      <c r="DI880" s="254" t="n"/>
      <c r="DJ880" s="254" t="inlineStr">
        <is>
          <t>B</t>
        </is>
      </c>
      <c r="DK880" s="254" t="n">
        <v>22</v>
      </c>
      <c r="DL880" s="95" t="n">
        <v>28</v>
      </c>
      <c r="DM880" s="254" t="n"/>
      <c r="DN880" s="95" t="n"/>
      <c r="DO880" s="95" t="n"/>
    </row>
    <row r="881" ht="13" customHeight="1">
      <c r="A881" s="204" t="inlineStr">
        <is>
          <t>RPEC-02A NUEVO</t>
        </is>
      </c>
      <c r="B881" s="260" t="n"/>
      <c r="C881" s="254"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259" t="n"/>
      <c r="BL881" s="7" t="inlineStr">
        <is>
          <t>GTAM</t>
        </is>
      </c>
      <c r="BM881" s="254" t="inlineStr">
        <is>
          <t>NF</t>
        </is>
      </c>
      <c r="BN881" s="266" t="inlineStr">
        <is>
          <t>Coposa sur</t>
        </is>
      </c>
      <c r="BO881" s="254" t="inlineStr">
        <is>
          <t>SI</t>
        </is>
      </c>
      <c r="BP881" s="106" t="inlineStr">
        <is>
          <t>RPEC-02A COPOSA SUR/NF</t>
        </is>
      </c>
      <c r="BQ881" s="106">
        <f>VLOOKUP(BP881,[1]AGUA!$1:$1048576,2,FALSE)</f>
        <v/>
      </c>
      <c r="BR881" s="106">
        <f>VLOOKUP(BP881,[1]AGUA!$1:$1048576,6,FALSE)</f>
        <v/>
      </c>
      <c r="BS881" s="106">
        <f>VLOOKUP(BP881,[1]AGUA!$1:$1048576,7,FALSE)</f>
        <v/>
      </c>
      <c r="BT881" s="106" t="n"/>
      <c r="BU881" s="253"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4" t="n"/>
      <c r="DB881" s="254" t="n"/>
      <c r="DC881" s="254" t="n"/>
      <c r="DD881" s="254" t="n"/>
      <c r="DE881" s="254" t="n"/>
      <c r="DF881" s="254" t="n"/>
      <c r="DG881" s="254" t="n"/>
      <c r="DH881" s="254" t="n"/>
      <c r="DI881" s="254" t="n"/>
      <c r="DJ881" s="254" t="inlineStr">
        <is>
          <t>M</t>
        </is>
      </c>
      <c r="DK881" s="254" t="n">
        <v>8</v>
      </c>
      <c r="DL881" s="95" t="n">
        <v>14</v>
      </c>
      <c r="DM881" s="254" t="n"/>
      <c r="DN881" s="95" t="n"/>
      <c r="DO881" s="95" t="n"/>
    </row>
    <row r="882" ht="13" customHeight="1">
      <c r="A882" s="204" t="inlineStr">
        <is>
          <t>RPEC-02A NUEVO</t>
        </is>
      </c>
      <c r="B882" s="255" t="n"/>
      <c r="C882" s="255"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255" t="n"/>
      <c r="BL882" s="7" t="inlineStr">
        <is>
          <t>GTAM</t>
        </is>
      </c>
      <c r="BM882" s="254" t="inlineStr">
        <is>
          <t>ASUB</t>
        </is>
      </c>
      <c r="BN882" s="266" t="inlineStr">
        <is>
          <t>Coposa sur</t>
        </is>
      </c>
      <c r="BO882" s="254" t="inlineStr">
        <is>
          <t>SI</t>
        </is>
      </c>
      <c r="BP882" s="106" t="inlineStr">
        <is>
          <t>RPEC-02A COPOSA SUR/ASUB</t>
        </is>
      </c>
      <c r="BQ882" s="106">
        <f>VLOOKUP(BP882,[1]AGUA!$1:$1048576,2,FALSE)</f>
        <v/>
      </c>
      <c r="BR882" s="106">
        <f>VLOOKUP(BP882,[1]AGUA!$1:$1048576,6,FALSE)</f>
        <v/>
      </c>
      <c r="BS882" s="106">
        <f>VLOOKUP(BP882,[1]AGUA!$1:$1048576,7,FALSE)</f>
        <v/>
      </c>
      <c r="BT882" s="106" t="n"/>
      <c r="BU882" s="251"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4" t="n"/>
      <c r="DB882" s="254" t="n"/>
      <c r="DC882" s="254" t="n"/>
      <c r="DD882" s="254" t="n"/>
      <c r="DE882" s="254" t="n"/>
      <c r="DF882" s="254" t="n"/>
      <c r="DG882" s="254" t="n"/>
      <c r="DH882" s="254" t="n"/>
      <c r="DI882" s="254" t="n"/>
      <c r="DJ882" s="254" t="n"/>
      <c r="DK882" s="254" t="n"/>
      <c r="DL882" s="95" t="n"/>
      <c r="DM882" s="254" t="inlineStr">
        <is>
          <t>M</t>
        </is>
      </c>
      <c r="DN882" s="95" t="n">
        <v>8</v>
      </c>
      <c r="DO882" s="95" t="n">
        <v>14</v>
      </c>
    </row>
    <row r="883" ht="13" customHeight="1">
      <c r="A883" s="204" t="inlineStr">
        <is>
          <t>RPW-01</t>
        </is>
      </c>
      <c r="B883" s="260" t="inlineStr">
        <is>
          <t>RPW-1 LIXIVIACIÓN</t>
        </is>
      </c>
      <c r="C883" s="254"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259" t="inlineStr">
        <is>
          <t>531PP004</t>
        </is>
      </c>
      <c r="BL883" s="7" t="inlineStr">
        <is>
          <t>GTAM/GGAYC</t>
        </is>
      </c>
      <c r="BM883" s="254" t="inlineStr">
        <is>
          <t>NF</t>
        </is>
      </c>
      <c r="BN883" s="266" t="inlineStr">
        <is>
          <t>Tranque</t>
        </is>
      </c>
      <c r="BO883" s="254"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4" t="n"/>
      <c r="DB883" s="254" t="n"/>
      <c r="DC883" s="254" t="n"/>
      <c r="DD883" s="254" t="n"/>
      <c r="DE883" s="254" t="n"/>
      <c r="DF883" s="254" t="n"/>
      <c r="DG883" s="254" t="n"/>
      <c r="DH883" s="254" t="n"/>
      <c r="DI883" s="254" t="n"/>
      <c r="DJ883" s="254" t="inlineStr">
        <is>
          <t>M</t>
        </is>
      </c>
      <c r="DK883" s="254" t="n">
        <v>1</v>
      </c>
      <c r="DL883" s="95" t="n">
        <v>7</v>
      </c>
      <c r="DM883" s="254" t="n"/>
      <c r="DN883" s="95" t="n"/>
      <c r="DO883" s="95" t="n"/>
    </row>
    <row r="884" ht="13" customHeight="1">
      <c r="A884" s="204" t="inlineStr">
        <is>
          <t>RPW-01</t>
        </is>
      </c>
      <c r="B884" s="255" t="n"/>
      <c r="C884" s="255"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255" t="n"/>
      <c r="BL884" s="7" t="inlineStr">
        <is>
          <t>GTAM</t>
        </is>
      </c>
      <c r="BM884" s="254" t="inlineStr">
        <is>
          <t>ASUB</t>
        </is>
      </c>
      <c r="BN884" s="266" t="inlineStr">
        <is>
          <t>Tranque</t>
        </is>
      </c>
      <c r="BO884" s="254"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4" t="n"/>
      <c r="DB884" s="254" t="n"/>
      <c r="DC884" s="254" t="n"/>
      <c r="DD884" s="254" t="n"/>
      <c r="DE884" s="254" t="n"/>
      <c r="DF884" s="254" t="n"/>
      <c r="DG884" s="254" t="n"/>
      <c r="DH884" s="254" t="n"/>
      <c r="DI884" s="254" t="n"/>
      <c r="DJ884" s="254" t="n"/>
      <c r="DK884" s="254" t="n"/>
      <c r="DL884" s="95" t="n"/>
      <c r="DM884" s="254" t="inlineStr">
        <is>
          <t>T-A</t>
        </is>
      </c>
      <c r="DN884" s="95" t="n">
        <v>1</v>
      </c>
      <c r="DO884" s="95" t="n">
        <v>7</v>
      </c>
    </row>
    <row r="885" ht="13" customHeight="1">
      <c r="A885" s="204" t="inlineStr">
        <is>
          <t>RPW-02</t>
        </is>
      </c>
      <c r="B885" s="260" t="inlineStr">
        <is>
          <t>RPW-2  TRANQUE</t>
        </is>
      </c>
      <c r="C885" s="254"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259" t="inlineStr">
        <is>
          <t>531WW007</t>
        </is>
      </c>
      <c r="BL885" s="7" t="inlineStr">
        <is>
          <t>GTAM/GGAYC</t>
        </is>
      </c>
      <c r="BM885" s="254" t="inlineStr">
        <is>
          <t>NF</t>
        </is>
      </c>
      <c r="BN885" s="266" t="inlineStr">
        <is>
          <t>Tranque</t>
        </is>
      </c>
      <c r="BO885" s="254"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4" t="n"/>
      <c r="DB885" s="254" t="n"/>
      <c r="DC885" s="254" t="n"/>
      <c r="DD885" s="254" t="n"/>
      <c r="DE885" s="254" t="n"/>
      <c r="DF885" s="254" t="n"/>
      <c r="DG885" s="254" t="n"/>
      <c r="DH885" s="254" t="n"/>
      <c r="DI885" s="254" t="n"/>
      <c r="DJ885" s="254" t="inlineStr">
        <is>
          <t>M</t>
        </is>
      </c>
      <c r="DK885" s="254" t="n">
        <v>1</v>
      </c>
      <c r="DL885" s="95" t="n">
        <v>7</v>
      </c>
      <c r="DM885" s="254" t="n"/>
      <c r="DN885" s="95" t="n"/>
      <c r="DO885" s="95" t="n"/>
    </row>
    <row r="886" ht="13" customHeight="1">
      <c r="A886" s="204" t="inlineStr">
        <is>
          <t>RPW-02</t>
        </is>
      </c>
      <c r="B886" s="255" t="n"/>
      <c r="C886" s="255"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255" t="n"/>
      <c r="BL886" s="7" t="inlineStr">
        <is>
          <t>GTAM</t>
        </is>
      </c>
      <c r="BM886" s="254" t="inlineStr">
        <is>
          <t>ASUB</t>
        </is>
      </c>
      <c r="BN886" s="266" t="inlineStr">
        <is>
          <t>Tranque</t>
        </is>
      </c>
      <c r="BO886" s="254"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4" t="n"/>
      <c r="DB886" s="254" t="n"/>
      <c r="DC886" s="254" t="n"/>
      <c r="DD886" s="254" t="n"/>
      <c r="DE886" s="254" t="n"/>
      <c r="DF886" s="254" t="n"/>
      <c r="DG886" s="254" t="n"/>
      <c r="DH886" s="254" t="n"/>
      <c r="DI886" s="254" t="n"/>
      <c r="DJ886" s="254" t="n"/>
      <c r="DK886" s="254" t="n"/>
      <c r="DL886" s="95" t="n"/>
      <c r="DM886" s="254" t="inlineStr">
        <is>
          <t>T</t>
        </is>
      </c>
      <c r="DN886" s="95" t="n">
        <v>1</v>
      </c>
      <c r="DO886" s="95" t="n">
        <v>7</v>
      </c>
    </row>
    <row r="887" ht="13" customHeight="1">
      <c r="A887" s="204" t="inlineStr">
        <is>
          <t>RPW-03B</t>
        </is>
      </c>
      <c r="B887" s="260" t="inlineStr">
        <is>
          <t>RPW-3 LIXIVIACIÓN</t>
        </is>
      </c>
      <c r="C887" s="254"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259" t="inlineStr">
        <is>
          <t>531PP002</t>
        </is>
      </c>
      <c r="BL887" s="7" t="inlineStr">
        <is>
          <t>GTAM/GGAYC</t>
        </is>
      </c>
      <c r="BM887" s="254" t="inlineStr">
        <is>
          <t>NF</t>
        </is>
      </c>
      <c r="BN887" s="266" t="inlineStr">
        <is>
          <t>Tranque</t>
        </is>
      </c>
      <c r="BO887" s="254"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4" t="n"/>
      <c r="DB887" s="254" t="n"/>
      <c r="DC887" s="254" t="n"/>
      <c r="DD887" s="254" t="n"/>
      <c r="DE887" s="254" t="n"/>
      <c r="DF887" s="254" t="n"/>
      <c r="DG887" s="254" t="n"/>
      <c r="DH887" s="254" t="n"/>
      <c r="DI887" s="254" t="n"/>
      <c r="DJ887" s="254" t="inlineStr">
        <is>
          <t>M</t>
        </is>
      </c>
      <c r="DK887" s="254" t="n">
        <v>1</v>
      </c>
      <c r="DL887" s="95" t="n">
        <v>7</v>
      </c>
      <c r="DM887" s="254" t="n"/>
      <c r="DN887" s="95" t="n"/>
      <c r="DO887" s="95" t="n"/>
    </row>
    <row r="888" ht="13" customHeight="1">
      <c r="A888" s="204" t="inlineStr">
        <is>
          <t>RPW-03B</t>
        </is>
      </c>
      <c r="B888" s="255" t="n"/>
      <c r="C888" s="255"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255" t="n"/>
      <c r="BL888" s="7" t="inlineStr">
        <is>
          <t>GTAM</t>
        </is>
      </c>
      <c r="BM888" s="254" t="inlineStr">
        <is>
          <t>ASUB</t>
        </is>
      </c>
      <c r="BN888" s="266" t="inlineStr">
        <is>
          <t>Tranque</t>
        </is>
      </c>
      <c r="BO888" s="254"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4" t="n"/>
      <c r="DB888" s="254" t="n"/>
      <c r="DC888" s="254" t="n"/>
      <c r="DD888" s="254" t="n"/>
      <c r="DE888" s="254" t="n"/>
      <c r="DF888" s="254" t="n"/>
      <c r="DG888" s="254" t="n"/>
      <c r="DH888" s="254" t="n"/>
      <c r="DI888" s="254" t="n"/>
      <c r="DJ888" s="254" t="n"/>
      <c r="DK888" s="254" t="n"/>
      <c r="DL888" s="95" t="n"/>
      <c r="DM888" s="254" t="inlineStr">
        <is>
          <t>T-A</t>
        </is>
      </c>
      <c r="DN888" s="95" t="n">
        <v>1</v>
      </c>
      <c r="DO888" s="95" t="n">
        <v>7</v>
      </c>
    </row>
    <row r="889" ht="13" customHeight="1">
      <c r="A889" s="204" t="inlineStr">
        <is>
          <t>RPW-04</t>
        </is>
      </c>
      <c r="B889" s="260" t="inlineStr">
        <is>
          <t>RPW-4 LIXIVIACIÓN</t>
        </is>
      </c>
      <c r="C889" s="254"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259" t="inlineStr">
        <is>
          <t>531PP003</t>
        </is>
      </c>
      <c r="BL889" s="7" t="inlineStr">
        <is>
          <t>GTAM/GGAYC</t>
        </is>
      </c>
      <c r="BM889" s="254" t="inlineStr">
        <is>
          <t>NF</t>
        </is>
      </c>
      <c r="BN889" s="266" t="inlineStr">
        <is>
          <t>Tranque</t>
        </is>
      </c>
      <c r="BO889" s="254"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4" t="n"/>
      <c r="DB889" s="254" t="n"/>
      <c r="DC889" s="254" t="n"/>
      <c r="DD889" s="254" t="n"/>
      <c r="DE889" s="254" t="n"/>
      <c r="DF889" s="254" t="n"/>
      <c r="DG889" s="254" t="n"/>
      <c r="DH889" s="254" t="n"/>
      <c r="DI889" s="254" t="n"/>
      <c r="DJ889" s="254" t="inlineStr">
        <is>
          <t>M</t>
        </is>
      </c>
      <c r="DK889" s="254" t="n">
        <v>1</v>
      </c>
      <c r="DL889" s="95" t="n">
        <v>7</v>
      </c>
      <c r="DM889" s="254" t="n"/>
      <c r="DN889" s="95" t="n"/>
      <c r="DO889" s="95" t="n"/>
    </row>
    <row r="890" ht="13" customHeight="1">
      <c r="A890" s="204" t="inlineStr">
        <is>
          <t>RPW-04</t>
        </is>
      </c>
      <c r="B890" s="255" t="n"/>
      <c r="C890" s="255"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255" t="n"/>
      <c r="BL890" s="7" t="inlineStr">
        <is>
          <t>GTAM</t>
        </is>
      </c>
      <c r="BM890" s="254" t="inlineStr">
        <is>
          <t>ASUB</t>
        </is>
      </c>
      <c r="BN890" s="266" t="inlineStr">
        <is>
          <t>Tranque</t>
        </is>
      </c>
      <c r="BO890" s="254"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4" t="n"/>
      <c r="DB890" s="254" t="n"/>
      <c r="DC890" s="254" t="n"/>
      <c r="DD890" s="254" t="n"/>
      <c r="DE890" s="254" t="n"/>
      <c r="DF890" s="254" t="n"/>
      <c r="DG890" s="254" t="n"/>
      <c r="DH890" s="254" t="n"/>
      <c r="DI890" s="254" t="n"/>
      <c r="DJ890" s="254" t="n"/>
      <c r="DK890" s="254" t="n"/>
      <c r="DL890" s="95" t="n"/>
      <c r="DM890" s="254" t="inlineStr">
        <is>
          <t>T-A</t>
        </is>
      </c>
      <c r="DN890" s="95" t="n">
        <v>1</v>
      </c>
      <c r="DO890" s="95" t="n">
        <v>7</v>
      </c>
    </row>
    <row r="891" ht="13" customHeight="1">
      <c r="A891" s="203" t="inlineStr">
        <is>
          <t>RW-1</t>
        </is>
      </c>
      <c r="B891" s="260"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61" t="inlineStr">
        <is>
          <t>532MARW</t>
        </is>
      </c>
      <c r="BL891" s="61" t="inlineStr">
        <is>
          <t>LIXIVIACIÓN</t>
        </is>
      </c>
      <c r="BM891" s="254" t="inlineStr">
        <is>
          <t>NF</t>
        </is>
      </c>
      <c r="BN891" s="266" t="inlineStr">
        <is>
          <t>Lixiviación</t>
        </is>
      </c>
      <c r="BO891" s="254"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4" t="n"/>
      <c r="DB891" s="254" t="n"/>
      <c r="DC891" s="254" t="n"/>
      <c r="DD891" s="254" t="n"/>
      <c r="DE891" s="254" t="n"/>
      <c r="DF891" s="254" t="n"/>
      <c r="DG891" s="254" t="n"/>
      <c r="DH891" s="254" t="n"/>
      <c r="DI891" s="254" t="n"/>
      <c r="DJ891" s="254" t="inlineStr">
        <is>
          <t>M</t>
        </is>
      </c>
      <c r="DK891" s="254" t="n">
        <v>22</v>
      </c>
      <c r="DL891" s="95" t="n">
        <v>28</v>
      </c>
      <c r="DM891" s="254" t="n"/>
      <c r="DN891" s="95" t="n"/>
      <c r="DO891" s="95" t="n"/>
    </row>
    <row r="892" ht="13" customHeight="1">
      <c r="A892" s="203" t="inlineStr">
        <is>
          <t>RW-2</t>
        </is>
      </c>
      <c r="B892" s="260"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61" t="inlineStr">
        <is>
          <t>532MARW</t>
        </is>
      </c>
      <c r="BL892" s="61" t="inlineStr">
        <is>
          <t>LIXIVIACIÓN</t>
        </is>
      </c>
      <c r="BM892" s="254" t="inlineStr">
        <is>
          <t>NF</t>
        </is>
      </c>
      <c r="BN892" s="266" t="inlineStr">
        <is>
          <t>Lixiviación</t>
        </is>
      </c>
      <c r="BO892" s="254"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4" t="n"/>
      <c r="DB892" s="254" t="n"/>
      <c r="DC892" s="254" t="n"/>
      <c r="DD892" s="254" t="n"/>
      <c r="DE892" s="254" t="n"/>
      <c r="DF892" s="254" t="n"/>
      <c r="DG892" s="254" t="n"/>
      <c r="DH892" s="254" t="n"/>
      <c r="DI892" s="254" t="n"/>
      <c r="DJ892" s="254" t="inlineStr">
        <is>
          <t>M</t>
        </is>
      </c>
      <c r="DK892" s="254" t="n">
        <v>22</v>
      </c>
      <c r="DL892" s="95" t="n">
        <v>28</v>
      </c>
      <c r="DM892" s="254" t="n"/>
      <c r="DN892" s="95" t="n"/>
      <c r="DO892" s="95" t="n"/>
    </row>
    <row r="893" ht="13" customHeight="1">
      <c r="A893" s="203" t="inlineStr">
        <is>
          <t>RW-3</t>
        </is>
      </c>
      <c r="B893" s="260"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61" t="inlineStr">
        <is>
          <t>532MARW</t>
        </is>
      </c>
      <c r="BL893" s="61" t="inlineStr">
        <is>
          <t>LIXIVIACIÓN</t>
        </is>
      </c>
      <c r="BM893" s="254" t="inlineStr">
        <is>
          <t>NF</t>
        </is>
      </c>
      <c r="BN893" s="266" t="inlineStr">
        <is>
          <t>Lixiviación</t>
        </is>
      </c>
      <c r="BO893" s="254"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4" t="n"/>
      <c r="DB893" s="254" t="n"/>
      <c r="DC893" s="254" t="n"/>
      <c r="DD893" s="254" t="n"/>
      <c r="DE893" s="254" t="n"/>
      <c r="DF893" s="254" t="n"/>
      <c r="DG893" s="254" t="n"/>
      <c r="DH893" s="254" t="n"/>
      <c r="DI893" s="254" t="n"/>
      <c r="DJ893" s="254" t="inlineStr">
        <is>
          <t>M</t>
        </is>
      </c>
      <c r="DK893" s="254" t="n">
        <v>22</v>
      </c>
      <c r="DL893" s="95" t="n">
        <v>28</v>
      </c>
      <c r="DM893" s="254" t="n"/>
      <c r="DN893" s="95" t="n"/>
      <c r="DO893" s="95" t="n"/>
    </row>
    <row r="894" ht="13" customHeight="1">
      <c r="A894" s="203" t="inlineStr">
        <is>
          <t>RW-4</t>
        </is>
      </c>
      <c r="B894" s="260"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61" t="inlineStr">
        <is>
          <t>532MARW</t>
        </is>
      </c>
      <c r="BL894" s="61" t="inlineStr">
        <is>
          <t>LIXIVIACIÓN</t>
        </is>
      </c>
      <c r="BM894" s="254" t="inlineStr">
        <is>
          <t>NF</t>
        </is>
      </c>
      <c r="BN894" s="266" t="inlineStr">
        <is>
          <t>Lixiviación</t>
        </is>
      </c>
      <c r="BO894" s="254"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4" t="n"/>
      <c r="DB894" s="254" t="n"/>
      <c r="DC894" s="254" t="n"/>
      <c r="DD894" s="254" t="n"/>
      <c r="DE894" s="254" t="n"/>
      <c r="DF894" s="254" t="n"/>
      <c r="DG894" s="254" t="n"/>
      <c r="DH894" s="254" t="n"/>
      <c r="DI894" s="254" t="n"/>
      <c r="DJ894" s="254" t="inlineStr">
        <is>
          <t>M</t>
        </is>
      </c>
      <c r="DK894" s="254" t="n">
        <v>22</v>
      </c>
      <c r="DL894" s="95" t="n">
        <v>28</v>
      </c>
      <c r="DM894" s="254" t="n"/>
      <c r="DN894" s="95" t="n"/>
      <c r="DO894" s="95" t="n"/>
    </row>
    <row r="895" ht="13" customHeight="1">
      <c r="A895" s="203" t="inlineStr">
        <is>
          <t>RW-5</t>
        </is>
      </c>
      <c r="B895" s="260"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61" t="inlineStr">
        <is>
          <t>532MARW</t>
        </is>
      </c>
      <c r="BL895" s="61" t="inlineStr">
        <is>
          <t>LIXIVIACIÓN</t>
        </is>
      </c>
      <c r="BM895" s="254" t="inlineStr">
        <is>
          <t>NF</t>
        </is>
      </c>
      <c r="BN895" s="266" t="inlineStr">
        <is>
          <t>Lixiviación</t>
        </is>
      </c>
      <c r="BO895" s="254"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4" t="n"/>
      <c r="DB895" s="254" t="n"/>
      <c r="DC895" s="254" t="n"/>
      <c r="DD895" s="254" t="n"/>
      <c r="DE895" s="254" t="n"/>
      <c r="DF895" s="254" t="n"/>
      <c r="DG895" s="254" t="n"/>
      <c r="DH895" s="254" t="n"/>
      <c r="DI895" s="254" t="n"/>
      <c r="DJ895" s="254" t="inlineStr">
        <is>
          <t>M</t>
        </is>
      </c>
      <c r="DK895" s="254" t="n">
        <v>22</v>
      </c>
      <c r="DL895" s="95" t="n">
        <v>28</v>
      </c>
      <c r="DM895" s="254" t="n"/>
      <c r="DN895" s="95" t="n"/>
      <c r="DO895" s="95" t="n"/>
    </row>
    <row r="896" ht="13" customHeight="1">
      <c r="A896" s="205" t="inlineStr">
        <is>
          <t>SCE-01</t>
        </is>
      </c>
      <c r="B896" s="260"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61" t="inlineStr">
        <is>
          <t>532MASCE</t>
        </is>
      </c>
      <c r="BL896" s="61" t="inlineStr">
        <is>
          <t>GMAP-SIGA</t>
        </is>
      </c>
      <c r="BM896" s="254" t="inlineStr">
        <is>
          <t>NF</t>
        </is>
      </c>
      <c r="BN896" s="266" t="inlineStr">
        <is>
          <t>Jachucoposa</t>
        </is>
      </c>
      <c r="BO896" s="254"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4" t="n"/>
      <c r="DC896" s="254" t="n"/>
      <c r="DD896" s="254" t="n"/>
      <c r="DE896" s="254" t="n"/>
      <c r="DF896" s="254" t="n"/>
      <c r="DG896" s="254" t="n"/>
      <c r="DH896" s="254" t="n"/>
      <c r="DI896" s="254" t="n"/>
      <c r="DJ896" s="254" t="inlineStr">
        <is>
          <t>M</t>
        </is>
      </c>
      <c r="DK896" s="254" t="n">
        <v>15</v>
      </c>
      <c r="DL896" s="95" t="n">
        <v>28</v>
      </c>
      <c r="DM896" s="254" t="n"/>
      <c r="DN896" s="95" t="n"/>
      <c r="DO896" s="95" t="n"/>
    </row>
    <row r="897" ht="12.65" customHeight="1">
      <c r="A897" s="205" t="inlineStr">
        <is>
          <t>SCE-02</t>
        </is>
      </c>
      <c r="B897" s="260"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61" t="inlineStr">
        <is>
          <t>532MASCE</t>
        </is>
      </c>
      <c r="BL897" s="61" t="inlineStr">
        <is>
          <t>GMAP-SIGA</t>
        </is>
      </c>
      <c r="BM897" s="254" t="inlineStr">
        <is>
          <t>NF</t>
        </is>
      </c>
      <c r="BN897" s="266" t="inlineStr">
        <is>
          <t>Jachucoposa</t>
        </is>
      </c>
      <c r="BO897" s="254"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4" t="n"/>
      <c r="DC897" s="254" t="n"/>
      <c r="DD897" s="254" t="n"/>
      <c r="DE897" s="254" t="n"/>
      <c r="DF897" s="254" t="n"/>
      <c r="DG897" s="254" t="n"/>
      <c r="DH897" s="254" t="n"/>
      <c r="DI897" s="254" t="n"/>
      <c r="DJ897" s="254" t="inlineStr">
        <is>
          <t>Q</t>
        </is>
      </c>
      <c r="DK897" s="226" t="inlineStr">
        <is>
          <t>1- 15</t>
        </is>
      </c>
      <c r="DL897" s="226" t="inlineStr">
        <is>
          <t>14-28</t>
        </is>
      </c>
      <c r="DM897" s="254" t="n"/>
      <c r="DN897" s="95" t="n"/>
      <c r="DO897" s="95" t="n"/>
    </row>
    <row r="898" ht="18.65" customHeight="1">
      <c r="A898" s="205" t="inlineStr">
        <is>
          <t>SCE-03</t>
        </is>
      </c>
      <c r="B898" s="260"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61" t="inlineStr">
        <is>
          <t>532MASCE</t>
        </is>
      </c>
      <c r="BL898" s="61" t="inlineStr">
        <is>
          <t>GMAP-SIGA</t>
        </is>
      </c>
      <c r="BM898" s="254" t="inlineStr">
        <is>
          <t>NF</t>
        </is>
      </c>
      <c r="BN898" s="266" t="inlineStr">
        <is>
          <t>Coposa Norte</t>
        </is>
      </c>
      <c r="BO898" s="254"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4" t="n"/>
      <c r="DC898" s="254" t="n"/>
      <c r="DD898" s="254" t="n"/>
      <c r="DE898" s="254" t="n"/>
      <c r="DF898" s="254" t="n"/>
      <c r="DG898" s="254" t="n"/>
      <c r="DH898" s="254" t="n"/>
      <c r="DI898" s="254" t="n"/>
      <c r="DJ898" s="254" t="inlineStr">
        <is>
          <t>M</t>
        </is>
      </c>
      <c r="DK898" s="254" t="n">
        <v>15</v>
      </c>
      <c r="DL898" s="95" t="n">
        <v>28</v>
      </c>
      <c r="DM898" s="254" t="n"/>
      <c r="DN898" s="95" t="n"/>
      <c r="DO898" s="95" t="n"/>
    </row>
    <row r="899" ht="12.5" customHeight="1">
      <c r="A899" s="203" t="inlineStr">
        <is>
          <t>SCE-04</t>
        </is>
      </c>
      <c r="B899" s="260"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61" t="inlineStr">
        <is>
          <t>532MASCE</t>
        </is>
      </c>
      <c r="BL899" s="61" t="inlineStr">
        <is>
          <t>GMAP-SIGA</t>
        </is>
      </c>
      <c r="BM899" s="254" t="inlineStr">
        <is>
          <t>NF</t>
        </is>
      </c>
      <c r="BN899" s="266" t="inlineStr">
        <is>
          <t>Jachucoposa</t>
        </is>
      </c>
      <c r="BO899" s="254"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4" t="n"/>
      <c r="DB899" s="254" t="n"/>
      <c r="DC899" s="254" t="n"/>
      <c r="DD899" s="254" t="n"/>
      <c r="DE899" s="254" t="n"/>
      <c r="DF899" s="254" t="n"/>
      <c r="DG899" s="254" t="n"/>
      <c r="DH899" s="254" t="n"/>
      <c r="DI899" s="254" t="n"/>
      <c r="DJ899" s="254" t="inlineStr">
        <is>
          <t>M</t>
        </is>
      </c>
      <c r="DK899" s="254" t="n">
        <v>22</v>
      </c>
      <c r="DL899" s="95" t="n">
        <v>28</v>
      </c>
      <c r="DM899" s="254" t="n"/>
      <c r="DN899" s="95" t="n"/>
      <c r="DO899" s="95" t="n"/>
    </row>
    <row r="900" ht="11.5" customHeight="1">
      <c r="A900" s="204" t="inlineStr">
        <is>
          <t>SH-01</t>
        </is>
      </c>
      <c r="B900" s="260" t="inlineStr">
        <is>
          <t>SH-01 PUERTO COLLAHUASI</t>
        </is>
      </c>
      <c r="C900" s="254"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259" t="inlineStr">
        <is>
          <t>532MASH</t>
        </is>
      </c>
      <c r="BL900" s="7" t="inlineStr">
        <is>
          <t>PUERTO</t>
        </is>
      </c>
      <c r="BM900" s="254" t="inlineStr">
        <is>
          <t>NF</t>
        </is>
      </c>
      <c r="BN900" s="266" t="inlineStr">
        <is>
          <t>Puerto Collahuasi</t>
        </is>
      </c>
      <c r="BO900" s="254" t="inlineStr">
        <is>
          <t>SI</t>
        </is>
      </c>
      <c r="BP900" s="106" t="inlineStr">
        <is>
          <t>SH-01 PUERTO COLLAHUASI/NF</t>
        </is>
      </c>
      <c r="BQ900" s="106">
        <f>VLOOKUP(BP900,[1]AGUA!$1:$1048576,2,FALSE)</f>
        <v/>
      </c>
      <c r="BR900" s="106">
        <f>VLOOKUP(BP900,[1]AGUA!$1:$1048576,6,FALSE)</f>
        <v/>
      </c>
      <c r="BS900" s="106">
        <f>VLOOKUP(BP900,[1]AGUA!$1:$1048576,7,FALSE)</f>
        <v/>
      </c>
      <c r="BT900" s="106" t="n"/>
      <c r="BU900" s="251"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4" t="n"/>
      <c r="DB900" s="254" t="n"/>
      <c r="DC900" s="254" t="n"/>
      <c r="DD900" s="254" t="n"/>
      <c r="DE900" s="254" t="n"/>
      <c r="DF900" s="254" t="n"/>
      <c r="DG900" s="254" t="n"/>
      <c r="DH900" s="254" t="n"/>
      <c r="DI900" s="254" t="n"/>
      <c r="DJ900" s="254" t="inlineStr">
        <is>
          <t>M</t>
        </is>
      </c>
      <c r="DK900" s="254" t="n">
        <v>8</v>
      </c>
      <c r="DL900" s="95" t="n">
        <v>14</v>
      </c>
      <c r="DM900" s="254" t="n"/>
      <c r="DN900" s="95" t="n"/>
      <c r="DO900" s="95" t="n"/>
    </row>
    <row r="901" ht="12.5" customHeight="1">
      <c r="A901" s="204" t="inlineStr">
        <is>
          <t>SH-01</t>
        </is>
      </c>
      <c r="B901" s="255" t="n"/>
      <c r="C901" s="255"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255" t="n"/>
      <c r="BL901" s="7" t="inlineStr">
        <is>
          <t>PUERTO</t>
        </is>
      </c>
      <c r="BM901" s="254" t="inlineStr">
        <is>
          <t>ASUB</t>
        </is>
      </c>
      <c r="BN901" s="266" t="inlineStr">
        <is>
          <t>Puerto Collahuasi</t>
        </is>
      </c>
      <c r="BO901" s="254" t="inlineStr">
        <is>
          <t>SI</t>
        </is>
      </c>
      <c r="BP901" s="106" t="inlineStr">
        <is>
          <t>SH-01 PUERTO COLLAHUASI/ASUB</t>
        </is>
      </c>
      <c r="BQ901" s="106">
        <f>VLOOKUP(BP901,[1]AGUA!$1:$1048576,2,FALSE)</f>
        <v/>
      </c>
      <c r="BR901" s="106">
        <f>VLOOKUP(BP901,[1]AGUA!$1:$1048576,6,FALSE)</f>
        <v/>
      </c>
      <c r="BS901" s="106">
        <f>VLOOKUP(BP901,[1]AGUA!$1:$1048576,7,FALSE)</f>
        <v/>
      </c>
      <c r="BT901" s="106" t="n"/>
      <c r="BU901" s="252"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4" t="n"/>
      <c r="DB901" s="254" t="n"/>
      <c r="DC901" s="254" t="n"/>
      <c r="DD901" s="254" t="n"/>
      <c r="DE901" s="254" t="n"/>
      <c r="DF901" s="254" t="n"/>
      <c r="DG901" s="254" t="n"/>
      <c r="DH901" s="254" t="n"/>
      <c r="DI901" s="254" t="n"/>
      <c r="DJ901" s="254" t="n"/>
      <c r="DK901" s="254" t="n"/>
      <c r="DL901" s="95" t="n"/>
      <c r="DM901" s="254" t="inlineStr">
        <is>
          <t>T</t>
        </is>
      </c>
      <c r="DN901" s="95" t="n">
        <v>8</v>
      </c>
      <c r="DO901" s="95" t="n">
        <v>14</v>
      </c>
    </row>
    <row r="902" ht="12.5" customHeight="1">
      <c r="A902" s="204" t="inlineStr">
        <is>
          <t>SH-02B</t>
        </is>
      </c>
      <c r="B902" s="260" t="inlineStr">
        <is>
          <t>SH-02B PUERTO COLLAHUASI</t>
        </is>
      </c>
      <c r="C902" s="254"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259" t="inlineStr">
        <is>
          <t>532MASH</t>
        </is>
      </c>
      <c r="BL902" s="7" t="inlineStr">
        <is>
          <t>PUERTO</t>
        </is>
      </c>
      <c r="BM902" s="254" t="inlineStr">
        <is>
          <t>NF</t>
        </is>
      </c>
      <c r="BN902" s="266" t="inlineStr">
        <is>
          <t>Puerto Collahuasi</t>
        </is>
      </c>
      <c r="BO902" s="254" t="inlineStr">
        <is>
          <t>SI</t>
        </is>
      </c>
      <c r="BP902" s="106" t="inlineStr">
        <is>
          <t>SH-02B PUERTO COLLAHUASI/NF</t>
        </is>
      </c>
      <c r="BQ902" s="106">
        <f>VLOOKUP(BP902,[1]AGUA!$1:$1048576,2,FALSE)</f>
        <v/>
      </c>
      <c r="BR902" s="106">
        <f>VLOOKUP(BP902,[1]AGUA!$1:$1048576,6,FALSE)</f>
        <v/>
      </c>
      <c r="BS902" s="106">
        <f>VLOOKUP(BP902,[1]AGUA!$1:$1048576,7,FALSE)</f>
        <v/>
      </c>
      <c r="BT902" s="106" t="n"/>
      <c r="BU902" s="251" t="n"/>
      <c r="BV902" s="142" t="inlineStr">
        <is>
          <t>R</t>
        </is>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4" t="n"/>
      <c r="DB902" s="254" t="n"/>
      <c r="DC902" s="254" t="n"/>
      <c r="DD902" s="254" t="n"/>
      <c r="DE902" s="254" t="n"/>
      <c r="DF902" s="254" t="n"/>
      <c r="DG902" s="254" t="n"/>
      <c r="DH902" s="254" t="n"/>
      <c r="DI902" s="254" t="n"/>
      <c r="DJ902" s="254" t="inlineStr">
        <is>
          <t>S</t>
        </is>
      </c>
      <c r="DK902" s="254" t="inlineStr">
        <is>
          <t>R</t>
        </is>
      </c>
      <c r="DL902" s="95" t="inlineStr">
        <is>
          <t>R</t>
        </is>
      </c>
      <c r="DM902" s="254" t="n"/>
      <c r="DN902" s="95" t="n"/>
      <c r="DO902" s="95" t="n"/>
    </row>
    <row r="903" ht="13" customHeight="1">
      <c r="A903" s="204" t="inlineStr">
        <is>
          <t>SH-02B</t>
        </is>
      </c>
      <c r="B903" s="255" t="n"/>
      <c r="C903" s="255"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255" t="n"/>
      <c r="BL903" s="7" t="inlineStr">
        <is>
          <t>PUERTO</t>
        </is>
      </c>
      <c r="BM903" s="254" t="inlineStr">
        <is>
          <t>ASUB</t>
        </is>
      </c>
      <c r="BN903" s="266" t="inlineStr">
        <is>
          <t>Puerto Collahuasi</t>
        </is>
      </c>
      <c r="BO903" s="254" t="inlineStr">
        <is>
          <t>SI</t>
        </is>
      </c>
      <c r="BP903" s="106" t="inlineStr">
        <is>
          <t>SH-02B PUERTO COLLAHUASI/ASUB</t>
        </is>
      </c>
      <c r="BQ903" s="106">
        <f>VLOOKUP(BP903,[1]AGUA!$1:$1048576,2,FALSE)</f>
        <v/>
      </c>
      <c r="BR903" s="106">
        <f>VLOOKUP(BP903,[1]AGUA!$1:$1048576,6,FALSE)</f>
        <v/>
      </c>
      <c r="BS903" s="106">
        <f>VLOOKUP(BP903,[1]AGUA!$1:$1048576,7,FALSE)</f>
        <v/>
      </c>
      <c r="BT903" s="106" t="n"/>
      <c r="BU903" s="252"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4" t="n"/>
      <c r="DB903" s="254" t="n"/>
      <c r="DC903" s="254" t="n"/>
      <c r="DD903" s="254" t="n"/>
      <c r="DE903" s="254" t="n"/>
      <c r="DF903" s="254" t="n"/>
      <c r="DG903" s="254" t="n"/>
      <c r="DH903" s="254" t="n"/>
      <c r="DI903" s="254" t="n"/>
      <c r="DJ903" s="254" t="n"/>
      <c r="DK903" s="254" t="n"/>
      <c r="DL903" s="95" t="n"/>
      <c r="DM903" s="254" t="inlineStr">
        <is>
          <t>T</t>
        </is>
      </c>
      <c r="DN903" s="95" t="n">
        <v>8</v>
      </c>
      <c r="DO903" s="95" t="n">
        <v>14</v>
      </c>
    </row>
    <row r="904" ht="13" customHeight="1">
      <c r="A904" s="204" t="inlineStr">
        <is>
          <t>SH-03</t>
        </is>
      </c>
      <c r="B904" s="260" t="inlineStr">
        <is>
          <t>SH-03 PUERTO COLLAHUASI</t>
        </is>
      </c>
      <c r="C904" s="254"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259" t="inlineStr">
        <is>
          <t>532MASH</t>
        </is>
      </c>
      <c r="BL904" s="7" t="inlineStr">
        <is>
          <t>PUERTO</t>
        </is>
      </c>
      <c r="BM904" s="254" t="inlineStr">
        <is>
          <t>NF</t>
        </is>
      </c>
      <c r="BN904" s="266" t="inlineStr">
        <is>
          <t>Puerto Collahuasi</t>
        </is>
      </c>
      <c r="BO904" s="254" t="inlineStr">
        <is>
          <t>SI</t>
        </is>
      </c>
      <c r="BP904" s="106" t="inlineStr">
        <is>
          <t>SH-03 PUERTO COLLAHUASI/NF</t>
        </is>
      </c>
      <c r="BQ904" s="106">
        <f>VLOOKUP(BP904,[1]AGUA!$1:$1048576,2,FALSE)</f>
        <v/>
      </c>
      <c r="BR904" s="106">
        <f>VLOOKUP(BP904,[1]AGUA!$1:$1048576,6,FALSE)</f>
        <v/>
      </c>
      <c r="BS904" s="106">
        <f>VLOOKUP(BP904,[1]AGUA!$1:$1048576,7,FALSE)</f>
        <v/>
      </c>
      <c r="BT904" s="106" t="n"/>
      <c r="BU904" s="251"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4" t="n"/>
      <c r="DB904" s="254" t="n"/>
      <c r="DC904" s="254" t="n"/>
      <c r="DD904" s="254" t="n"/>
      <c r="DE904" s="254" t="n"/>
      <c r="DF904" s="254" t="n"/>
      <c r="DG904" s="254" t="n"/>
      <c r="DH904" s="254" t="n"/>
      <c r="DI904" s="254" t="n"/>
      <c r="DJ904" s="254" t="inlineStr">
        <is>
          <t>M</t>
        </is>
      </c>
      <c r="DK904" s="254" t="n">
        <v>22</v>
      </c>
      <c r="DL904" s="95" t="n">
        <v>28</v>
      </c>
      <c r="DM904" s="254" t="n"/>
      <c r="DN904" s="95" t="n"/>
      <c r="DO904" s="95" t="n"/>
    </row>
    <row r="905" ht="13" customHeight="1">
      <c r="A905" s="204" t="inlineStr">
        <is>
          <t>SH-03</t>
        </is>
      </c>
      <c r="B905" s="255" t="n"/>
      <c r="C905" s="255"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255" t="n"/>
      <c r="BL905" s="7" t="inlineStr">
        <is>
          <t>PUERTO</t>
        </is>
      </c>
      <c r="BM905" s="254" t="inlineStr">
        <is>
          <t>ASUB</t>
        </is>
      </c>
      <c r="BN905" s="266" t="inlineStr">
        <is>
          <t>Puerto Collahuasi</t>
        </is>
      </c>
      <c r="BO905" s="254" t="inlineStr">
        <is>
          <t>SI</t>
        </is>
      </c>
      <c r="BP905" s="106" t="inlineStr">
        <is>
          <t>SH-03 PUERTO COLLAHUASI/ASUB</t>
        </is>
      </c>
      <c r="BQ905" s="106">
        <f>VLOOKUP(BP905,[1]AGUA!$1:$1048576,2,FALSE)</f>
        <v/>
      </c>
      <c r="BR905" s="106">
        <f>VLOOKUP(BP905,[1]AGUA!$1:$1048576,6,FALSE)</f>
        <v/>
      </c>
      <c r="BS905" s="106">
        <f>VLOOKUP(BP905,[1]AGUA!$1:$1048576,7,FALSE)</f>
        <v/>
      </c>
      <c r="BT905" s="106" t="n"/>
      <c r="BU905" s="252"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4" t="n"/>
      <c r="DB905" s="254" t="n"/>
      <c r="DC905" s="254" t="n"/>
      <c r="DD905" s="254" t="n"/>
      <c r="DE905" s="254" t="n"/>
      <c r="DF905" s="254" t="n"/>
      <c r="DG905" s="254" t="n"/>
      <c r="DH905" s="254" t="n"/>
      <c r="DI905" s="254" t="n"/>
      <c r="DJ905" s="254" t="n"/>
      <c r="DK905" s="254" t="n"/>
      <c r="DL905" s="95" t="n"/>
      <c r="DM905" s="254" t="inlineStr">
        <is>
          <t>T</t>
        </is>
      </c>
      <c r="DN905" s="95" t="n">
        <v>22</v>
      </c>
      <c r="DO905" s="95" t="n">
        <v>28</v>
      </c>
    </row>
    <row r="906" ht="13" customHeight="1">
      <c r="A906" s="204" t="inlineStr">
        <is>
          <t>SH-04</t>
        </is>
      </c>
      <c r="B906" s="260" t="inlineStr">
        <is>
          <t>SH-04 PUERTO COLLAHUASI</t>
        </is>
      </c>
      <c r="C906" s="254"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259" t="inlineStr">
        <is>
          <t>532MASH</t>
        </is>
      </c>
      <c r="BL906" s="7" t="inlineStr">
        <is>
          <t>PUERTO</t>
        </is>
      </c>
      <c r="BM906" s="254" t="inlineStr">
        <is>
          <t>NF</t>
        </is>
      </c>
      <c r="BN906" s="266" t="inlineStr">
        <is>
          <t>Puerto Collahuasi</t>
        </is>
      </c>
      <c r="BO906" s="254" t="inlineStr">
        <is>
          <t>SI</t>
        </is>
      </c>
      <c r="BP906" s="106" t="inlineStr">
        <is>
          <t>SH-04 PUERTO COLLAHUASI/NF</t>
        </is>
      </c>
      <c r="BQ906" s="106">
        <f>VLOOKUP(BP906,[1]AGUA!$1:$1048576,2,FALSE)</f>
        <v/>
      </c>
      <c r="BR906" s="106">
        <f>VLOOKUP(BP906,[1]AGUA!$1:$1048576,6,FALSE)</f>
        <v/>
      </c>
      <c r="BS906" s="106">
        <f>VLOOKUP(BP906,[1]AGUA!$1:$1048576,7,FALSE)</f>
        <v/>
      </c>
      <c r="BT906" s="106" t="n"/>
      <c r="BU906" s="251"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4" t="n"/>
      <c r="DB906" s="254" t="n"/>
      <c r="DC906" s="254" t="n"/>
      <c r="DD906" s="254" t="n"/>
      <c r="DE906" s="254" t="n"/>
      <c r="DF906" s="254" t="n"/>
      <c r="DG906" s="254" t="n"/>
      <c r="DH906" s="254" t="n"/>
      <c r="DI906" s="254" t="n"/>
      <c r="DJ906" s="254" t="inlineStr">
        <is>
          <t>M</t>
        </is>
      </c>
      <c r="DK906" s="254" t="n">
        <v>22</v>
      </c>
      <c r="DL906" s="95" t="n">
        <v>28</v>
      </c>
      <c r="DM906" s="254" t="n"/>
      <c r="DN906" s="95" t="n"/>
      <c r="DO906" s="95" t="n"/>
    </row>
    <row r="907" ht="13" customHeight="1">
      <c r="A907" s="204" t="inlineStr">
        <is>
          <t>SH-04</t>
        </is>
      </c>
      <c r="B907" s="255" t="n"/>
      <c r="C907" s="255"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255" t="n"/>
      <c r="BL907" s="7" t="inlineStr">
        <is>
          <t>PUERTO</t>
        </is>
      </c>
      <c r="BM907" s="254" t="inlineStr">
        <is>
          <t>ASUB</t>
        </is>
      </c>
      <c r="BN907" s="266" t="inlineStr">
        <is>
          <t>Puerto Collahuasi</t>
        </is>
      </c>
      <c r="BO907" s="254" t="inlineStr">
        <is>
          <t>SI</t>
        </is>
      </c>
      <c r="BP907" s="106" t="inlineStr">
        <is>
          <t>SH-04 PUERTO COLLAHUASI/ASUB</t>
        </is>
      </c>
      <c r="BQ907" s="106">
        <f>VLOOKUP(BP907,[1]AGUA!$1:$1048576,2,FALSE)</f>
        <v/>
      </c>
      <c r="BR907" s="106">
        <f>VLOOKUP(BP907,[1]AGUA!$1:$1048576,6,FALSE)</f>
        <v/>
      </c>
      <c r="BS907" s="106">
        <f>VLOOKUP(BP907,[1]AGUA!$1:$1048576,7,FALSE)</f>
        <v/>
      </c>
      <c r="BT907" s="106" t="n"/>
      <c r="BU907" s="252"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4" t="n"/>
      <c r="DB907" s="254" t="n"/>
      <c r="DC907" s="254" t="n"/>
      <c r="DD907" s="254" t="n"/>
      <c r="DE907" s="254" t="n"/>
      <c r="DF907" s="254" t="n"/>
      <c r="DG907" s="254" t="n"/>
      <c r="DH907" s="254" t="n"/>
      <c r="DI907" s="254" t="n"/>
      <c r="DJ907" s="254" t="n"/>
      <c r="DK907" s="254" t="n"/>
      <c r="DL907" s="95" t="n"/>
      <c r="DM907" s="254" t="inlineStr">
        <is>
          <t>T</t>
        </is>
      </c>
      <c r="DN907" s="95" t="n">
        <v>22</v>
      </c>
      <c r="DO907" s="95" t="n">
        <v>28</v>
      </c>
    </row>
    <row r="908" ht="13" customHeight="1">
      <c r="A908" s="204" t="inlineStr">
        <is>
          <t>SH-05</t>
        </is>
      </c>
      <c r="B908" s="260" t="inlineStr">
        <is>
          <t>SH-05 PUERTO COLLAHUASI</t>
        </is>
      </c>
      <c r="C908" s="254"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259" t="inlineStr">
        <is>
          <t>532MASH</t>
        </is>
      </c>
      <c r="BL908" s="7" t="inlineStr">
        <is>
          <t>PUERTO</t>
        </is>
      </c>
      <c r="BM908" s="254" t="inlineStr">
        <is>
          <t>NF</t>
        </is>
      </c>
      <c r="BN908" s="266" t="inlineStr">
        <is>
          <t>Puerto Collahuasi</t>
        </is>
      </c>
      <c r="BO908" s="254" t="inlineStr">
        <is>
          <t>SI</t>
        </is>
      </c>
      <c r="BP908" s="106" t="inlineStr">
        <is>
          <t>SH-05 PUERTO COLLAHUASI/NF</t>
        </is>
      </c>
      <c r="BQ908" s="106">
        <f>VLOOKUP(BP908,[1]AGUA!$1:$1048576,2,FALSE)</f>
        <v/>
      </c>
      <c r="BR908" s="106">
        <f>VLOOKUP(BP908,[1]AGUA!$1:$1048576,6,FALSE)</f>
        <v/>
      </c>
      <c r="BS908" s="106">
        <f>VLOOKUP(BP908,[1]AGUA!$1:$1048576,7,FALSE)</f>
        <v/>
      </c>
      <c r="BT908" s="106" t="n"/>
      <c r="BU908" s="251"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4" t="n"/>
      <c r="DB908" s="254" t="n"/>
      <c r="DC908" s="254" t="n"/>
      <c r="DD908" s="254" t="n"/>
      <c r="DE908" s="254" t="n"/>
      <c r="DF908" s="254" t="n"/>
      <c r="DG908" s="254" t="n"/>
      <c r="DH908" s="254" t="n"/>
      <c r="DI908" s="254" t="n"/>
      <c r="DJ908" s="254" t="inlineStr">
        <is>
          <t>M</t>
        </is>
      </c>
      <c r="DK908" s="254" t="n">
        <v>22</v>
      </c>
      <c r="DL908" s="95" t="n">
        <v>28</v>
      </c>
      <c r="DM908" s="254" t="n"/>
      <c r="DN908" s="95" t="n"/>
      <c r="DO908" s="95" t="n"/>
    </row>
    <row r="909" ht="17.15" customHeight="1">
      <c r="A909" s="204" t="inlineStr">
        <is>
          <t>SH-05</t>
        </is>
      </c>
      <c r="B909" s="255" t="n"/>
      <c r="C909" s="255"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255" t="n"/>
      <c r="BL909" s="7" t="inlineStr">
        <is>
          <t>PUERTO</t>
        </is>
      </c>
      <c r="BM909" s="254" t="inlineStr">
        <is>
          <t>ASUB</t>
        </is>
      </c>
      <c r="BN909" s="266" t="inlineStr">
        <is>
          <t>Puerto Collahuasi</t>
        </is>
      </c>
      <c r="BO909" s="254" t="inlineStr">
        <is>
          <t>SI</t>
        </is>
      </c>
      <c r="BP909" s="106" t="inlineStr">
        <is>
          <t>SH-05 PUERTO COLLAHUASI/ASUB</t>
        </is>
      </c>
      <c r="BQ909" s="106">
        <f>VLOOKUP(BP909,[1]AGUA!$1:$1048576,2,FALSE)</f>
        <v/>
      </c>
      <c r="BR909" s="106">
        <f>VLOOKUP(BP909,[1]AGUA!$1:$1048576,6,FALSE)</f>
        <v/>
      </c>
      <c r="BS909" s="106">
        <f>VLOOKUP(BP909,[1]AGUA!$1:$1048576,7,FALSE)</f>
        <v/>
      </c>
      <c r="BT909" s="106" t="n"/>
      <c r="BU909" s="252"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4" t="n"/>
      <c r="DB909" s="254" t="n"/>
      <c r="DC909" s="254" t="n"/>
      <c r="DD909" s="254" t="n"/>
      <c r="DE909" s="254" t="n"/>
      <c r="DF909" s="254" t="n"/>
      <c r="DG909" s="254" t="n"/>
      <c r="DH909" s="254" t="n"/>
      <c r="DI909" s="254" t="n"/>
      <c r="DJ909" s="254" t="n"/>
      <c r="DK909" s="254" t="n"/>
      <c r="DL909" s="95" t="n"/>
      <c r="DM909" s="254" t="inlineStr">
        <is>
          <t>T</t>
        </is>
      </c>
      <c r="DN909" s="95" t="n">
        <v>22</v>
      </c>
      <c r="DO909" s="95" t="n">
        <v>28</v>
      </c>
    </row>
    <row r="910" ht="13" customHeight="1">
      <c r="A910" s="204" t="inlineStr">
        <is>
          <t>SH-06</t>
        </is>
      </c>
      <c r="B910" s="260" t="inlineStr">
        <is>
          <t>SH-06 PUERTO COLLAHUASI</t>
        </is>
      </c>
      <c r="C910" s="254"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259" t="inlineStr">
        <is>
          <t>532MASH</t>
        </is>
      </c>
      <c r="BL910" s="7" t="inlineStr">
        <is>
          <t>PUERTO</t>
        </is>
      </c>
      <c r="BM910" s="254" t="inlineStr">
        <is>
          <t>NF</t>
        </is>
      </c>
      <c r="BN910" s="266" t="inlineStr">
        <is>
          <t>Puerto Collahuasi</t>
        </is>
      </c>
      <c r="BO910" s="254" t="inlineStr">
        <is>
          <t>SI</t>
        </is>
      </c>
      <c r="BP910" s="106" t="inlineStr">
        <is>
          <t>SH-06 PUERTO COLLAHUASI/NF</t>
        </is>
      </c>
      <c r="BQ910" s="106">
        <f>VLOOKUP(BP910,[1]AGUA!$1:$1048576,2,FALSE)</f>
        <v/>
      </c>
      <c r="BR910" s="106">
        <f>VLOOKUP(BP910,[1]AGUA!$1:$1048576,6,FALSE)</f>
        <v/>
      </c>
      <c r="BS910" s="106">
        <f>VLOOKUP(BP910,[1]AGUA!$1:$1048576,7,FALSE)</f>
        <v/>
      </c>
      <c r="BT910" s="106" t="n"/>
      <c r="BU910" s="251" t="n"/>
      <c r="BV910" s="142" t="inlineStr">
        <is>
          <t>R</t>
        </is>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4" t="n"/>
      <c r="DB910" s="254" t="n"/>
      <c r="DC910" s="254" t="n"/>
      <c r="DD910" s="254" t="n"/>
      <c r="DE910" s="254" t="n"/>
      <c r="DF910" s="254" t="n"/>
      <c r="DG910" s="254" t="n"/>
      <c r="DH910" s="254" t="n"/>
      <c r="DI910" s="254" t="n"/>
      <c r="DJ910" s="254" t="inlineStr">
        <is>
          <t>S</t>
        </is>
      </c>
      <c r="DK910" s="254" t="inlineStr">
        <is>
          <t>R</t>
        </is>
      </c>
      <c r="DL910" s="95" t="inlineStr">
        <is>
          <t>R</t>
        </is>
      </c>
      <c r="DM910" s="254" t="n"/>
      <c r="DN910" s="95" t="n"/>
      <c r="DO910" s="95" t="n"/>
    </row>
    <row r="911" ht="13" customHeight="1">
      <c r="A911" s="204" t="inlineStr">
        <is>
          <t>SH-06</t>
        </is>
      </c>
      <c r="B911" s="255" t="n"/>
      <c r="C911" s="255"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255" t="n"/>
      <c r="BL911" s="7" t="inlineStr">
        <is>
          <t>PUERTO</t>
        </is>
      </c>
      <c r="BM911" s="254" t="inlineStr">
        <is>
          <t>ASUB</t>
        </is>
      </c>
      <c r="BN911" s="266" t="inlineStr">
        <is>
          <t>Puerto Collahuasi</t>
        </is>
      </c>
      <c r="BO911" s="254" t="inlineStr">
        <is>
          <t>SI</t>
        </is>
      </c>
      <c r="BP911" s="106" t="inlineStr">
        <is>
          <t>SH-06 PUERTO COLLAHUASI/ASUB</t>
        </is>
      </c>
      <c r="BQ911" s="106">
        <f>VLOOKUP(BP911,[1]AGUA!$1:$1048576,2,FALSE)</f>
        <v/>
      </c>
      <c r="BR911" s="106">
        <f>VLOOKUP(BP911,[1]AGUA!$1:$1048576,6,FALSE)</f>
        <v/>
      </c>
      <c r="BS911" s="106">
        <f>VLOOKUP(BP911,[1]AGUA!$1:$1048576,7,FALSE)</f>
        <v/>
      </c>
      <c r="BT911" s="106" t="n"/>
      <c r="BU911" s="252"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4" t="n"/>
      <c r="DB911" s="254" t="n"/>
      <c r="DC911" s="254" t="n"/>
      <c r="DD911" s="254" t="n"/>
      <c r="DE911" s="254" t="n"/>
      <c r="DF911" s="254" t="n"/>
      <c r="DG911" s="254" t="n"/>
      <c r="DH911" s="254" t="n"/>
      <c r="DI911" s="254" t="n"/>
      <c r="DJ911" s="254" t="n"/>
      <c r="DK911" s="254" t="n"/>
      <c r="DL911" s="95" t="n"/>
      <c r="DM911" s="254" t="inlineStr">
        <is>
          <t>T</t>
        </is>
      </c>
      <c r="DN911" s="95" t="n">
        <v>8</v>
      </c>
      <c r="DO911" s="95" t="n">
        <v>14</v>
      </c>
    </row>
    <row r="912" ht="13" customHeight="1">
      <c r="A912" s="204" t="inlineStr">
        <is>
          <t>SH-07</t>
        </is>
      </c>
      <c r="B912" s="260" t="inlineStr">
        <is>
          <t>SH-07 PUERTO COLLAHUASI</t>
        </is>
      </c>
      <c r="C912" s="254"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259" t="inlineStr">
        <is>
          <t>532MASH</t>
        </is>
      </c>
      <c r="BL912" s="7" t="inlineStr">
        <is>
          <t>PUERTO</t>
        </is>
      </c>
      <c r="BM912" s="254" t="inlineStr">
        <is>
          <t>NF</t>
        </is>
      </c>
      <c r="BN912" s="266" t="inlineStr">
        <is>
          <t>Puerto Collahuasi</t>
        </is>
      </c>
      <c r="BO912" s="254" t="inlineStr">
        <is>
          <t>SI</t>
        </is>
      </c>
      <c r="BP912" s="106" t="inlineStr">
        <is>
          <t>SH-07 PUERTO COLLAHUASI/NF</t>
        </is>
      </c>
      <c r="BQ912" s="106">
        <f>VLOOKUP(BP912,[1]AGUA!$1:$1048576,2,FALSE)</f>
        <v/>
      </c>
      <c r="BR912" s="106">
        <f>VLOOKUP(BP912,[1]AGUA!$1:$1048576,6,FALSE)</f>
        <v/>
      </c>
      <c r="BS912" s="106">
        <f>VLOOKUP(BP912,[1]AGUA!$1:$1048576,7,FALSE)</f>
        <v/>
      </c>
      <c r="BT912" s="106" t="n"/>
      <c r="BU912" s="251" t="n"/>
      <c r="BV912" s="142" t="inlineStr">
        <is>
          <t>R</t>
        </is>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4" t="n"/>
      <c r="DB912" s="254" t="n"/>
      <c r="DC912" s="254" t="n"/>
      <c r="DD912" s="254" t="n"/>
      <c r="DE912" s="254" t="n"/>
      <c r="DF912" s="254" t="n"/>
      <c r="DG912" s="254" t="n"/>
      <c r="DH912" s="254" t="n"/>
      <c r="DI912" s="254" t="n"/>
      <c r="DJ912" s="254" t="inlineStr">
        <is>
          <t>S</t>
        </is>
      </c>
      <c r="DK912" s="254" t="inlineStr">
        <is>
          <t>R</t>
        </is>
      </c>
      <c r="DL912" s="95" t="inlineStr">
        <is>
          <t>R</t>
        </is>
      </c>
      <c r="DM912" s="254" t="n"/>
      <c r="DN912" s="95" t="n"/>
      <c r="DO912" s="95" t="n"/>
    </row>
    <row r="913" ht="13" customHeight="1">
      <c r="A913" s="204" t="inlineStr">
        <is>
          <t>SH-07</t>
        </is>
      </c>
      <c r="B913" s="255" t="n"/>
      <c r="C913" s="255"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255" t="n"/>
      <c r="BL913" s="7" t="inlineStr">
        <is>
          <t>PUERTO</t>
        </is>
      </c>
      <c r="BM913" s="254" t="inlineStr">
        <is>
          <t>ASUB</t>
        </is>
      </c>
      <c r="BN913" s="266" t="inlineStr">
        <is>
          <t>Puerto Collahuasi</t>
        </is>
      </c>
      <c r="BO913" s="254" t="inlineStr">
        <is>
          <t>SI</t>
        </is>
      </c>
      <c r="BP913" s="106" t="inlineStr">
        <is>
          <t>SH-07 PUERTO COLLAHUASI/ASUB</t>
        </is>
      </c>
      <c r="BQ913" s="106">
        <f>VLOOKUP(BP913,[1]AGUA!$1:$1048576,2,FALSE)</f>
        <v/>
      </c>
      <c r="BR913" s="106">
        <f>VLOOKUP(BP913,[1]AGUA!$1:$1048576,6,FALSE)</f>
        <v/>
      </c>
      <c r="BS913" s="106">
        <f>VLOOKUP(BP913,[1]AGUA!$1:$1048576,7,FALSE)</f>
        <v/>
      </c>
      <c r="BT913" s="106" t="n"/>
      <c r="BU913" s="252"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4" t="n"/>
      <c r="DB913" s="254" t="n"/>
      <c r="DC913" s="254" t="n"/>
      <c r="DD913" s="254" t="n"/>
      <c r="DE913" s="254" t="n"/>
      <c r="DF913" s="254" t="n"/>
      <c r="DG913" s="254" t="n"/>
      <c r="DH913" s="254" t="n"/>
      <c r="DI913" s="254" t="n"/>
      <c r="DJ913" s="254" t="n"/>
      <c r="DK913" s="254" t="n"/>
      <c r="DL913" s="95" t="n"/>
      <c r="DM913" s="254" t="inlineStr">
        <is>
          <t>T</t>
        </is>
      </c>
      <c r="DN913" s="95" t="n">
        <v>8</v>
      </c>
      <c r="DO913" s="95" t="n">
        <v>14</v>
      </c>
    </row>
    <row r="914" ht="15.65" customHeight="1">
      <c r="A914" s="204" t="inlineStr">
        <is>
          <t>SH-08</t>
        </is>
      </c>
      <c r="B914" s="260" t="inlineStr">
        <is>
          <t>SH-08 PUERTO COLLAHUASI</t>
        </is>
      </c>
      <c r="C914" s="254"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259" t="inlineStr">
        <is>
          <t>532MASH</t>
        </is>
      </c>
      <c r="BL914" s="7" t="inlineStr">
        <is>
          <t>PUERTO</t>
        </is>
      </c>
      <c r="BM914" s="254" t="inlineStr">
        <is>
          <t>NF</t>
        </is>
      </c>
      <c r="BN914" s="266" t="inlineStr">
        <is>
          <t>Puerto Collahuasi</t>
        </is>
      </c>
      <c r="BO914" s="254" t="inlineStr">
        <is>
          <t>SI</t>
        </is>
      </c>
      <c r="BP914" s="106" t="inlineStr">
        <is>
          <t>SH-08 PUERTO COLLAHUASI/NF</t>
        </is>
      </c>
      <c r="BQ914" s="106">
        <f>VLOOKUP(BP914,[1]AGUA!$1:$1048576,2,FALSE)</f>
        <v/>
      </c>
      <c r="BR914" s="106">
        <f>VLOOKUP(BP914,[1]AGUA!$1:$1048576,6,FALSE)</f>
        <v/>
      </c>
      <c r="BS914" s="106">
        <f>VLOOKUP(BP914,[1]AGUA!$1:$1048576,7,FALSE)</f>
        <v/>
      </c>
      <c r="BT914" s="106" t="n"/>
      <c r="BU914" s="251" t="n"/>
      <c r="BV914" s="142" t="inlineStr">
        <is>
          <t>R</t>
        </is>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4" t="n"/>
      <c r="DB914" s="254" t="n"/>
      <c r="DC914" s="254" t="n"/>
      <c r="DD914" s="254" t="n"/>
      <c r="DE914" s="254" t="n"/>
      <c r="DF914" s="254" t="n"/>
      <c r="DG914" s="254" t="n"/>
      <c r="DH914" s="254" t="n"/>
      <c r="DI914" s="254" t="n"/>
      <c r="DJ914" s="254" t="inlineStr">
        <is>
          <t>S</t>
        </is>
      </c>
      <c r="DK914" s="254" t="inlineStr">
        <is>
          <t>R</t>
        </is>
      </c>
      <c r="DL914" s="95" t="inlineStr">
        <is>
          <t>R</t>
        </is>
      </c>
      <c r="DM914" s="254" t="n"/>
      <c r="DN914" s="95" t="n"/>
      <c r="DO914" s="95" t="n"/>
    </row>
    <row r="915" ht="13" customHeight="1">
      <c r="A915" s="204" t="inlineStr">
        <is>
          <t>SH-08</t>
        </is>
      </c>
      <c r="B915" s="255" t="n"/>
      <c r="C915" s="255"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255" t="n"/>
      <c r="BL915" s="7" t="inlineStr">
        <is>
          <t>PUERTO</t>
        </is>
      </c>
      <c r="BM915" s="254" t="inlineStr">
        <is>
          <t>ASUB</t>
        </is>
      </c>
      <c r="BN915" s="266" t="inlineStr">
        <is>
          <t>Puerto Collahuasi</t>
        </is>
      </c>
      <c r="BO915" s="254" t="inlineStr">
        <is>
          <t>SI</t>
        </is>
      </c>
      <c r="BP915" s="106" t="inlineStr">
        <is>
          <t>SH-08 PUERTO COLLAHUASI/ASUB</t>
        </is>
      </c>
      <c r="BQ915" s="106">
        <f>VLOOKUP(BP915,[1]AGUA!$1:$1048576,2,FALSE)</f>
        <v/>
      </c>
      <c r="BR915" s="106">
        <f>VLOOKUP(BP915,[1]AGUA!$1:$1048576,6,FALSE)</f>
        <v/>
      </c>
      <c r="BS915" s="106">
        <f>VLOOKUP(BP915,[1]AGUA!$1:$1048576,7,FALSE)</f>
        <v/>
      </c>
      <c r="BT915" s="106" t="n"/>
      <c r="BU915" s="252"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4" t="n"/>
      <c r="DB915" s="254" t="n"/>
      <c r="DC915" s="254" t="n"/>
      <c r="DD915" s="254" t="n"/>
      <c r="DE915" s="254" t="n"/>
      <c r="DF915" s="254" t="n"/>
      <c r="DG915" s="254" t="n"/>
      <c r="DH915" s="254" t="n"/>
      <c r="DI915" s="254" t="n"/>
      <c r="DJ915" s="254" t="n"/>
      <c r="DK915" s="254" t="n"/>
      <c r="DL915" s="95" t="n"/>
      <c r="DM915" s="254" t="inlineStr">
        <is>
          <t>T</t>
        </is>
      </c>
      <c r="DN915" s="95" t="n">
        <v>8</v>
      </c>
      <c r="DO915" s="95" t="n">
        <v>14</v>
      </c>
    </row>
    <row r="916" ht="13.5" customHeight="1">
      <c r="A916" s="204" t="inlineStr">
        <is>
          <t>SH-09</t>
        </is>
      </c>
      <c r="B916" s="260" t="inlineStr">
        <is>
          <t>SH-09 PUERTO COLLAHUASI</t>
        </is>
      </c>
      <c r="C916" s="254"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259" t="inlineStr">
        <is>
          <t>532MASH</t>
        </is>
      </c>
      <c r="BL916" s="7" t="inlineStr">
        <is>
          <t>PUERTO</t>
        </is>
      </c>
      <c r="BM916" s="254" t="inlineStr">
        <is>
          <t>NF</t>
        </is>
      </c>
      <c r="BN916" s="266" t="inlineStr">
        <is>
          <t>Puerto Collahuasi</t>
        </is>
      </c>
      <c r="BO916" s="254" t="inlineStr">
        <is>
          <t>SI</t>
        </is>
      </c>
      <c r="BP916" s="106" t="inlineStr">
        <is>
          <t>SH-09 PUERTO COLLAHUASI/NF</t>
        </is>
      </c>
      <c r="BQ916" s="106">
        <f>VLOOKUP(BP916,[1]AGUA!$1:$1048576,2,FALSE)</f>
        <v/>
      </c>
      <c r="BR916" s="106">
        <f>VLOOKUP(BP916,[1]AGUA!$1:$1048576,6,FALSE)</f>
        <v/>
      </c>
      <c r="BS916" s="106">
        <f>VLOOKUP(BP916,[1]AGUA!$1:$1048576,7,FALSE)</f>
        <v/>
      </c>
      <c r="BT916" s="106" t="n"/>
      <c r="BU916" s="251"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4" t="n"/>
      <c r="DB916" s="254" t="n"/>
      <c r="DC916" s="254" t="n"/>
      <c r="DD916" s="254" t="n"/>
      <c r="DE916" s="254" t="n"/>
      <c r="DF916" s="254" t="n"/>
      <c r="DG916" s="254" t="n"/>
      <c r="DH916" s="254" t="n"/>
      <c r="DI916" s="254" t="n"/>
      <c r="DJ916" s="254" t="inlineStr">
        <is>
          <t>M</t>
        </is>
      </c>
      <c r="DK916" s="254" t="n">
        <v>22</v>
      </c>
      <c r="DL916" s="95" t="n">
        <v>28</v>
      </c>
      <c r="DM916" s="254" t="n"/>
      <c r="DN916" s="95" t="n"/>
      <c r="DO916" s="95" t="n"/>
    </row>
    <row r="917" ht="13" customHeight="1">
      <c r="A917" s="204" t="inlineStr">
        <is>
          <t>SH-09</t>
        </is>
      </c>
      <c r="B917" s="255" t="n"/>
      <c r="C917" s="255"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255" t="n"/>
      <c r="BL917" s="7" t="inlineStr">
        <is>
          <t>PUERTO</t>
        </is>
      </c>
      <c r="BM917" s="254" t="inlineStr">
        <is>
          <t>ASUB</t>
        </is>
      </c>
      <c r="BN917" s="266" t="inlineStr">
        <is>
          <t>Puerto Collahuasi</t>
        </is>
      </c>
      <c r="BO917" s="254" t="inlineStr">
        <is>
          <t>SI</t>
        </is>
      </c>
      <c r="BP917" s="106" t="inlineStr">
        <is>
          <t>SH-09 PUERTO COLLAHUASI/ASUB</t>
        </is>
      </c>
      <c r="BQ917" s="106">
        <f>VLOOKUP(BP917,[1]AGUA!$1:$1048576,2,FALSE)</f>
        <v/>
      </c>
      <c r="BR917" s="106">
        <f>VLOOKUP(BP917,[1]AGUA!$1:$1048576,6,FALSE)</f>
        <v/>
      </c>
      <c r="BS917" s="106">
        <f>VLOOKUP(BP917,[1]AGUA!$1:$1048576,7,FALSE)</f>
        <v/>
      </c>
      <c r="BT917" s="106" t="n"/>
      <c r="BU917" s="252"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4" t="n"/>
      <c r="DB917" s="254" t="n"/>
      <c r="DC917" s="254" t="n"/>
      <c r="DD917" s="254" t="n"/>
      <c r="DE917" s="254" t="n"/>
      <c r="DF917" s="254" t="n"/>
      <c r="DG917" s="254" t="n"/>
      <c r="DH917" s="254" t="n"/>
      <c r="DI917" s="254" t="n"/>
      <c r="DJ917" s="254" t="n"/>
      <c r="DK917" s="254" t="n"/>
      <c r="DL917" s="95" t="n"/>
      <c r="DM917" s="254" t="inlineStr">
        <is>
          <t>T</t>
        </is>
      </c>
      <c r="DN917" s="95" t="n">
        <v>22</v>
      </c>
      <c r="DO917" s="95" t="n">
        <v>28</v>
      </c>
    </row>
    <row r="918" ht="13" customHeight="1">
      <c r="A918" s="204" t="inlineStr">
        <is>
          <t>SH-12B</t>
        </is>
      </c>
      <c r="B918" s="260" t="inlineStr">
        <is>
          <t>SH-12B PUERTO COLLAHUASI</t>
        </is>
      </c>
      <c r="C918" s="254"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259" t="inlineStr">
        <is>
          <t>532MASH</t>
        </is>
      </c>
      <c r="BL918" s="7" t="inlineStr">
        <is>
          <t>PUERTO</t>
        </is>
      </c>
      <c r="BM918" s="254" t="inlineStr">
        <is>
          <t>NF</t>
        </is>
      </c>
      <c r="BN918" s="266" t="inlineStr">
        <is>
          <t>Puerto Collahuasi</t>
        </is>
      </c>
      <c r="BO918" s="254" t="inlineStr">
        <is>
          <t>SI</t>
        </is>
      </c>
      <c r="BP918" s="106" t="inlineStr">
        <is>
          <t>SH-12B PUERTO COLLAHUASI/NF</t>
        </is>
      </c>
      <c r="BQ918" s="106">
        <f>VLOOKUP(BP918,[1]AGUA!$1:$1048576,2,FALSE)</f>
        <v/>
      </c>
      <c r="BR918" s="106">
        <f>VLOOKUP(BP918,[1]AGUA!$1:$1048576,6,FALSE)</f>
        <v/>
      </c>
      <c r="BS918" s="106">
        <f>VLOOKUP(BP918,[1]AGUA!$1:$1048576,7,FALSE)</f>
        <v/>
      </c>
      <c r="BT918" s="106" t="n"/>
      <c r="BU918" s="251"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4" t="n"/>
      <c r="DB918" s="254" t="n"/>
      <c r="DC918" s="254" t="n"/>
      <c r="DD918" s="254" t="n"/>
      <c r="DE918" s="254" t="n"/>
      <c r="DF918" s="254" t="n"/>
      <c r="DG918" s="254" t="n"/>
      <c r="DH918" s="254" t="n"/>
      <c r="DI918" s="254" t="n"/>
      <c r="DJ918" s="254" t="inlineStr">
        <is>
          <t>M</t>
        </is>
      </c>
      <c r="DK918" s="254" t="n">
        <v>22</v>
      </c>
      <c r="DL918" s="95" t="n">
        <v>28</v>
      </c>
      <c r="DM918" s="254" t="n"/>
      <c r="DN918" s="95" t="n"/>
      <c r="DO918" s="95" t="n"/>
    </row>
    <row r="919" ht="13" customHeight="1">
      <c r="A919" s="204" t="inlineStr">
        <is>
          <t>SH-12B</t>
        </is>
      </c>
      <c r="B919" s="255" t="n"/>
      <c r="C919" s="255"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255" t="n"/>
      <c r="BL919" s="7" t="inlineStr">
        <is>
          <t>PUERTO</t>
        </is>
      </c>
      <c r="BM919" s="254" t="inlineStr">
        <is>
          <t>ASUB</t>
        </is>
      </c>
      <c r="BN919" s="266" t="inlineStr">
        <is>
          <t>Puerto Collahuasi</t>
        </is>
      </c>
      <c r="BO919" s="254" t="inlineStr">
        <is>
          <t>SI</t>
        </is>
      </c>
      <c r="BP919" s="106" t="inlineStr">
        <is>
          <t>SH-12B PUERTO COLLAHUASI/ASUB</t>
        </is>
      </c>
      <c r="BQ919" s="106">
        <f>VLOOKUP(BP919,[1]AGUA!$1:$1048576,2,FALSE)</f>
        <v/>
      </c>
      <c r="BR919" s="106">
        <f>VLOOKUP(BP919,[1]AGUA!$1:$1048576,6,FALSE)</f>
        <v/>
      </c>
      <c r="BS919" s="106">
        <f>VLOOKUP(BP919,[1]AGUA!$1:$1048576,7,FALSE)</f>
        <v/>
      </c>
      <c r="BT919" s="106" t="n"/>
      <c r="BU919" s="252"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4" t="n"/>
      <c r="DB919" s="254" t="n"/>
      <c r="DC919" s="254" t="n"/>
      <c r="DD919" s="254" t="n"/>
      <c r="DE919" s="254" t="n"/>
      <c r="DF919" s="254" t="n"/>
      <c r="DG919" s="254" t="n"/>
      <c r="DH919" s="254" t="n"/>
      <c r="DI919" s="254" t="n"/>
      <c r="DJ919" s="254" t="n"/>
      <c r="DK919" s="254" t="n"/>
      <c r="DL919" s="95" t="n"/>
      <c r="DM919" s="254" t="inlineStr">
        <is>
          <t>T</t>
        </is>
      </c>
      <c r="DN919" s="95" t="n">
        <v>22</v>
      </c>
      <c r="DO919" s="95" t="n">
        <v>28</v>
      </c>
    </row>
    <row r="920" ht="13" customHeight="1">
      <c r="A920" s="203" t="inlineStr">
        <is>
          <t>SH-13</t>
        </is>
      </c>
      <c r="B920" s="260"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259" t="inlineStr">
        <is>
          <t>532MASH</t>
        </is>
      </c>
      <c r="BL920" s="61" t="inlineStr">
        <is>
          <t>PUERTO</t>
        </is>
      </c>
      <c r="BM920" s="254" t="inlineStr">
        <is>
          <t>NF</t>
        </is>
      </c>
      <c r="BN920" s="266" t="inlineStr">
        <is>
          <t>Puerto Collahuasi</t>
        </is>
      </c>
      <c r="BO920" s="254"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4" t="n"/>
      <c r="DB920" s="254" t="n"/>
      <c r="DC920" s="254" t="n"/>
      <c r="DD920" s="254" t="n"/>
      <c r="DE920" s="254" t="n"/>
      <c r="DF920" s="254" t="n"/>
      <c r="DG920" s="254" t="n"/>
      <c r="DH920" s="254" t="n"/>
      <c r="DI920" s="254" t="n"/>
      <c r="DJ920" s="254" t="inlineStr">
        <is>
          <t>T</t>
        </is>
      </c>
      <c r="DK920" s="254" t="n">
        <v>22</v>
      </c>
      <c r="DL920" s="95" t="n">
        <v>28</v>
      </c>
      <c r="DM920" s="254" t="n"/>
      <c r="DN920" s="95" t="n"/>
      <c r="DO920" s="95" t="n"/>
    </row>
    <row r="921" ht="12.65" customHeight="1">
      <c r="A921" s="203" t="inlineStr">
        <is>
          <t>SH-14</t>
        </is>
      </c>
      <c r="B921" s="260"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259" t="inlineStr">
        <is>
          <t>532MASH</t>
        </is>
      </c>
      <c r="BL921" s="61" t="inlineStr">
        <is>
          <t>PUERTO</t>
        </is>
      </c>
      <c r="BM921" s="254" t="inlineStr">
        <is>
          <t>NF</t>
        </is>
      </c>
      <c r="BN921" s="266" t="inlineStr">
        <is>
          <t>Puerto Collahuasi</t>
        </is>
      </c>
      <c r="BO921" s="254"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4" t="n"/>
      <c r="DB921" s="254" t="n"/>
      <c r="DC921" s="254" t="n"/>
      <c r="DD921" s="254" t="n"/>
      <c r="DE921" s="254" t="n"/>
      <c r="DF921" s="254" t="n"/>
      <c r="DG921" s="254" t="n"/>
      <c r="DH921" s="254" t="n"/>
      <c r="DI921" s="254" t="n"/>
      <c r="DJ921" s="254" t="inlineStr">
        <is>
          <t>T</t>
        </is>
      </c>
      <c r="DK921" s="254" t="n">
        <v>22</v>
      </c>
      <c r="DL921" s="95" t="n">
        <v>28</v>
      </c>
      <c r="DM921" s="254" t="n"/>
      <c r="DN921" s="95" t="n"/>
      <c r="DO921" s="95" t="n"/>
    </row>
    <row r="922" ht="13" customHeight="1">
      <c r="A922" s="203" t="inlineStr">
        <is>
          <t>SH-15</t>
        </is>
      </c>
      <c r="B922" s="260"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259" t="inlineStr">
        <is>
          <t>532MASH</t>
        </is>
      </c>
      <c r="BL922" s="61" t="inlineStr">
        <is>
          <t>PUERTO</t>
        </is>
      </c>
      <c r="BM922" s="254" t="inlineStr">
        <is>
          <t>NF</t>
        </is>
      </c>
      <c r="BN922" s="266" t="inlineStr">
        <is>
          <t>Puerto Collahuasi</t>
        </is>
      </c>
      <c r="BO922" s="254"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4" t="n"/>
      <c r="DB922" s="254" t="n"/>
      <c r="DC922" s="254" t="n"/>
      <c r="DD922" s="254" t="n"/>
      <c r="DE922" s="254" t="n"/>
      <c r="DF922" s="254" t="n"/>
      <c r="DG922" s="254" t="n"/>
      <c r="DH922" s="254" t="n"/>
      <c r="DI922" s="254" t="n"/>
      <c r="DJ922" s="254" t="inlineStr">
        <is>
          <t>T</t>
        </is>
      </c>
      <c r="DK922" s="254" t="n">
        <v>22</v>
      </c>
      <c r="DL922" s="95" t="n">
        <v>28</v>
      </c>
      <c r="DM922" s="254" t="n"/>
      <c r="DN922" s="95" t="n"/>
      <c r="DO922" s="95" t="n"/>
    </row>
    <row r="923" ht="13" customHeight="1">
      <c r="A923" s="203" t="inlineStr">
        <is>
          <t>SH-16</t>
        </is>
      </c>
      <c r="B923" s="260"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259" t="inlineStr">
        <is>
          <t>532MASH</t>
        </is>
      </c>
      <c r="BL923" s="61" t="inlineStr">
        <is>
          <t>PUERTO</t>
        </is>
      </c>
      <c r="BM923" s="254" t="inlineStr">
        <is>
          <t>NF</t>
        </is>
      </c>
      <c r="BN923" s="266" t="inlineStr">
        <is>
          <t>Puerto Collahuasi</t>
        </is>
      </c>
      <c r="BO923" s="254"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4" t="n"/>
      <c r="DB923" s="254" t="n"/>
      <c r="DC923" s="254" t="n"/>
      <c r="DD923" s="254" t="n"/>
      <c r="DE923" s="254" t="n"/>
      <c r="DF923" s="254" t="n"/>
      <c r="DG923" s="254" t="n"/>
      <c r="DH923" s="254" t="n"/>
      <c r="DI923" s="254" t="n"/>
      <c r="DJ923" s="254" t="inlineStr">
        <is>
          <t>T</t>
        </is>
      </c>
      <c r="DK923" s="254" t="n">
        <v>22</v>
      </c>
      <c r="DL923" s="95" t="n">
        <v>28</v>
      </c>
      <c r="DM923" s="254" t="n"/>
      <c r="DN923" s="95" t="n"/>
      <c r="DO923" s="95" t="n"/>
    </row>
    <row r="924" ht="13" customHeight="1">
      <c r="A924" s="203" t="inlineStr">
        <is>
          <t>SH-17A</t>
        </is>
      </c>
      <c r="B924" s="260"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259" t="inlineStr">
        <is>
          <t>532MASH</t>
        </is>
      </c>
      <c r="BL924" s="61" t="inlineStr">
        <is>
          <t>PUERTO</t>
        </is>
      </c>
      <c r="BM924" s="254" t="inlineStr">
        <is>
          <t>NF</t>
        </is>
      </c>
      <c r="BN924" s="266" t="inlineStr">
        <is>
          <t>Puerto Collahuasi</t>
        </is>
      </c>
      <c r="BO924" s="254"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4" t="n"/>
      <c r="DB924" s="254" t="n"/>
      <c r="DC924" s="254" t="n"/>
      <c r="DD924" s="254" t="n"/>
      <c r="DE924" s="254" t="n"/>
      <c r="DF924" s="254" t="n"/>
      <c r="DG924" s="254" t="n"/>
      <c r="DH924" s="254" t="n"/>
      <c r="DI924" s="254" t="n"/>
      <c r="DJ924" s="254" t="inlineStr">
        <is>
          <t>T</t>
        </is>
      </c>
      <c r="DK924" s="254" t="n">
        <v>22</v>
      </c>
      <c r="DL924" s="95" t="n">
        <v>28</v>
      </c>
      <c r="DM924" s="254" t="n"/>
      <c r="DN924" s="95" t="n"/>
      <c r="DO924" s="95" t="n"/>
    </row>
    <row r="925" ht="13" customHeight="1">
      <c r="A925" s="203" t="inlineStr">
        <is>
          <t>SH-17B</t>
        </is>
      </c>
      <c r="B925" s="260"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259" t="inlineStr">
        <is>
          <t>532MASH</t>
        </is>
      </c>
      <c r="BL925" s="61" t="inlineStr">
        <is>
          <t>PUERTO</t>
        </is>
      </c>
      <c r="BM925" s="254" t="inlineStr">
        <is>
          <t>NF</t>
        </is>
      </c>
      <c r="BN925" s="266" t="inlineStr">
        <is>
          <t>Puerto Collahuasi</t>
        </is>
      </c>
      <c r="BO925" s="254"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4" t="n"/>
      <c r="DB925" s="254" t="n"/>
      <c r="DC925" s="254" t="n"/>
      <c r="DD925" s="254" t="n"/>
      <c r="DE925" s="254" t="n"/>
      <c r="DF925" s="254" t="n"/>
      <c r="DG925" s="254" t="n"/>
      <c r="DH925" s="254" t="n"/>
      <c r="DI925" s="254" t="n"/>
      <c r="DJ925" s="254" t="inlineStr">
        <is>
          <t>T</t>
        </is>
      </c>
      <c r="DK925" s="254" t="n">
        <v>22</v>
      </c>
      <c r="DL925" s="95" t="n">
        <v>28</v>
      </c>
      <c r="DM925" s="254" t="n"/>
      <c r="DN925" s="95" t="n"/>
      <c r="DO925" s="95" t="n"/>
    </row>
    <row r="926" ht="13" customHeight="1">
      <c r="A926" s="203" t="inlineStr">
        <is>
          <t>SH-18</t>
        </is>
      </c>
      <c r="B926" s="260"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259" t="inlineStr">
        <is>
          <t>532MASH</t>
        </is>
      </c>
      <c r="BL926" s="61" t="inlineStr">
        <is>
          <t>PUERTO</t>
        </is>
      </c>
      <c r="BM926" s="254" t="inlineStr">
        <is>
          <t>NF</t>
        </is>
      </c>
      <c r="BN926" s="266" t="inlineStr">
        <is>
          <t>Puerto Collahuasi</t>
        </is>
      </c>
      <c r="BO926" s="254"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4" t="n"/>
      <c r="DB926" s="254" t="n"/>
      <c r="DC926" s="254" t="n"/>
      <c r="DD926" s="254" t="n"/>
      <c r="DE926" s="254" t="n"/>
      <c r="DF926" s="254" t="n"/>
      <c r="DG926" s="254" t="n"/>
      <c r="DH926" s="254" t="n"/>
      <c r="DI926" s="254" t="n"/>
      <c r="DJ926" s="254" t="inlineStr">
        <is>
          <t>T</t>
        </is>
      </c>
      <c r="DK926" s="254" t="n">
        <v>22</v>
      </c>
      <c r="DL926" s="95" t="n">
        <v>28</v>
      </c>
      <c r="DM926" s="254" t="n"/>
      <c r="DN926" s="95" t="n"/>
      <c r="DO926" s="95" t="n"/>
    </row>
    <row r="927" ht="13" customHeight="1">
      <c r="A927" s="204" t="inlineStr">
        <is>
          <t>SH-19</t>
        </is>
      </c>
      <c r="B927" s="260" t="inlineStr">
        <is>
          <t>SH-19 PUERTO COLLAHUASI</t>
        </is>
      </c>
      <c r="C927" s="254"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259" t="inlineStr">
        <is>
          <t>532MASH</t>
        </is>
      </c>
      <c r="BL927" s="7" t="inlineStr">
        <is>
          <t>PUERTO</t>
        </is>
      </c>
      <c r="BM927" s="254" t="inlineStr">
        <is>
          <t>NF</t>
        </is>
      </c>
      <c r="BN927" s="266" t="inlineStr">
        <is>
          <t>Puerto Collahuasi</t>
        </is>
      </c>
      <c r="BO927" s="254" t="inlineStr">
        <is>
          <t>SI</t>
        </is>
      </c>
      <c r="BP927" s="106" t="inlineStr">
        <is>
          <t>SH-19 PUERTO COLLAHUASI/NF</t>
        </is>
      </c>
      <c r="BQ927" s="106">
        <f>VLOOKUP(BP927,[1]AGUA!$1:$1048576,2,FALSE)</f>
        <v/>
      </c>
      <c r="BR927" s="106">
        <f>VLOOKUP(BP927,[1]AGUA!$1:$1048576,6,FALSE)</f>
        <v/>
      </c>
      <c r="BS927" s="106">
        <f>VLOOKUP(BP927,[1]AGUA!$1:$1048576,7,FALSE)</f>
        <v/>
      </c>
      <c r="BT927" s="106" t="n"/>
      <c r="BU927" s="251" t="n"/>
      <c r="BV927" s="142" t="inlineStr">
        <is>
          <t>R</t>
        </is>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4" t="n"/>
      <c r="DB927" s="254" t="n"/>
      <c r="DC927" s="254" t="n"/>
      <c r="DD927" s="254" t="n"/>
      <c r="DE927" s="254" t="n"/>
      <c r="DF927" s="254" t="n"/>
      <c r="DG927" s="254" t="n"/>
      <c r="DH927" s="254" t="n"/>
      <c r="DI927" s="254" t="n"/>
      <c r="DJ927" s="254" t="inlineStr">
        <is>
          <t>S</t>
        </is>
      </c>
      <c r="DK927" s="254" t="inlineStr">
        <is>
          <t>R</t>
        </is>
      </c>
      <c r="DL927" s="95" t="inlineStr">
        <is>
          <t>R</t>
        </is>
      </c>
      <c r="DM927" s="254" t="n"/>
      <c r="DN927" s="95" t="n"/>
      <c r="DO927" s="95" t="n"/>
    </row>
    <row r="928" ht="13" customHeight="1">
      <c r="A928" s="204" t="inlineStr">
        <is>
          <t>SH-19</t>
        </is>
      </c>
      <c r="B928" s="255" t="n"/>
      <c r="C928" s="255"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255" t="n"/>
      <c r="BL928" s="7" t="inlineStr">
        <is>
          <t>PUERTO</t>
        </is>
      </c>
      <c r="BM928" s="168" t="inlineStr">
        <is>
          <t>ASUB</t>
        </is>
      </c>
      <c r="BN928" s="266" t="inlineStr">
        <is>
          <t>Puerto Collahuasi</t>
        </is>
      </c>
      <c r="BO928" s="254" t="inlineStr">
        <is>
          <t>SI</t>
        </is>
      </c>
      <c r="BP928" s="106" t="inlineStr">
        <is>
          <t>SH-19 PUERTO COLLAHUASI/ASUB</t>
        </is>
      </c>
      <c r="BQ928" s="106">
        <f>VLOOKUP(BP928,[1]AGUA!$1:$1048576,2,FALSE)</f>
        <v/>
      </c>
      <c r="BR928" s="106">
        <f>VLOOKUP(BP928,[1]AGUA!$1:$1048576,6,FALSE)</f>
        <v/>
      </c>
      <c r="BS928" s="106">
        <f>VLOOKUP(BP928,[1]AGUA!$1:$1048576,7,FALSE)</f>
        <v/>
      </c>
      <c r="BT928" s="106" t="n"/>
      <c r="BU928" s="252"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4" t="n"/>
      <c r="DB928" s="254" t="n"/>
      <c r="DC928" s="254" t="n"/>
      <c r="DD928" s="254" t="n"/>
      <c r="DE928" s="254" t="n"/>
      <c r="DF928" s="254" t="n"/>
      <c r="DG928" s="254" t="n"/>
      <c r="DH928" s="254" t="n"/>
      <c r="DI928" s="254" t="n"/>
      <c r="DJ928" s="254" t="n"/>
      <c r="DK928" s="254" t="n"/>
      <c r="DL928" s="95" t="n"/>
      <c r="DM928" s="254" t="inlineStr">
        <is>
          <t>M</t>
        </is>
      </c>
      <c r="DN928" s="95" t="n">
        <v>15</v>
      </c>
      <c r="DO928" s="95" t="n">
        <v>21</v>
      </c>
    </row>
    <row r="929" ht="13" customHeight="1">
      <c r="A929" s="204" t="inlineStr">
        <is>
          <t>SH-20</t>
        </is>
      </c>
      <c r="B929" s="260" t="inlineStr">
        <is>
          <t>SH-20 PUERTO COLLAHUASI</t>
        </is>
      </c>
      <c r="C929" s="254"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259" t="inlineStr">
        <is>
          <t>532MASH</t>
        </is>
      </c>
      <c r="BL929" s="7" t="inlineStr">
        <is>
          <t>PUERTO</t>
        </is>
      </c>
      <c r="BM929" s="254" t="inlineStr">
        <is>
          <t>NF</t>
        </is>
      </c>
      <c r="BN929" s="266" t="inlineStr">
        <is>
          <t>Puerto Collahuasi</t>
        </is>
      </c>
      <c r="BO929" s="254" t="inlineStr">
        <is>
          <t>SI</t>
        </is>
      </c>
      <c r="BP929" s="106" t="inlineStr">
        <is>
          <t>SH-20 PUERTO COLLAHUASI/NF</t>
        </is>
      </c>
      <c r="BQ929" s="106">
        <f>VLOOKUP(BP929,[1]AGUA!$1:$1048576,2,FALSE)</f>
        <v/>
      </c>
      <c r="BR929" s="106">
        <f>VLOOKUP(BP929,[1]AGUA!$1:$1048576,6,FALSE)</f>
        <v/>
      </c>
      <c r="BS929" s="106">
        <f>VLOOKUP(BP929,[1]AGUA!$1:$1048576,7,FALSE)</f>
        <v/>
      </c>
      <c r="BT929" s="106" t="n"/>
      <c r="BU929" s="251"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4" t="n"/>
      <c r="DB929" s="254" t="n"/>
      <c r="DC929" s="254" t="n"/>
      <c r="DD929" s="254" t="n"/>
      <c r="DE929" s="254" t="n"/>
      <c r="DF929" s="254" t="n"/>
      <c r="DG929" s="254" t="n"/>
      <c r="DH929" s="254" t="n"/>
      <c r="DI929" s="254" t="n"/>
      <c r="DJ929" s="254" t="inlineStr">
        <is>
          <t>M</t>
        </is>
      </c>
      <c r="DK929" s="254" t="n">
        <v>15</v>
      </c>
      <c r="DL929" s="95" t="n">
        <v>21</v>
      </c>
      <c r="DM929" s="254" t="n"/>
      <c r="DN929" s="95" t="n"/>
      <c r="DO929" s="95" t="n"/>
    </row>
    <row r="930" ht="12.65" customHeight="1">
      <c r="A930" s="204" t="inlineStr">
        <is>
          <t>SH-20</t>
        </is>
      </c>
      <c r="B930" s="255" t="n"/>
      <c r="C930" s="255"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255" t="n"/>
      <c r="BL930" s="7" t="inlineStr">
        <is>
          <t>PUERTO</t>
        </is>
      </c>
      <c r="BM930" s="168" t="inlineStr">
        <is>
          <t>ASUB</t>
        </is>
      </c>
      <c r="BN930" s="266" t="inlineStr">
        <is>
          <t>Puerto Collahuasi</t>
        </is>
      </c>
      <c r="BO930" s="254" t="inlineStr">
        <is>
          <t>SI</t>
        </is>
      </c>
      <c r="BP930" s="106" t="inlineStr">
        <is>
          <t>SH-20 PUERTO COLLAHUASI/ASUB</t>
        </is>
      </c>
      <c r="BQ930" s="106">
        <f>VLOOKUP(BP930,[1]AGUA!$1:$1048576,2,FALSE)</f>
        <v/>
      </c>
      <c r="BR930" s="106">
        <f>VLOOKUP(BP930,[1]AGUA!$1:$1048576,6,FALSE)</f>
        <v/>
      </c>
      <c r="BS930" s="106">
        <f>VLOOKUP(BP930,[1]AGUA!$1:$1048576,7,FALSE)</f>
        <v/>
      </c>
      <c r="BT930" s="106" t="n"/>
      <c r="BU930" s="252"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4" t="n"/>
      <c r="DB930" s="254" t="n"/>
      <c r="DC930" s="254" t="n"/>
      <c r="DD930" s="254" t="n"/>
      <c r="DE930" s="254" t="n"/>
      <c r="DF930" s="254" t="n"/>
      <c r="DG930" s="254" t="n"/>
      <c r="DH930" s="254" t="n"/>
      <c r="DI930" s="254" t="n"/>
      <c r="DJ930" s="254" t="n"/>
      <c r="DK930" s="254" t="n"/>
      <c r="DL930" s="95" t="n"/>
      <c r="DM930" s="254" t="inlineStr">
        <is>
          <t>M</t>
        </is>
      </c>
      <c r="DN930" s="95" t="n">
        <v>15</v>
      </c>
      <c r="DO930" s="95" t="n">
        <v>21</v>
      </c>
    </row>
    <row r="931" ht="13" customHeight="1">
      <c r="A931" s="204" t="inlineStr">
        <is>
          <t>SH-21</t>
        </is>
      </c>
      <c r="B931" s="260" t="inlineStr">
        <is>
          <t>SH-21 PUERTO COLLAHUASI</t>
        </is>
      </c>
      <c r="C931" s="254"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259" t="inlineStr">
        <is>
          <t>532MASH</t>
        </is>
      </c>
      <c r="BL931" s="7" t="inlineStr">
        <is>
          <t>PUERTO</t>
        </is>
      </c>
      <c r="BM931" s="254" t="inlineStr">
        <is>
          <t>NF</t>
        </is>
      </c>
      <c r="BN931" s="266" t="inlineStr">
        <is>
          <t>Puerto Collahuasi</t>
        </is>
      </c>
      <c r="BO931" s="254" t="inlineStr">
        <is>
          <t>SI</t>
        </is>
      </c>
      <c r="BP931" s="106" t="inlineStr">
        <is>
          <t>SH-21 PUERTO COLLAHUASI/NF</t>
        </is>
      </c>
      <c r="BQ931" s="106">
        <f>VLOOKUP(BP931,[1]AGUA!$1:$1048576,2,FALSE)</f>
        <v/>
      </c>
      <c r="BR931" s="106">
        <f>VLOOKUP(BP931,[1]AGUA!$1:$1048576,6,FALSE)</f>
        <v/>
      </c>
      <c r="BS931" s="106">
        <f>VLOOKUP(BP931,[1]AGUA!$1:$1048576,7,FALSE)</f>
        <v/>
      </c>
      <c r="BT931" s="106" t="n"/>
      <c r="BU931" s="251"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4" t="n"/>
      <c r="DB931" s="254" t="n"/>
      <c r="DC931" s="254" t="n"/>
      <c r="DD931" s="254" t="n"/>
      <c r="DE931" s="254" t="n"/>
      <c r="DF931" s="254" t="n"/>
      <c r="DG931" s="254" t="n"/>
      <c r="DH931" s="254" t="n"/>
      <c r="DI931" s="254" t="n"/>
      <c r="DJ931" s="254" t="inlineStr">
        <is>
          <t>M</t>
        </is>
      </c>
      <c r="DK931" s="254" t="n">
        <v>8</v>
      </c>
      <c r="DL931" s="95" t="n">
        <v>14</v>
      </c>
      <c r="DM931" s="254" t="n"/>
      <c r="DN931" s="95" t="n"/>
      <c r="DO931" s="95" t="n"/>
    </row>
    <row r="932" ht="13" customHeight="1">
      <c r="A932" s="204" t="inlineStr">
        <is>
          <t>SH-21</t>
        </is>
      </c>
      <c r="B932" s="255" t="n"/>
      <c r="C932" s="255"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255" t="n"/>
      <c r="BL932" s="7" t="inlineStr">
        <is>
          <t>PUERTO</t>
        </is>
      </c>
      <c r="BM932" s="254" t="inlineStr">
        <is>
          <t>ASUB</t>
        </is>
      </c>
      <c r="BN932" s="266" t="inlineStr">
        <is>
          <t>Puerto Collahuasi</t>
        </is>
      </c>
      <c r="BO932" s="254" t="inlineStr">
        <is>
          <t>SI</t>
        </is>
      </c>
      <c r="BP932" s="106" t="inlineStr">
        <is>
          <t>SH-21 PUERTO COLLAHUASI/ASUB</t>
        </is>
      </c>
      <c r="BQ932" s="106">
        <f>VLOOKUP(BP932,[1]AGUA!$1:$1048576,2,FALSE)</f>
        <v/>
      </c>
      <c r="BR932" s="106">
        <f>VLOOKUP(BP932,[1]AGUA!$1:$1048576,6,FALSE)</f>
        <v/>
      </c>
      <c r="BS932" s="106">
        <f>VLOOKUP(BP932,[1]AGUA!$1:$1048576,7,FALSE)</f>
        <v/>
      </c>
      <c r="BT932" s="106" t="n"/>
      <c r="BU932" s="252"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4" t="n"/>
      <c r="DB932" s="254" t="n"/>
      <c r="DC932" s="254" t="n"/>
      <c r="DD932" s="254" t="n"/>
      <c r="DE932" s="254" t="n"/>
      <c r="DF932" s="254" t="n"/>
      <c r="DG932" s="254" t="n"/>
      <c r="DH932" s="254" t="n"/>
      <c r="DI932" s="254" t="n"/>
      <c r="DJ932" s="254" t="n"/>
      <c r="DK932" s="254" t="n"/>
      <c r="DL932" s="95" t="n"/>
      <c r="DM932" s="254" t="inlineStr">
        <is>
          <t>M</t>
        </is>
      </c>
      <c r="DN932" s="95" t="n">
        <v>8</v>
      </c>
      <c r="DO932" s="95" t="n">
        <v>14</v>
      </c>
    </row>
    <row r="933" ht="17.15" customHeight="1">
      <c r="A933" s="204" t="inlineStr">
        <is>
          <t>SH-22</t>
        </is>
      </c>
      <c r="B933" s="260" t="inlineStr">
        <is>
          <t>SH-22 PUERTO COLLAHUASI</t>
        </is>
      </c>
      <c r="C933" s="254"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259" t="inlineStr">
        <is>
          <t>532MASH</t>
        </is>
      </c>
      <c r="BL933" s="7" t="inlineStr">
        <is>
          <t>PUERTO</t>
        </is>
      </c>
      <c r="BM933" s="254" t="inlineStr">
        <is>
          <t>NF</t>
        </is>
      </c>
      <c r="BN933" s="266" t="inlineStr">
        <is>
          <t>Puerto Collahuasi</t>
        </is>
      </c>
      <c r="BO933" s="254" t="inlineStr">
        <is>
          <t>SI</t>
        </is>
      </c>
      <c r="BP933" s="106" t="inlineStr">
        <is>
          <t>SH-22 PUERTO COLLAHUASI/NF</t>
        </is>
      </c>
      <c r="BQ933" s="106">
        <f>VLOOKUP(BP933,[1]AGUA!$1:$1048576,2,FALSE)</f>
        <v/>
      </c>
      <c r="BR933" s="106">
        <f>VLOOKUP(BP933,[1]AGUA!$1:$1048576,6,FALSE)</f>
        <v/>
      </c>
      <c r="BS933" s="106">
        <f>VLOOKUP(BP933,[1]AGUA!$1:$1048576,7,FALSE)</f>
        <v/>
      </c>
      <c r="BT933" s="106" t="n"/>
      <c r="BU933" s="251"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4" t="n"/>
      <c r="DB933" s="254" t="n"/>
      <c r="DC933" s="254" t="n"/>
      <c r="DD933" s="254" t="n"/>
      <c r="DE933" s="254" t="n"/>
      <c r="DF933" s="254" t="n"/>
      <c r="DG933" s="254" t="n"/>
      <c r="DH933" s="254" t="n"/>
      <c r="DI933" s="254" t="n"/>
      <c r="DJ933" s="254" t="inlineStr">
        <is>
          <t>M</t>
        </is>
      </c>
      <c r="DK933" s="254" t="n">
        <v>15</v>
      </c>
      <c r="DL933" s="95" t="n">
        <v>21</v>
      </c>
      <c r="DM933" s="254" t="n"/>
      <c r="DN933" s="95" t="n"/>
      <c r="DO933" s="95" t="n"/>
    </row>
    <row r="934" ht="13" customHeight="1">
      <c r="A934" s="204" t="inlineStr">
        <is>
          <t>SH-22</t>
        </is>
      </c>
      <c r="B934" s="255" t="n"/>
      <c r="C934" s="255"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255" t="n"/>
      <c r="BL934" s="7" t="inlineStr">
        <is>
          <t>PUERTO</t>
        </is>
      </c>
      <c r="BM934" s="168" t="inlineStr">
        <is>
          <t>ASUB</t>
        </is>
      </c>
      <c r="BN934" s="266" t="inlineStr">
        <is>
          <t>Puerto Collahuasi</t>
        </is>
      </c>
      <c r="BO934" s="254" t="inlineStr">
        <is>
          <t>SI</t>
        </is>
      </c>
      <c r="BP934" s="106" t="inlineStr">
        <is>
          <t>SH-22 PUERTO COLLAHUASI/ASUB</t>
        </is>
      </c>
      <c r="BQ934" s="106">
        <f>VLOOKUP(BP934,[1]AGUA!$1:$1048576,2,FALSE)</f>
        <v/>
      </c>
      <c r="BR934" s="106">
        <f>VLOOKUP(BP934,[1]AGUA!$1:$1048576,6,FALSE)</f>
        <v/>
      </c>
      <c r="BS934" s="106">
        <f>VLOOKUP(BP934,[1]AGUA!$1:$1048576,7,FALSE)</f>
        <v/>
      </c>
      <c r="BT934" s="106" t="n"/>
      <c r="BU934" s="252"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4" t="n"/>
      <c r="DB934" s="254" t="n"/>
      <c r="DC934" s="254" t="n"/>
      <c r="DD934" s="254" t="n"/>
      <c r="DE934" s="254" t="n"/>
      <c r="DF934" s="254" t="n"/>
      <c r="DG934" s="254" t="n"/>
      <c r="DH934" s="254" t="n"/>
      <c r="DI934" s="254" t="n"/>
      <c r="DJ934" s="254" t="n"/>
      <c r="DK934" s="254" t="n"/>
      <c r="DL934" s="95" t="n"/>
      <c r="DM934" s="254" t="inlineStr">
        <is>
          <t>M</t>
        </is>
      </c>
      <c r="DN934" s="95" t="n">
        <v>15</v>
      </c>
      <c r="DO934" s="95" t="n">
        <v>21</v>
      </c>
    </row>
    <row r="935" ht="13" customHeight="1">
      <c r="A935" s="204" t="inlineStr">
        <is>
          <t>SH-23</t>
        </is>
      </c>
      <c r="B935" s="260" t="inlineStr">
        <is>
          <t>SH-23 PUERTO COLLAHUASI</t>
        </is>
      </c>
      <c r="C935" s="254"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259" t="inlineStr">
        <is>
          <t>532MASH</t>
        </is>
      </c>
      <c r="BL935" s="7" t="inlineStr">
        <is>
          <t>PUERTO</t>
        </is>
      </c>
      <c r="BM935" s="254" t="inlineStr">
        <is>
          <t>NF</t>
        </is>
      </c>
      <c r="BN935" s="266" t="inlineStr">
        <is>
          <t>Puerto Collahuasi</t>
        </is>
      </c>
      <c r="BO935" s="254" t="inlineStr">
        <is>
          <t>SI</t>
        </is>
      </c>
      <c r="BP935" s="106" t="inlineStr">
        <is>
          <t>SH-23 PUERTO COLLAHUASI/NF</t>
        </is>
      </c>
      <c r="BQ935" s="106">
        <f>VLOOKUP(BP935,[1]AGUA!$1:$1048576,2,FALSE)</f>
        <v/>
      </c>
      <c r="BR935" s="106">
        <f>VLOOKUP(BP935,[1]AGUA!$1:$1048576,6,FALSE)</f>
        <v/>
      </c>
      <c r="BS935" s="106">
        <f>VLOOKUP(BP935,[1]AGUA!$1:$1048576,7,FALSE)</f>
        <v/>
      </c>
      <c r="BT935" s="106" t="n"/>
      <c r="BU935" s="251"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4" t="n"/>
      <c r="DB935" s="254" t="n"/>
      <c r="DC935" s="254" t="n"/>
      <c r="DD935" s="254" t="n"/>
      <c r="DE935" s="254" t="n"/>
      <c r="DF935" s="254" t="n"/>
      <c r="DG935" s="254" t="n"/>
      <c r="DH935" s="254" t="n"/>
      <c r="DI935" s="254" t="n"/>
      <c r="DJ935" s="254" t="inlineStr">
        <is>
          <t>M</t>
        </is>
      </c>
      <c r="DK935" s="254" t="n">
        <v>15</v>
      </c>
      <c r="DL935" s="95" t="n">
        <v>21</v>
      </c>
      <c r="DM935" s="254" t="n"/>
      <c r="DN935" s="95" t="n"/>
      <c r="DO935" s="95" t="n"/>
    </row>
    <row r="936" ht="13" customHeight="1">
      <c r="A936" s="204" t="inlineStr">
        <is>
          <t>SH-23</t>
        </is>
      </c>
      <c r="B936" s="255" t="n"/>
      <c r="C936" s="255"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255" t="n"/>
      <c r="BL936" s="7" t="inlineStr">
        <is>
          <t>PUERTO</t>
        </is>
      </c>
      <c r="BM936" s="168" t="inlineStr">
        <is>
          <t>ASUB</t>
        </is>
      </c>
      <c r="BN936" s="266" t="inlineStr">
        <is>
          <t>Puerto Collahuasi</t>
        </is>
      </c>
      <c r="BO936" s="254" t="inlineStr">
        <is>
          <t>SI</t>
        </is>
      </c>
      <c r="BP936" s="106" t="inlineStr">
        <is>
          <t>SH-23 PUERTO COLLAHUASI/ASUB</t>
        </is>
      </c>
      <c r="BQ936" s="106">
        <f>VLOOKUP(BP936,[1]AGUA!$1:$1048576,2,FALSE)</f>
        <v/>
      </c>
      <c r="BR936" s="106">
        <f>VLOOKUP(BP936,[1]AGUA!$1:$1048576,6,FALSE)</f>
        <v/>
      </c>
      <c r="BS936" s="106">
        <f>VLOOKUP(BP936,[1]AGUA!$1:$1048576,7,FALSE)</f>
        <v/>
      </c>
      <c r="BT936" s="106" t="n"/>
      <c r="BU936" s="252"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4" t="n"/>
      <c r="DB936" s="254" t="n"/>
      <c r="DC936" s="254" t="n"/>
      <c r="DD936" s="254" t="n"/>
      <c r="DE936" s="254" t="n"/>
      <c r="DF936" s="254" t="n"/>
      <c r="DG936" s="254" t="n"/>
      <c r="DH936" s="254" t="n"/>
      <c r="DI936" s="254" t="n"/>
      <c r="DJ936" s="254" t="n"/>
      <c r="DK936" s="254" t="n"/>
      <c r="DL936" s="95" t="n"/>
      <c r="DM936" s="254" t="inlineStr">
        <is>
          <t>M</t>
        </is>
      </c>
      <c r="DN936" s="95" t="n">
        <v>15</v>
      </c>
      <c r="DO936" s="95" t="n">
        <v>21</v>
      </c>
    </row>
    <row r="937" ht="13" customHeight="1">
      <c r="A937" s="203" t="inlineStr">
        <is>
          <t>SHA-E01</t>
        </is>
      </c>
      <c r="B937" s="260"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259" t="inlineStr">
        <is>
          <t>532MASHA</t>
        </is>
      </c>
      <c r="BL937" s="61" t="inlineStr">
        <is>
          <t>GMAP-SIGA</t>
        </is>
      </c>
      <c r="BM937" s="254" t="inlineStr">
        <is>
          <t>NF</t>
        </is>
      </c>
      <c r="BN937" s="266" t="inlineStr">
        <is>
          <t>Huasco</t>
        </is>
      </c>
      <c r="BO937" s="254"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4" t="n"/>
      <c r="DB937" s="254" t="n"/>
      <c r="DC937" s="254" t="n"/>
      <c r="DD937" s="254" t="n"/>
      <c r="DE937" s="254" t="n"/>
      <c r="DF937" s="254" t="n"/>
      <c r="DG937" s="254" t="n"/>
      <c r="DH937" s="254" t="n"/>
      <c r="DI937" s="254" t="n"/>
      <c r="DJ937" s="254" t="inlineStr">
        <is>
          <t>STRAL</t>
        </is>
      </c>
      <c r="DK937" s="254" t="n">
        <v>15</v>
      </c>
      <c r="DL937" s="95" t="n">
        <v>28</v>
      </c>
      <c r="DM937" s="254" t="n"/>
      <c r="DN937" s="95" t="n"/>
      <c r="DO937" s="95" t="n"/>
    </row>
    <row r="938" ht="13" customHeight="1">
      <c r="A938" s="203" t="inlineStr">
        <is>
          <t>SHA-E02</t>
        </is>
      </c>
      <c r="B938" s="260"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259" t="inlineStr">
        <is>
          <t>532MASHA</t>
        </is>
      </c>
      <c r="BL938" s="61" t="inlineStr">
        <is>
          <t>GMAP-SIGA</t>
        </is>
      </c>
      <c r="BM938" s="254" t="inlineStr">
        <is>
          <t>NF</t>
        </is>
      </c>
      <c r="BN938" s="266" t="inlineStr">
        <is>
          <t>Huasco</t>
        </is>
      </c>
      <c r="BO938" s="254"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4" t="n"/>
      <c r="DB938" s="254" t="n"/>
      <c r="DC938" s="254" t="n"/>
      <c r="DD938" s="254" t="n"/>
      <c r="DE938" s="254" t="n"/>
      <c r="DF938" s="254" t="n"/>
      <c r="DG938" s="254" t="n"/>
      <c r="DH938" s="254" t="n"/>
      <c r="DI938" s="254" t="n"/>
      <c r="DJ938" s="254" t="inlineStr">
        <is>
          <t>TF</t>
        </is>
      </c>
      <c r="DK938" s="254" t="n">
        <v>15</v>
      </c>
      <c r="DL938" s="95" t="n">
        <v>28</v>
      </c>
      <c r="DM938" s="254" t="n"/>
      <c r="DN938" s="95" t="n"/>
      <c r="DO938" s="95" t="n"/>
    </row>
    <row r="939" ht="13" customHeight="1">
      <c r="A939" s="203" t="inlineStr">
        <is>
          <t>SHA-E03</t>
        </is>
      </c>
      <c r="B939" s="260"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259" t="inlineStr">
        <is>
          <t>532MASHA</t>
        </is>
      </c>
      <c r="BL939" s="61" t="inlineStr">
        <is>
          <t>GMAP-SIGA</t>
        </is>
      </c>
      <c r="BM939" s="254" t="inlineStr">
        <is>
          <t>NF</t>
        </is>
      </c>
      <c r="BN939" s="266" t="inlineStr">
        <is>
          <t>Huasco</t>
        </is>
      </c>
      <c r="BO939" s="254"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4" t="n"/>
      <c r="DB939" s="254" t="n"/>
      <c r="DC939" s="254" t="n"/>
      <c r="DD939" s="254" t="n"/>
      <c r="DE939" s="254" t="n"/>
      <c r="DF939" s="254" t="n"/>
      <c r="DG939" s="254" t="n"/>
      <c r="DH939" s="254" t="n"/>
      <c r="DI939" s="254" t="n"/>
      <c r="DJ939" s="254" t="inlineStr">
        <is>
          <t>TF</t>
        </is>
      </c>
      <c r="DK939" s="254" t="n">
        <v>15</v>
      </c>
      <c r="DL939" s="95" t="n">
        <v>28</v>
      </c>
      <c r="DM939" s="254" t="n"/>
      <c r="DN939" s="95" t="n"/>
      <c r="DO939" s="95" t="n"/>
    </row>
    <row r="940" ht="13" customHeight="1">
      <c r="A940" s="203" t="inlineStr">
        <is>
          <t>SHA-E04</t>
        </is>
      </c>
      <c r="B940" s="260"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259" t="inlineStr">
        <is>
          <t>532MASHA</t>
        </is>
      </c>
      <c r="BL940" s="61" t="inlineStr">
        <is>
          <t>GMAP-SIGA</t>
        </is>
      </c>
      <c r="BM940" s="254" t="inlineStr">
        <is>
          <t>NF</t>
        </is>
      </c>
      <c r="BN940" s="266" t="inlineStr">
        <is>
          <t>Huasco</t>
        </is>
      </c>
      <c r="BO940" s="254"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4" t="n"/>
      <c r="DB940" s="254" t="n"/>
      <c r="DC940" s="254" t="n"/>
      <c r="DD940" s="254" t="n"/>
      <c r="DE940" s="254" t="n"/>
      <c r="DF940" s="254" t="n"/>
      <c r="DG940" s="254" t="n"/>
      <c r="DH940" s="254" t="n"/>
      <c r="DI940" s="254" t="n"/>
      <c r="DJ940" s="254" t="inlineStr">
        <is>
          <t>STRAL</t>
        </is>
      </c>
      <c r="DK940" s="254" t="n">
        <v>15</v>
      </c>
      <c r="DL940" s="95" t="n">
        <v>28</v>
      </c>
      <c r="DM940" s="254" t="n"/>
      <c r="DN940" s="95" t="n"/>
      <c r="DO940" s="95" t="n"/>
    </row>
    <row r="941" ht="13" customHeight="1">
      <c r="A941" s="203" t="inlineStr">
        <is>
          <t>SHA-E05</t>
        </is>
      </c>
      <c r="B941" s="260"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259" t="inlineStr">
        <is>
          <t>532MASHA</t>
        </is>
      </c>
      <c r="BL941" s="61" t="inlineStr">
        <is>
          <t>GMAP-SIGA</t>
        </is>
      </c>
      <c r="BM941" s="254" t="inlineStr">
        <is>
          <t>NF</t>
        </is>
      </c>
      <c r="BN941" s="266" t="inlineStr">
        <is>
          <t>Huasco</t>
        </is>
      </c>
      <c r="BO941" s="254"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4" t="n"/>
      <c r="DB941" s="254" t="n"/>
      <c r="DC941" s="254" t="n"/>
      <c r="DD941" s="254" t="n"/>
      <c r="DE941" s="254" t="n"/>
      <c r="DF941" s="254" t="n"/>
      <c r="DG941" s="254" t="n"/>
      <c r="DH941" s="254" t="n"/>
      <c r="DI941" s="254" t="n"/>
      <c r="DJ941" s="254" t="inlineStr">
        <is>
          <t>TF</t>
        </is>
      </c>
      <c r="DK941" s="254" t="n">
        <v>15</v>
      </c>
      <c r="DL941" s="95" t="n">
        <v>28</v>
      </c>
      <c r="DM941" s="254" t="n"/>
      <c r="DN941" s="95" t="n"/>
      <c r="DO941" s="95" t="n"/>
    </row>
    <row r="942" ht="13" customHeight="1">
      <c r="A942" s="203" t="inlineStr">
        <is>
          <t>SHA-E06</t>
        </is>
      </c>
      <c r="B942" s="260"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259" t="inlineStr">
        <is>
          <t>532MASHA</t>
        </is>
      </c>
      <c r="BL942" s="61" t="inlineStr">
        <is>
          <t>GMAP-SIGA</t>
        </is>
      </c>
      <c r="BM942" s="254" t="inlineStr">
        <is>
          <t>NF</t>
        </is>
      </c>
      <c r="BN942" s="266" t="inlineStr">
        <is>
          <t>Huasco</t>
        </is>
      </c>
      <c r="BO942" s="254"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4" t="n"/>
      <c r="DB942" s="254" t="n"/>
      <c r="DC942" s="254" t="n"/>
      <c r="DD942" s="254" t="n"/>
      <c r="DE942" s="254" t="n"/>
      <c r="DF942" s="254" t="n"/>
      <c r="DG942" s="254" t="n"/>
      <c r="DH942" s="254" t="n"/>
      <c r="DI942" s="254" t="n"/>
      <c r="DJ942" s="254" t="inlineStr">
        <is>
          <t>STRAL</t>
        </is>
      </c>
      <c r="DK942" s="254" t="n">
        <v>15</v>
      </c>
      <c r="DL942" s="95" t="n">
        <v>28</v>
      </c>
      <c r="DM942" s="254" t="n"/>
      <c r="DN942" s="95" t="n"/>
      <c r="DO942" s="95" t="n"/>
    </row>
    <row r="943" ht="13" customHeight="1">
      <c r="A943" s="203" t="inlineStr">
        <is>
          <t>SHA-E07</t>
        </is>
      </c>
      <c r="B943" s="260"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259" t="inlineStr">
        <is>
          <t>532MASHA</t>
        </is>
      </c>
      <c r="BL943" s="61" t="inlineStr">
        <is>
          <t>GMAP-SIGA</t>
        </is>
      </c>
      <c r="BM943" s="254" t="inlineStr">
        <is>
          <t>NF</t>
        </is>
      </c>
      <c r="BN943" s="266" t="inlineStr">
        <is>
          <t>Huasco</t>
        </is>
      </c>
      <c r="BO943" s="254"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4" t="n"/>
      <c r="DB943" s="254" t="n"/>
      <c r="DC943" s="254" t="n"/>
      <c r="DD943" s="254" t="n"/>
      <c r="DE943" s="254" t="n"/>
      <c r="DF943" s="254" t="n"/>
      <c r="DG943" s="254" t="n"/>
      <c r="DH943" s="254" t="n"/>
      <c r="DI943" s="254" t="n"/>
      <c r="DJ943" s="254" t="inlineStr">
        <is>
          <t>STRAL</t>
        </is>
      </c>
      <c r="DK943" s="254" t="n">
        <v>15</v>
      </c>
      <c r="DL943" s="95" t="n">
        <v>28</v>
      </c>
      <c r="DM943" s="254" t="n"/>
      <c r="DN943" s="95" t="n"/>
      <c r="DO943" s="95" t="n"/>
    </row>
    <row r="944" ht="13" customHeight="1">
      <c r="A944" s="203" t="inlineStr">
        <is>
          <t>SHA-E08</t>
        </is>
      </c>
      <c r="B944" s="260"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259" t="inlineStr">
        <is>
          <t>532MASHA</t>
        </is>
      </c>
      <c r="BL944" s="61" t="inlineStr">
        <is>
          <t>GMAP-SIGA</t>
        </is>
      </c>
      <c r="BM944" s="254" t="inlineStr">
        <is>
          <t>NF</t>
        </is>
      </c>
      <c r="BN944" s="266" t="inlineStr">
        <is>
          <t>Huasco</t>
        </is>
      </c>
      <c r="BO944" s="254"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4" t="n"/>
      <c r="DB944" s="254" t="n"/>
      <c r="DC944" s="254" t="n"/>
      <c r="DD944" s="254" t="n"/>
      <c r="DE944" s="254" t="n"/>
      <c r="DF944" s="254" t="n"/>
      <c r="DG944" s="254" t="n"/>
      <c r="DH944" s="254" t="n"/>
      <c r="DI944" s="254" t="n"/>
      <c r="DJ944" s="254" t="inlineStr">
        <is>
          <t>TF</t>
        </is>
      </c>
      <c r="DK944" s="254" t="n">
        <v>15</v>
      </c>
      <c r="DL944" s="95" t="n">
        <v>28</v>
      </c>
      <c r="DM944" s="254" t="n"/>
      <c r="DN944" s="95" t="n"/>
      <c r="DO944" s="95" t="n"/>
    </row>
    <row r="945" ht="13" customHeight="1">
      <c r="A945" s="203" t="inlineStr">
        <is>
          <t>SHA-E09</t>
        </is>
      </c>
      <c r="B945" s="260"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259" t="inlineStr">
        <is>
          <t>532MASHA</t>
        </is>
      </c>
      <c r="BL945" s="61" t="inlineStr">
        <is>
          <t>GMAP-SIGA</t>
        </is>
      </c>
      <c r="BM945" s="254" t="inlineStr">
        <is>
          <t>NF</t>
        </is>
      </c>
      <c r="BN945" s="266" t="inlineStr">
        <is>
          <t>Huasco</t>
        </is>
      </c>
      <c r="BO945" s="254"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4" t="n"/>
      <c r="DB945" s="254" t="n"/>
      <c r="DC945" s="254" t="n"/>
      <c r="DD945" s="254" t="n"/>
      <c r="DE945" s="254" t="n"/>
      <c r="DF945" s="254" t="n"/>
      <c r="DG945" s="254" t="n"/>
      <c r="DH945" s="254" t="n"/>
      <c r="DI945" s="254" t="n"/>
      <c r="DJ945" s="254" t="inlineStr">
        <is>
          <t>TF</t>
        </is>
      </c>
      <c r="DK945" s="254" t="n">
        <v>15</v>
      </c>
      <c r="DL945" s="95" t="n">
        <v>28</v>
      </c>
      <c r="DM945" s="254" t="n"/>
      <c r="DN945" s="95" t="n"/>
      <c r="DO945" s="95" t="n"/>
    </row>
    <row r="946" ht="13" customHeight="1">
      <c r="A946" s="203" t="inlineStr">
        <is>
          <t>SHA-E10</t>
        </is>
      </c>
      <c r="B946" s="260"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259" t="inlineStr">
        <is>
          <t>532MASHA</t>
        </is>
      </c>
      <c r="BL946" s="61" t="inlineStr">
        <is>
          <t>GMAP-SIGA</t>
        </is>
      </c>
      <c r="BM946" s="254" t="inlineStr">
        <is>
          <t>NF</t>
        </is>
      </c>
      <c r="BN946" s="266" t="inlineStr">
        <is>
          <t>Huasco</t>
        </is>
      </c>
      <c r="BO946" s="254"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4" t="n"/>
      <c r="DB946" s="254" t="n"/>
      <c r="DC946" s="254" t="n"/>
      <c r="DD946" s="254" t="n"/>
      <c r="DE946" s="254" t="n"/>
      <c r="DF946" s="254" t="n"/>
      <c r="DG946" s="254" t="n"/>
      <c r="DH946" s="254" t="n"/>
      <c r="DI946" s="254" t="n"/>
      <c r="DJ946" s="254" t="inlineStr">
        <is>
          <t>TF</t>
        </is>
      </c>
      <c r="DK946" s="254" t="n">
        <v>15</v>
      </c>
      <c r="DL946" s="95" t="n">
        <v>28</v>
      </c>
      <c r="DM946" s="254" t="n"/>
      <c r="DN946" s="95" t="n"/>
      <c r="DO946" s="95" t="n"/>
    </row>
    <row r="947" ht="13" customHeight="1">
      <c r="A947" s="203" t="inlineStr">
        <is>
          <t>SHA-E11</t>
        </is>
      </c>
      <c r="B947" s="260"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259" t="inlineStr">
        <is>
          <t>532MASHA</t>
        </is>
      </c>
      <c r="BL947" s="61" t="inlineStr">
        <is>
          <t>GMAP-SIGA</t>
        </is>
      </c>
      <c r="BM947" s="254" t="inlineStr">
        <is>
          <t>NF</t>
        </is>
      </c>
      <c r="BN947" s="266" t="inlineStr">
        <is>
          <t>Huasco</t>
        </is>
      </c>
      <c r="BO947" s="254"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4" t="n"/>
      <c r="DB947" s="254" t="n"/>
      <c r="DC947" s="254" t="n"/>
      <c r="DD947" s="254" t="n"/>
      <c r="DE947" s="254" t="n"/>
      <c r="DF947" s="254" t="n"/>
      <c r="DG947" s="254" t="n"/>
      <c r="DH947" s="254" t="n"/>
      <c r="DI947" s="254" t="n"/>
      <c r="DJ947" s="254" t="inlineStr">
        <is>
          <t>TF</t>
        </is>
      </c>
      <c r="DK947" s="254" t="n">
        <v>15</v>
      </c>
      <c r="DL947" s="95" t="n">
        <v>28</v>
      </c>
      <c r="DM947" s="254" t="n"/>
      <c r="DN947" s="95" t="n"/>
      <c r="DO947" s="95" t="n"/>
    </row>
    <row r="948" ht="13" customHeight="1">
      <c r="A948" s="203" t="inlineStr">
        <is>
          <t>SHA-E12</t>
        </is>
      </c>
      <c r="B948" s="260"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259" t="inlineStr">
        <is>
          <t>532MASHA</t>
        </is>
      </c>
      <c r="BL948" s="61" t="inlineStr">
        <is>
          <t>GMAP-SIGA</t>
        </is>
      </c>
      <c r="BM948" s="254" t="inlineStr">
        <is>
          <t>NF</t>
        </is>
      </c>
      <c r="BN948" s="266" t="inlineStr">
        <is>
          <t>Huasco</t>
        </is>
      </c>
      <c r="BO948" s="254"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4" t="n"/>
      <c r="DB948" s="254" t="n"/>
      <c r="DC948" s="254" t="n"/>
      <c r="DD948" s="254" t="n"/>
      <c r="DE948" s="254" t="n"/>
      <c r="DF948" s="254" t="n"/>
      <c r="DG948" s="254" t="n"/>
      <c r="DH948" s="254" t="n"/>
      <c r="DI948" s="254" t="n"/>
      <c r="DJ948" s="254" t="inlineStr">
        <is>
          <t>STRAL</t>
        </is>
      </c>
      <c r="DK948" s="254" t="n">
        <v>15</v>
      </c>
      <c r="DL948" s="95" t="n">
        <v>28</v>
      </c>
      <c r="DM948" s="254" t="n"/>
      <c r="DN948" s="95" t="n"/>
      <c r="DO948" s="95" t="n"/>
    </row>
    <row r="949" ht="13" customHeight="1">
      <c r="A949" s="203" t="inlineStr">
        <is>
          <t>SHA-E13</t>
        </is>
      </c>
      <c r="B949" s="260"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259" t="inlineStr">
        <is>
          <t>532MASHA</t>
        </is>
      </c>
      <c r="BL949" s="61" t="inlineStr">
        <is>
          <t>GMAP-SIGA</t>
        </is>
      </c>
      <c r="BM949" s="254" t="inlineStr">
        <is>
          <t>NF</t>
        </is>
      </c>
      <c r="BN949" s="266" t="inlineStr">
        <is>
          <t>Huasco</t>
        </is>
      </c>
      <c r="BO949" s="254"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4" t="n"/>
      <c r="DB949" s="254" t="n"/>
      <c r="DC949" s="254" t="n"/>
      <c r="DD949" s="254" t="n"/>
      <c r="DE949" s="254" t="n"/>
      <c r="DF949" s="254" t="n"/>
      <c r="DG949" s="254" t="n"/>
      <c r="DH949" s="254" t="n"/>
      <c r="DI949" s="254" t="n"/>
      <c r="DJ949" s="254" t="inlineStr">
        <is>
          <t>TF</t>
        </is>
      </c>
      <c r="DK949" s="254" t="n">
        <v>15</v>
      </c>
      <c r="DL949" s="95" t="n">
        <v>28</v>
      </c>
      <c r="DM949" s="254" t="n"/>
      <c r="DN949" s="95" t="n"/>
      <c r="DO949" s="95" t="n"/>
    </row>
    <row r="950" ht="13" customHeight="1">
      <c r="A950" s="203" t="inlineStr">
        <is>
          <t>SHA-E14</t>
        </is>
      </c>
      <c r="B950" s="260"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259" t="inlineStr">
        <is>
          <t>532MASHA</t>
        </is>
      </c>
      <c r="BL950" s="61" t="inlineStr">
        <is>
          <t>GMAP-SIGA</t>
        </is>
      </c>
      <c r="BM950" s="254" t="inlineStr">
        <is>
          <t>NF</t>
        </is>
      </c>
      <c r="BN950" s="266" t="inlineStr">
        <is>
          <t>Huasco</t>
        </is>
      </c>
      <c r="BO950" s="254"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4" t="n"/>
      <c r="DB950" s="254" t="n"/>
      <c r="DC950" s="254" t="n"/>
      <c r="DD950" s="254" t="n"/>
      <c r="DE950" s="254" t="n"/>
      <c r="DF950" s="254" t="n"/>
      <c r="DG950" s="254" t="n"/>
      <c r="DH950" s="254" t="n"/>
      <c r="DI950" s="254" t="n"/>
      <c r="DJ950" s="254" t="inlineStr">
        <is>
          <t>STRAL</t>
        </is>
      </c>
      <c r="DK950" s="254" t="n">
        <v>15</v>
      </c>
      <c r="DL950" s="95" t="n">
        <v>28</v>
      </c>
      <c r="DM950" s="254" t="n"/>
      <c r="DN950" s="95" t="n"/>
      <c r="DO950" s="95" t="n"/>
    </row>
    <row r="951" ht="13" customHeight="1">
      <c r="A951" s="203" t="inlineStr">
        <is>
          <t>SHA-E15</t>
        </is>
      </c>
      <c r="B951" s="260"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259" t="inlineStr">
        <is>
          <t>532MASHA</t>
        </is>
      </c>
      <c r="BL951" s="61" t="inlineStr">
        <is>
          <t>GMAP-SIGA</t>
        </is>
      </c>
      <c r="BM951" s="254" t="inlineStr">
        <is>
          <t>NF</t>
        </is>
      </c>
      <c r="BN951" s="266" t="inlineStr">
        <is>
          <t>Huasco</t>
        </is>
      </c>
      <c r="BO951" s="254"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4" t="n"/>
      <c r="DB951" s="254" t="n"/>
      <c r="DC951" s="254" t="n"/>
      <c r="DD951" s="254" t="n"/>
      <c r="DE951" s="254" t="n"/>
      <c r="DF951" s="254" t="n"/>
      <c r="DG951" s="254" t="n"/>
      <c r="DH951" s="254" t="n"/>
      <c r="DI951" s="254" t="n"/>
      <c r="DJ951" s="254" t="inlineStr">
        <is>
          <t>TF</t>
        </is>
      </c>
      <c r="DK951" s="254" t="n">
        <v>15</v>
      </c>
      <c r="DL951" s="95" t="n">
        <v>28</v>
      </c>
      <c r="DM951" s="254" t="n"/>
      <c r="DN951" s="95" t="n"/>
      <c r="DO951" s="95" t="n"/>
    </row>
    <row r="952" ht="13" customHeight="1">
      <c r="A952" s="203" t="inlineStr">
        <is>
          <t>SHA-E16</t>
        </is>
      </c>
      <c r="B952" s="260"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259" t="inlineStr">
        <is>
          <t>532MASHA</t>
        </is>
      </c>
      <c r="BL952" s="61" t="inlineStr">
        <is>
          <t>GMAP-SIGA</t>
        </is>
      </c>
      <c r="BM952" s="254" t="inlineStr">
        <is>
          <t>NF</t>
        </is>
      </c>
      <c r="BN952" s="266" t="inlineStr">
        <is>
          <t>Huasco</t>
        </is>
      </c>
      <c r="BO952" s="254"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4" t="n"/>
      <c r="DB952" s="254" t="n"/>
      <c r="DC952" s="254" t="n"/>
      <c r="DD952" s="254" t="n"/>
      <c r="DE952" s="254" t="n"/>
      <c r="DF952" s="254" t="n"/>
      <c r="DG952" s="254" t="n"/>
      <c r="DH952" s="254" t="n"/>
      <c r="DI952" s="254" t="n"/>
      <c r="DJ952" s="254" t="inlineStr">
        <is>
          <t>STRAL</t>
        </is>
      </c>
      <c r="DK952" s="254" t="n">
        <v>15</v>
      </c>
      <c r="DL952" s="95" t="n">
        <v>28</v>
      </c>
      <c r="DM952" s="254" t="n"/>
      <c r="DN952" s="95" t="n"/>
      <c r="DO952" s="95" t="n"/>
    </row>
    <row r="953" ht="13" customHeight="1">
      <c r="A953" s="203" t="inlineStr">
        <is>
          <t>SHA-E17</t>
        </is>
      </c>
      <c r="B953" s="260"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259" t="inlineStr">
        <is>
          <t>532MASHA</t>
        </is>
      </c>
      <c r="BL953" s="61" t="inlineStr">
        <is>
          <t>GMAP-SIGA</t>
        </is>
      </c>
      <c r="BM953" s="254" t="inlineStr">
        <is>
          <t>NF</t>
        </is>
      </c>
      <c r="BN953" s="266" t="inlineStr">
        <is>
          <t>Huasco</t>
        </is>
      </c>
      <c r="BO953" s="254"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4" t="n"/>
      <c r="DB953" s="254" t="n"/>
      <c r="DC953" s="254" t="n"/>
      <c r="DD953" s="254" t="n"/>
      <c r="DE953" s="254" t="n"/>
      <c r="DF953" s="254" t="n"/>
      <c r="DG953" s="254" t="n"/>
      <c r="DH953" s="254" t="n"/>
      <c r="DI953" s="254" t="n"/>
      <c r="DJ953" s="254" t="inlineStr">
        <is>
          <t>TF</t>
        </is>
      </c>
      <c r="DK953" s="254" t="n">
        <v>15</v>
      </c>
      <c r="DL953" s="95" t="n">
        <v>28</v>
      </c>
      <c r="DM953" s="254" t="n"/>
      <c r="DN953" s="95" t="n"/>
      <c r="DO953" s="95" t="n"/>
    </row>
    <row r="954" ht="13" customHeight="1">
      <c r="A954" s="203" t="inlineStr">
        <is>
          <t>SHA-E18</t>
        </is>
      </c>
      <c r="B954" s="260"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259" t="inlineStr">
        <is>
          <t>532MASHA</t>
        </is>
      </c>
      <c r="BL954" s="61" t="inlineStr">
        <is>
          <t>GMAP-SIGA</t>
        </is>
      </c>
      <c r="BM954" s="254" t="inlineStr">
        <is>
          <t>NF</t>
        </is>
      </c>
      <c r="BN954" s="266" t="inlineStr">
        <is>
          <t>Huasco</t>
        </is>
      </c>
      <c r="BO954" s="254"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4" t="n"/>
      <c r="DB954" s="254" t="n"/>
      <c r="DC954" s="254" t="n"/>
      <c r="DD954" s="254" t="n"/>
      <c r="DE954" s="254" t="n"/>
      <c r="DF954" s="254" t="n"/>
      <c r="DG954" s="254" t="n"/>
      <c r="DH954" s="254" t="n"/>
      <c r="DI954" s="254" t="n"/>
      <c r="DJ954" s="254" t="inlineStr">
        <is>
          <t>STRAL</t>
        </is>
      </c>
      <c r="DK954" s="254" t="n">
        <v>15</v>
      </c>
      <c r="DL954" s="95" t="n">
        <v>28</v>
      </c>
      <c r="DM954" s="254" t="n"/>
      <c r="DN954" s="95" t="n"/>
      <c r="DO954" s="95" t="n"/>
    </row>
    <row r="955" ht="13" customHeight="1">
      <c r="A955" s="203" t="inlineStr">
        <is>
          <t>SHA-E19</t>
        </is>
      </c>
      <c r="B955" s="260"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259" t="inlineStr">
        <is>
          <t>532MASHA</t>
        </is>
      </c>
      <c r="BL955" s="61" t="inlineStr">
        <is>
          <t>GMAP-SIGA</t>
        </is>
      </c>
      <c r="BM955" s="254" t="inlineStr">
        <is>
          <t>NF</t>
        </is>
      </c>
      <c r="BN955" s="266" t="inlineStr">
        <is>
          <t>Huasco</t>
        </is>
      </c>
      <c r="BO955" s="254"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4" t="n"/>
      <c r="DB955" s="254" t="n"/>
      <c r="DC955" s="254" t="n"/>
      <c r="DD955" s="254" t="n"/>
      <c r="DE955" s="254" t="n"/>
      <c r="DF955" s="254" t="n"/>
      <c r="DG955" s="254" t="n"/>
      <c r="DH955" s="254" t="n"/>
      <c r="DI955" s="254" t="n"/>
      <c r="DJ955" s="254" t="inlineStr">
        <is>
          <t>TF</t>
        </is>
      </c>
      <c r="DK955" s="254" t="n">
        <v>15</v>
      </c>
      <c r="DL955" s="95" t="n">
        <v>28</v>
      </c>
      <c r="DM955" s="254" t="n"/>
      <c r="DN955" s="95" t="n"/>
      <c r="DO955" s="95" t="n"/>
    </row>
    <row r="956" ht="13" customHeight="1">
      <c r="A956" s="203" t="inlineStr">
        <is>
          <t>SHA-E20</t>
        </is>
      </c>
      <c r="B956" s="260"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259" t="inlineStr">
        <is>
          <t>532MASHA</t>
        </is>
      </c>
      <c r="BL956" s="61" t="inlineStr">
        <is>
          <t>GMAP-SIGA</t>
        </is>
      </c>
      <c r="BM956" s="254" t="inlineStr">
        <is>
          <t>NF</t>
        </is>
      </c>
      <c r="BN956" s="266" t="inlineStr">
        <is>
          <t>Huasco</t>
        </is>
      </c>
      <c r="BO956" s="254"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4" t="n"/>
      <c r="DB956" s="254" t="n"/>
      <c r="DC956" s="254" t="n"/>
      <c r="DD956" s="254" t="n"/>
      <c r="DE956" s="254" t="n"/>
      <c r="DF956" s="254" t="n"/>
      <c r="DG956" s="254" t="n"/>
      <c r="DH956" s="254" t="n"/>
      <c r="DI956" s="254" t="n"/>
      <c r="DJ956" s="254" t="inlineStr">
        <is>
          <t>STRAL</t>
        </is>
      </c>
      <c r="DK956" s="254" t="n">
        <v>15</v>
      </c>
      <c r="DL956" s="95" t="n">
        <v>28</v>
      </c>
      <c r="DM956" s="254" t="n"/>
      <c r="DN956" s="95" t="n"/>
      <c r="DO956" s="95" t="n"/>
    </row>
    <row r="957" ht="13" customHeight="1">
      <c r="A957" s="203" t="inlineStr">
        <is>
          <t>SHA-E22</t>
        </is>
      </c>
      <c r="B957" s="260"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259" t="inlineStr">
        <is>
          <t>532MASHA</t>
        </is>
      </c>
      <c r="BL957" s="61" t="inlineStr">
        <is>
          <t>GMAP-SIGA</t>
        </is>
      </c>
      <c r="BM957" s="254" t="inlineStr">
        <is>
          <t>NF</t>
        </is>
      </c>
      <c r="BN957" s="266" t="inlineStr">
        <is>
          <t>Collacagua</t>
        </is>
      </c>
      <c r="BO957" s="254"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4" t="n"/>
      <c r="DB957" s="254" t="n"/>
      <c r="DC957" s="254" t="n"/>
      <c r="DD957" s="254" t="n"/>
      <c r="DE957" s="254" t="n"/>
      <c r="DF957" s="254" t="n"/>
      <c r="DG957" s="254" t="n"/>
      <c r="DH957" s="254" t="n"/>
      <c r="DI957" s="254" t="n"/>
      <c r="DJ957" s="254" t="inlineStr">
        <is>
          <t>STRAL</t>
        </is>
      </c>
      <c r="DK957" s="254" t="n">
        <v>15</v>
      </c>
      <c r="DL957" s="95" t="n">
        <v>28</v>
      </c>
      <c r="DM957" s="254" t="n"/>
      <c r="DN957" s="95" t="n"/>
      <c r="DO957" s="95" t="n"/>
    </row>
    <row r="958" ht="13" customHeight="1">
      <c r="A958" s="203" t="inlineStr">
        <is>
          <t>SHA-E23</t>
        </is>
      </c>
      <c r="B958" s="260"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259" t="inlineStr">
        <is>
          <t>532MASHA</t>
        </is>
      </c>
      <c r="BL958" s="61" t="inlineStr">
        <is>
          <t>GMAP-SIGA</t>
        </is>
      </c>
      <c r="BM958" s="254" t="inlineStr">
        <is>
          <t>NF</t>
        </is>
      </c>
      <c r="BN958" s="266" t="inlineStr">
        <is>
          <t>Collacagua</t>
        </is>
      </c>
      <c r="BO958" s="254"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4" t="n"/>
      <c r="DB958" s="254" t="n"/>
      <c r="DC958" s="254" t="n"/>
      <c r="DD958" s="254" t="n"/>
      <c r="DE958" s="254" t="n"/>
      <c r="DF958" s="254" t="n"/>
      <c r="DG958" s="254" t="n"/>
      <c r="DH958" s="254" t="n"/>
      <c r="DI958" s="254" t="n"/>
      <c r="DJ958" s="254" t="inlineStr">
        <is>
          <t>TF</t>
        </is>
      </c>
      <c r="DK958" s="254" t="n">
        <v>15</v>
      </c>
      <c r="DL958" s="95" t="n">
        <v>28</v>
      </c>
      <c r="DM958" s="254" t="n"/>
      <c r="DN958" s="95" t="n"/>
      <c r="DO958" s="95" t="n"/>
    </row>
    <row r="959" ht="13" customHeight="1">
      <c r="A959" s="203" t="inlineStr">
        <is>
          <t>SHA-E24</t>
        </is>
      </c>
      <c r="B959" s="260"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259" t="inlineStr">
        <is>
          <t>532MASHA</t>
        </is>
      </c>
      <c r="BL959" s="61" t="inlineStr">
        <is>
          <t>GMAP-SIGA</t>
        </is>
      </c>
      <c r="BM959" s="254" t="inlineStr">
        <is>
          <t>NF</t>
        </is>
      </c>
      <c r="BN959" s="266" t="inlineStr">
        <is>
          <t>Huasco</t>
        </is>
      </c>
      <c r="BO959" s="254"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4" t="n"/>
      <c r="DB959" s="254" t="n"/>
      <c r="DC959" s="254" t="n"/>
      <c r="DD959" s="254" t="n"/>
      <c r="DE959" s="254" t="n"/>
      <c r="DF959" s="254" t="n"/>
      <c r="DG959" s="254" t="n"/>
      <c r="DH959" s="254" t="n"/>
      <c r="DI959" s="254" t="n"/>
      <c r="DJ959" s="254" t="inlineStr">
        <is>
          <t>STRAL</t>
        </is>
      </c>
      <c r="DK959" s="254" t="n">
        <v>15</v>
      </c>
      <c r="DL959" s="95" t="n">
        <v>28</v>
      </c>
      <c r="DM959" s="254" t="n"/>
      <c r="DN959" s="95" t="n"/>
      <c r="DO959" s="95" t="n"/>
    </row>
    <row r="960" ht="13" customHeight="1">
      <c r="A960" s="203" t="inlineStr">
        <is>
          <t>SHA-E27</t>
        </is>
      </c>
      <c r="B960" s="260"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259" t="inlineStr">
        <is>
          <t>532MASHA</t>
        </is>
      </c>
      <c r="BL960" s="61" t="inlineStr">
        <is>
          <t>GMAP-SIGA</t>
        </is>
      </c>
      <c r="BM960" s="254" t="inlineStr">
        <is>
          <t>NF</t>
        </is>
      </c>
      <c r="BN960" s="266" t="inlineStr">
        <is>
          <t>Huasco</t>
        </is>
      </c>
      <c r="BO960" s="254"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4" t="n"/>
      <c r="DB960" s="254" t="n"/>
      <c r="DC960" s="254" t="n"/>
      <c r="DD960" s="254" t="n"/>
      <c r="DE960" s="254" t="n"/>
      <c r="DF960" s="254" t="n"/>
      <c r="DG960" s="254" t="n"/>
      <c r="DH960" s="254" t="n"/>
      <c r="DI960" s="254" t="n"/>
      <c r="DJ960" s="254" t="inlineStr">
        <is>
          <t>TF</t>
        </is>
      </c>
      <c r="DK960" s="254" t="n">
        <v>15</v>
      </c>
      <c r="DL960" s="95" t="n">
        <v>28</v>
      </c>
      <c r="DM960" s="254" t="n"/>
      <c r="DN960" s="95" t="n"/>
      <c r="DO960" s="95" t="n"/>
    </row>
    <row r="961" ht="13" customHeight="1">
      <c r="A961" s="203" t="inlineStr">
        <is>
          <t>SHA-E30</t>
        </is>
      </c>
      <c r="B961" s="260"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259" t="inlineStr">
        <is>
          <t>532MASHA</t>
        </is>
      </c>
      <c r="BL961" s="61" t="inlineStr">
        <is>
          <t>GMAP-SIGA</t>
        </is>
      </c>
      <c r="BM961" s="254" t="inlineStr">
        <is>
          <t>NF</t>
        </is>
      </c>
      <c r="BN961" s="266" t="inlineStr">
        <is>
          <t>Huasco</t>
        </is>
      </c>
      <c r="BO961" s="254"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4" t="n"/>
      <c r="DB961" s="254" t="n"/>
      <c r="DC961" s="254" t="n"/>
      <c r="DD961" s="254" t="n"/>
      <c r="DE961" s="254" t="n"/>
      <c r="DF961" s="254" t="n"/>
      <c r="DG961" s="254" t="n"/>
      <c r="DH961" s="254" t="n"/>
      <c r="DI961" s="254" t="n"/>
      <c r="DJ961" s="254" t="inlineStr">
        <is>
          <t>TF</t>
        </is>
      </c>
      <c r="DK961" s="254" t="n">
        <v>15</v>
      </c>
      <c r="DL961" s="95" t="n">
        <v>28</v>
      </c>
      <c r="DM961" s="254" t="n"/>
      <c r="DN961" s="95" t="n"/>
      <c r="DO961" s="95" t="n"/>
    </row>
    <row r="962" ht="13" customHeight="1">
      <c r="A962" s="203" t="inlineStr">
        <is>
          <t>SHA-E34</t>
        </is>
      </c>
      <c r="B962" s="260"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259" t="inlineStr">
        <is>
          <t>532MASHA</t>
        </is>
      </c>
      <c r="BL962" s="61" t="inlineStr">
        <is>
          <t>GMAP-SIGA</t>
        </is>
      </c>
      <c r="BM962" s="254" t="inlineStr">
        <is>
          <t>NF</t>
        </is>
      </c>
      <c r="BN962" s="266" t="inlineStr">
        <is>
          <t>Huasco</t>
        </is>
      </c>
      <c r="BO962" s="254"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4" t="n"/>
      <c r="DB962" s="254" t="n"/>
      <c r="DC962" s="254" t="n"/>
      <c r="DD962" s="254" t="n"/>
      <c r="DE962" s="254" t="n"/>
      <c r="DF962" s="254" t="n"/>
      <c r="DG962" s="254" t="n"/>
      <c r="DH962" s="254" t="n"/>
      <c r="DI962" s="254" t="n"/>
      <c r="DJ962" s="254" t="inlineStr">
        <is>
          <t>STRAL</t>
        </is>
      </c>
      <c r="DK962" s="254" t="n">
        <v>15</v>
      </c>
      <c r="DL962" s="95" t="n">
        <v>28</v>
      </c>
      <c r="DM962" s="254" t="n"/>
      <c r="DN962" s="95" t="n"/>
      <c r="DO962" s="95" t="n"/>
    </row>
    <row r="963" ht="13" customHeight="1">
      <c r="A963" s="203" t="inlineStr">
        <is>
          <t>SHA-P01</t>
        </is>
      </c>
      <c r="B963" s="260"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259" t="inlineStr">
        <is>
          <t>532MASHA</t>
        </is>
      </c>
      <c r="BL963" s="61" t="inlineStr">
        <is>
          <t>GMAP-SIGA</t>
        </is>
      </c>
      <c r="BM963" s="254" t="inlineStr">
        <is>
          <t>NF</t>
        </is>
      </c>
      <c r="BN963" s="266" t="inlineStr">
        <is>
          <t>Huasco</t>
        </is>
      </c>
      <c r="BO963" s="254"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4" t="n"/>
      <c r="DB963" s="254" t="n"/>
      <c r="DC963" s="254" t="n"/>
      <c r="DD963" s="254" t="n"/>
      <c r="DE963" s="254" t="n"/>
      <c r="DF963" s="254" t="n"/>
      <c r="DG963" s="254" t="n"/>
      <c r="DH963" s="254" t="n"/>
      <c r="DI963" s="254" t="n"/>
      <c r="DJ963" s="254" t="inlineStr">
        <is>
          <t>TF</t>
        </is>
      </c>
      <c r="DK963" s="254" t="n">
        <v>15</v>
      </c>
      <c r="DL963" s="95" t="n">
        <v>28</v>
      </c>
      <c r="DM963" s="254" t="n"/>
      <c r="DN963" s="95" t="n"/>
      <c r="DO963" s="95" t="n"/>
    </row>
    <row r="964" ht="13" customHeight="1">
      <c r="A964" s="203" t="inlineStr">
        <is>
          <t>SHA-P02</t>
        </is>
      </c>
      <c r="B964" s="260"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259" t="inlineStr">
        <is>
          <t>532MASHA</t>
        </is>
      </c>
      <c r="BL964" s="61" t="inlineStr">
        <is>
          <t>GMAP-SIGA</t>
        </is>
      </c>
      <c r="BM964" s="254" t="inlineStr">
        <is>
          <t>NF</t>
        </is>
      </c>
      <c r="BN964" s="266" t="inlineStr">
        <is>
          <t>Huasco</t>
        </is>
      </c>
      <c r="BO964" s="254"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4" t="n"/>
      <c r="DB964" s="254" t="n"/>
      <c r="DC964" s="254" t="n"/>
      <c r="DD964" s="254" t="n"/>
      <c r="DE964" s="254" t="n"/>
      <c r="DF964" s="254" t="n"/>
      <c r="DG964" s="254" t="n"/>
      <c r="DH964" s="254" t="n"/>
      <c r="DI964" s="254" t="n"/>
      <c r="DJ964" s="254" t="inlineStr">
        <is>
          <t>TF</t>
        </is>
      </c>
      <c r="DK964" s="254" t="n">
        <v>15</v>
      </c>
      <c r="DL964" s="95" t="n">
        <v>28</v>
      </c>
      <c r="DM964" s="254" t="n"/>
      <c r="DN964" s="95" t="n"/>
      <c r="DO964" s="95" t="n"/>
    </row>
    <row r="965" ht="13" customHeight="1">
      <c r="A965" s="203" t="inlineStr">
        <is>
          <t>SHA-P03</t>
        </is>
      </c>
      <c r="B965" s="260"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259" t="inlineStr">
        <is>
          <t>532MASHA</t>
        </is>
      </c>
      <c r="BL965" s="61" t="inlineStr">
        <is>
          <t>GMAP-SIGA</t>
        </is>
      </c>
      <c r="BM965" s="254" t="inlineStr">
        <is>
          <t>NF</t>
        </is>
      </c>
      <c r="BN965" s="266" t="inlineStr">
        <is>
          <t>Huasco</t>
        </is>
      </c>
      <c r="BO965" s="254"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4" t="n"/>
      <c r="DB965" s="254" t="n"/>
      <c r="DC965" s="254" t="n"/>
      <c r="DD965" s="254" t="n"/>
      <c r="DE965" s="254" t="n"/>
      <c r="DF965" s="254" t="n"/>
      <c r="DG965" s="254" t="n"/>
      <c r="DH965" s="254" t="n"/>
      <c r="DI965" s="254" t="n"/>
      <c r="DJ965" s="254" t="inlineStr">
        <is>
          <t>TF</t>
        </is>
      </c>
      <c r="DK965" s="254" t="n">
        <v>15</v>
      </c>
      <c r="DL965" s="95" t="n">
        <v>28</v>
      </c>
      <c r="DM965" s="254" t="n"/>
      <c r="DN965" s="95" t="n"/>
      <c r="DO965" s="95" t="n"/>
    </row>
    <row r="966" ht="13" customHeight="1">
      <c r="A966" s="203" t="inlineStr">
        <is>
          <t>SHA-P04</t>
        </is>
      </c>
      <c r="B966" s="260"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259" t="inlineStr">
        <is>
          <t>532MASHA</t>
        </is>
      </c>
      <c r="BL966" s="61" t="inlineStr">
        <is>
          <t>GMAP-SIGA</t>
        </is>
      </c>
      <c r="BM966" s="254" t="inlineStr">
        <is>
          <t>NF</t>
        </is>
      </c>
      <c r="BN966" s="266" t="inlineStr">
        <is>
          <t>Huasco</t>
        </is>
      </c>
      <c r="BO966" s="254"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4" t="n"/>
      <c r="DB966" s="254" t="n"/>
      <c r="DC966" s="254" t="n"/>
      <c r="DD966" s="254" t="n"/>
      <c r="DE966" s="254" t="n"/>
      <c r="DF966" s="254" t="n"/>
      <c r="DG966" s="254" t="n"/>
      <c r="DH966" s="254" t="n"/>
      <c r="DI966" s="254" t="n"/>
      <c r="DJ966" s="254" t="inlineStr">
        <is>
          <t>TF</t>
        </is>
      </c>
      <c r="DK966" s="254" t="n">
        <v>15</v>
      </c>
      <c r="DL966" s="95" t="n">
        <v>28</v>
      </c>
      <c r="DM966" s="254" t="n"/>
      <c r="DN966" s="95" t="n"/>
      <c r="DO966" s="95" t="n"/>
    </row>
    <row r="967" ht="13" customHeight="1">
      <c r="A967" s="203" t="inlineStr">
        <is>
          <t>SHA-P05</t>
        </is>
      </c>
      <c r="B967" s="260"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259" t="inlineStr">
        <is>
          <t>532MASHA</t>
        </is>
      </c>
      <c r="BL967" s="61" t="inlineStr">
        <is>
          <t>GMAP-SIGA</t>
        </is>
      </c>
      <c r="BM967" s="254" t="inlineStr">
        <is>
          <t>NF</t>
        </is>
      </c>
      <c r="BN967" s="266" t="inlineStr">
        <is>
          <t>Huasco</t>
        </is>
      </c>
      <c r="BO967" s="254"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4" t="n"/>
      <c r="DB967" s="254" t="n"/>
      <c r="DC967" s="254" t="n"/>
      <c r="DD967" s="254" t="n"/>
      <c r="DE967" s="254" t="n"/>
      <c r="DF967" s="254" t="n"/>
      <c r="DG967" s="254" t="n"/>
      <c r="DH967" s="254" t="n"/>
      <c r="DI967" s="254" t="n"/>
      <c r="DJ967" s="254" t="inlineStr">
        <is>
          <t>TF</t>
        </is>
      </c>
      <c r="DK967" s="254" t="n">
        <v>15</v>
      </c>
      <c r="DL967" s="95" t="n">
        <v>28</v>
      </c>
      <c r="DM967" s="254" t="n"/>
      <c r="DN967" s="95" t="n"/>
      <c r="DO967" s="95" t="n"/>
    </row>
    <row r="968" ht="13" customHeight="1">
      <c r="A968" s="203" t="inlineStr">
        <is>
          <t>SHA-P06</t>
        </is>
      </c>
      <c r="B968" s="260"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259" t="inlineStr">
        <is>
          <t>532MASHA</t>
        </is>
      </c>
      <c r="BL968" s="61" t="inlineStr">
        <is>
          <t>GMAP-SIGA</t>
        </is>
      </c>
      <c r="BM968" s="254" t="inlineStr">
        <is>
          <t>NF</t>
        </is>
      </c>
      <c r="BN968" s="266" t="inlineStr">
        <is>
          <t>Huasco</t>
        </is>
      </c>
      <c r="BO968" s="254"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4" t="n"/>
      <c r="DB968" s="254" t="n"/>
      <c r="DC968" s="254" t="n"/>
      <c r="DD968" s="254" t="n"/>
      <c r="DE968" s="254" t="n"/>
      <c r="DF968" s="254" t="n"/>
      <c r="DG968" s="254" t="n"/>
      <c r="DH968" s="254" t="n"/>
      <c r="DI968" s="254" t="n"/>
      <c r="DJ968" s="254" t="inlineStr">
        <is>
          <t>TF</t>
        </is>
      </c>
      <c r="DK968" s="254" t="n">
        <v>15</v>
      </c>
      <c r="DL968" s="95" t="n">
        <v>28</v>
      </c>
      <c r="DM968" s="254" t="n"/>
      <c r="DN968" s="95" t="n"/>
      <c r="DO968" s="95" t="n"/>
    </row>
    <row r="969" ht="13" customHeight="1">
      <c r="A969" s="203" t="inlineStr">
        <is>
          <t>SHA-P07</t>
        </is>
      </c>
      <c r="B969" s="260"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259" t="inlineStr">
        <is>
          <t>532MASHA</t>
        </is>
      </c>
      <c r="BL969" s="61" t="inlineStr">
        <is>
          <t>GMAP-SIGA</t>
        </is>
      </c>
      <c r="BM969" s="254" t="inlineStr">
        <is>
          <t>NF</t>
        </is>
      </c>
      <c r="BN969" s="266" t="inlineStr">
        <is>
          <t>Huasco</t>
        </is>
      </c>
      <c r="BO969" s="254"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4" t="n"/>
      <c r="DB969" s="254" t="n"/>
      <c r="DC969" s="254" t="n"/>
      <c r="DD969" s="254" t="n"/>
      <c r="DE969" s="254" t="n"/>
      <c r="DF969" s="254" t="n"/>
      <c r="DG969" s="254" t="n"/>
      <c r="DH969" s="254" t="n"/>
      <c r="DI969" s="254" t="n"/>
      <c r="DJ969" s="254" t="inlineStr">
        <is>
          <t>TF</t>
        </is>
      </c>
      <c r="DK969" s="254" t="n">
        <v>15</v>
      </c>
      <c r="DL969" s="95" t="n">
        <v>28</v>
      </c>
      <c r="DM969" s="254" t="n"/>
      <c r="DN969" s="95" t="n"/>
      <c r="DO969" s="95" t="n"/>
    </row>
    <row r="970" ht="13" customHeight="1">
      <c r="A970" s="203" t="inlineStr">
        <is>
          <t>SHA-P08</t>
        </is>
      </c>
      <c r="B970" s="260"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259" t="inlineStr">
        <is>
          <t>532MASHA</t>
        </is>
      </c>
      <c r="BL970" s="61" t="inlineStr">
        <is>
          <t>GMAP-SIGA</t>
        </is>
      </c>
      <c r="BM970" s="254" t="inlineStr">
        <is>
          <t>NF</t>
        </is>
      </c>
      <c r="BN970" s="266" t="inlineStr">
        <is>
          <t>Huasco</t>
        </is>
      </c>
      <c r="BO970" s="254"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4" t="n"/>
      <c r="DB970" s="254" t="n"/>
      <c r="DC970" s="254" t="n"/>
      <c r="DD970" s="254" t="n"/>
      <c r="DE970" s="254" t="n"/>
      <c r="DF970" s="254" t="n"/>
      <c r="DG970" s="254" t="n"/>
      <c r="DH970" s="254" t="n"/>
      <c r="DI970" s="254" t="n"/>
      <c r="DJ970" s="254" t="inlineStr">
        <is>
          <t>TF</t>
        </is>
      </c>
      <c r="DK970" s="254" t="n">
        <v>15</v>
      </c>
      <c r="DL970" s="95" t="n">
        <v>28</v>
      </c>
      <c r="DM970" s="254" t="n"/>
      <c r="DN970" s="95" t="n"/>
      <c r="DO970" s="95" t="n"/>
    </row>
    <row r="971" ht="13" customHeight="1">
      <c r="A971" s="203" t="inlineStr">
        <is>
          <t>SHA-P08A</t>
        </is>
      </c>
      <c r="B971" s="260"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259" t="inlineStr">
        <is>
          <t>532MASHA</t>
        </is>
      </c>
      <c r="BL971" s="61" t="inlineStr">
        <is>
          <t>GMAP-SIGA</t>
        </is>
      </c>
      <c r="BM971" s="254" t="inlineStr">
        <is>
          <t>NF</t>
        </is>
      </c>
      <c r="BN971" s="266" t="inlineStr">
        <is>
          <t>Huasco</t>
        </is>
      </c>
      <c r="BO971" s="254"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4" t="n"/>
      <c r="DB971" s="254" t="n"/>
      <c r="DC971" s="254" t="n"/>
      <c r="DD971" s="254" t="n"/>
      <c r="DE971" s="254" t="n"/>
      <c r="DF971" s="254" t="n"/>
      <c r="DG971" s="254" t="n"/>
      <c r="DH971" s="254" t="n"/>
      <c r="DI971" s="254" t="n"/>
      <c r="DJ971" s="254" t="inlineStr">
        <is>
          <t>TF</t>
        </is>
      </c>
      <c r="DK971" s="254" t="n">
        <v>15</v>
      </c>
      <c r="DL971" s="95" t="n">
        <v>28</v>
      </c>
      <c r="DM971" s="254" t="n"/>
      <c r="DN971" s="95" t="n"/>
      <c r="DO971" s="95" t="n"/>
    </row>
    <row r="972" ht="13" customHeight="1">
      <c r="A972" s="203" t="inlineStr">
        <is>
          <t>SHA-P09</t>
        </is>
      </c>
      <c r="B972" s="260"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259" t="inlineStr">
        <is>
          <t>532MASHA</t>
        </is>
      </c>
      <c r="BL972" s="61" t="inlineStr">
        <is>
          <t>GMAP-SIGA</t>
        </is>
      </c>
      <c r="BM972" s="254" t="inlineStr">
        <is>
          <t>NF</t>
        </is>
      </c>
      <c r="BN972" s="266" t="inlineStr">
        <is>
          <t>Huasco</t>
        </is>
      </c>
      <c r="BO972" s="254"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4" t="n"/>
      <c r="DB972" s="254" t="n"/>
      <c r="DC972" s="254" t="n"/>
      <c r="DD972" s="254" t="n"/>
      <c r="DE972" s="254" t="n"/>
      <c r="DF972" s="254" t="n"/>
      <c r="DG972" s="254" t="n"/>
      <c r="DH972" s="254" t="n"/>
      <c r="DI972" s="254" t="n"/>
      <c r="DJ972" s="254" t="inlineStr">
        <is>
          <t>TF</t>
        </is>
      </c>
      <c r="DK972" s="254" t="n">
        <v>15</v>
      </c>
      <c r="DL972" s="95" t="n">
        <v>28</v>
      </c>
      <c r="DM972" s="254" t="n"/>
      <c r="DN972" s="95" t="n"/>
      <c r="DO972" s="95" t="n"/>
    </row>
    <row r="973" ht="13" customHeight="1">
      <c r="A973" s="203" t="inlineStr">
        <is>
          <t>SHA-P10</t>
        </is>
      </c>
      <c r="B973" s="260"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259" t="inlineStr">
        <is>
          <t>532MASHA</t>
        </is>
      </c>
      <c r="BL973" s="61" t="inlineStr">
        <is>
          <t>GMAP-SIGA</t>
        </is>
      </c>
      <c r="BM973" s="254" t="inlineStr">
        <is>
          <t>NF</t>
        </is>
      </c>
      <c r="BN973" s="266" t="inlineStr">
        <is>
          <t>Huasco</t>
        </is>
      </c>
      <c r="BO973" s="254"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4" t="n"/>
      <c r="DB973" s="254" t="n"/>
      <c r="DC973" s="254" t="n"/>
      <c r="DD973" s="254" t="n"/>
      <c r="DE973" s="254" t="n"/>
      <c r="DF973" s="254" t="n"/>
      <c r="DG973" s="254" t="n"/>
      <c r="DH973" s="254" t="n"/>
      <c r="DI973" s="254" t="n"/>
      <c r="DJ973" s="254" t="inlineStr">
        <is>
          <t>TF</t>
        </is>
      </c>
      <c r="DK973" s="254" t="n">
        <v>15</v>
      </c>
      <c r="DL973" s="95" t="n">
        <v>28</v>
      </c>
      <c r="DM973" s="254" t="n"/>
      <c r="DN973" s="95" t="n"/>
      <c r="DO973" s="95" t="n"/>
    </row>
    <row r="974" ht="13" customHeight="1">
      <c r="A974" s="203" t="inlineStr">
        <is>
          <t>SHA-P11</t>
        </is>
      </c>
      <c r="B974" s="260"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259" t="inlineStr">
        <is>
          <t>532MASHA</t>
        </is>
      </c>
      <c r="BL974" s="61" t="inlineStr">
        <is>
          <t>GMAP-SIGA</t>
        </is>
      </c>
      <c r="BM974" s="254" t="inlineStr">
        <is>
          <t>NF</t>
        </is>
      </c>
      <c r="BN974" s="266" t="inlineStr">
        <is>
          <t>Huasco</t>
        </is>
      </c>
      <c r="BO974" s="254"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4" t="n"/>
      <c r="DB974" s="254" t="n"/>
      <c r="DC974" s="254" t="n"/>
      <c r="DD974" s="254" t="n"/>
      <c r="DE974" s="254" t="n"/>
      <c r="DF974" s="254" t="n"/>
      <c r="DG974" s="254" t="n"/>
      <c r="DH974" s="254" t="n"/>
      <c r="DI974" s="254" t="n"/>
      <c r="DJ974" s="254" t="inlineStr">
        <is>
          <t>TF</t>
        </is>
      </c>
      <c r="DK974" s="254" t="n">
        <v>15</v>
      </c>
      <c r="DL974" s="95" t="n">
        <v>28</v>
      </c>
      <c r="DM974" s="254" t="n"/>
      <c r="DN974" s="95" t="n"/>
      <c r="DO974" s="95" t="n"/>
    </row>
    <row r="975" ht="13" customHeight="1">
      <c r="A975" s="203" t="inlineStr">
        <is>
          <t>SHA-P12</t>
        </is>
      </c>
      <c r="B975" s="260"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259" t="inlineStr">
        <is>
          <t>532MASHA</t>
        </is>
      </c>
      <c r="BL975" s="61" t="inlineStr">
        <is>
          <t>GMAP-SIGA</t>
        </is>
      </c>
      <c r="BM975" s="254" t="inlineStr">
        <is>
          <t>NF</t>
        </is>
      </c>
      <c r="BN975" s="266" t="inlineStr">
        <is>
          <t>Huasco</t>
        </is>
      </c>
      <c r="BO975" s="254"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4" t="n"/>
      <c r="DB975" s="254" t="n"/>
      <c r="DC975" s="254" t="n"/>
      <c r="DD975" s="254" t="n"/>
      <c r="DE975" s="254" t="n"/>
      <c r="DF975" s="254" t="n"/>
      <c r="DG975" s="254" t="n"/>
      <c r="DH975" s="254" t="n"/>
      <c r="DI975" s="254" t="n"/>
      <c r="DJ975" s="254" t="inlineStr">
        <is>
          <t>TF</t>
        </is>
      </c>
      <c r="DK975" s="254" t="n">
        <v>15</v>
      </c>
      <c r="DL975" s="95" t="n">
        <v>28</v>
      </c>
      <c r="DM975" s="254" t="n"/>
      <c r="DN975" s="95" t="n"/>
      <c r="DO975" s="95" t="n"/>
    </row>
    <row r="976" ht="13" customHeight="1">
      <c r="A976" s="203" t="inlineStr">
        <is>
          <t>SHA-P13</t>
        </is>
      </c>
      <c r="B976" s="260"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259" t="inlineStr">
        <is>
          <t>532MASHA</t>
        </is>
      </c>
      <c r="BL976" s="61" t="inlineStr">
        <is>
          <t>GMAP-SIGA</t>
        </is>
      </c>
      <c r="BM976" s="254" t="inlineStr">
        <is>
          <t>NF</t>
        </is>
      </c>
      <c r="BN976" s="266" t="inlineStr">
        <is>
          <t>Collacagua</t>
        </is>
      </c>
      <c r="BO976" s="254"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4" t="n"/>
      <c r="DB976" s="254" t="n"/>
      <c r="DC976" s="254" t="n"/>
      <c r="DD976" s="254" t="n"/>
      <c r="DE976" s="254" t="n"/>
      <c r="DF976" s="254" t="n"/>
      <c r="DG976" s="254" t="n"/>
      <c r="DH976" s="254" t="n"/>
      <c r="DI976" s="254" t="n"/>
      <c r="DJ976" s="254" t="inlineStr">
        <is>
          <t>TF</t>
        </is>
      </c>
      <c r="DK976" s="254" t="n">
        <v>15</v>
      </c>
      <c r="DL976" s="95" t="n">
        <v>28</v>
      </c>
      <c r="DM976" s="254" t="n"/>
      <c r="DN976" s="95" t="n"/>
      <c r="DO976" s="95" t="n"/>
    </row>
    <row r="977" ht="13" customHeight="1">
      <c r="A977" s="203" t="inlineStr">
        <is>
          <t>SHA-P14</t>
        </is>
      </c>
      <c r="B977" s="260"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259" t="inlineStr">
        <is>
          <t>532MASHA</t>
        </is>
      </c>
      <c r="BL977" s="61" t="inlineStr">
        <is>
          <t>GMAP-SIGA</t>
        </is>
      </c>
      <c r="BM977" s="254" t="inlineStr">
        <is>
          <t>NF</t>
        </is>
      </c>
      <c r="BN977" s="266" t="inlineStr">
        <is>
          <t>Huasco</t>
        </is>
      </c>
      <c r="BO977" s="254"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4" t="n"/>
      <c r="DB977" s="254" t="n"/>
      <c r="DC977" s="254" t="n"/>
      <c r="DD977" s="254" t="n"/>
      <c r="DE977" s="254" t="n"/>
      <c r="DF977" s="254" t="n"/>
      <c r="DG977" s="254" t="n"/>
      <c r="DH977" s="254" t="n"/>
      <c r="DI977" s="254" t="n"/>
      <c r="DJ977" s="254" t="inlineStr">
        <is>
          <t>TF</t>
        </is>
      </c>
      <c r="DK977" s="254" t="n">
        <v>15</v>
      </c>
      <c r="DL977" s="95" t="n">
        <v>28</v>
      </c>
      <c r="DM977" s="254" t="n"/>
      <c r="DN977" s="95" t="n"/>
      <c r="DO977" s="95" t="n"/>
    </row>
    <row r="978" ht="13" customHeight="1">
      <c r="A978" s="203" t="inlineStr">
        <is>
          <t>SME-01</t>
        </is>
      </c>
      <c r="B978" s="260"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259" t="inlineStr">
        <is>
          <t>532MASME01</t>
        </is>
      </c>
      <c r="BL978" s="61" t="inlineStr">
        <is>
          <t>GMAP-SIGA</t>
        </is>
      </c>
      <c r="BM978" s="254" t="inlineStr">
        <is>
          <t>NF</t>
        </is>
      </c>
      <c r="BN978" s="266" t="inlineStr">
        <is>
          <t>Tranque (Canal del este)</t>
        </is>
      </c>
      <c r="BO978" s="254"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4" t="n"/>
      <c r="DB978" s="254" t="n"/>
      <c r="DC978" s="254" t="n"/>
      <c r="DD978" s="254" t="n"/>
      <c r="DE978" s="254" t="n"/>
      <c r="DF978" s="254" t="n"/>
      <c r="DG978" s="254" t="n"/>
      <c r="DH978" s="254" t="n"/>
      <c r="DI978" s="254" t="n"/>
      <c r="DJ978" s="254" t="inlineStr">
        <is>
          <t>M</t>
        </is>
      </c>
      <c r="DK978" s="254" t="n">
        <v>22</v>
      </c>
      <c r="DL978" s="95" t="n">
        <v>28</v>
      </c>
      <c r="DM978" s="254" t="n"/>
      <c r="DN978" s="95" t="n"/>
      <c r="DO978" s="95" t="n"/>
    </row>
    <row r="979" ht="13" customHeight="1">
      <c r="A979" s="203" t="inlineStr">
        <is>
          <t>SN-B</t>
        </is>
      </c>
      <c r="B979" s="260"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259" t="inlineStr">
        <is>
          <t>532MASNB</t>
        </is>
      </c>
      <c r="BL979" s="61" t="inlineStr">
        <is>
          <t>GMAP-SIGA</t>
        </is>
      </c>
      <c r="BM979" s="254" t="inlineStr">
        <is>
          <t>NF</t>
        </is>
      </c>
      <c r="BN979" s="266" t="inlineStr">
        <is>
          <t>Michincha</t>
        </is>
      </c>
      <c r="BO979" s="254"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4" t="n"/>
      <c r="DB979" s="254" t="n"/>
      <c r="DC979" s="254" t="n"/>
      <c r="DD979" s="254" t="n"/>
      <c r="DE979" s="254" t="n"/>
      <c r="DF979" s="254" t="n"/>
      <c r="DG979" s="254" t="n"/>
      <c r="DH979" s="254" t="n"/>
      <c r="DI979" s="254" t="n"/>
      <c r="DJ979" s="254" t="inlineStr">
        <is>
          <t>M</t>
        </is>
      </c>
      <c r="DK979" s="254" t="n">
        <v>22</v>
      </c>
      <c r="DL979" s="95" t="n">
        <v>28</v>
      </c>
      <c r="DM979" s="254" t="n"/>
      <c r="DN979" s="95" t="n"/>
      <c r="DO979" s="95" t="n"/>
    </row>
    <row r="980" ht="13" customHeight="1">
      <c r="A980" s="203" t="inlineStr">
        <is>
          <t>UC-602</t>
        </is>
      </c>
      <c r="B980" s="260"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259" t="inlineStr">
        <is>
          <t>532MAUC</t>
        </is>
      </c>
      <c r="BL980" s="61" t="inlineStr">
        <is>
          <t>LIXIVIACIÓN</t>
        </is>
      </c>
      <c r="BM980" s="254" t="inlineStr">
        <is>
          <t>NF</t>
        </is>
      </c>
      <c r="BN980" s="266" t="inlineStr">
        <is>
          <t>Lixiviación</t>
        </is>
      </c>
      <c r="BO980" s="254"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4" t="n"/>
      <c r="DB980" s="254" t="n"/>
      <c r="DC980" s="254" t="n"/>
      <c r="DD980" s="254" t="n"/>
      <c r="DE980" s="254" t="n"/>
      <c r="DF980" s="254" t="n"/>
      <c r="DG980" s="254" t="n"/>
      <c r="DH980" s="254" t="n"/>
      <c r="DI980" s="254" t="n"/>
      <c r="DJ980" s="254" t="inlineStr">
        <is>
          <t>T</t>
        </is>
      </c>
      <c r="DK980" s="254" t="n">
        <v>1</v>
      </c>
      <c r="DL980" s="95" t="n">
        <v>7</v>
      </c>
      <c r="DM980" s="170" t="inlineStr">
        <is>
          <t>SE ELIMINO</t>
        </is>
      </c>
      <c r="DN980" s="95" t="n"/>
      <c r="DO980" s="95" t="n"/>
    </row>
    <row r="981" ht="13" customHeight="1">
      <c r="A981" s="203" t="inlineStr">
        <is>
          <t>UC-603</t>
        </is>
      </c>
      <c r="B981" s="260"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259" t="inlineStr">
        <is>
          <t>532MAUC</t>
        </is>
      </c>
      <c r="BL981" s="61" t="inlineStr">
        <is>
          <t>GMAP-SIGA</t>
        </is>
      </c>
      <c r="BM981" s="254" t="inlineStr">
        <is>
          <t>NF</t>
        </is>
      </c>
      <c r="BN981" s="266" t="inlineStr">
        <is>
          <t>Michincha</t>
        </is>
      </c>
      <c r="BO981" s="254"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4" t="n"/>
      <c r="DB981" s="254" t="n"/>
      <c r="DC981" s="254" t="n"/>
      <c r="DD981" s="254" t="n"/>
      <c r="DE981" s="254" t="n"/>
      <c r="DF981" s="254" t="n"/>
      <c r="DG981" s="254" t="n"/>
      <c r="DH981" s="254" t="n"/>
      <c r="DI981" s="254" t="n"/>
      <c r="DJ981" s="254" t="inlineStr">
        <is>
          <t>T</t>
        </is>
      </c>
      <c r="DK981" s="254" t="n">
        <v>1</v>
      </c>
      <c r="DL981" s="95" t="n">
        <v>7</v>
      </c>
      <c r="DM981" s="170" t="inlineStr">
        <is>
          <t>SE ELIMINO</t>
        </is>
      </c>
      <c r="DN981" s="95" t="n"/>
      <c r="DO981" s="95" t="n"/>
    </row>
    <row r="982" ht="13" customHeight="1">
      <c r="A982" s="203" t="inlineStr">
        <is>
          <t>UC-604</t>
        </is>
      </c>
      <c r="B982" s="260"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259" t="inlineStr">
        <is>
          <t>532MAUC</t>
        </is>
      </c>
      <c r="BL982" s="61" t="inlineStr">
        <is>
          <t>GMAP-SIGA</t>
        </is>
      </c>
      <c r="BM982" s="254" t="inlineStr">
        <is>
          <t>NF</t>
        </is>
      </c>
      <c r="BN982" s="266" t="inlineStr">
        <is>
          <t>Tranque</t>
        </is>
      </c>
      <c r="BO982" s="254"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4" t="n"/>
      <c r="DB982" s="254" t="n"/>
      <c r="DC982" s="254" t="n"/>
      <c r="DD982" s="254" t="n"/>
      <c r="DE982" s="254" t="n"/>
      <c r="DF982" s="254" t="n"/>
      <c r="DG982" s="254" t="n"/>
      <c r="DH982" s="254" t="n"/>
      <c r="DI982" s="254" t="n"/>
      <c r="DJ982" s="254" t="inlineStr">
        <is>
          <t>M</t>
        </is>
      </c>
      <c r="DK982" s="254" t="n">
        <v>22</v>
      </c>
      <c r="DL982" s="95" t="n">
        <v>28</v>
      </c>
      <c r="DM982" s="254" t="n"/>
      <c r="DN982" s="95" t="n"/>
      <c r="DO982" s="95" t="n"/>
    </row>
    <row r="983" ht="13" customHeight="1">
      <c r="A983" s="203" t="inlineStr">
        <is>
          <t>UC-634</t>
        </is>
      </c>
      <c r="B983" s="260"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259" t="inlineStr">
        <is>
          <t>532MAUC</t>
        </is>
      </c>
      <c r="BL983" s="61" t="inlineStr">
        <is>
          <t>GMAP-SIGA</t>
        </is>
      </c>
      <c r="BM983" s="254" t="inlineStr">
        <is>
          <t>NF</t>
        </is>
      </c>
      <c r="BN983" s="266" t="inlineStr">
        <is>
          <t>Tranque (Canal del este)</t>
        </is>
      </c>
      <c r="BO983" s="254"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4" t="n"/>
      <c r="DB983" s="254" t="n"/>
      <c r="DC983" s="254" t="n"/>
      <c r="DD983" s="254" t="n"/>
      <c r="DE983" s="254" t="n"/>
      <c r="DF983" s="254" t="n"/>
      <c r="DG983" s="254" t="n"/>
      <c r="DH983" s="254" t="n"/>
      <c r="DI983" s="254" t="n"/>
      <c r="DJ983" s="254" t="inlineStr">
        <is>
          <t>B</t>
        </is>
      </c>
      <c r="DK983" s="254" t="n">
        <v>22</v>
      </c>
      <c r="DL983" s="95" t="n">
        <v>28</v>
      </c>
      <c r="DM983" s="254" t="n"/>
      <c r="DN983" s="95" t="n"/>
      <c r="DO983" s="95" t="n"/>
    </row>
    <row r="984" ht="13" customHeight="1">
      <c r="A984" s="203" t="inlineStr">
        <is>
          <t>X-1</t>
        </is>
      </c>
      <c r="B984" s="260"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259" t="inlineStr">
        <is>
          <t>532MAX</t>
        </is>
      </c>
      <c r="BL984" s="61" t="inlineStr">
        <is>
          <t>GMAP-SIGA</t>
        </is>
      </c>
      <c r="BM984" s="254" t="inlineStr">
        <is>
          <t>NF</t>
        </is>
      </c>
      <c r="BN984" s="266" t="inlineStr">
        <is>
          <t>Michincha</t>
        </is>
      </c>
      <c r="BO984" s="254"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4" t="n"/>
      <c r="DB984" s="254" t="n"/>
      <c r="DC984" s="254" t="n"/>
      <c r="DD984" s="254" t="n"/>
      <c r="DE984" s="254" t="n"/>
      <c r="DF984" s="254" t="n"/>
      <c r="DG984" s="254" t="n"/>
      <c r="DH984" s="254" t="n"/>
      <c r="DI984" s="254" t="n"/>
      <c r="DJ984" s="254" t="inlineStr">
        <is>
          <t>M</t>
        </is>
      </c>
      <c r="DK984" s="254" t="n">
        <v>22</v>
      </c>
      <c r="DL984" s="95" t="n">
        <v>28</v>
      </c>
      <c r="DM984" s="254" t="n"/>
      <c r="DN984" s="95" t="n"/>
      <c r="DO984" s="95" t="n"/>
    </row>
    <row r="985" ht="13" customHeight="1">
      <c r="A985" s="203" t="inlineStr">
        <is>
          <t>X-2</t>
        </is>
      </c>
      <c r="B985" s="260"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259" t="inlineStr">
        <is>
          <t>532MAX</t>
        </is>
      </c>
      <c r="BL985" s="61" t="inlineStr">
        <is>
          <t>GMAP-SIGA</t>
        </is>
      </c>
      <c r="BM985" s="254" t="inlineStr">
        <is>
          <t>NF</t>
        </is>
      </c>
      <c r="BN985" s="266" t="inlineStr">
        <is>
          <t>Michincha</t>
        </is>
      </c>
      <c r="BO985" s="254"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4" t="n"/>
      <c r="DB985" s="254" t="n"/>
      <c r="DC985" s="254" t="n"/>
      <c r="DD985" s="254" t="n"/>
      <c r="DE985" s="254" t="n"/>
      <c r="DF985" s="254" t="n"/>
      <c r="DG985" s="254" t="n"/>
      <c r="DH985" s="254" t="n"/>
      <c r="DI985" s="254" t="n"/>
      <c r="DJ985" s="254" t="inlineStr">
        <is>
          <t>M</t>
        </is>
      </c>
      <c r="DK985" s="254" t="n">
        <v>22</v>
      </c>
      <c r="DL985" s="95" t="n">
        <v>28</v>
      </c>
      <c r="DM985" s="254" t="n"/>
      <c r="DN985" s="95" t="n"/>
      <c r="DO985" s="95" t="n"/>
      <c r="DP985" s="285" t="n"/>
    </row>
    <row r="986" ht="13" customHeight="1">
      <c r="A986" s="203" t="inlineStr">
        <is>
          <t>Zanja Norte 1</t>
        </is>
      </c>
      <c r="B986" s="260"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61" t="inlineStr">
        <is>
          <t>300SI400</t>
        </is>
      </c>
      <c r="BL986" s="61" t="inlineStr">
        <is>
          <t>PUERTO</t>
        </is>
      </c>
      <c r="BM986" s="254" t="inlineStr">
        <is>
          <t>NF</t>
        </is>
      </c>
      <c r="BN986" s="266" t="inlineStr">
        <is>
          <t>Puerto Collahuasi</t>
        </is>
      </c>
      <c r="BO986" s="254"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inlineStr">
        <is>
          <t>R</t>
        </is>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4" t="n"/>
      <c r="DB986" s="254" t="n"/>
      <c r="DC986" s="254" t="n"/>
      <c r="DD986" s="254" t="n"/>
      <c r="DE986" s="254" t="n"/>
      <c r="DF986" s="254" t="n"/>
      <c r="DG986" s="254" t="n"/>
      <c r="DH986" s="254" t="n"/>
      <c r="DI986" s="254" t="n"/>
      <c r="DJ986" s="254" t="inlineStr">
        <is>
          <t>S</t>
        </is>
      </c>
      <c r="DK986" s="254" t="inlineStr">
        <is>
          <t>R</t>
        </is>
      </c>
      <c r="DL986" s="95" t="inlineStr">
        <is>
          <t>R</t>
        </is>
      </c>
      <c r="DM986" s="254" t="n"/>
      <c r="DN986" s="95" t="n"/>
      <c r="DO986" s="95" t="n"/>
    </row>
    <row r="987" ht="13" customHeight="1">
      <c r="A987" s="203" t="inlineStr">
        <is>
          <t>Zanja Norte 2</t>
        </is>
      </c>
      <c r="B987" s="260"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61" t="inlineStr">
        <is>
          <t>300SI400</t>
        </is>
      </c>
      <c r="BL987" s="61" t="inlineStr">
        <is>
          <t>PUERTO</t>
        </is>
      </c>
      <c r="BM987" s="254" t="inlineStr">
        <is>
          <t>NF</t>
        </is>
      </c>
      <c r="BN987" s="266" t="inlineStr">
        <is>
          <t>Puerto Collahuasi</t>
        </is>
      </c>
      <c r="BO987" s="254"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inlineStr">
        <is>
          <t>R</t>
        </is>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4" t="n"/>
      <c r="DB987" s="254" t="n"/>
      <c r="DC987" s="254" t="n"/>
      <c r="DD987" s="254" t="n"/>
      <c r="DE987" s="254" t="n"/>
      <c r="DF987" s="254" t="n"/>
      <c r="DG987" s="254" t="n"/>
      <c r="DH987" s="254" t="n"/>
      <c r="DI987" s="254" t="n"/>
      <c r="DJ987" s="254" t="inlineStr">
        <is>
          <t>S</t>
        </is>
      </c>
      <c r="DK987" s="254" t="inlineStr">
        <is>
          <t>R</t>
        </is>
      </c>
      <c r="DL987" s="95" t="inlineStr">
        <is>
          <t>R</t>
        </is>
      </c>
      <c r="DM987" s="254" t="n"/>
      <c r="DN987" s="95" t="n"/>
      <c r="DO987" s="95" t="n"/>
    </row>
    <row r="988" ht="13" customHeight="1">
      <c r="A988" s="203" t="inlineStr">
        <is>
          <t>SWE-02</t>
        </is>
      </c>
      <c r="B988" s="260"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259" t="inlineStr">
        <is>
          <t>532MASW2</t>
        </is>
      </c>
      <c r="BL988" s="61" t="inlineStr">
        <is>
          <t>GMAP-SIGA</t>
        </is>
      </c>
      <c r="BM988" s="254" t="inlineStr">
        <is>
          <t>ASUP</t>
        </is>
      </c>
      <c r="BN988" s="266" t="inlineStr">
        <is>
          <t>Huinquintipa</t>
        </is>
      </c>
      <c r="BO988" s="254"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4" t="n"/>
      <c r="DB988" s="254" t="n"/>
      <c r="DC988" s="254" t="n"/>
      <c r="DD988" s="254" t="n"/>
      <c r="DE988" s="254" t="n"/>
      <c r="DF988" s="254" t="n"/>
      <c r="DG988" s="254" t="n"/>
      <c r="DH988" s="254" t="n"/>
      <c r="DI988" s="254" t="n"/>
      <c r="DJ988" s="254" t="n"/>
      <c r="DK988" s="254" t="n"/>
      <c r="DL988" s="254" t="n"/>
      <c r="DM988" s="254" t="inlineStr">
        <is>
          <t>M</t>
        </is>
      </c>
      <c r="DN988" s="95" t="n">
        <v>22</v>
      </c>
      <c r="DO988" s="95" t="n">
        <v>28</v>
      </c>
    </row>
    <row r="989" ht="13" customHeight="1">
      <c r="A989" s="203" t="inlineStr">
        <is>
          <t xml:space="preserve">Captación Agua de mar </t>
        </is>
      </c>
      <c r="B989" s="260"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61" t="inlineStr">
        <is>
          <t>300SI400</t>
        </is>
      </c>
      <c r="BL989" s="61" t="inlineStr">
        <is>
          <t>PUERTO</t>
        </is>
      </c>
      <c r="BM989" s="254" t="inlineStr">
        <is>
          <t>ASUP</t>
        </is>
      </c>
      <c r="BN989" s="266" t="inlineStr">
        <is>
          <t>Puerto Collahuasi</t>
        </is>
      </c>
      <c r="BO989" s="254"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4" t="n"/>
      <c r="DB989" s="254" t="n"/>
      <c r="DC989" s="254" t="n"/>
      <c r="DD989" s="254" t="n"/>
      <c r="DE989" s="254" t="n"/>
      <c r="DF989" s="254" t="n"/>
      <c r="DG989" s="254" t="n"/>
      <c r="DH989" s="254" t="n"/>
      <c r="DI989" s="254" t="n"/>
      <c r="DJ989" s="254" t="n"/>
      <c r="DK989" s="254" t="n"/>
      <c r="DL989" s="95" t="n"/>
      <c r="DM989" s="254" t="inlineStr">
        <is>
          <t>A</t>
        </is>
      </c>
      <c r="DN989" s="95" t="n">
        <v>22</v>
      </c>
      <c r="DO989" s="95" t="n">
        <v>28</v>
      </c>
    </row>
    <row r="990" ht="13" customHeight="1">
      <c r="A990" s="203" t="inlineStr">
        <is>
          <t>HOUSEKEEPING</t>
        </is>
      </c>
      <c r="B990" s="260"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259" t="n"/>
      <c r="BL990" s="61" t="inlineStr">
        <is>
          <t>GMAP-SIGA</t>
        </is>
      </c>
      <c r="BM990" s="254" t="inlineStr">
        <is>
          <t>HK</t>
        </is>
      </c>
      <c r="BN990" s="266" t="inlineStr">
        <is>
          <t>Ujina</t>
        </is>
      </c>
      <c r="BO990" s="254"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inlineStr">
        <is>
          <t>R</t>
        </is>
      </c>
      <c r="BW990" s="142" t="inlineStr">
        <is>
          <t>R</t>
        </is>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4" t="n"/>
      <c r="DB990" s="254" t="n"/>
      <c r="DC990" s="254" t="n"/>
      <c r="DD990" s="254" t="n"/>
      <c r="DE990" s="254" t="n"/>
      <c r="DF990" s="254" t="n"/>
      <c r="DG990" s="254" t="n"/>
      <c r="DH990" s="254" t="n"/>
      <c r="DI990" s="254" t="n"/>
      <c r="DJ990" s="254" t="inlineStr">
        <is>
          <t>S</t>
        </is>
      </c>
      <c r="DK990" s="95" t="inlineStr">
        <is>
          <t>R</t>
        </is>
      </c>
      <c r="DL990" s="95" t="inlineStr">
        <is>
          <t>R</t>
        </is>
      </c>
      <c r="DM990" s="254" t="n"/>
      <c r="DN990" s="254" t="n"/>
      <c r="DO990" s="254" t="n"/>
    </row>
    <row r="991" ht="13" customHeight="1">
      <c r="A991" s="203" t="inlineStr">
        <is>
          <t>PC-02</t>
        </is>
      </c>
      <c r="B991" s="260"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4" t="inlineStr">
        <is>
          <t>NF</t>
        </is>
      </c>
      <c r="BN991" s="266" t="inlineStr">
        <is>
          <t>Coposa Centro</t>
        </is>
      </c>
      <c r="BO991" s="254" t="inlineStr">
        <is>
          <t>SI</t>
        </is>
      </c>
      <c r="BP991" s="254"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4" t="n"/>
      <c r="DB991" s="254" t="n"/>
      <c r="DC991" s="254" t="n"/>
      <c r="DD991" s="254" t="n"/>
      <c r="DE991" s="254" t="n"/>
      <c r="DF991" s="254" t="n"/>
      <c r="DG991" s="254" t="n"/>
      <c r="DH991" s="254" t="n"/>
      <c r="DI991" s="254" t="n"/>
      <c r="DJ991" s="254" t="inlineStr">
        <is>
          <t>M</t>
        </is>
      </c>
      <c r="DK991" s="254" t="n">
        <v>22</v>
      </c>
      <c r="DL991" s="95" t="n">
        <v>28</v>
      </c>
      <c r="DM991" s="254" t="n"/>
      <c r="DN991" s="95" t="n"/>
      <c r="DO991" s="95" t="n"/>
    </row>
    <row r="992" ht="13" customHeight="1">
      <c r="A992" s="215" t="inlineStr">
        <is>
          <t>PC-03</t>
        </is>
      </c>
      <c r="B992" s="260"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4" t="inlineStr">
        <is>
          <t>NF</t>
        </is>
      </c>
      <c r="BN992" s="266" t="inlineStr">
        <is>
          <t>Coposa Centro</t>
        </is>
      </c>
      <c r="BO992" s="254" t="inlineStr">
        <is>
          <t>SI</t>
        </is>
      </c>
      <c r="BP992" s="254"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4" t="n"/>
      <c r="DB992" s="254" t="n"/>
      <c r="DC992" s="254" t="n"/>
      <c r="DD992" s="254" t="n"/>
      <c r="DE992" s="254" t="n"/>
      <c r="DF992" s="254" t="n"/>
      <c r="DG992" s="254" t="n"/>
      <c r="DH992" s="254" t="n"/>
      <c r="DI992" s="254" t="n"/>
      <c r="DJ992" s="254" t="inlineStr">
        <is>
          <t>M</t>
        </is>
      </c>
      <c r="DK992" s="254" t="n">
        <v>22</v>
      </c>
      <c r="DL992" s="95" t="n">
        <v>28</v>
      </c>
      <c r="DM992" s="254" t="n"/>
      <c r="DN992" s="95" t="n"/>
      <c r="DO992" s="95" t="n"/>
    </row>
    <row r="993" ht="13" customHeight="1">
      <c r="A993" s="203" t="inlineStr">
        <is>
          <t>AFO-JU1</t>
        </is>
      </c>
      <c r="B993" s="260"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4" t="inlineStr">
        <is>
          <t>CAUDAL</t>
        </is>
      </c>
      <c r="BN993" s="266" t="inlineStr">
        <is>
          <t>Jachujina</t>
        </is>
      </c>
      <c r="BO993" s="254" t="inlineStr">
        <is>
          <t>SI</t>
        </is>
      </c>
      <c r="BP993" s="254"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4" t="n"/>
      <c r="DB993" s="254" t="n"/>
      <c r="DC993" s="254" t="n"/>
      <c r="DD993" s="254" t="n"/>
      <c r="DE993" s="254" t="n"/>
      <c r="DF993" s="254" t="n"/>
      <c r="DG993" s="254" t="n"/>
      <c r="DH993" s="254" t="n"/>
      <c r="DI993" s="254" t="n"/>
      <c r="DJ993" s="254" t="inlineStr">
        <is>
          <t>M</t>
        </is>
      </c>
      <c r="DK993" s="254" t="n">
        <v>1</v>
      </c>
      <c r="DL993" s="95" t="n">
        <v>14</v>
      </c>
      <c r="DM993" s="254" t="n"/>
      <c r="DN993" s="95" t="n"/>
      <c r="DO993" s="95" t="n"/>
    </row>
    <row r="994" ht="13" customHeight="1">
      <c r="A994" s="203" t="inlineStr">
        <is>
          <t>AFO-MP1</t>
        </is>
      </c>
      <c r="B994" s="260"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4" t="n"/>
      <c r="BN994" s="266" t="n"/>
      <c r="BO994" s="254" t="n"/>
      <c r="BP994" s="254"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4" t="n"/>
      <c r="DB994" s="254" t="n"/>
      <c r="DC994" s="254" t="n"/>
      <c r="DD994" s="254" t="n"/>
      <c r="DE994" s="254" t="n"/>
      <c r="DF994" s="254" t="n"/>
      <c r="DG994" s="254" t="n"/>
      <c r="DH994" s="254" t="n"/>
      <c r="DI994" s="254" t="n"/>
      <c r="DJ994" s="254" t="n"/>
      <c r="DK994" s="254" t="n"/>
      <c r="DL994" s="95" t="n"/>
      <c r="DM994" s="254" t="n"/>
      <c r="DN994" s="95" t="n"/>
      <c r="DO994" s="95" t="n"/>
    </row>
    <row r="995" ht="13" customHeight="1">
      <c r="A995" s="203" t="inlineStr">
        <is>
          <t>AFO-OV2</t>
        </is>
      </c>
      <c r="B995" s="260"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4" t="inlineStr">
        <is>
          <t>CAUDAL</t>
        </is>
      </c>
      <c r="BN995" s="266" t="inlineStr">
        <is>
          <t>Yabricollita (Otras vegas 2)</t>
        </is>
      </c>
      <c r="BO995" s="254" t="inlineStr">
        <is>
          <t>SI</t>
        </is>
      </c>
      <c r="BP995" s="254"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4" t="n"/>
      <c r="DB995" s="254" t="n"/>
      <c r="DC995" s="254" t="n"/>
      <c r="DD995" s="254" t="n"/>
      <c r="DE995" s="254" t="n"/>
      <c r="DF995" s="254" t="n"/>
      <c r="DG995" s="254" t="n"/>
      <c r="DH995" s="254" t="n"/>
      <c r="DI995" s="254" t="n"/>
      <c r="DJ995" s="254" t="inlineStr">
        <is>
          <t>M</t>
        </is>
      </c>
      <c r="DK995" s="254" t="n">
        <v>22</v>
      </c>
      <c r="DL995" s="95" t="n">
        <v>31</v>
      </c>
      <c r="DM995" s="254" t="n"/>
      <c r="DN995" s="95" t="n"/>
      <c r="DO995" s="95" t="n"/>
    </row>
    <row r="996" ht="13" customHeight="1">
      <c r="A996" s="203" t="inlineStr">
        <is>
          <t>AFO-RF1</t>
        </is>
      </c>
      <c r="B996" s="260"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4" t="inlineStr">
        <is>
          <t>CAUDAL</t>
        </is>
      </c>
      <c r="BN996" s="266" t="inlineStr">
        <is>
          <t>Represa afuera</t>
        </is>
      </c>
      <c r="BO996" s="254" t="inlineStr">
        <is>
          <t>SI</t>
        </is>
      </c>
      <c r="BP996" s="254"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4" t="n"/>
      <c r="DB996" s="254" t="n"/>
      <c r="DC996" s="254" t="n"/>
      <c r="DD996" s="254" t="n"/>
      <c r="DE996" s="254" t="n"/>
      <c r="DF996" s="254" t="n"/>
      <c r="DG996" s="254" t="n"/>
      <c r="DH996" s="254" t="n"/>
      <c r="DI996" s="254" t="n"/>
      <c r="DJ996" s="254" t="inlineStr">
        <is>
          <t>M</t>
        </is>
      </c>
      <c r="DK996" s="254" t="n">
        <v>15</v>
      </c>
      <c r="DL996" s="95" t="n">
        <v>28</v>
      </c>
      <c r="DM996" s="254" t="n"/>
      <c r="DN996" s="95" t="n"/>
      <c r="DO996" s="95" t="n"/>
    </row>
    <row r="997" ht="13" customHeight="1">
      <c r="A997" s="203" t="inlineStr">
        <is>
          <t>AFO-SA1</t>
        </is>
      </c>
      <c r="B997" s="260"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4" t="inlineStr">
        <is>
          <t>CAUDAL</t>
        </is>
      </c>
      <c r="BN997" s="266" t="inlineStr">
        <is>
          <t>Sallihuinca</t>
        </is>
      </c>
      <c r="BO997" s="254" t="inlineStr">
        <is>
          <t>SI</t>
        </is>
      </c>
      <c r="BP997" s="254"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4" t="n"/>
      <c r="DB997" s="208" t="n"/>
      <c r="DC997" s="254" t="n"/>
      <c r="DD997" s="254" t="n"/>
      <c r="DE997" s="254" t="n"/>
      <c r="DF997" s="202" t="n"/>
      <c r="DG997" s="209" t="n"/>
      <c r="DH997" s="209" t="n"/>
      <c r="DI997" s="254" t="n"/>
      <c r="DJ997" s="254" t="inlineStr">
        <is>
          <t>M</t>
        </is>
      </c>
      <c r="DK997" s="254" t="n">
        <v>1</v>
      </c>
      <c r="DL997" s="95" t="n">
        <v>14</v>
      </c>
      <c r="DM997" s="254" t="n"/>
      <c r="DN997" s="95" t="n"/>
      <c r="DO997" s="95" t="n"/>
    </row>
    <row r="998" ht="13" customHeight="1">
      <c r="A998" s="203" t="inlineStr">
        <is>
          <t>AFO-SA1</t>
        </is>
      </c>
      <c r="B998" s="260"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4" t="inlineStr">
        <is>
          <t>ASUP</t>
        </is>
      </c>
      <c r="BN998" s="266" t="inlineStr">
        <is>
          <t>Sallihuinca</t>
        </is>
      </c>
      <c r="BO998" s="254" t="inlineStr">
        <is>
          <t>SI</t>
        </is>
      </c>
      <c r="BP998" s="254"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4" t="n"/>
      <c r="DB998" s="208" t="n"/>
      <c r="DC998" s="254" t="n"/>
      <c r="DD998" s="254" t="n"/>
      <c r="DE998" s="254" t="n"/>
      <c r="DF998" s="202" t="n"/>
      <c r="DG998" s="209" t="n"/>
      <c r="DH998" s="209" t="n"/>
      <c r="DI998" s="254" t="n"/>
      <c r="DJ998" s="254" t="n"/>
      <c r="DK998" s="254" t="n"/>
      <c r="DL998" s="95" t="n"/>
      <c r="DM998" s="254" t="n"/>
      <c r="DN998" s="95" t="n"/>
      <c r="DO998" s="95" t="n"/>
    </row>
    <row r="999" ht="13" customHeight="1">
      <c r="A999" s="203" t="inlineStr">
        <is>
          <t>AFO-SD2</t>
        </is>
      </c>
      <c r="B999" s="260"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4" t="inlineStr">
        <is>
          <t>CAUDAL</t>
        </is>
      </c>
      <c r="BN999" s="266" t="inlineStr">
        <is>
          <t>San Daniel</t>
        </is>
      </c>
      <c r="BO999" s="254" t="inlineStr">
        <is>
          <t>SI</t>
        </is>
      </c>
      <c r="BP999" s="254"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4" t="n"/>
      <c r="DB999" s="208" t="n"/>
      <c r="DC999" s="254" t="n"/>
      <c r="DD999" s="207" t="n"/>
      <c r="DE999" s="254" t="n"/>
      <c r="DF999" s="254" t="n"/>
      <c r="DG999" s="209" t="n"/>
      <c r="DH999" s="209" t="n"/>
      <c r="DI999" s="254" t="n"/>
      <c r="DJ999" s="254" t="inlineStr">
        <is>
          <t>M</t>
        </is>
      </c>
      <c r="DK999" s="254" t="n">
        <v>1</v>
      </c>
      <c r="DL999" s="95" t="n">
        <v>14</v>
      </c>
      <c r="DM999" s="254" t="n"/>
      <c r="DN999" s="95" t="n"/>
      <c r="DO999" s="95" t="n"/>
    </row>
    <row r="1000" ht="13.5" customHeight="1">
      <c r="A1000" s="203" t="inlineStr">
        <is>
          <t>AFO-SD2</t>
        </is>
      </c>
      <c r="B1000" s="260"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4" t="inlineStr">
        <is>
          <t>ASUP</t>
        </is>
      </c>
      <c r="BN1000" s="266" t="inlineStr">
        <is>
          <t>San Daniel</t>
        </is>
      </c>
      <c r="BO1000" s="254" t="inlineStr">
        <is>
          <t>SI</t>
        </is>
      </c>
      <c r="BP1000" s="254"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4" t="n"/>
      <c r="DB1000" s="208" t="n"/>
      <c r="DC1000" s="254" t="n"/>
      <c r="DD1000" s="207" t="n"/>
      <c r="DE1000" s="254" t="n"/>
      <c r="DF1000" s="254" t="n"/>
      <c r="DG1000" s="209" t="n"/>
      <c r="DH1000" s="209" t="n"/>
      <c r="DI1000" s="254" t="n"/>
      <c r="DJ1000" s="254" t="n"/>
      <c r="DK1000" s="254" t="n"/>
      <c r="DL1000" s="95" t="n"/>
      <c r="DM1000" s="254" t="n"/>
      <c r="DN1000" s="95" t="n"/>
      <c r="DO1000" s="95" t="n"/>
    </row>
    <row r="1001" ht="13" customHeight="1">
      <c r="A1001" s="203" t="inlineStr">
        <is>
          <t>AFO-SN1</t>
        </is>
      </c>
      <c r="B1001" s="260"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4" t="inlineStr">
        <is>
          <t>CAUDAL</t>
        </is>
      </c>
      <c r="BN1001" s="266" t="inlineStr">
        <is>
          <t>Qda Sin Nombre</t>
        </is>
      </c>
      <c r="BO1001" s="254" t="inlineStr">
        <is>
          <t>SI</t>
        </is>
      </c>
      <c r="BP1001" s="254"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4" t="n"/>
      <c r="DB1001" s="254" t="n"/>
      <c r="DC1001" s="254" t="n"/>
      <c r="DD1001" s="254" t="n"/>
      <c r="DE1001" s="254" t="n"/>
      <c r="DF1001" s="254" t="n"/>
      <c r="DG1001" s="254" t="n"/>
      <c r="DH1001" s="254" t="n"/>
      <c r="DI1001" s="254" t="n"/>
      <c r="DJ1001" s="254" t="inlineStr">
        <is>
          <t>M</t>
        </is>
      </c>
      <c r="DK1001" s="254" t="n">
        <v>22</v>
      </c>
      <c r="DL1001" s="95" t="n">
        <v>31</v>
      </c>
      <c r="DM1001" s="254" t="n"/>
      <c r="DN1001" s="95" t="n"/>
      <c r="DO1001" s="95" t="n"/>
    </row>
    <row r="1002" ht="13" customHeight="1">
      <c r="A1002" s="203" t="inlineStr">
        <is>
          <t>AFO-ZE1</t>
        </is>
      </c>
      <c r="B1002" s="260"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4" t="inlineStr">
        <is>
          <t>CAUDAL</t>
        </is>
      </c>
      <c r="BN1002" s="266" t="inlineStr">
        <is>
          <t>Qda Ceusis</t>
        </is>
      </c>
      <c r="BO1002" s="254" t="inlineStr">
        <is>
          <t>SI</t>
        </is>
      </c>
      <c r="BP1002" s="254"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4" t="n"/>
      <c r="DB1002" s="254" t="n"/>
      <c r="DC1002" s="254" t="n"/>
      <c r="DD1002" s="254" t="n"/>
      <c r="DE1002" s="254" t="n"/>
      <c r="DF1002" s="254" t="n"/>
      <c r="DG1002" s="254" t="n"/>
      <c r="DH1002" s="254" t="n"/>
      <c r="DI1002" s="254" t="n"/>
      <c r="DJ1002" s="254" t="inlineStr">
        <is>
          <t>M</t>
        </is>
      </c>
      <c r="DK1002" s="254" t="n">
        <v>22</v>
      </c>
      <c r="DL1002" s="95" t="n">
        <v>31</v>
      </c>
      <c r="DM1002" s="254" t="n"/>
      <c r="DN1002" s="95" t="n"/>
      <c r="DO1002" s="95" t="n"/>
    </row>
    <row r="1003" ht="13" customHeight="1">
      <c r="A1003" s="203" t="inlineStr">
        <is>
          <t>Botadero Sur</t>
        </is>
      </c>
      <c r="B1003" s="260"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259" t="n"/>
      <c r="BL1003" s="61" t="n"/>
      <c r="BM1003" s="254" t="n"/>
      <c r="BN1003" s="266" t="n"/>
      <c r="BO1003" s="254" t="n"/>
      <c r="BP1003" s="254"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4" t="n"/>
      <c r="DB1003" s="254" t="n"/>
      <c r="DC1003" s="254" t="n"/>
      <c r="DD1003" s="254" t="n"/>
      <c r="DE1003" s="254" t="n"/>
      <c r="DF1003" s="254" t="n"/>
      <c r="DG1003" s="254" t="n"/>
      <c r="DH1003" s="254" t="n"/>
      <c r="DI1003" s="254" t="n"/>
      <c r="DJ1003" s="254" t="n"/>
      <c r="DK1003" s="254" t="n"/>
      <c r="DL1003" s="95" t="n"/>
      <c r="DM1003" s="254" t="n"/>
      <c r="DN1003" s="95" t="n"/>
      <c r="DO1003" s="95" t="n"/>
    </row>
    <row r="1004" ht="13" customHeight="1">
      <c r="A1004" s="203" t="inlineStr">
        <is>
          <t>Canaleta DR</t>
        </is>
      </c>
      <c r="B1004" s="260"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259" t="n"/>
      <c r="BL1004" s="61" t="n"/>
      <c r="BM1004" s="254" t="n"/>
      <c r="BN1004" s="266" t="n"/>
      <c r="BO1004" s="254" t="n"/>
      <c r="BP1004" s="254"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4" t="n"/>
      <c r="DB1004" s="254" t="n"/>
      <c r="DC1004" s="254" t="n"/>
      <c r="DD1004" s="254" t="n"/>
      <c r="DE1004" s="254" t="n"/>
      <c r="DF1004" s="254" t="n"/>
      <c r="DG1004" s="254" t="n"/>
      <c r="DH1004" s="254" t="n"/>
      <c r="DI1004" s="254" t="n"/>
      <c r="DJ1004" s="254" t="n"/>
      <c r="DK1004" s="254" t="n"/>
      <c r="DL1004" s="95" t="n"/>
      <c r="DM1004" s="254" t="n"/>
      <c r="DN1004" s="95" t="n"/>
      <c r="DO1004" s="95" t="n"/>
    </row>
    <row r="1005" ht="13" customHeight="1">
      <c r="A1005" s="203" t="inlineStr">
        <is>
          <t>Ceusis</t>
        </is>
      </c>
      <c r="B1005" s="260"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259" t="n"/>
      <c r="BL1005" s="61" t="n"/>
      <c r="BM1005" s="254" t="n"/>
      <c r="BN1005" s="266" t="n"/>
      <c r="BO1005" s="254" t="n"/>
      <c r="BP1005" s="254"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4" t="n"/>
      <c r="DB1005" s="254" t="n"/>
      <c r="DC1005" s="254" t="n"/>
      <c r="DD1005" s="254" t="n"/>
      <c r="DE1005" s="254" t="n"/>
      <c r="DF1005" s="254" t="n"/>
      <c r="DG1005" s="254" t="n"/>
      <c r="DH1005" s="254" t="n"/>
      <c r="DI1005" s="254" t="n"/>
      <c r="DJ1005" s="254" t="n"/>
      <c r="DK1005" s="254" t="n"/>
      <c r="DL1005" s="95" t="n"/>
      <c r="DM1005" s="254" t="n"/>
      <c r="DN1005" s="95" t="n"/>
      <c r="DO1005" s="95" t="n"/>
    </row>
    <row r="1006" ht="13" customHeight="1">
      <c r="A1006" s="203" t="inlineStr">
        <is>
          <t>Chiclla</t>
        </is>
      </c>
      <c r="B1006" s="260"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259" t="n"/>
      <c r="BL1006" s="61" t="n"/>
      <c r="BM1006" s="254" t="n"/>
      <c r="BN1006" s="266" t="n"/>
      <c r="BO1006" s="254" t="n"/>
      <c r="BP1006" s="254"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4" t="n"/>
      <c r="DB1006" s="208" t="n"/>
      <c r="DC1006" s="254" t="n"/>
      <c r="DD1006" s="254" t="n"/>
      <c r="DE1006" s="254" t="n"/>
      <c r="DF1006" s="254" t="n"/>
      <c r="DG1006" s="209" t="n"/>
      <c r="DH1006" s="209" t="n"/>
      <c r="DI1006" s="254" t="n"/>
      <c r="DJ1006" s="254" t="n"/>
      <c r="DK1006" s="254" t="n"/>
      <c r="DL1006" s="95" t="n"/>
      <c r="DM1006" s="254" t="n"/>
      <c r="DN1006" s="95" t="n"/>
      <c r="DO1006" s="95" t="n"/>
    </row>
    <row r="1007" ht="13" customHeight="1">
      <c r="A1007" s="203" t="inlineStr">
        <is>
          <t>Dique Huinquintipa</t>
        </is>
      </c>
      <c r="B1007" s="260"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259" t="n"/>
      <c r="BL1007" s="61" t="inlineStr">
        <is>
          <t>GRHID</t>
        </is>
      </c>
      <c r="BM1007" s="254" t="inlineStr">
        <is>
          <t>ASUP</t>
        </is>
      </c>
      <c r="BN1007" s="266" t="inlineStr">
        <is>
          <t>Huinquintipa</t>
        </is>
      </c>
      <c r="BO1007" s="254" t="inlineStr">
        <is>
          <t>SI</t>
        </is>
      </c>
      <c r="BP1007" s="254"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4" t="n"/>
      <c r="DB1007" s="254" t="n"/>
      <c r="DC1007" s="254" t="n"/>
      <c r="DD1007" s="254" t="n"/>
      <c r="DE1007" s="254" t="n"/>
      <c r="DF1007" s="254" t="n"/>
      <c r="DG1007" s="254" t="n"/>
      <c r="DH1007" s="254" t="n"/>
      <c r="DI1007" s="254" t="n"/>
      <c r="DJ1007" s="254" t="n"/>
      <c r="DK1007" s="254" t="n"/>
      <c r="DL1007" s="95" t="n"/>
      <c r="DM1007" s="254"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259" t="n"/>
      <c r="BL1008" s="61" t="inlineStr">
        <is>
          <t>GRHID</t>
        </is>
      </c>
      <c r="BM1008" s="254" t="inlineStr">
        <is>
          <t>FOTOMETRO</t>
        </is>
      </c>
      <c r="BN1008" s="266" t="inlineStr">
        <is>
          <t>Huinquintipa</t>
        </is>
      </c>
      <c r="BO1008" s="254" t="inlineStr">
        <is>
          <t>SI</t>
        </is>
      </c>
      <c r="BP1008" s="254"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4" t="n"/>
      <c r="DB1008" s="254" t="n"/>
      <c r="DC1008" s="254" t="n"/>
      <c r="DD1008" s="254" t="n"/>
      <c r="DE1008" s="254" t="n"/>
      <c r="DF1008" s="254" t="n"/>
      <c r="DG1008" s="254" t="n"/>
      <c r="DH1008" s="254" t="n"/>
      <c r="DI1008" s="254" t="n"/>
      <c r="DJ1008" s="254" t="n"/>
      <c r="DK1008" s="254" t="n"/>
      <c r="DL1008" s="95" t="n"/>
      <c r="DM1008" s="254" t="inlineStr">
        <is>
          <t>S</t>
        </is>
      </c>
      <c r="DN1008" s="95" t="inlineStr">
        <is>
          <t>R</t>
        </is>
      </c>
      <c r="DO1008" s="95" t="inlineStr">
        <is>
          <t>R</t>
        </is>
      </c>
    </row>
    <row r="1009" ht="13" customHeight="1">
      <c r="A1009" s="203" t="inlineStr">
        <is>
          <t>Dique San Daniel</t>
        </is>
      </c>
      <c r="B1009" s="260"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259" t="n"/>
      <c r="BL1009" s="61" t="inlineStr">
        <is>
          <t>GRHID</t>
        </is>
      </c>
      <c r="BM1009" s="254" t="inlineStr">
        <is>
          <t>ASUP</t>
        </is>
      </c>
      <c r="BN1009" s="266" t="inlineStr">
        <is>
          <t>San Daniel</t>
        </is>
      </c>
      <c r="BO1009" s="254" t="inlineStr">
        <is>
          <t>SI</t>
        </is>
      </c>
      <c r="BP1009" s="254"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4" t="n"/>
      <c r="DB1009" s="254" t="n"/>
      <c r="DC1009" s="254" t="n"/>
      <c r="DD1009" s="254" t="n"/>
      <c r="DE1009" s="254" t="n"/>
      <c r="DF1009" s="254" t="n"/>
      <c r="DG1009" s="254" t="n"/>
      <c r="DH1009" s="254" t="n"/>
      <c r="DI1009" s="254" t="n"/>
      <c r="DJ1009" s="254" t="n"/>
      <c r="DK1009" s="254" t="n"/>
      <c r="DL1009" s="95" t="n"/>
      <c r="DM1009" s="254"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259" t="n"/>
      <c r="BL1010" s="61" t="inlineStr">
        <is>
          <t>GRHID</t>
        </is>
      </c>
      <c r="BM1010" s="254" t="inlineStr">
        <is>
          <t>FOTOMETRO</t>
        </is>
      </c>
      <c r="BN1010" s="266" t="inlineStr">
        <is>
          <t>San Daniel</t>
        </is>
      </c>
      <c r="BO1010" s="254" t="inlineStr">
        <is>
          <t>SI</t>
        </is>
      </c>
      <c r="BP1010" s="254"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4" t="n"/>
      <c r="DB1010" s="254" t="n"/>
      <c r="DC1010" s="254" t="n"/>
      <c r="DD1010" s="254" t="n"/>
      <c r="DE1010" s="254" t="n"/>
      <c r="DF1010" s="254" t="n"/>
      <c r="DG1010" s="254" t="n"/>
      <c r="DH1010" s="254" t="n"/>
      <c r="DI1010" s="254" t="n"/>
      <c r="DJ1010" s="254" t="n"/>
      <c r="DK1010" s="254" t="n"/>
      <c r="DL1010" s="95" t="n"/>
      <c r="DM1010" s="254"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259" t="n"/>
      <c r="BL1011" s="61" t="inlineStr">
        <is>
          <t>SI ABASTECIMIENTO</t>
        </is>
      </c>
      <c r="BM1011" s="254" t="inlineStr">
        <is>
          <t>ASUP</t>
        </is>
      </c>
      <c r="BN1011" s="266" t="inlineStr">
        <is>
          <t xml:space="preserve">Rosario </t>
        </is>
      </c>
      <c r="BO1011" s="254" t="n"/>
      <c r="BP1011" s="254"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4" t="n"/>
      <c r="DB1011" s="254" t="n"/>
      <c r="DC1011" s="254" t="n"/>
      <c r="DD1011" s="254" t="n"/>
      <c r="DE1011" s="254" t="n"/>
      <c r="DF1011" s="254" t="n"/>
      <c r="DG1011" s="254" t="n"/>
      <c r="DH1011" s="254" t="n"/>
      <c r="DI1011" s="254" t="n"/>
      <c r="DJ1011" s="254" t="n"/>
      <c r="DK1011" s="254" t="n"/>
      <c r="DL1011" s="95" t="n"/>
      <c r="DM1011" s="254" t="n"/>
      <c r="DN1011" s="95" t="n"/>
      <c r="DO1011" s="95" t="n"/>
    </row>
    <row r="1012" ht="12.5" customHeight="1">
      <c r="A1012" s="203" t="inlineStr">
        <is>
          <t>Estación 1</t>
        </is>
      </c>
      <c r="B1012" s="260"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266" t="inlineStr">
        <is>
          <t>532ZPQE005</t>
        </is>
      </c>
      <c r="BL1012" s="61" t="inlineStr">
        <is>
          <t>GMAP-SIGA</t>
        </is>
      </c>
      <c r="BM1012" s="254" t="inlineStr">
        <is>
          <t>CAUDAL</t>
        </is>
      </c>
      <c r="BN1012" s="266" t="inlineStr">
        <is>
          <t>Sallihuinca</t>
        </is>
      </c>
      <c r="BO1012" s="254" t="inlineStr">
        <is>
          <t>SI</t>
        </is>
      </c>
      <c r="BP1012" s="254"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4" t="n"/>
      <c r="DB1012" s="208" t="n"/>
      <c r="DC1012" s="254" t="n"/>
      <c r="DD1012" s="254" t="n"/>
      <c r="DE1012" s="213" t="n"/>
      <c r="DF1012" s="202" t="n"/>
      <c r="DG1012" s="209" t="n"/>
      <c r="DH1012" s="209" t="n"/>
      <c r="DI1012" s="254" t="n"/>
      <c r="DJ1012" s="254" t="inlineStr">
        <is>
          <t>M</t>
        </is>
      </c>
      <c r="DK1012" s="254" t="n">
        <v>1</v>
      </c>
      <c r="DL1012" s="95" t="n">
        <v>14</v>
      </c>
      <c r="DM1012" s="254" t="n"/>
      <c r="DN1012" s="95" t="n"/>
      <c r="DO1012" s="95" t="n"/>
    </row>
    <row r="1013" ht="12.5" customHeight="1">
      <c r="A1013" s="203" t="inlineStr">
        <is>
          <t>Estación 1</t>
        </is>
      </c>
      <c r="B1013" s="260"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255" t="n"/>
      <c r="BL1013" s="61" t="inlineStr">
        <is>
          <t>GMAP-SIGA</t>
        </is>
      </c>
      <c r="BM1013" s="254" t="inlineStr">
        <is>
          <t>ASUP</t>
        </is>
      </c>
      <c r="BN1013" s="266" t="inlineStr">
        <is>
          <t>Sallihuinca</t>
        </is>
      </c>
      <c r="BO1013" s="254" t="inlineStr">
        <is>
          <t>SI</t>
        </is>
      </c>
      <c r="BP1013" s="254"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4" t="n"/>
      <c r="DB1013" s="208" t="n"/>
      <c r="DC1013" s="254" t="n"/>
      <c r="DD1013" s="254" t="n"/>
      <c r="DE1013" s="213" t="n"/>
      <c r="DF1013" s="202" t="n"/>
      <c r="DG1013" s="209" t="n"/>
      <c r="DH1013" s="209" t="n"/>
      <c r="DI1013" s="254" t="n"/>
      <c r="DJ1013" s="254" t="n"/>
      <c r="DK1013" s="254" t="n"/>
      <c r="DL1013" s="95" t="n"/>
      <c r="DM1013" s="254" t="inlineStr">
        <is>
          <t>M</t>
        </is>
      </c>
      <c r="DN1013" s="95" t="n">
        <v>1</v>
      </c>
      <c r="DO1013" s="95" t="n">
        <v>14</v>
      </c>
    </row>
    <row r="1014" ht="13" customHeight="1">
      <c r="A1014" s="203" t="inlineStr">
        <is>
          <t>Estación 2</t>
        </is>
      </c>
      <c r="B1014" s="260"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259" t="n"/>
      <c r="BL1014" s="61" t="n"/>
      <c r="BM1014" s="254" t="n"/>
      <c r="BN1014" s="266" t="n"/>
      <c r="BO1014" s="254" t="n"/>
      <c r="BP1014" s="254"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4" t="n"/>
      <c r="DB1014" s="254" t="n"/>
      <c r="DC1014" s="254" t="n"/>
      <c r="DD1014" s="254" t="n"/>
      <c r="DE1014" s="213" t="n"/>
      <c r="DF1014" s="254" t="n"/>
      <c r="DG1014" s="254" t="n"/>
      <c r="DH1014" s="254" t="n"/>
      <c r="DI1014" s="254" t="n"/>
      <c r="DJ1014" s="254" t="n"/>
      <c r="DK1014" s="254" t="n"/>
      <c r="DL1014" s="95" t="n"/>
      <c r="DM1014" s="254"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01" t="inlineStr">
        <is>
          <t>532ZPQE006</t>
        </is>
      </c>
      <c r="BL1015" s="61" t="inlineStr">
        <is>
          <t>GMAP-SIGA</t>
        </is>
      </c>
      <c r="BM1015" s="254" t="inlineStr">
        <is>
          <t>CAUDAL</t>
        </is>
      </c>
      <c r="BN1015" s="266" t="inlineStr">
        <is>
          <t>Copaquire</t>
        </is>
      </c>
      <c r="BO1015" s="254" t="inlineStr">
        <is>
          <t>SI</t>
        </is>
      </c>
      <c r="BP1015" s="254"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4" t="n"/>
      <c r="DB1015" s="254" t="n"/>
      <c r="DC1015" s="254" t="n"/>
      <c r="DD1015" s="254" t="n"/>
      <c r="DE1015" s="213" t="n"/>
      <c r="DF1015" s="254" t="n"/>
      <c r="DG1015" s="254" t="n"/>
      <c r="DH1015" s="254" t="n"/>
      <c r="DI1015" s="254" t="n"/>
      <c r="DJ1015" s="254" t="inlineStr">
        <is>
          <t>M</t>
        </is>
      </c>
      <c r="DK1015" s="254" t="n">
        <v>22</v>
      </c>
      <c r="DL1015" s="95" t="n">
        <v>28</v>
      </c>
      <c r="DM1015" s="254" t="n"/>
      <c r="DN1015" s="95" t="n"/>
      <c r="DO1015" s="95" t="n"/>
    </row>
    <row r="1016" ht="13" customHeight="1">
      <c r="A1016" s="203" t="inlineStr">
        <is>
          <t>Estación 3</t>
        </is>
      </c>
      <c r="B1016" s="260"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255" t="n"/>
      <c r="BL1016" s="61" t="inlineStr">
        <is>
          <t>GMAP-SIGA</t>
        </is>
      </c>
      <c r="BM1016" s="254" t="inlineStr">
        <is>
          <t>ASUP</t>
        </is>
      </c>
      <c r="BN1016" s="266" t="inlineStr">
        <is>
          <t>Copaquire</t>
        </is>
      </c>
      <c r="BO1016" s="254" t="inlineStr">
        <is>
          <t>SI</t>
        </is>
      </c>
      <c r="BP1016" s="254"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4" t="n"/>
      <c r="DB1016" s="254" t="n"/>
      <c r="DC1016" s="254" t="n"/>
      <c r="DD1016" s="254" t="n"/>
      <c r="DE1016" s="213" t="n"/>
      <c r="DF1016" s="254" t="n"/>
      <c r="DG1016" s="254" t="n"/>
      <c r="DH1016" s="254" t="n"/>
      <c r="DI1016" s="254" t="n"/>
      <c r="DJ1016" s="254" t="n"/>
      <c r="DK1016" s="254" t="n"/>
      <c r="DL1016" s="95" t="n"/>
      <c r="DM1016" s="254" t="inlineStr">
        <is>
          <t>M</t>
        </is>
      </c>
      <c r="DN1016" s="95" t="n">
        <v>22</v>
      </c>
      <c r="DO1016" s="95" t="n">
        <v>28</v>
      </c>
    </row>
    <row r="1017" ht="13" customHeight="1">
      <c r="A1017" s="203" t="inlineStr">
        <is>
          <t>Estanque recolección abastecimiento medida reposición MM1</t>
        </is>
      </c>
      <c r="B1017" s="260"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259" t="n"/>
      <c r="BL1017" s="61" t="n"/>
      <c r="BM1017" s="254" t="n"/>
      <c r="BN1017" s="266" t="n"/>
      <c r="BO1017" s="254" t="n"/>
      <c r="BP1017" s="254"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4" t="n"/>
      <c r="DB1017" s="254" t="n"/>
      <c r="DC1017" s="254" t="n"/>
      <c r="DD1017" s="254" t="n"/>
      <c r="DE1017" s="254" t="n"/>
      <c r="DF1017" s="254" t="n"/>
      <c r="DG1017" s="254" t="n"/>
      <c r="DH1017" s="254" t="n"/>
      <c r="DI1017" s="254" t="n"/>
      <c r="DJ1017" s="254" t="n"/>
      <c r="DK1017" s="254" t="n"/>
      <c r="DL1017" s="95" t="n"/>
      <c r="DM1017" s="254" t="n"/>
      <c r="DN1017" s="95" t="n"/>
      <c r="DO1017" s="95" t="n"/>
    </row>
    <row r="1018" ht="13" customHeight="1">
      <c r="A1018" s="203" t="inlineStr">
        <is>
          <t>Extracciones del Rajo Rosario</t>
        </is>
      </c>
      <c r="B1018" s="260"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259" t="n"/>
      <c r="BL1018" s="61" t="n"/>
      <c r="BM1018" s="254" t="n"/>
      <c r="BN1018" s="266" t="n"/>
      <c r="BO1018" s="254" t="n"/>
      <c r="BP1018" s="254"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4" t="n"/>
      <c r="DB1018" s="254" t="n"/>
      <c r="DC1018" s="254" t="n"/>
      <c r="DD1018" s="254" t="n"/>
      <c r="DE1018" s="254" t="n"/>
      <c r="DF1018" s="254" t="n"/>
      <c r="DG1018" s="254" t="n"/>
      <c r="DH1018" s="254" t="n"/>
      <c r="DI1018" s="254" t="n"/>
      <c r="DJ1018" s="254" t="n"/>
      <c r="DK1018" s="254" t="n"/>
      <c r="DL1018" s="95" t="n"/>
      <c r="DM1018" s="254" t="n"/>
      <c r="DN1018" s="95" t="n"/>
      <c r="DO1018" s="95" t="n"/>
    </row>
    <row r="1019" ht="13" customHeight="1">
      <c r="A1019" s="203" t="inlineStr">
        <is>
          <t>Huinquintipa arriba (QDH-02)</t>
        </is>
      </c>
      <c r="B1019" s="260"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259" t="n"/>
      <c r="BL1019" s="61" t="n"/>
      <c r="BM1019" s="254" t="n"/>
      <c r="BN1019" s="266" t="n"/>
      <c r="BO1019" s="254" t="n"/>
      <c r="BP1019" s="254"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4" t="n"/>
      <c r="DB1019" s="208" t="n"/>
      <c r="DC1019" s="254" t="n"/>
      <c r="DD1019" s="254" t="n"/>
      <c r="DE1019" s="254" t="n"/>
      <c r="DF1019" s="254" t="n"/>
      <c r="DG1019" s="209" t="n"/>
      <c r="DH1019" s="209" t="n"/>
      <c r="DI1019" s="254" t="n"/>
      <c r="DJ1019" s="254" t="n"/>
      <c r="DK1019" s="254" t="n"/>
      <c r="DL1019" s="95" t="n"/>
      <c r="DM1019" s="254" t="n"/>
      <c r="DN1019" s="95" t="n"/>
      <c r="DO1019" s="95" t="n"/>
    </row>
    <row r="1020" ht="13" customHeight="1">
      <c r="A1020" s="203" t="inlineStr">
        <is>
          <t>LC</t>
        </is>
      </c>
      <c r="B1020" s="260"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259" t="n"/>
      <c r="BL1020" s="61" t="n"/>
      <c r="BM1020" s="254" t="n"/>
      <c r="BN1020" s="266" t="n"/>
      <c r="BO1020" s="254" t="n"/>
      <c r="BP1020" s="254"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4" t="n"/>
      <c r="DB1020" s="254" t="n"/>
      <c r="DC1020" s="254" t="n"/>
      <c r="DD1020" s="254" t="n"/>
      <c r="DE1020" s="254" t="n"/>
      <c r="DF1020" s="254" t="n"/>
      <c r="DG1020" s="254" t="n"/>
      <c r="DH1020" s="254" t="n"/>
      <c r="DI1020" s="254" t="n"/>
      <c r="DJ1020" s="254" t="n"/>
      <c r="DK1020" s="254" t="n"/>
      <c r="DL1020" s="95" t="n"/>
      <c r="DM1020" s="254" t="n"/>
      <c r="DN1020" s="95" t="n"/>
      <c r="DO1020" s="95" t="n"/>
    </row>
    <row r="1021" ht="13" customHeight="1">
      <c r="A1021" s="203" t="inlineStr">
        <is>
          <t>LM</t>
        </is>
      </c>
      <c r="B1021" s="260"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259" t="n"/>
      <c r="BL1021" s="61" t="n"/>
      <c r="BM1021" s="254" t="n"/>
      <c r="BN1021" s="266" t="n"/>
      <c r="BO1021" s="254" t="n"/>
      <c r="BP1021" s="254"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4" t="n"/>
      <c r="DB1021" s="254" t="n"/>
      <c r="DC1021" s="254" t="n"/>
      <c r="DD1021" s="254" t="n"/>
      <c r="DE1021" s="254" t="n"/>
      <c r="DF1021" s="254" t="n"/>
      <c r="DG1021" s="254" t="n"/>
      <c r="DH1021" s="254" t="n"/>
      <c r="DI1021" s="254" t="n"/>
      <c r="DJ1021" s="254" t="n"/>
      <c r="DK1021" s="254" t="n"/>
      <c r="DL1021" s="95" t="n"/>
      <c r="DM1021" s="254" t="n"/>
      <c r="DN1021" s="95" t="n"/>
      <c r="DO1021" s="95" t="n"/>
    </row>
    <row r="1022" ht="13" customHeight="1">
      <c r="A1022" s="203" t="inlineStr">
        <is>
          <t>Mal Paso</t>
        </is>
      </c>
      <c r="B1022" s="260"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259" t="n"/>
      <c r="BL1022" s="61" t="n"/>
      <c r="BM1022" s="254" t="n"/>
      <c r="BN1022" s="266" t="n"/>
      <c r="BO1022" s="254" t="n"/>
      <c r="BP1022" s="254"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4" t="n"/>
      <c r="DB1022" s="254" t="n"/>
      <c r="DC1022" s="254" t="n"/>
      <c r="DD1022" s="254" t="n"/>
      <c r="DE1022" s="254" t="n"/>
      <c r="DF1022" s="254" t="n"/>
      <c r="DG1022" s="254" t="n"/>
      <c r="DH1022" s="254" t="n"/>
      <c r="DI1022" s="254" t="n"/>
      <c r="DJ1022" s="254" t="n"/>
      <c r="DK1022" s="254" t="n"/>
      <c r="DL1022" s="95" t="n"/>
      <c r="DM1022" s="254" t="n"/>
      <c r="DN1022" s="95" t="n"/>
      <c r="DO1022" s="95" t="n"/>
    </row>
    <row r="1023" ht="13.5" customHeight="1">
      <c r="A1023" s="203" t="inlineStr">
        <is>
          <t>NP-6
(reemplaza al P-6)</t>
        </is>
      </c>
      <c r="B1023" s="260"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259" t="n"/>
      <c r="BL1023" s="61" t="n"/>
      <c r="BM1023" s="254" t="n"/>
      <c r="BN1023" s="266" t="n"/>
      <c r="BO1023" s="254" t="n"/>
      <c r="BP1023" s="254"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4" t="n"/>
      <c r="DB1023" s="254" t="n"/>
      <c r="DC1023" s="254" t="n"/>
      <c r="DD1023" s="254" t="n"/>
      <c r="DE1023" s="254" t="n"/>
      <c r="DF1023" s="254" t="n"/>
      <c r="DG1023" s="254" t="n"/>
      <c r="DH1023" s="254" t="n"/>
      <c r="DI1023" s="254" t="n"/>
      <c r="DJ1023" s="254" t="n"/>
      <c r="DK1023" s="254" t="n"/>
      <c r="DL1023" s="95" t="n"/>
      <c r="DM1023" s="254" t="n"/>
      <c r="DN1023" s="95" t="n"/>
      <c r="DO1023" s="95" t="n"/>
    </row>
    <row r="1024" ht="13" customHeight="1">
      <c r="A1024" s="203" t="inlineStr">
        <is>
          <t>Piscina Agua Desalada</t>
        </is>
      </c>
      <c r="B1024" s="260"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259" t="n"/>
      <c r="BL1024" s="61" t="n"/>
      <c r="BM1024" s="254" t="n"/>
      <c r="BN1024" s="266" t="n"/>
      <c r="BO1024" s="254" t="n"/>
      <c r="BP1024" s="254"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4" t="n"/>
      <c r="DB1024" s="254" t="n"/>
      <c r="DC1024" s="254" t="n"/>
      <c r="DD1024" s="254" t="n"/>
      <c r="DE1024" s="254" t="n"/>
      <c r="DF1024" s="254" t="n"/>
      <c r="DG1024" s="254" t="n"/>
      <c r="DH1024" s="254" t="n"/>
      <c r="DI1024" s="254" t="n"/>
      <c r="DJ1024" s="254" t="n"/>
      <c r="DK1024" s="254" t="n"/>
      <c r="DL1024" s="95" t="n"/>
      <c r="DM1024" s="254" t="n"/>
      <c r="DN1024" s="95" t="n"/>
      <c r="DO1024" s="95" t="n"/>
    </row>
    <row r="1025" ht="13" customHeight="1">
      <c r="A1025" s="203" t="inlineStr">
        <is>
          <t>Pozo 1</t>
        </is>
      </c>
      <c r="B1025" s="260"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259" t="n"/>
      <c r="BL1025" s="61" t="n"/>
      <c r="BM1025" s="254" t="n"/>
      <c r="BN1025" s="266" t="n"/>
      <c r="BO1025" s="254" t="n"/>
      <c r="BP1025" s="254"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4" t="n"/>
      <c r="DB1025" s="254" t="n"/>
      <c r="DC1025" s="254" t="n"/>
      <c r="DD1025" s="254" t="n"/>
      <c r="DE1025" s="254" t="n"/>
      <c r="DF1025" s="254" t="n"/>
      <c r="DG1025" s="254" t="n"/>
      <c r="DH1025" s="254" t="n"/>
      <c r="DI1025" s="254" t="n"/>
      <c r="DJ1025" s="254" t="n"/>
      <c r="DK1025" s="254" t="n"/>
      <c r="DL1025" s="95" t="n"/>
      <c r="DM1025" s="254" t="n"/>
      <c r="DN1025" s="95" t="n"/>
      <c r="DO1025" s="95" t="n"/>
    </row>
    <row r="1026" ht="13" customHeight="1">
      <c r="A1026" s="203" t="inlineStr">
        <is>
          <t>Pozo 10</t>
        </is>
      </c>
      <c r="B1026" s="260"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259" t="n"/>
      <c r="BL1026" s="61" t="n"/>
      <c r="BM1026" s="254" t="n"/>
      <c r="BN1026" s="266" t="n"/>
      <c r="BO1026" s="254" t="n"/>
      <c r="BP1026" s="254"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4" t="n"/>
      <c r="DB1026" s="254" t="n"/>
      <c r="DC1026" s="254" t="n"/>
      <c r="DD1026" s="254" t="n"/>
      <c r="DE1026" s="254" t="n"/>
      <c r="DF1026" s="254" t="n"/>
      <c r="DG1026" s="254" t="n"/>
      <c r="DH1026" s="254" t="n"/>
      <c r="DI1026" s="254" t="n"/>
      <c r="DJ1026" s="254" t="n"/>
      <c r="DK1026" s="254" t="n"/>
      <c r="DL1026" s="95" t="n"/>
      <c r="DM1026" s="254" t="n"/>
      <c r="DN1026" s="95" t="n"/>
      <c r="DO1026" s="95" t="n"/>
    </row>
    <row r="1027" ht="13" customHeight="1">
      <c r="A1027" s="203" t="inlineStr">
        <is>
          <t>Pozo 11</t>
        </is>
      </c>
      <c r="B1027" s="260"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4" t="inlineStr">
        <is>
          <t>NF</t>
        </is>
      </c>
      <c r="BN1027" s="266" t="inlineStr">
        <is>
          <t>Tranque</t>
        </is>
      </c>
      <c r="BO1027" s="254" t="inlineStr">
        <is>
          <t>SI</t>
        </is>
      </c>
      <c r="BP1027" s="254"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4" t="n"/>
      <c r="DB1027" s="254" t="n"/>
      <c r="DC1027" s="254" t="n"/>
      <c r="DD1027" s="254" t="n"/>
      <c r="DE1027" s="254" t="n"/>
      <c r="DF1027" s="254" t="n"/>
      <c r="DG1027" s="254" t="n"/>
      <c r="DH1027" s="254" t="n"/>
      <c r="DI1027" s="254" t="n"/>
      <c r="DJ1027" s="254" t="n"/>
      <c r="DK1027" s="254" t="n"/>
      <c r="DL1027" s="95" t="n"/>
      <c r="DM1027" s="254" t="n"/>
      <c r="DN1027" s="95" t="n"/>
      <c r="DO1027" s="95" t="n"/>
    </row>
    <row r="1028" ht="13" customHeight="1">
      <c r="A1028" s="203" t="inlineStr">
        <is>
          <t>Pozo 11</t>
        </is>
      </c>
      <c r="B1028" s="260"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4" t="inlineStr">
        <is>
          <t>ASUB</t>
        </is>
      </c>
      <c r="BN1028" s="266" t="inlineStr">
        <is>
          <t>Tranque</t>
        </is>
      </c>
      <c r="BO1028" s="254" t="inlineStr">
        <is>
          <t>SI</t>
        </is>
      </c>
      <c r="BP1028" s="254"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4" t="n"/>
      <c r="DB1028" s="254" t="n"/>
      <c r="DC1028" s="254" t="n"/>
      <c r="DD1028" s="254" t="n"/>
      <c r="DE1028" s="254" t="n"/>
      <c r="DF1028" s="254" t="n"/>
      <c r="DG1028" s="254" t="n"/>
      <c r="DH1028" s="254" t="n"/>
      <c r="DI1028" s="254" t="n"/>
      <c r="DJ1028" s="254" t="n"/>
      <c r="DK1028" s="254" t="n"/>
      <c r="DL1028" s="95" t="n"/>
      <c r="DM1028" s="254" t="n"/>
      <c r="DN1028" s="95" t="n"/>
      <c r="DO1028" s="95" t="n"/>
    </row>
    <row r="1029" ht="13" customHeight="1">
      <c r="A1029" s="203" t="inlineStr">
        <is>
          <t>Pozo 12</t>
        </is>
      </c>
      <c r="B1029" s="260"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4" t="n"/>
      <c r="BN1029" s="266" t="n"/>
      <c r="BO1029" s="254" t="n"/>
      <c r="BP1029" s="254"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4" t="n"/>
      <c r="DB1029" s="254" t="n"/>
      <c r="DC1029" s="254" t="n"/>
      <c r="DD1029" s="254" t="n"/>
      <c r="DE1029" s="254" t="n"/>
      <c r="DF1029" s="254" t="n"/>
      <c r="DG1029" s="254" t="n"/>
      <c r="DH1029" s="254" t="n"/>
      <c r="DI1029" s="254" t="n"/>
      <c r="DJ1029" s="254" t="n"/>
      <c r="DK1029" s="254" t="n"/>
      <c r="DL1029" s="95" t="n"/>
      <c r="DM1029" s="254" t="n"/>
      <c r="DN1029" s="95" t="n"/>
      <c r="DO1029" s="95" t="n"/>
    </row>
    <row r="1030" ht="13" customHeight="1">
      <c r="A1030" s="203" t="inlineStr">
        <is>
          <t>Pozo 13</t>
        </is>
      </c>
      <c r="B1030" s="260"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4" t="n"/>
      <c r="BN1030" s="266" t="n"/>
      <c r="BO1030" s="254" t="n"/>
      <c r="BP1030" s="254"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4" t="n"/>
      <c r="DB1030" s="254" t="n"/>
      <c r="DC1030" s="254" t="n"/>
      <c r="DD1030" s="254" t="n"/>
      <c r="DE1030" s="254" t="n"/>
      <c r="DF1030" s="254" t="n"/>
      <c r="DG1030" s="254" t="n"/>
      <c r="DH1030" s="254" t="n"/>
      <c r="DI1030" s="254" t="n"/>
      <c r="DJ1030" s="254" t="n"/>
      <c r="DK1030" s="254" t="n"/>
      <c r="DL1030" s="95" t="n"/>
      <c r="DM1030" s="254" t="n"/>
      <c r="DN1030" s="95" t="n"/>
      <c r="DO1030" s="95" t="n"/>
    </row>
    <row r="1031" ht="13" customHeight="1">
      <c r="A1031" s="203" t="inlineStr">
        <is>
          <t>Pozo 14</t>
        </is>
      </c>
      <c r="B1031" s="260"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4" t="n"/>
      <c r="BN1031" s="266" t="n"/>
      <c r="BO1031" s="254" t="n"/>
      <c r="BP1031" s="254"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4" t="n"/>
      <c r="DB1031" s="254" t="n"/>
      <c r="DC1031" s="254" t="n"/>
      <c r="DD1031" s="254" t="n"/>
      <c r="DE1031" s="254" t="n"/>
      <c r="DF1031" s="254" t="n"/>
      <c r="DG1031" s="254" t="n"/>
      <c r="DH1031" s="254" t="n"/>
      <c r="DI1031" s="254" t="n"/>
      <c r="DJ1031" s="254" t="n"/>
      <c r="DK1031" s="254" t="n"/>
      <c r="DL1031" s="95" t="n"/>
      <c r="DM1031" s="254" t="n"/>
      <c r="DN1031" s="95" t="n"/>
      <c r="DO1031" s="95" t="n"/>
    </row>
    <row r="1032" ht="13" customHeight="1">
      <c r="A1032" s="203" t="inlineStr">
        <is>
          <t>Pozo 15</t>
        </is>
      </c>
      <c r="B1032" s="260"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4" t="n"/>
      <c r="BN1032" s="266" t="n"/>
      <c r="BO1032" s="254" t="n"/>
      <c r="BP1032" s="254"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4" t="n"/>
      <c r="DB1032" s="254" t="n"/>
      <c r="DC1032" s="254" t="n"/>
      <c r="DD1032" s="254" t="n"/>
      <c r="DE1032" s="254" t="n"/>
      <c r="DF1032" s="254" t="n"/>
      <c r="DG1032" s="254" t="n"/>
      <c r="DH1032" s="254" t="n"/>
      <c r="DI1032" s="254" t="n"/>
      <c r="DJ1032" s="254" t="n"/>
      <c r="DK1032" s="254" t="n"/>
      <c r="DL1032" s="95" t="n"/>
      <c r="DM1032" s="254" t="n"/>
      <c r="DN1032" s="95" t="n"/>
      <c r="DO1032" s="95" t="n"/>
    </row>
    <row r="1033" ht="13" customHeight="1">
      <c r="A1033" s="203" t="inlineStr">
        <is>
          <t>Pozo 2</t>
        </is>
      </c>
      <c r="B1033" s="260"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4" t="n"/>
      <c r="BN1033" s="266" t="n"/>
      <c r="BO1033" s="254" t="n"/>
      <c r="BP1033" s="254"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4" t="n"/>
      <c r="DB1033" s="254" t="n"/>
      <c r="DC1033" s="254" t="n"/>
      <c r="DD1033" s="254" t="n"/>
      <c r="DE1033" s="254" t="n"/>
      <c r="DF1033" s="254" t="n"/>
      <c r="DG1033" s="254" t="n"/>
      <c r="DH1033" s="254" t="n"/>
      <c r="DI1033" s="254" t="n"/>
      <c r="DJ1033" s="254" t="n"/>
      <c r="DK1033" s="254" t="n"/>
      <c r="DL1033" s="95" t="n"/>
      <c r="DM1033" s="254" t="n"/>
      <c r="DN1033" s="95" t="n"/>
      <c r="DO1033" s="95" t="n"/>
    </row>
    <row r="1034" ht="13" customHeight="1">
      <c r="A1034" s="203" t="inlineStr">
        <is>
          <t>Pozo 3</t>
        </is>
      </c>
      <c r="B1034" s="260"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4" t="n"/>
      <c r="BN1034" s="266" t="n"/>
      <c r="BO1034" s="254" t="n"/>
      <c r="BP1034" s="254"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4" t="n"/>
      <c r="DB1034" s="254" t="n"/>
      <c r="DC1034" s="254" t="n"/>
      <c r="DD1034" s="254" t="n"/>
      <c r="DE1034" s="254" t="n"/>
      <c r="DF1034" s="254" t="n"/>
      <c r="DG1034" s="254" t="n"/>
      <c r="DH1034" s="254" t="n"/>
      <c r="DI1034" s="254" t="n"/>
      <c r="DJ1034" s="254" t="n"/>
      <c r="DK1034" s="254" t="n"/>
      <c r="DL1034" s="95" t="n"/>
      <c r="DM1034" s="254" t="n"/>
      <c r="DN1034" s="95" t="n"/>
      <c r="DO1034" s="95" t="n"/>
    </row>
    <row r="1035" ht="13" customHeight="1">
      <c r="A1035" s="203" t="inlineStr">
        <is>
          <t>Pozo 4</t>
        </is>
      </c>
      <c r="B1035" s="260"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4" t="n"/>
      <c r="BN1035" s="266" t="n"/>
      <c r="BO1035" s="254" t="n"/>
      <c r="BP1035" s="254"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4" t="n"/>
      <c r="DB1035" s="254" t="n"/>
      <c r="DC1035" s="254" t="n"/>
      <c r="DD1035" s="254" t="n"/>
      <c r="DE1035" s="254" t="n"/>
      <c r="DF1035" s="254" t="n"/>
      <c r="DG1035" s="254" t="n"/>
      <c r="DH1035" s="254" t="n"/>
      <c r="DI1035" s="254" t="n"/>
      <c r="DJ1035" s="254" t="n"/>
      <c r="DK1035" s="254" t="n"/>
      <c r="DL1035" s="95" t="n"/>
      <c r="DM1035" s="254" t="n"/>
      <c r="DN1035" s="95" t="n"/>
      <c r="DO1035" s="95" t="n"/>
    </row>
    <row r="1036" ht="13" customHeight="1">
      <c r="A1036" s="203" t="inlineStr">
        <is>
          <t>Pozo 5</t>
        </is>
      </c>
      <c r="B1036" s="260"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4" t="n"/>
      <c r="BN1036" s="266" t="n"/>
      <c r="BO1036" s="254" t="n"/>
      <c r="BP1036" s="254"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4" t="n"/>
      <c r="DB1036" s="254" t="n"/>
      <c r="DC1036" s="254" t="n"/>
      <c r="DD1036" s="254" t="n"/>
      <c r="DE1036" s="254" t="n"/>
      <c r="DF1036" s="254" t="n"/>
      <c r="DG1036" s="254" t="n"/>
      <c r="DH1036" s="254" t="n"/>
      <c r="DI1036" s="254" t="n"/>
      <c r="DJ1036" s="254" t="n"/>
      <c r="DK1036" s="254" t="n"/>
      <c r="DL1036" s="95" t="n"/>
      <c r="DM1036" s="254" t="n"/>
      <c r="DN1036" s="95" t="n"/>
      <c r="DO1036" s="95" t="n"/>
    </row>
    <row r="1037" ht="13" customHeight="1">
      <c r="A1037" s="203" t="inlineStr">
        <is>
          <t>Pozo 6</t>
        </is>
      </c>
      <c r="B1037" s="260"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4" t="n"/>
      <c r="BN1037" s="266" t="n"/>
      <c r="BO1037" s="254" t="n"/>
      <c r="BP1037" s="254"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4" t="n"/>
      <c r="DB1037" s="254" t="n"/>
      <c r="DC1037" s="254" t="n"/>
      <c r="DD1037" s="254" t="n"/>
      <c r="DE1037" s="254" t="n"/>
      <c r="DF1037" s="254" t="n"/>
      <c r="DG1037" s="254" t="n"/>
      <c r="DH1037" s="254" t="n"/>
      <c r="DI1037" s="254" t="n"/>
      <c r="DJ1037" s="254" t="n"/>
      <c r="DK1037" s="254" t="n"/>
      <c r="DL1037" s="95" t="n"/>
      <c r="DM1037" s="254" t="n"/>
      <c r="DN1037" s="95" t="n"/>
      <c r="DO1037" s="95" t="n"/>
    </row>
    <row r="1038" ht="13" customHeight="1">
      <c r="A1038" s="203" t="inlineStr">
        <is>
          <t>Pozo 7</t>
        </is>
      </c>
      <c r="B1038" s="260"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4" t="n"/>
      <c r="BN1038" s="266" t="n"/>
      <c r="BO1038" s="254" t="n"/>
      <c r="BP1038" s="254"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4" t="n"/>
      <c r="DB1038" s="254" t="n"/>
      <c r="DC1038" s="254" t="n"/>
      <c r="DD1038" s="254" t="n"/>
      <c r="DE1038" s="254" t="n"/>
      <c r="DF1038" s="254" t="n"/>
      <c r="DG1038" s="254" t="n"/>
      <c r="DH1038" s="254" t="n"/>
      <c r="DI1038" s="254" t="n"/>
      <c r="DJ1038" s="254" t="n"/>
      <c r="DK1038" s="254" t="n"/>
      <c r="DL1038" s="95" t="n"/>
      <c r="DM1038" s="254" t="n"/>
      <c r="DN1038" s="95" t="n"/>
      <c r="DO1038" s="95" t="n"/>
    </row>
    <row r="1039" ht="13" customHeight="1">
      <c r="A1039" s="203" t="inlineStr">
        <is>
          <t>Pozo 8</t>
        </is>
      </c>
      <c r="B1039" s="260"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4" t="n"/>
      <c r="BN1039" s="266" t="n"/>
      <c r="BO1039" s="254" t="n"/>
      <c r="BP1039" s="254"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4" t="n"/>
      <c r="DB1039" s="254" t="n"/>
      <c r="DC1039" s="254" t="n"/>
      <c r="DD1039" s="254" t="n"/>
      <c r="DE1039" s="254" t="n"/>
      <c r="DF1039" s="254" t="n"/>
      <c r="DG1039" s="254" t="n"/>
      <c r="DH1039" s="254" t="n"/>
      <c r="DI1039" s="254" t="n"/>
      <c r="DJ1039" s="254" t="n"/>
      <c r="DK1039" s="254" t="n"/>
      <c r="DL1039" s="95" t="n"/>
      <c r="DM1039" s="254" t="n"/>
      <c r="DN1039" s="95" t="n"/>
      <c r="DO1039" s="95" t="n"/>
    </row>
    <row r="1040" ht="13" customHeight="1">
      <c r="A1040" s="203" t="inlineStr">
        <is>
          <t>Pozo 9</t>
        </is>
      </c>
      <c r="B1040" s="260"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4" t="n"/>
      <c r="BN1040" s="266" t="n"/>
      <c r="BO1040" s="254" t="n"/>
      <c r="BP1040" s="254"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4" t="n"/>
      <c r="DB1040" s="254" t="n"/>
      <c r="DC1040" s="254" t="n"/>
      <c r="DD1040" s="254" t="n"/>
      <c r="DE1040" s="254" t="n"/>
      <c r="DF1040" s="254" t="n"/>
      <c r="DG1040" s="254" t="n"/>
      <c r="DH1040" s="254" t="n"/>
      <c r="DI1040" s="254" t="n"/>
      <c r="DJ1040" s="254" t="n"/>
      <c r="DK1040" s="254" t="n"/>
      <c r="DL1040" s="95" t="n"/>
      <c r="DM1040" s="254" t="n"/>
      <c r="DN1040" s="95" t="n"/>
      <c r="DO1040" s="95" t="n"/>
    </row>
    <row r="1041" ht="13" customHeight="1">
      <c r="A1041" s="203" t="inlineStr">
        <is>
          <t>Pozo bombeo (reemplaza RPW-04)</t>
        </is>
      </c>
      <c r="B1041" s="260"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4" t="n"/>
      <c r="BN1041" s="266" t="n"/>
      <c r="BO1041" s="254" t="n"/>
      <c r="BP1041" s="254"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4" t="n"/>
      <c r="DB1041" s="254" t="n"/>
      <c r="DC1041" s="254" t="n"/>
      <c r="DD1041" s="254" t="n"/>
      <c r="DE1041" s="254" t="n"/>
      <c r="DF1041" s="254" t="n"/>
      <c r="DG1041" s="254" t="n"/>
      <c r="DH1041" s="254" t="n"/>
      <c r="DI1041" s="254" t="n"/>
      <c r="DJ1041" s="254" t="n"/>
      <c r="DK1041" s="254" t="n"/>
      <c r="DL1041" s="95" t="n"/>
      <c r="DM1041" s="254" t="n"/>
      <c r="DN1041" s="95" t="n"/>
      <c r="DO1041" s="95" t="n"/>
    </row>
    <row r="1042" ht="13" customHeight="1">
      <c r="A1042" s="203" t="inlineStr">
        <is>
          <t>Pozo Monitoreo 1</t>
        </is>
      </c>
      <c r="B1042" s="260"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4" t="inlineStr">
        <is>
          <t>NF</t>
        </is>
      </c>
      <c r="BN1042" s="266" t="inlineStr">
        <is>
          <t>HUINQUINTIPA</t>
        </is>
      </c>
      <c r="BO1042" s="254" t="inlineStr">
        <is>
          <t>SI</t>
        </is>
      </c>
      <c r="BP1042" s="254"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4" t="n"/>
      <c r="DB1042" s="254" t="n"/>
      <c r="DC1042" s="254" t="n"/>
      <c r="DD1042" s="254" t="n"/>
      <c r="DE1042" s="254" t="n"/>
      <c r="DF1042" s="254" t="n"/>
      <c r="DG1042" s="254" t="n"/>
      <c r="DH1042" s="254" t="n"/>
      <c r="DI1042" s="254" t="n"/>
      <c r="DJ1042" s="254" t="n"/>
      <c r="DK1042" s="254" t="n"/>
      <c r="DL1042" s="95" t="n"/>
      <c r="DM1042" s="254" t="n"/>
      <c r="DN1042" s="95" t="n"/>
      <c r="DO1042" s="95" t="n"/>
    </row>
    <row r="1043" ht="13" customHeight="1">
      <c r="A1043" s="203" t="inlineStr">
        <is>
          <t>PTAS Instalaciones de Faenas y Campamentos (8 en ductos y 4 en Puerto)</t>
        </is>
      </c>
      <c r="B1043" s="260"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4" t="n"/>
      <c r="BN1043" s="266" t="n"/>
      <c r="BO1043" s="254" t="n"/>
      <c r="BP1043" s="254"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4" t="n"/>
      <c r="DB1043" s="254" t="n"/>
      <c r="DC1043" s="254" t="n"/>
      <c r="DD1043" s="254" t="n"/>
      <c r="DE1043" s="254" t="n"/>
      <c r="DF1043" s="254" t="n"/>
      <c r="DG1043" s="254" t="n"/>
      <c r="DH1043" s="254" t="n"/>
      <c r="DI1043" s="254" t="n"/>
      <c r="DJ1043" s="254" t="n"/>
      <c r="DK1043" s="254" t="n"/>
      <c r="DL1043" s="95" t="n"/>
      <c r="DM1043" s="254" t="n"/>
      <c r="DN1043" s="95" t="n"/>
      <c r="DO1043" s="95" t="n"/>
    </row>
    <row r="1044" ht="13" customHeight="1">
      <c r="A1044" s="203" t="inlineStr">
        <is>
          <t>PTAS Ujina y Línea de Impulsión Ujina – Coposa</t>
        </is>
      </c>
      <c r="B1044" s="260"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4" t="n"/>
      <c r="BN1044" s="266" t="n"/>
      <c r="BO1044" s="254" t="n"/>
      <c r="BP1044" s="254"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4" t="n"/>
      <c r="DB1044" s="254" t="n"/>
      <c r="DC1044" s="254" t="n"/>
      <c r="DD1044" s="254" t="n"/>
      <c r="DE1044" s="254" t="n"/>
      <c r="DF1044" s="254" t="n"/>
      <c r="DG1044" s="254" t="n"/>
      <c r="DH1044" s="254" t="n"/>
      <c r="DI1044" s="254" t="n"/>
      <c r="DJ1044" s="254" t="n"/>
      <c r="DK1044" s="254" t="n"/>
      <c r="DL1044" s="95" t="n"/>
      <c r="DM1044" s="254" t="n"/>
      <c r="DN1044" s="95" t="n"/>
      <c r="DO1044" s="95" t="n"/>
    </row>
    <row r="1045" ht="13" customHeight="1">
      <c r="A1045" s="203" t="inlineStr">
        <is>
          <t>Puntera JAC-01</t>
        </is>
      </c>
      <c r="B1045" s="260"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4" t="n"/>
      <c r="BN1045" s="266" t="n"/>
      <c r="BO1045" s="254" t="n"/>
      <c r="BP1045" s="254"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4" t="n"/>
      <c r="DB1045" s="254" t="n"/>
      <c r="DC1045" s="254" t="n"/>
      <c r="DD1045" s="254" t="n"/>
      <c r="DE1045" s="254" t="n"/>
      <c r="DF1045" s="254" t="n"/>
      <c r="DG1045" s="254" t="n"/>
      <c r="DH1045" s="254" t="n"/>
      <c r="DI1045" s="254" t="n"/>
      <c r="DJ1045" s="254" t="n"/>
      <c r="DK1045" s="254" t="n"/>
      <c r="DL1045" s="95" t="n"/>
      <c r="DM1045" s="254" t="n"/>
      <c r="DN1045" s="95" t="n"/>
      <c r="DO1045" s="95" t="n"/>
    </row>
    <row r="1046" ht="13" customHeight="1">
      <c r="A1046" s="203" t="inlineStr">
        <is>
          <t>Puntera JAC-02</t>
        </is>
      </c>
      <c r="B1046" s="260"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4" t="n"/>
      <c r="BN1046" s="266" t="n"/>
      <c r="BO1046" s="254" t="n"/>
      <c r="BP1046" s="254"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4" t="n"/>
      <c r="DB1046" s="254" t="n"/>
      <c r="DC1046" s="254" t="n"/>
      <c r="DD1046" s="254" t="n"/>
      <c r="DE1046" s="254" t="n"/>
      <c r="DF1046" s="254" t="n"/>
      <c r="DG1046" s="254" t="n"/>
      <c r="DH1046" s="254" t="n"/>
      <c r="DI1046" s="254" t="n"/>
      <c r="DJ1046" s="254" t="n"/>
      <c r="DK1046" s="254" t="n"/>
      <c r="DL1046" s="95" t="n"/>
      <c r="DM1046" s="254" t="n"/>
      <c r="DN1046" s="95" t="n"/>
      <c r="DO1046" s="95" t="n"/>
    </row>
    <row r="1047" ht="13" customHeight="1">
      <c r="A1047" s="203" t="inlineStr">
        <is>
          <t>Represa</t>
        </is>
      </c>
      <c r="B1047" s="260"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4" t="n"/>
      <c r="BN1047" s="266" t="n"/>
      <c r="BO1047" s="254" t="n"/>
      <c r="BP1047" s="254"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4" t="n"/>
      <c r="DB1047" s="254" t="n"/>
      <c r="DC1047" s="254" t="n"/>
      <c r="DD1047" s="254" t="n"/>
      <c r="DE1047" s="254" t="n"/>
      <c r="DF1047" s="254" t="n"/>
      <c r="DG1047" s="254" t="n"/>
      <c r="DH1047" s="254" t="n"/>
      <c r="DI1047" s="254" t="n"/>
      <c r="DJ1047" s="254" t="n"/>
      <c r="DK1047" s="254" t="n"/>
      <c r="DL1047" s="95" t="n"/>
      <c r="DM1047" s="254" t="n"/>
      <c r="DN1047" s="95" t="n"/>
      <c r="DO1047" s="95" t="n"/>
    </row>
    <row r="1048" ht="13" customHeight="1">
      <c r="A1048" s="203" t="inlineStr">
        <is>
          <t>Sallihuinca</t>
        </is>
      </c>
      <c r="B1048" s="260"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4" t="n"/>
      <c r="BN1048" s="266" t="n"/>
      <c r="BO1048" s="254" t="n"/>
      <c r="BP1048" s="254"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4" t="n"/>
      <c r="DB1048" s="208" t="n"/>
      <c r="DC1048" s="254" t="n"/>
      <c r="DD1048" s="207" t="n"/>
      <c r="DE1048" s="254" t="n"/>
      <c r="DF1048" s="202" t="n"/>
      <c r="DG1048" s="209" t="n"/>
      <c r="DH1048" s="209" t="n"/>
      <c r="DI1048" s="254" t="n"/>
      <c r="DJ1048" s="254" t="n"/>
      <c r="DK1048" s="254" t="n"/>
      <c r="DL1048" s="95" t="n"/>
      <c r="DM1048" s="254" t="n"/>
      <c r="DN1048" s="95" t="n"/>
      <c r="DO1048" s="95" t="n"/>
    </row>
    <row r="1049" ht="13" customHeight="1">
      <c r="A1049" s="203" t="inlineStr">
        <is>
          <t>San Daniel</t>
        </is>
      </c>
      <c r="B1049" s="260"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4" t="n"/>
      <c r="BN1049" s="266" t="n"/>
      <c r="BO1049" s="254" t="n"/>
      <c r="BP1049" s="254"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4" t="n"/>
      <c r="DB1049" s="208" t="n"/>
      <c r="DC1049" s="254" t="n"/>
      <c r="DD1049" s="254" t="n"/>
      <c r="DE1049" s="254" t="n"/>
      <c r="DF1049" s="254" t="n"/>
      <c r="DG1049" s="209" t="n"/>
      <c r="DH1049" s="209" t="n"/>
      <c r="DI1049" s="254" t="n"/>
      <c r="DJ1049" s="254" t="n"/>
      <c r="DK1049" s="254" t="n"/>
      <c r="DL1049" s="95" t="n"/>
      <c r="DM1049" s="254" t="n"/>
      <c r="DN1049" s="95" t="n"/>
      <c r="DO1049" s="95" t="n"/>
    </row>
    <row r="1050" ht="13" customHeight="1">
      <c r="A1050" s="203" t="inlineStr">
        <is>
          <t>San Nicolás 1</t>
        </is>
      </c>
      <c r="B1050" s="260"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4" t="n"/>
      <c r="BN1050" s="266" t="n"/>
      <c r="BO1050" s="254" t="n"/>
      <c r="BP1050" s="254"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4" t="n"/>
      <c r="DB1050" s="208" t="n"/>
      <c r="DC1050" s="254" t="n"/>
      <c r="DD1050" s="254" t="n"/>
      <c r="DE1050" s="254" t="n"/>
      <c r="DF1050" s="254" t="n"/>
      <c r="DG1050" s="209" t="n"/>
      <c r="DH1050" s="209" t="n"/>
      <c r="DI1050" s="254" t="n"/>
      <c r="DJ1050" s="254" t="n"/>
      <c r="DK1050" s="254" t="n"/>
      <c r="DL1050" s="95" t="n"/>
      <c r="DM1050" s="254" t="n"/>
      <c r="DN1050" s="95" t="n"/>
      <c r="DO1050" s="95" t="n"/>
    </row>
    <row r="1051" ht="13" customHeight="1">
      <c r="A1051" s="203" t="inlineStr">
        <is>
          <t>San Nicolás 2</t>
        </is>
      </c>
      <c r="B1051" s="260"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4" t="n"/>
      <c r="BN1051" s="266" t="n"/>
      <c r="BO1051" s="254" t="n"/>
      <c r="BP1051" s="254"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4" t="n"/>
      <c r="DB1051" s="208" t="n"/>
      <c r="DC1051" s="254" t="n"/>
      <c r="DD1051" s="254" t="n"/>
      <c r="DE1051" s="254" t="n"/>
      <c r="DF1051" s="254" t="n"/>
      <c r="DG1051" s="209" t="n"/>
      <c r="DH1051" s="209" t="n"/>
      <c r="DI1051" s="254" t="n"/>
      <c r="DJ1051" s="254" t="n"/>
      <c r="DK1051" s="254" t="n"/>
      <c r="DL1051" s="95" t="n"/>
      <c r="DM1051" s="254" t="n"/>
      <c r="DN1051" s="95" t="n"/>
      <c r="DO1051" s="95" t="n"/>
    </row>
    <row r="1052" ht="13" customHeight="1">
      <c r="A1052" s="203" t="inlineStr">
        <is>
          <t>Yabricollita 1</t>
        </is>
      </c>
      <c r="B1052" s="260"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4" t="n"/>
      <c r="BN1052" s="266" t="n"/>
      <c r="BO1052" s="254" t="n"/>
      <c r="BP1052" s="254"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4" t="n"/>
      <c r="DB1052" s="254" t="n"/>
      <c r="DC1052" s="254" t="n"/>
      <c r="DD1052" s="207" t="n"/>
      <c r="DE1052" s="254" t="n"/>
      <c r="DF1052" s="254" t="n"/>
      <c r="DG1052" s="254" t="n"/>
      <c r="DH1052" s="254" t="n"/>
      <c r="DI1052" s="214" t="n"/>
      <c r="DJ1052" s="254" t="n"/>
      <c r="DK1052" s="254" t="n"/>
      <c r="DL1052" s="95" t="n"/>
      <c r="DM1052" s="254" t="n"/>
      <c r="DN1052" s="95" t="n"/>
      <c r="DO1052" s="95" t="n"/>
    </row>
    <row r="1053" ht="13" customHeight="1">
      <c r="A1053" s="203" t="inlineStr">
        <is>
          <t>Yabricollita 2</t>
        </is>
      </c>
      <c r="B1053" s="260"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4" t="n"/>
      <c r="BN1053" s="266" t="n"/>
      <c r="BO1053" s="254" t="n"/>
      <c r="BP1053" s="254"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4" t="n"/>
      <c r="DB1053" s="254" t="n"/>
      <c r="DC1053" s="254" t="n"/>
      <c r="DD1053" s="207" t="n"/>
      <c r="DE1053" s="254" t="n"/>
      <c r="DF1053" s="254" t="n"/>
      <c r="DG1053" s="254" t="n"/>
      <c r="DH1053" s="254" t="n"/>
      <c r="DI1053" s="214" t="n"/>
      <c r="DJ1053" s="254" t="n"/>
      <c r="DK1053" s="254" t="n"/>
      <c r="DL1053" s="95" t="n"/>
      <c r="DM1053" s="254" t="n"/>
      <c r="DN1053" s="95" t="n"/>
      <c r="DO1053" s="95" t="n"/>
    </row>
    <row r="1054" ht="13" customHeight="1">
      <c r="A1054" s="203" t="inlineStr">
        <is>
          <t>Yabricollita 3</t>
        </is>
      </c>
      <c r="B1054" s="260"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4" t="n"/>
      <c r="BN1054" s="266" t="n"/>
      <c r="BO1054" s="254" t="n"/>
      <c r="BP1054" s="254"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4" t="n"/>
      <c r="DB1054" s="254" t="n"/>
      <c r="DC1054" s="254" t="n"/>
      <c r="DD1054" s="207" t="n"/>
      <c r="DE1054" s="254" t="n"/>
      <c r="DF1054" s="254" t="n"/>
      <c r="DG1054" s="254" t="n"/>
      <c r="DH1054" s="254" t="n"/>
      <c r="DI1054" s="214" t="n"/>
      <c r="DJ1054" s="254" t="n"/>
      <c r="DK1054" s="254" t="n"/>
      <c r="DL1054" s="95" t="n"/>
      <c r="DM1054" s="254" t="n"/>
      <c r="DN1054" s="95" t="n"/>
      <c r="DO1054" s="95" t="n"/>
    </row>
    <row r="1055" ht="13" customHeight="1">
      <c r="A1055" s="203" t="inlineStr">
        <is>
          <t>Yabricollita 4</t>
        </is>
      </c>
      <c r="B1055" s="260"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4" t="n"/>
      <c r="BN1055" s="266" t="n"/>
      <c r="BO1055" s="254" t="n"/>
      <c r="BP1055" s="254"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4" t="n"/>
      <c r="DB1055" s="254" t="n"/>
      <c r="DC1055" s="254" t="n"/>
      <c r="DD1055" s="207" t="n"/>
      <c r="DE1055" s="254" t="n"/>
      <c r="DF1055" s="254" t="n"/>
      <c r="DG1055" s="254" t="n"/>
      <c r="DH1055" s="254" t="n"/>
      <c r="DI1055" s="214" t="n"/>
      <c r="DJ1055" s="254" t="n"/>
      <c r="DK1055" s="254" t="n"/>
      <c r="DL1055" s="95" t="n"/>
      <c r="DM1055" s="254" t="n"/>
      <c r="DN1055" s="95" t="n"/>
      <c r="DO1055" s="95" t="n"/>
    </row>
    <row r="1056" ht="13" customHeight="1">
      <c r="A1056" s="203" t="inlineStr">
        <is>
          <t>Vertiente 1</t>
        </is>
      </c>
      <c r="B1056" s="260"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4" t="inlineStr">
        <is>
          <t>CAUDAL</t>
        </is>
      </c>
      <c r="BN1056" s="266" t="inlineStr">
        <is>
          <t>Jachucoposa</t>
        </is>
      </c>
      <c r="BO1056" s="254" t="n"/>
      <c r="BP1056" s="254"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4" t="n"/>
      <c r="DB1056" s="254" t="n"/>
      <c r="DC1056" s="254" t="n"/>
      <c r="DD1056" s="254" t="n"/>
      <c r="DE1056" s="254" t="n"/>
      <c r="DF1056" s="254" t="n"/>
      <c r="DG1056" s="254" t="n"/>
      <c r="DH1056" s="254" t="n"/>
      <c r="DI1056" s="254" t="n"/>
      <c r="DJ1056" s="254" t="n"/>
      <c r="DK1056" s="254" t="n"/>
      <c r="DL1056" s="95" t="n"/>
      <c r="DM1056" s="254" t="n"/>
      <c r="DN1056" s="95" t="n"/>
      <c r="DO1056" s="95" t="n"/>
    </row>
    <row r="1057" ht="13" customHeight="1">
      <c r="A1057" s="203" t="inlineStr">
        <is>
          <t>Vertiente 1</t>
        </is>
      </c>
      <c r="B1057" s="260"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4" t="inlineStr">
        <is>
          <t>ASUP</t>
        </is>
      </c>
      <c r="BN1057" s="266" t="inlineStr">
        <is>
          <t>Jachucoposa</t>
        </is>
      </c>
      <c r="BO1057" s="254" t="n"/>
      <c r="BP1057" s="254"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4" t="n"/>
      <c r="DB1057" s="254" t="n"/>
      <c r="DC1057" s="254" t="n"/>
      <c r="DD1057" s="254" t="n"/>
      <c r="DE1057" s="254" t="n"/>
      <c r="DF1057" s="254" t="n"/>
      <c r="DG1057" s="254" t="n"/>
      <c r="DH1057" s="254" t="n"/>
      <c r="DI1057" s="254" t="n"/>
      <c r="DJ1057" s="254" t="n"/>
      <c r="DK1057" s="254" t="n"/>
      <c r="DL1057" s="95" t="n"/>
      <c r="DM1057" s="254" t="n"/>
      <c r="DN1057" s="95" t="n"/>
      <c r="DO1057" s="95" t="n"/>
    </row>
    <row r="1058" ht="13" customHeight="1">
      <c r="A1058" s="203" t="inlineStr">
        <is>
          <t>Vertiente 2</t>
        </is>
      </c>
      <c r="B1058" s="260"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4" t="inlineStr">
        <is>
          <t>CAUDAL</t>
        </is>
      </c>
      <c r="BN1058" s="266" t="inlineStr">
        <is>
          <t>Jachucoposa</t>
        </is>
      </c>
      <c r="BO1058" s="254" t="n"/>
      <c r="BP1058" s="254"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4" t="n"/>
      <c r="DB1058" s="254" t="n"/>
      <c r="DC1058" s="254" t="n"/>
      <c r="DD1058" s="254" t="n"/>
      <c r="DE1058" s="254" t="n"/>
      <c r="DF1058" s="254" t="n"/>
      <c r="DG1058" s="254" t="n"/>
      <c r="DH1058" s="254" t="n"/>
      <c r="DI1058" s="254" t="n"/>
      <c r="DJ1058" s="254" t="n"/>
      <c r="DK1058" s="254" t="n"/>
      <c r="DL1058" s="95" t="n"/>
      <c r="DM1058" s="254" t="n"/>
      <c r="DN1058" s="95" t="n"/>
      <c r="DO1058" s="95" t="n"/>
    </row>
    <row r="1059" ht="13" customHeight="1">
      <c r="A1059" s="203" t="inlineStr">
        <is>
          <t>Vertiente 2</t>
        </is>
      </c>
      <c r="B1059" s="260"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4" t="inlineStr">
        <is>
          <t>ASUP</t>
        </is>
      </c>
      <c r="BN1059" s="266" t="inlineStr">
        <is>
          <t>Jachucoposa</t>
        </is>
      </c>
      <c r="BO1059" s="254" t="n"/>
      <c r="BP1059" s="254"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4" t="n"/>
      <c r="DB1059" s="254" t="n"/>
      <c r="DC1059" s="254" t="n"/>
      <c r="DD1059" s="254" t="n"/>
      <c r="DE1059" s="254" t="n"/>
      <c r="DF1059" s="254" t="n"/>
      <c r="DG1059" s="254" t="n"/>
      <c r="DH1059" s="254" t="n"/>
      <c r="DI1059" s="254" t="n"/>
      <c r="DJ1059" s="254" t="n"/>
      <c r="DK1059" s="254" t="n"/>
      <c r="DL1059" s="95" t="n"/>
      <c r="DM1059" s="254" t="n"/>
      <c r="DN1059" s="95" t="n"/>
      <c r="DO1059" s="95" t="n"/>
    </row>
    <row r="1060" ht="13" customHeight="1">
      <c r="A1060" s="203" t="inlineStr">
        <is>
          <t>Vertedero Grande</t>
        </is>
      </c>
      <c r="B1060" s="260"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4" t="inlineStr">
        <is>
          <t>CAUDAL</t>
        </is>
      </c>
      <c r="BN1060" s="266" t="inlineStr">
        <is>
          <t>Jachucoposa</t>
        </is>
      </c>
      <c r="BO1060" s="254" t="n"/>
      <c r="BP1060" s="254"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4" t="n"/>
      <c r="DB1060" s="254" t="n"/>
      <c r="DC1060" s="254" t="n"/>
      <c r="DD1060" s="254" t="n"/>
      <c r="DE1060" s="254" t="n"/>
      <c r="DF1060" s="254" t="n"/>
      <c r="DG1060" s="254" t="n"/>
      <c r="DH1060" s="254" t="n"/>
      <c r="DI1060" s="254" t="n"/>
      <c r="DJ1060" s="254" t="n"/>
      <c r="DK1060" s="254" t="n"/>
      <c r="DL1060" s="95" t="n"/>
      <c r="DM1060" s="254" t="n"/>
      <c r="DN1060" s="95" t="n"/>
      <c r="DO1060" s="95" t="n"/>
    </row>
    <row r="1061" ht="13" customHeight="1">
      <c r="A1061" s="203" t="inlineStr">
        <is>
          <t>Vertedero Grande</t>
        </is>
      </c>
      <c r="B1061" s="260"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4" t="inlineStr">
        <is>
          <t>ASUP</t>
        </is>
      </c>
      <c r="BN1061" s="266" t="inlineStr">
        <is>
          <t>Jachucoposa</t>
        </is>
      </c>
      <c r="BO1061" s="254" t="n"/>
      <c r="BP1061" s="254"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4" t="n"/>
      <c r="DB1061" s="254" t="n"/>
      <c r="DC1061" s="254" t="n"/>
      <c r="DD1061" s="254" t="n"/>
      <c r="DE1061" s="254" t="n"/>
      <c r="DF1061" s="254" t="n"/>
      <c r="DG1061" s="254" t="n"/>
      <c r="DH1061" s="254" t="n"/>
      <c r="DI1061" s="254" t="n"/>
      <c r="DJ1061" s="254" t="n"/>
      <c r="DK1061" s="254" t="n"/>
      <c r="DL1061" s="95" t="n"/>
      <c r="DM1061" s="254" t="n"/>
      <c r="DN1061" s="95" t="n"/>
      <c r="DO1061" s="95" t="n"/>
    </row>
    <row r="1062" ht="13" customHeight="1">
      <c r="A1062" s="203" t="inlineStr">
        <is>
          <t>Vertedero chico</t>
        </is>
      </c>
      <c r="B1062" s="260"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4" t="inlineStr">
        <is>
          <t>CAUDAL</t>
        </is>
      </c>
      <c r="BN1062" s="266" t="inlineStr">
        <is>
          <t>Jachucoposa</t>
        </is>
      </c>
      <c r="BO1062" s="254" t="n"/>
      <c r="BP1062" s="254"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4" t="n"/>
      <c r="DB1062" s="254" t="n"/>
      <c r="DC1062" s="254" t="n"/>
      <c r="DD1062" s="254" t="n"/>
      <c r="DE1062" s="254" t="n"/>
      <c r="DF1062" s="254" t="n"/>
      <c r="DG1062" s="254" t="n"/>
      <c r="DH1062" s="254" t="n"/>
      <c r="DI1062" s="254" t="n"/>
      <c r="DJ1062" s="254" t="n"/>
      <c r="DK1062" s="254" t="n"/>
      <c r="DL1062" s="95" t="n"/>
      <c r="DM1062" s="254" t="n"/>
      <c r="DN1062" s="95" t="n"/>
      <c r="DO1062" s="95" t="n"/>
    </row>
    <row r="1063" ht="13" customHeight="1">
      <c r="A1063" s="203" t="inlineStr">
        <is>
          <t>Vertedero chico</t>
        </is>
      </c>
      <c r="B1063" s="260"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4" t="inlineStr">
        <is>
          <t>ASUP</t>
        </is>
      </c>
      <c r="BN1063" s="266" t="inlineStr">
        <is>
          <t>Jachucoposa</t>
        </is>
      </c>
      <c r="BO1063" s="254" t="n"/>
      <c r="BP1063" s="254"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4" t="n"/>
      <c r="DB1063" s="254" t="n"/>
      <c r="DC1063" s="254" t="n"/>
      <c r="DD1063" s="254" t="n"/>
      <c r="DE1063" s="254" t="n"/>
      <c r="DF1063" s="254" t="n"/>
      <c r="DG1063" s="254" t="n"/>
      <c r="DH1063" s="254" t="n"/>
      <c r="DI1063" s="254" t="n"/>
      <c r="DJ1063" s="254" t="n"/>
      <c r="DK1063" s="254" t="n"/>
      <c r="DL1063" s="95" t="n"/>
      <c r="DM1063" s="254" t="n"/>
      <c r="DN1063" s="95" t="n"/>
      <c r="DO1063" s="95" t="n"/>
    </row>
    <row r="1064" ht="13" customHeight="1">
      <c r="A1064" s="203" t="inlineStr">
        <is>
          <t>laguna 1</t>
        </is>
      </c>
      <c r="B1064" s="260"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4" t="inlineStr">
        <is>
          <t>ASUP</t>
        </is>
      </c>
      <c r="BN1064" s="266" t="inlineStr">
        <is>
          <t>Jachucoposa</t>
        </is>
      </c>
      <c r="BO1064" s="254" t="n"/>
      <c r="BP1064" s="254"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4" t="n"/>
      <c r="DB1064" s="254" t="n"/>
      <c r="DC1064" s="254" t="n"/>
      <c r="DD1064" s="254" t="n"/>
      <c r="DE1064" s="254" t="n"/>
      <c r="DF1064" s="254" t="n"/>
      <c r="DG1064" s="254" t="n"/>
      <c r="DH1064" s="254" t="n"/>
      <c r="DI1064" s="254" t="n"/>
      <c r="DJ1064" s="254" t="n"/>
      <c r="DK1064" s="254" t="n"/>
      <c r="DL1064" s="95" t="n"/>
      <c r="DM1064" s="254" t="n"/>
      <c r="DN1064" s="95" t="n"/>
      <c r="DO1064" s="95" t="n"/>
    </row>
    <row r="1065" ht="13" customHeight="1">
      <c r="A1065" s="203" t="inlineStr">
        <is>
          <t>laguna 2</t>
        </is>
      </c>
      <c r="B1065" s="260"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4" t="inlineStr">
        <is>
          <t>ASUP</t>
        </is>
      </c>
      <c r="BN1065" s="266" t="inlineStr">
        <is>
          <t>Jachucoposa</t>
        </is>
      </c>
      <c r="BO1065" s="254" t="n"/>
      <c r="BP1065" s="254"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4" t="n"/>
      <c r="DB1065" s="254" t="n"/>
      <c r="DC1065" s="254" t="n"/>
      <c r="DD1065" s="254" t="n"/>
      <c r="DE1065" s="254" t="n"/>
      <c r="DF1065" s="254" t="n"/>
      <c r="DG1065" s="254" t="n"/>
      <c r="DH1065" s="254" t="n"/>
      <c r="DI1065" s="254" t="n"/>
      <c r="DJ1065" s="254" t="n"/>
      <c r="DK1065" s="254" t="n"/>
      <c r="DL1065" s="95" t="n"/>
      <c r="DM1065" s="254" t="n"/>
      <c r="DN1065" s="95" t="n"/>
      <c r="DO1065" s="95" t="n"/>
    </row>
    <row r="1066" ht="13.5" customHeight="1">
      <c r="A1066" s="203" t="inlineStr">
        <is>
          <t>laguna 3</t>
        </is>
      </c>
      <c r="B1066" s="260"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4" t="inlineStr">
        <is>
          <t>ASUP</t>
        </is>
      </c>
      <c r="BN1066" s="266" t="inlineStr">
        <is>
          <t>Jachucoposa</t>
        </is>
      </c>
      <c r="BO1066" s="254" t="n"/>
      <c r="BP1066" s="254"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4" t="n"/>
      <c r="DB1066" s="254" t="n"/>
      <c r="DC1066" s="254" t="n"/>
      <c r="DD1066" s="254" t="n"/>
      <c r="DE1066" s="254" t="n"/>
      <c r="DF1066" s="254" t="n"/>
      <c r="DG1066" s="254" t="n"/>
      <c r="DH1066" s="254" t="n"/>
      <c r="DI1066" s="254" t="n"/>
      <c r="DJ1066" s="254" t="n"/>
      <c r="DK1066" s="254" t="n"/>
      <c r="DL1066" s="95" t="n"/>
      <c r="DM1066" s="254"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61" t="inlineStr">
        <is>
          <t>MPDR</t>
        </is>
      </c>
      <c r="B1068" s="260"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259" t="n"/>
      <c r="BL1068" s="61" t="inlineStr">
        <is>
          <t>GMAP-SIGA</t>
        </is>
      </c>
      <c r="BM1068" s="254" t="inlineStr">
        <is>
          <t>CAUDAL</t>
        </is>
      </c>
      <c r="BN1068" s="266" t="inlineStr">
        <is>
          <t>San Nicolás</t>
        </is>
      </c>
      <c r="BO1068" s="254"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4" t="n"/>
      <c r="DB1068" s="254" t="n"/>
      <c r="DC1068" s="254" t="n"/>
      <c r="DD1068" s="254" t="n"/>
      <c r="DE1068" s="254" t="n"/>
      <c r="DF1068" s="254" t="n"/>
      <c r="DG1068" s="254" t="n"/>
      <c r="DH1068" s="254" t="n"/>
      <c r="DI1068" s="254" t="n"/>
      <c r="DJ1068" s="254" t="inlineStr">
        <is>
          <t>2S</t>
        </is>
      </c>
      <c r="DK1068" s="254" t="inlineStr">
        <is>
          <t>R</t>
        </is>
      </c>
      <c r="DL1068" s="95" t="inlineStr">
        <is>
          <t>R</t>
        </is>
      </c>
      <c r="DM1068" s="254" t="n"/>
      <c r="DN1068" s="95" t="n"/>
      <c r="DO1068" s="95" t="n"/>
    </row>
    <row r="1069" ht="12.65" customHeight="1">
      <c r="A1069" s="261"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259" t="inlineStr">
        <is>
          <t>532MAALLOA</t>
        </is>
      </c>
      <c r="BL1069" s="61" t="inlineStr">
        <is>
          <t>GMAP-SIGA</t>
        </is>
      </c>
      <c r="BM1069" s="254" t="inlineStr">
        <is>
          <t>NF</t>
        </is>
      </c>
      <c r="BN1069" s="266" t="inlineStr">
        <is>
          <t>Loa</t>
        </is>
      </c>
      <c r="BO1069" s="254"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4" t="n"/>
      <c r="DB1069" s="254" t="n"/>
      <c r="DC1069" s="254" t="n"/>
      <c r="DD1069" s="254" t="n"/>
      <c r="DE1069" s="254" t="n"/>
      <c r="DF1069" s="254" t="n"/>
      <c r="DG1069" s="254" t="n"/>
      <c r="DH1069" s="254" t="n"/>
      <c r="DI1069" s="254" t="n"/>
      <c r="DJ1069" s="254" t="inlineStr">
        <is>
          <t>TF</t>
        </is>
      </c>
      <c r="DK1069" s="254" t="n">
        <v>15</v>
      </c>
      <c r="DL1069" s="95" t="n">
        <v>28</v>
      </c>
      <c r="DM1069" s="254" t="n"/>
      <c r="DN1069" s="96" t="n">
        <v>8</v>
      </c>
      <c r="DO1069" s="95" t="n"/>
    </row>
    <row r="1070" ht="13" customHeight="1">
      <c r="A1070" s="261"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61" t="inlineStr">
        <is>
          <t>532MAALLOA</t>
        </is>
      </c>
      <c r="BL1070" s="61" t="inlineStr">
        <is>
          <t>GMAP-SIGA</t>
        </is>
      </c>
      <c r="BM1070" s="254" t="inlineStr">
        <is>
          <t>NF</t>
        </is>
      </c>
      <c r="BN1070" s="266" t="inlineStr">
        <is>
          <t>Loa</t>
        </is>
      </c>
      <c r="BO1070" s="254"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4" t="n"/>
      <c r="DB1070" s="254" t="n"/>
      <c r="DC1070" s="254" t="n"/>
      <c r="DD1070" s="254" t="n"/>
      <c r="DE1070" s="254" t="n"/>
      <c r="DF1070" s="254" t="n"/>
      <c r="DG1070" s="254" t="n"/>
      <c r="DH1070" s="254" t="n"/>
      <c r="DI1070" s="254" t="n"/>
      <c r="DJ1070" s="254" t="inlineStr">
        <is>
          <t>TF</t>
        </is>
      </c>
      <c r="DK1070" s="254" t="n">
        <v>15</v>
      </c>
      <c r="DL1070" s="95" t="n">
        <v>28</v>
      </c>
      <c r="DM1070" s="254" t="n"/>
      <c r="DN1070" s="95" t="n"/>
      <c r="DO1070" s="95" t="n"/>
    </row>
    <row r="1071" ht="13" customHeight="1">
      <c r="A1071" s="261"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61" t="inlineStr">
        <is>
          <t>532MAALLOA</t>
        </is>
      </c>
      <c r="BL1071" s="61" t="inlineStr">
        <is>
          <t>GMAP-SIGA</t>
        </is>
      </c>
      <c r="BM1071" s="254" t="inlineStr">
        <is>
          <t>NF</t>
        </is>
      </c>
      <c r="BN1071" s="266" t="inlineStr">
        <is>
          <t>Loa</t>
        </is>
      </c>
      <c r="BO1071" s="254"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4" t="n"/>
      <c r="DB1071" s="254" t="n"/>
      <c r="DC1071" s="254" t="n"/>
      <c r="DD1071" s="254" t="n"/>
      <c r="DE1071" s="254" t="n"/>
      <c r="DF1071" s="254" t="n"/>
      <c r="DG1071" s="254" t="n"/>
      <c r="DH1071" s="254" t="n"/>
      <c r="DI1071" s="254" t="n"/>
      <c r="DJ1071" s="254" t="inlineStr">
        <is>
          <t>TF</t>
        </is>
      </c>
      <c r="DK1071" s="254" t="n">
        <v>15</v>
      </c>
      <c r="DL1071" s="95" t="n">
        <v>28</v>
      </c>
      <c r="DM1071" s="254" t="n"/>
      <c r="DN1071" s="95" t="n"/>
      <c r="DO1071" s="95" t="n"/>
    </row>
    <row r="1072" ht="13" customHeight="1">
      <c r="A1072" s="261"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61" t="inlineStr">
        <is>
          <t>532MAALLOA</t>
        </is>
      </c>
      <c r="BL1072" s="61" t="inlineStr">
        <is>
          <t>GMAP-SIGA</t>
        </is>
      </c>
      <c r="BM1072" s="254" t="inlineStr">
        <is>
          <t>NF</t>
        </is>
      </c>
      <c r="BN1072" s="266" t="inlineStr">
        <is>
          <t>Loa</t>
        </is>
      </c>
      <c r="BO1072" s="254"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4" t="n"/>
      <c r="DB1072" s="254" t="n"/>
      <c r="DC1072" s="254" t="n"/>
      <c r="DD1072" s="254" t="n"/>
      <c r="DE1072" s="254" t="n"/>
      <c r="DF1072" s="254" t="n"/>
      <c r="DG1072" s="254" t="n"/>
      <c r="DH1072" s="254" t="n"/>
      <c r="DI1072" s="254" t="n"/>
      <c r="DJ1072" s="254" t="inlineStr">
        <is>
          <t>TF</t>
        </is>
      </c>
      <c r="DK1072" s="254" t="n">
        <v>15</v>
      </c>
      <c r="DL1072" s="95" t="n">
        <v>28</v>
      </c>
      <c r="DM1072" s="254" t="n"/>
      <c r="DN1072" s="95" t="n"/>
      <c r="DO1072" s="95" t="n"/>
    </row>
    <row r="1073" ht="13" customHeight="1">
      <c r="A1073" s="261"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61" t="inlineStr">
        <is>
          <t>532MAALLOA</t>
        </is>
      </c>
      <c r="BL1073" s="61" t="inlineStr">
        <is>
          <t>GMAP-SIGA</t>
        </is>
      </c>
      <c r="BM1073" s="254" t="inlineStr">
        <is>
          <t>NF</t>
        </is>
      </c>
      <c r="BN1073" s="266" t="inlineStr">
        <is>
          <t>Loa</t>
        </is>
      </c>
      <c r="BO1073" s="254"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4" t="n"/>
      <c r="DB1073" s="254" t="n"/>
      <c r="DC1073" s="254" t="n"/>
      <c r="DD1073" s="254" t="n"/>
      <c r="DE1073" s="254" t="n"/>
      <c r="DF1073" s="254" t="n"/>
      <c r="DG1073" s="254" t="n"/>
      <c r="DH1073" s="254" t="n"/>
      <c r="DI1073" s="254" t="n"/>
      <c r="DJ1073" s="254" t="inlineStr">
        <is>
          <t>TF</t>
        </is>
      </c>
      <c r="DK1073" s="254" t="n">
        <v>15</v>
      </c>
      <c r="DL1073" s="95" t="n">
        <v>28</v>
      </c>
      <c r="DM1073" s="254" t="n"/>
      <c r="DN1073" s="95" t="n"/>
      <c r="DO1073" s="95" t="n"/>
    </row>
    <row r="1074" ht="13" customHeight="1">
      <c r="A1074" s="261"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61" t="inlineStr">
        <is>
          <t>532MAALLOA</t>
        </is>
      </c>
      <c r="BL1074" s="61" t="inlineStr">
        <is>
          <t>GMAP-SIGA</t>
        </is>
      </c>
      <c r="BM1074" s="254" t="inlineStr">
        <is>
          <t>NF</t>
        </is>
      </c>
      <c r="BN1074" s="266" t="inlineStr">
        <is>
          <t>Alconcha</t>
        </is>
      </c>
      <c r="BO1074" s="254"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4" t="n"/>
      <c r="DB1074" s="254" t="n"/>
      <c r="DC1074" s="254" t="n"/>
      <c r="DD1074" s="254" t="n"/>
      <c r="DE1074" s="254" t="n"/>
      <c r="DF1074" s="254" t="n"/>
      <c r="DG1074" s="254" t="n"/>
      <c r="DH1074" s="254" t="n"/>
      <c r="DI1074" s="254" t="n"/>
      <c r="DJ1074" s="254" t="inlineStr">
        <is>
          <t>TF</t>
        </is>
      </c>
      <c r="DK1074" s="254" t="n">
        <v>15</v>
      </c>
      <c r="DL1074" s="95" t="n">
        <v>28</v>
      </c>
      <c r="DM1074" s="254" t="n"/>
      <c r="DN1074" s="95" t="n"/>
      <c r="DO1074" s="95" t="n"/>
    </row>
    <row r="1075" ht="13" customHeight="1">
      <c r="A1075" s="261"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61" t="inlineStr">
        <is>
          <t>532MAALLOA</t>
        </is>
      </c>
      <c r="BL1075" s="61" t="inlineStr">
        <is>
          <t>GMAP-SIGA</t>
        </is>
      </c>
      <c r="BM1075" s="254" t="inlineStr">
        <is>
          <t>NF</t>
        </is>
      </c>
      <c r="BN1075" s="266" t="inlineStr">
        <is>
          <t>Alconcha</t>
        </is>
      </c>
      <c r="BO1075" s="254"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4" t="n"/>
      <c r="DB1075" s="254" t="n"/>
      <c r="DC1075" s="254" t="n"/>
      <c r="DD1075" s="254" t="n"/>
      <c r="DE1075" s="254" t="n"/>
      <c r="DF1075" s="254" t="n"/>
      <c r="DG1075" s="254" t="n"/>
      <c r="DH1075" s="254" t="n"/>
      <c r="DI1075" s="254" t="n"/>
      <c r="DJ1075" s="254" t="inlineStr">
        <is>
          <t>TF</t>
        </is>
      </c>
      <c r="DK1075" s="254" t="n">
        <v>15</v>
      </c>
      <c r="DL1075" s="95" t="n">
        <v>28</v>
      </c>
      <c r="DM1075" s="254" t="n"/>
      <c r="DN1075" s="95" t="n"/>
      <c r="DO1075" s="95" t="n"/>
    </row>
    <row r="1076" ht="13" customHeight="1">
      <c r="A1076" s="261"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61" t="inlineStr">
        <is>
          <t>532MAALLOA</t>
        </is>
      </c>
      <c r="BL1076" s="61" t="inlineStr">
        <is>
          <t>GMAP-SIGA</t>
        </is>
      </c>
      <c r="BM1076" s="254" t="inlineStr">
        <is>
          <t>NF</t>
        </is>
      </c>
      <c r="BN1076" s="266" t="inlineStr">
        <is>
          <t>Alconcha</t>
        </is>
      </c>
      <c r="BO1076" s="254"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4" t="n"/>
      <c r="DB1076" s="254" t="n"/>
      <c r="DC1076" s="254" t="n"/>
      <c r="DD1076" s="254" t="n"/>
      <c r="DE1076" s="254" t="n"/>
      <c r="DF1076" s="254" t="n"/>
      <c r="DG1076" s="254" t="n"/>
      <c r="DH1076" s="254" t="n"/>
      <c r="DI1076" s="254" t="n"/>
      <c r="DJ1076" s="254" t="inlineStr">
        <is>
          <t>TF</t>
        </is>
      </c>
      <c r="DK1076" s="254" t="n">
        <v>15</v>
      </c>
      <c r="DL1076" s="95" t="n">
        <v>28</v>
      </c>
      <c r="DM1076" s="254" t="n"/>
      <c r="DN1076" s="95" t="n"/>
      <c r="DO1076" s="95" t="n"/>
    </row>
    <row r="1077" ht="13" customHeight="1">
      <c r="A1077" s="261"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61" t="inlineStr">
        <is>
          <t>532MAALLOA</t>
        </is>
      </c>
      <c r="BL1077" s="61" t="inlineStr">
        <is>
          <t>GMAP-SIGA</t>
        </is>
      </c>
      <c r="BM1077" s="254" t="inlineStr">
        <is>
          <t>NF</t>
        </is>
      </c>
      <c r="BN1077" s="266" t="inlineStr">
        <is>
          <t>Alconcha</t>
        </is>
      </c>
      <c r="BO1077" s="254"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4" t="n"/>
      <c r="DB1077" s="254" t="n"/>
      <c r="DC1077" s="254" t="n"/>
      <c r="DD1077" s="254" t="n"/>
      <c r="DE1077" s="254" t="n"/>
      <c r="DF1077" s="254" t="n"/>
      <c r="DG1077" s="254" t="n"/>
      <c r="DH1077" s="254" t="n"/>
      <c r="DI1077" s="254" t="n"/>
      <c r="DJ1077" s="254" t="inlineStr">
        <is>
          <t>TF</t>
        </is>
      </c>
      <c r="DK1077" s="254" t="n">
        <v>15</v>
      </c>
      <c r="DL1077" s="95" t="n">
        <v>28</v>
      </c>
      <c r="DM1077" s="254" t="n"/>
      <c r="DN1077" s="95" t="n"/>
      <c r="DO1077" s="95" t="n"/>
    </row>
    <row r="1078" ht="13" customHeight="1">
      <c r="A1078" s="261"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61" t="inlineStr">
        <is>
          <t>532MAALLOA</t>
        </is>
      </c>
      <c r="BL1078" s="61" t="inlineStr">
        <is>
          <t>GMAP-SIGA</t>
        </is>
      </c>
      <c r="BM1078" s="254" t="inlineStr">
        <is>
          <t>NF</t>
        </is>
      </c>
      <c r="BN1078" s="266" t="inlineStr">
        <is>
          <t>Alconcha</t>
        </is>
      </c>
      <c r="BO1078" s="254"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4" t="n"/>
      <c r="DB1078" s="254" t="n"/>
      <c r="DC1078" s="254" t="n"/>
      <c r="DD1078" s="254" t="n"/>
      <c r="DE1078" s="254" t="n"/>
      <c r="DF1078" s="254" t="n"/>
      <c r="DG1078" s="254" t="n"/>
      <c r="DH1078" s="254" t="n"/>
      <c r="DI1078" s="254" t="n"/>
      <c r="DJ1078" s="254" t="inlineStr">
        <is>
          <t>TF</t>
        </is>
      </c>
      <c r="DK1078" s="254" t="n">
        <v>15</v>
      </c>
      <c r="DL1078" s="95" t="n">
        <v>28</v>
      </c>
      <c r="DM1078" s="254" t="n"/>
      <c r="DN1078" s="95" t="n"/>
      <c r="DO1078" s="95" t="n"/>
    </row>
    <row r="1079" ht="13" customHeight="1">
      <c r="A1079" s="261"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61" t="inlineStr">
        <is>
          <t>532MAALLOA</t>
        </is>
      </c>
      <c r="BL1079" s="61" t="inlineStr">
        <is>
          <t>GMAP-SIGA</t>
        </is>
      </c>
      <c r="BM1079" s="254" t="inlineStr">
        <is>
          <t>NF</t>
        </is>
      </c>
      <c r="BN1079" s="266" t="inlineStr">
        <is>
          <t>Alconcha</t>
        </is>
      </c>
      <c r="BO1079" s="254"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4" t="n"/>
      <c r="DB1079" s="254" t="n"/>
      <c r="DC1079" s="254" t="n"/>
      <c r="DD1079" s="254" t="n"/>
      <c r="DE1079" s="254" t="n"/>
      <c r="DF1079" s="254" t="n"/>
      <c r="DG1079" s="254" t="n"/>
      <c r="DH1079" s="254" t="n"/>
      <c r="DI1079" s="254" t="n"/>
      <c r="DJ1079" s="254" t="inlineStr">
        <is>
          <t>TF</t>
        </is>
      </c>
      <c r="DK1079" s="254" t="n">
        <v>15</v>
      </c>
      <c r="DL1079" s="95" t="n">
        <v>28</v>
      </c>
      <c r="DM1079" s="254" t="n"/>
      <c r="DN1079" s="95" t="n"/>
      <c r="DO1079" s="95" t="n"/>
    </row>
    <row r="1080" ht="13" customHeight="1">
      <c r="A1080" s="261"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61" t="inlineStr">
        <is>
          <t>532MAALLOA</t>
        </is>
      </c>
      <c r="BL1080" s="61" t="inlineStr">
        <is>
          <t>GMAP-SIGA</t>
        </is>
      </c>
      <c r="BM1080" s="254" t="inlineStr">
        <is>
          <t>NF</t>
        </is>
      </c>
      <c r="BN1080" s="266" t="inlineStr">
        <is>
          <t>Alconcha</t>
        </is>
      </c>
      <c r="BO1080" s="254"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4" t="n"/>
      <c r="DB1080" s="254" t="n"/>
      <c r="DC1080" s="254" t="n"/>
      <c r="DD1080" s="254" t="n"/>
      <c r="DE1080" s="254" t="n"/>
      <c r="DF1080" s="254" t="n"/>
      <c r="DG1080" s="254" t="n"/>
      <c r="DH1080" s="254" t="n"/>
      <c r="DI1080" s="254" t="n"/>
      <c r="DJ1080" s="254" t="inlineStr">
        <is>
          <t>TF</t>
        </is>
      </c>
      <c r="DK1080" s="254" t="n">
        <v>15</v>
      </c>
      <c r="DL1080" s="95" t="n">
        <v>28</v>
      </c>
      <c r="DM1080" s="254" t="n"/>
      <c r="DN1080" s="95" t="n"/>
      <c r="DO1080" s="95" t="n"/>
    </row>
    <row r="1081" ht="13" customHeight="1">
      <c r="A1081" s="261"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61" t="inlineStr">
        <is>
          <t>532MAALLOA</t>
        </is>
      </c>
      <c r="BL1081" s="61" t="inlineStr">
        <is>
          <t>GMAP-SIGA</t>
        </is>
      </c>
      <c r="BM1081" s="254" t="inlineStr">
        <is>
          <t>NF</t>
        </is>
      </c>
      <c r="BN1081" s="266" t="inlineStr">
        <is>
          <t>Alconcha</t>
        </is>
      </c>
      <c r="BO1081" s="254"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4" t="n"/>
      <c r="DB1081" s="254" t="n"/>
      <c r="DC1081" s="254" t="n"/>
      <c r="DD1081" s="254" t="n"/>
      <c r="DE1081" s="254" t="n"/>
      <c r="DF1081" s="254" t="n"/>
      <c r="DG1081" s="254" t="n"/>
      <c r="DH1081" s="254" t="n"/>
      <c r="DI1081" s="254" t="n"/>
      <c r="DJ1081" s="254" t="inlineStr">
        <is>
          <t>TF</t>
        </is>
      </c>
      <c r="DK1081" s="254" t="n">
        <v>15</v>
      </c>
      <c r="DL1081" s="95" t="n">
        <v>28</v>
      </c>
      <c r="DM1081" s="254" t="n"/>
      <c r="DN1081" s="95" t="n"/>
      <c r="DO1081" s="95" t="n"/>
    </row>
    <row r="1082" ht="13" customHeight="1">
      <c r="A1082" s="261"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61" t="inlineStr">
        <is>
          <t>532MAALLOA</t>
        </is>
      </c>
      <c r="BL1082" s="61" t="inlineStr">
        <is>
          <t>GMAP-SIGA</t>
        </is>
      </c>
      <c r="BM1082" s="254" t="inlineStr">
        <is>
          <t>NF</t>
        </is>
      </c>
      <c r="BN1082" s="266" t="inlineStr">
        <is>
          <t>Alconcha</t>
        </is>
      </c>
      <c r="BO1082" s="254"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4" t="n"/>
      <c r="DB1082" s="254" t="n"/>
      <c r="DC1082" s="254" t="n"/>
      <c r="DD1082" s="254" t="n"/>
      <c r="DE1082" s="254" t="n"/>
      <c r="DF1082" s="254" t="n"/>
      <c r="DG1082" s="254" t="n"/>
      <c r="DH1082" s="254" t="n"/>
      <c r="DI1082" s="254" t="n"/>
      <c r="DJ1082" s="254" t="inlineStr">
        <is>
          <t>TF</t>
        </is>
      </c>
      <c r="DK1082" s="254" t="n">
        <v>15</v>
      </c>
      <c r="DL1082" s="95" t="n">
        <v>28</v>
      </c>
      <c r="DM1082" s="254" t="n"/>
      <c r="DN1082" s="95" t="n"/>
      <c r="DO1082" s="95" t="n"/>
    </row>
    <row r="1083" ht="13" customHeight="1">
      <c r="A1083" s="261"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61" t="inlineStr">
        <is>
          <t>532MAALLOA</t>
        </is>
      </c>
      <c r="BL1083" s="61" t="inlineStr">
        <is>
          <t>GMAP-SIGA</t>
        </is>
      </c>
      <c r="BM1083" s="254" t="inlineStr">
        <is>
          <t>NF</t>
        </is>
      </c>
      <c r="BN1083" s="266" t="inlineStr">
        <is>
          <t>Loa</t>
        </is>
      </c>
      <c r="BO1083" s="254"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4" t="n"/>
      <c r="DB1083" s="254" t="n"/>
      <c r="DC1083" s="254" t="n"/>
      <c r="DD1083" s="254" t="n"/>
      <c r="DE1083" s="254" t="n"/>
      <c r="DF1083" s="254" t="n"/>
      <c r="DG1083" s="254" t="n"/>
      <c r="DH1083" s="254" t="n"/>
      <c r="DI1083" s="254" t="n"/>
      <c r="DJ1083" s="254" t="inlineStr">
        <is>
          <t>TF</t>
        </is>
      </c>
      <c r="DK1083" s="254" t="n">
        <v>15</v>
      </c>
      <c r="DL1083" s="95" t="n">
        <v>28</v>
      </c>
      <c r="DM1083" s="254" t="n"/>
      <c r="DN1083" s="95" t="n"/>
      <c r="DO1083" s="95" t="n"/>
    </row>
    <row r="1084" ht="13" customHeight="1">
      <c r="A1084" s="261"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61" t="inlineStr">
        <is>
          <t>532MAALLOA</t>
        </is>
      </c>
      <c r="BL1084" s="61" t="inlineStr">
        <is>
          <t>GMAP-SIGA</t>
        </is>
      </c>
      <c r="BM1084" s="254" t="inlineStr">
        <is>
          <t>NF</t>
        </is>
      </c>
      <c r="BN1084" s="266" t="inlineStr">
        <is>
          <t>Loa</t>
        </is>
      </c>
      <c r="BO1084" s="254"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4" t="n"/>
      <c r="DB1084" s="254" t="n"/>
      <c r="DC1084" s="254" t="n"/>
      <c r="DD1084" s="254" t="n"/>
      <c r="DE1084" s="254" t="n"/>
      <c r="DF1084" s="254" t="n"/>
      <c r="DG1084" s="254" t="n"/>
      <c r="DH1084" s="254" t="n"/>
      <c r="DI1084" s="254" t="n"/>
      <c r="DJ1084" s="254" t="inlineStr">
        <is>
          <t>TF</t>
        </is>
      </c>
      <c r="DK1084" s="254" t="n">
        <v>15</v>
      </c>
      <c r="DL1084" s="95" t="n">
        <v>28</v>
      </c>
      <c r="DM1084" s="254" t="n"/>
      <c r="DN1084" s="95" t="n"/>
      <c r="DO1084" s="95" t="n"/>
    </row>
    <row r="1085" ht="13" customHeight="1">
      <c r="A1085" s="261"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61" t="inlineStr">
        <is>
          <t>532MAALLOA</t>
        </is>
      </c>
      <c r="BL1085" s="61" t="inlineStr">
        <is>
          <t>GMAP-SIGA</t>
        </is>
      </c>
      <c r="BM1085" s="254" t="inlineStr">
        <is>
          <t>NF</t>
        </is>
      </c>
      <c r="BN1085" s="266" t="inlineStr">
        <is>
          <t>Loa</t>
        </is>
      </c>
      <c r="BO1085" s="254"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4" t="n"/>
      <c r="DB1085" s="254" t="n"/>
      <c r="DC1085" s="254" t="n"/>
      <c r="DD1085" s="254" t="n"/>
      <c r="DE1085" s="254" t="n"/>
      <c r="DF1085" s="254" t="n"/>
      <c r="DG1085" s="254" t="n"/>
      <c r="DH1085" s="254" t="n"/>
      <c r="DI1085" s="254" t="n"/>
      <c r="DJ1085" s="254" t="inlineStr">
        <is>
          <t>TF</t>
        </is>
      </c>
      <c r="DK1085" s="254" t="n">
        <v>15</v>
      </c>
      <c r="DL1085" s="95" t="n">
        <v>28</v>
      </c>
      <c r="DM1085" s="254" t="n"/>
      <c r="DN1085" s="95" t="n"/>
      <c r="DO1085" s="95" t="n"/>
    </row>
    <row r="1086" ht="14.5" customHeight="1">
      <c r="A1086" s="261"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61" t="inlineStr">
        <is>
          <t>532MAALLOA</t>
        </is>
      </c>
      <c r="BL1086" s="61" t="inlineStr">
        <is>
          <t>GMAP-SIGA</t>
        </is>
      </c>
      <c r="BM1086" s="254" t="inlineStr">
        <is>
          <t>NF</t>
        </is>
      </c>
      <c r="BN1086" s="266" t="inlineStr">
        <is>
          <t>Loa</t>
        </is>
      </c>
      <c r="BO1086" s="254"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4" t="n"/>
      <c r="DB1086" s="254" t="n"/>
      <c r="DC1086" s="254" t="n"/>
      <c r="DD1086" s="254" t="n"/>
      <c r="DE1086" s="254" t="n"/>
      <c r="DF1086" s="254" t="n"/>
      <c r="DG1086" s="254" t="n"/>
      <c r="DH1086" s="254" t="n"/>
      <c r="DI1086" s="254" t="n"/>
      <c r="DJ1086" s="254" t="inlineStr">
        <is>
          <t>TF</t>
        </is>
      </c>
      <c r="DK1086" s="254" t="n">
        <v>15</v>
      </c>
      <c r="DL1086" s="95" t="n">
        <v>28</v>
      </c>
      <c r="DM1086" s="254" t="n"/>
      <c r="DN1086" s="95" t="n"/>
      <c r="DO1086" s="95" t="n"/>
    </row>
    <row r="1087" ht="13" customHeight="1">
      <c r="A1087" s="261"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61" t="inlineStr">
        <is>
          <t>532MAALLOA</t>
        </is>
      </c>
      <c r="BL1087" s="61" t="inlineStr">
        <is>
          <t>GMAP-SIGA</t>
        </is>
      </c>
      <c r="BM1087" s="254" t="inlineStr">
        <is>
          <t>NF</t>
        </is>
      </c>
      <c r="BN1087" s="266" t="inlineStr">
        <is>
          <t>Alconcha</t>
        </is>
      </c>
      <c r="BO1087" s="254"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4" t="n"/>
      <c r="DB1087" s="254" t="n"/>
      <c r="DC1087" s="254" t="n"/>
      <c r="DD1087" s="254" t="n"/>
      <c r="DE1087" s="254" t="n"/>
      <c r="DF1087" s="254" t="n"/>
      <c r="DG1087" s="254" t="n"/>
      <c r="DH1087" s="254" t="n"/>
      <c r="DI1087" s="254" t="n"/>
      <c r="DJ1087" s="254" t="inlineStr">
        <is>
          <t>TF</t>
        </is>
      </c>
      <c r="DK1087" s="254" t="n">
        <v>15</v>
      </c>
      <c r="DL1087" s="95" t="n">
        <v>28</v>
      </c>
      <c r="DM1087" s="254" t="n"/>
      <c r="DN1087" s="95" t="n"/>
      <c r="DO1087" s="95" t="n"/>
    </row>
    <row r="1088" ht="13" customHeight="1">
      <c r="A1088" s="261"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61" t="inlineStr">
        <is>
          <t>532MAALLOA</t>
        </is>
      </c>
      <c r="BL1088" s="61" t="inlineStr">
        <is>
          <t>GMAP-SIGA</t>
        </is>
      </c>
      <c r="BM1088" s="254" t="inlineStr">
        <is>
          <t>NF</t>
        </is>
      </c>
      <c r="BN1088" s="266" t="inlineStr">
        <is>
          <t>Alconcha</t>
        </is>
      </c>
      <c r="BO1088" s="254"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4" t="n"/>
      <c r="DB1088" s="254" t="n"/>
      <c r="DC1088" s="254" t="n"/>
      <c r="DD1088" s="254" t="n"/>
      <c r="DE1088" s="254" t="n"/>
      <c r="DF1088" s="254" t="n"/>
      <c r="DG1088" s="254" t="n"/>
      <c r="DH1088" s="254" t="n"/>
      <c r="DI1088" s="254" t="n"/>
      <c r="DJ1088" s="254" t="inlineStr">
        <is>
          <t>TF</t>
        </is>
      </c>
      <c r="DK1088" s="254" t="n">
        <v>15</v>
      </c>
      <c r="DL1088" s="95" t="n">
        <v>28</v>
      </c>
      <c r="DM1088" s="254" t="n"/>
      <c r="DN1088" s="95" t="n"/>
      <c r="DO1088" s="95" t="n"/>
    </row>
    <row r="1089" ht="13" customHeight="1">
      <c r="A1089" s="261"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61" t="inlineStr">
        <is>
          <t>532MAALLOA</t>
        </is>
      </c>
      <c r="BL1089" s="61" t="inlineStr">
        <is>
          <t>GMAP-SIGA</t>
        </is>
      </c>
      <c r="BM1089" s="254" t="inlineStr">
        <is>
          <t>NF</t>
        </is>
      </c>
      <c r="BN1089" s="266" t="inlineStr">
        <is>
          <t>Loa</t>
        </is>
      </c>
      <c r="BO1089" s="254"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4" t="n"/>
      <c r="DB1089" s="254" t="n"/>
      <c r="DC1089" s="254" t="n"/>
      <c r="DD1089" s="254" t="n"/>
      <c r="DE1089" s="254" t="n"/>
      <c r="DF1089" s="254" t="n"/>
      <c r="DG1089" s="254" t="n"/>
      <c r="DH1089" s="254" t="n"/>
      <c r="DI1089" s="254" t="n"/>
      <c r="DJ1089" s="254" t="inlineStr">
        <is>
          <t>TF</t>
        </is>
      </c>
      <c r="DK1089" s="254" t="n">
        <v>15</v>
      </c>
      <c r="DL1089" s="95" t="n">
        <v>28</v>
      </c>
      <c r="DM1089" s="254" t="n"/>
      <c r="DN1089" s="95" t="n"/>
      <c r="DO1089" s="95" t="n"/>
    </row>
    <row r="1090" ht="14.25" customHeight="1">
      <c r="A1090" s="235" t="inlineStr">
        <is>
          <t>AA-08</t>
        </is>
      </c>
      <c r="B1090" s="236" t="inlineStr">
        <is>
          <t>AA-08 QUEBRADA CAYA</t>
        </is>
      </c>
      <c r="C1090" s="29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259" t="inlineStr">
        <is>
          <t>532MAQCY</t>
        </is>
      </c>
      <c r="BL1090" s="61" t="inlineStr">
        <is>
          <t>GMAP-SIGA</t>
        </is>
      </c>
      <c r="BM1090" s="254" t="inlineStr">
        <is>
          <t>NF</t>
        </is>
      </c>
      <c r="BN1090" s="266" t="inlineStr">
        <is>
          <t>Quebrada Caya</t>
        </is>
      </c>
      <c r="BO1090" s="254" t="inlineStr">
        <is>
          <t>NO</t>
        </is>
      </c>
      <c r="BP1090" s="253" t="inlineStr">
        <is>
          <t>AA-08 QUEBRADA CAYA/NF</t>
        </is>
      </c>
      <c r="BQ1090" s="266" t="n"/>
      <c r="BR1090" s="266" t="n"/>
      <c r="BS1090" s="266" t="n"/>
      <c r="BT1090" s="300" t="n"/>
      <c r="BU1090" s="102" t="inlineStr">
        <is>
          <t>CAMIBIO DE FRECUENCIA A PARTIR DE SEPTIEMBRE 2025 X CMDIC DE MENSUAL A TRIMESTRAL</t>
        </is>
      </c>
      <c r="BV1090" s="178" t="n"/>
      <c r="BW1090" s="254" t="n"/>
      <c r="BX1090" s="254" t="n"/>
      <c r="BY1090" s="254" t="n"/>
      <c r="BZ1090" s="254" t="n"/>
      <c r="CA1090" s="254" t="n"/>
      <c r="CB1090" s="254" t="n"/>
      <c r="CC1090" s="266" t="n"/>
      <c r="CD1090" s="254" t="n"/>
      <c r="CE1090" s="254" t="n"/>
      <c r="CF1090" s="254" t="n"/>
      <c r="CG1090" s="254" t="n"/>
      <c r="CH1090" s="254" t="n"/>
      <c r="CI1090" s="254" t="n"/>
      <c r="CJ1090" s="254" t="n"/>
      <c r="CK1090" s="254" t="n"/>
      <c r="CL1090" s="254" t="n"/>
      <c r="CM1090" s="254" t="n"/>
      <c r="CN1090" s="254" t="n"/>
      <c r="CO1090" s="254" t="n"/>
      <c r="CP1090" s="254" t="n"/>
      <c r="CQ1090" s="254" t="n"/>
      <c r="CR1090" s="254" t="n"/>
      <c r="CS1090" s="254" t="n"/>
      <c r="CT1090" s="254" t="n"/>
      <c r="CU1090" s="251" t="n"/>
      <c r="CV1090" s="251" t="n"/>
      <c r="CW1090" s="251" t="n"/>
      <c r="CX1090" s="251" t="n"/>
      <c r="CY1090" s="251" t="n"/>
      <c r="CZ1090" s="124" t="n"/>
      <c r="DA1090" s="124" t="n"/>
      <c r="DB1090" s="124" t="n"/>
      <c r="DC1090" s="124" t="n"/>
      <c r="DD1090" s="124" t="n"/>
      <c r="DE1090" s="124" t="n"/>
      <c r="DF1090" s="124" t="n"/>
      <c r="DG1090" s="124" t="n"/>
      <c r="DH1090" s="124" t="n"/>
      <c r="DI1090" s="124" t="n"/>
      <c r="DJ1090" s="254" t="inlineStr">
        <is>
          <t>SE ELIMINA</t>
        </is>
      </c>
      <c r="DK1090" s="254" t="n">
        <v>8</v>
      </c>
      <c r="DL1090" s="95" t="n">
        <v>14</v>
      </c>
      <c r="DM1090" s="254" t="n"/>
      <c r="DN1090" s="95" t="n"/>
      <c r="DO1090" s="95" t="n"/>
    </row>
    <row r="1091" ht="14.25" customHeight="1">
      <c r="A1091" s="235" t="inlineStr">
        <is>
          <t>FAD (especial)</t>
        </is>
      </c>
      <c r="B1091" s="236" t="n"/>
      <c r="C1091" s="29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259" t="n"/>
      <c r="BL1091" s="61" t="inlineStr">
        <is>
          <t>PUERTO</t>
        </is>
      </c>
      <c r="BM1091" s="254" t="inlineStr">
        <is>
          <t>ASUP</t>
        </is>
      </c>
      <c r="BN1091" s="266" t="inlineStr">
        <is>
          <t>Puerto Collahuasi</t>
        </is>
      </c>
      <c r="BO1091" s="254" t="inlineStr">
        <is>
          <t>NO</t>
        </is>
      </c>
      <c r="BP1091" s="253" t="inlineStr">
        <is>
          <t>ASUP</t>
        </is>
      </c>
      <c r="BQ1091" s="266" t="n"/>
      <c r="BR1091" s="266" t="n"/>
      <c r="BS1091" s="266" t="n"/>
      <c r="BT1091" s="300" t="n"/>
      <c r="BU1091" s="102" t="inlineStr">
        <is>
          <t>SE ELIMINA</t>
        </is>
      </c>
      <c r="BV1091" s="130" t="n"/>
      <c r="BW1091" s="254" t="n"/>
      <c r="BX1091" s="105" t="n"/>
      <c r="BY1091" s="254" t="n"/>
      <c r="BZ1091" s="105" t="n"/>
      <c r="CA1091" s="254" t="n"/>
      <c r="CB1091" s="105" t="n"/>
      <c r="CC1091" s="7" t="n"/>
      <c r="CD1091" s="254" t="n"/>
      <c r="CE1091" s="254" t="n"/>
      <c r="CF1091" s="254" t="n"/>
      <c r="CG1091" s="254" t="n"/>
      <c r="CH1091" s="254" t="n"/>
      <c r="CI1091" s="254" t="n"/>
      <c r="CJ1091" s="7" t="n"/>
      <c r="CK1091" s="254" t="n"/>
      <c r="CL1091" s="254" t="n"/>
      <c r="CM1091" s="254" t="n"/>
      <c r="CN1091" s="254" t="n"/>
      <c r="CO1091" s="254" t="n"/>
      <c r="CP1091" s="254" t="n"/>
      <c r="CQ1091" s="254" t="n"/>
      <c r="CR1091" s="254" t="n"/>
      <c r="CS1091" s="254" t="n"/>
      <c r="CT1091" s="254" t="n"/>
      <c r="CU1091" s="254" t="n"/>
      <c r="CV1091" s="254" t="n"/>
      <c r="CW1091" s="254" t="n"/>
      <c r="CX1091" s="254" t="n"/>
      <c r="CY1091" s="254" t="n"/>
      <c r="CZ1091" s="124">
        <f>+COUNTA(BV1091:CY1091)</f>
        <v/>
      </c>
      <c r="DA1091" s="124" t="n"/>
      <c r="DB1091" s="124" t="n"/>
      <c r="DC1091" s="124" t="n"/>
      <c r="DD1091" s="124" t="n"/>
      <c r="DE1091" s="124" t="n"/>
      <c r="DF1091" s="124" t="n"/>
      <c r="DG1091" s="124" t="n"/>
      <c r="DH1091" s="124" t="n"/>
      <c r="DI1091" s="124" t="n"/>
      <c r="DJ1091" s="254" t="n"/>
      <c r="DK1091" s="254" t="n"/>
      <c r="DL1091" s="95" t="n"/>
      <c r="DM1091" s="254"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259" t="n"/>
      <c r="BL1092" s="61" t="inlineStr">
        <is>
          <t>PUERTO</t>
        </is>
      </c>
      <c r="BM1092" s="254" t="inlineStr">
        <is>
          <t>ASUP</t>
        </is>
      </c>
      <c r="BN1092" s="266" t="inlineStr">
        <is>
          <t>Puerto Collahuasi</t>
        </is>
      </c>
      <c r="BO1092" s="254" t="inlineStr">
        <is>
          <t>NO</t>
        </is>
      </c>
      <c r="BP1092" s="253" t="inlineStr">
        <is>
          <t>ASUP</t>
        </is>
      </c>
      <c r="BQ1092" s="266" t="n"/>
      <c r="BR1092" s="266" t="n"/>
      <c r="BS1092" s="266" t="n"/>
      <c r="BT1092" s="300" t="n"/>
      <c r="BU1092" s="102" t="inlineStr">
        <is>
          <t>SE ELIMINA</t>
        </is>
      </c>
      <c r="BV1092" s="130" t="n"/>
      <c r="BW1092" s="254" t="n"/>
      <c r="BX1092" s="105" t="n"/>
      <c r="BY1092" s="254" t="n"/>
      <c r="BZ1092" s="105" t="n"/>
      <c r="CA1092" s="254" t="n"/>
      <c r="CB1092" s="105" t="n"/>
      <c r="CC1092" s="7" t="n"/>
      <c r="CD1092" s="254" t="n"/>
      <c r="CE1092" s="254" t="n"/>
      <c r="CF1092" s="254" t="n"/>
      <c r="CG1092" s="254" t="n"/>
      <c r="CH1092" s="254" t="n"/>
      <c r="CI1092" s="254" t="n"/>
      <c r="CJ1092" s="7" t="n"/>
      <c r="CK1092" s="254" t="n"/>
      <c r="CL1092" s="254" t="n"/>
      <c r="CM1092" s="254" t="n"/>
      <c r="CN1092" s="254" t="n"/>
      <c r="CO1092" s="254" t="n"/>
      <c r="CP1092" s="254" t="n"/>
      <c r="CQ1092" s="254" t="n"/>
      <c r="CR1092" s="254" t="n"/>
      <c r="CS1092" s="254" t="n"/>
      <c r="CT1092" s="254" t="n"/>
      <c r="CU1092" s="254" t="n"/>
      <c r="CV1092" s="254" t="n"/>
      <c r="CW1092" s="254" t="n"/>
      <c r="CX1092" s="254" t="n"/>
      <c r="CY1092" s="254" t="n"/>
      <c r="CZ1092" s="124">
        <f>+COUNTA(BV1092:CY1092)</f>
        <v/>
      </c>
      <c r="DA1092" s="124" t="n"/>
      <c r="DB1092" s="124" t="n"/>
      <c r="DC1092" s="124" t="n"/>
      <c r="DD1092" s="124" t="n"/>
      <c r="DE1092" s="124" t="n"/>
      <c r="DF1092" s="124" t="n"/>
      <c r="DG1092" s="124" t="n"/>
      <c r="DH1092" s="124" t="n"/>
      <c r="DI1092" s="124" t="n"/>
      <c r="DJ1092" s="254" t="n"/>
      <c r="DK1092" s="254" t="n"/>
      <c r="DL1092" s="95" t="n"/>
      <c r="DM1092" s="254"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4" t="n"/>
      <c r="BX1093" s="254" t="n"/>
      <c r="BY1093" s="254" t="n"/>
      <c r="BZ1093" s="254" t="n"/>
      <c r="CA1093" s="254" t="n"/>
      <c r="CB1093" s="254" t="n"/>
      <c r="CC1093" s="254" t="n"/>
      <c r="CD1093" s="254" t="n"/>
      <c r="CE1093" s="254" t="n"/>
      <c r="CF1093" s="254" t="n"/>
      <c r="CG1093" s="254" t="n"/>
      <c r="CH1093" s="254" t="n"/>
      <c r="CI1093" s="254" t="n"/>
      <c r="CJ1093" s="254" t="n"/>
      <c r="CK1093" s="254" t="n"/>
      <c r="CL1093" s="254" t="n"/>
      <c r="CM1093" s="254" t="n"/>
      <c r="CN1093" s="254" t="n"/>
      <c r="CO1093" s="323" t="n"/>
      <c r="CP1093" s="254" t="n"/>
      <c r="CQ1093" s="254" t="n"/>
      <c r="CR1093" s="254" t="n"/>
      <c r="CS1093" s="254" t="n"/>
      <c r="CT1093" s="254" t="n"/>
      <c r="CU1093" s="254" t="n"/>
      <c r="CV1093" s="254" t="n"/>
      <c r="CW1093" s="254" t="n"/>
      <c r="CX1093" s="254" t="n"/>
      <c r="CY1093" s="254" t="n"/>
      <c r="CZ1093" s="124">
        <f>+COUNT(BV1093:CY1093)</f>
        <v/>
      </c>
      <c r="DA1093" s="124" t="n"/>
      <c r="DB1093" s="124" t="n"/>
      <c r="DC1093" s="124" t="n"/>
      <c r="DD1093" s="124" t="n"/>
      <c r="DE1093" s="124" t="n"/>
      <c r="DF1093" s="124" t="n"/>
      <c r="DG1093" s="124" t="n"/>
      <c r="DH1093" s="124" t="n"/>
      <c r="DI1093" s="124" t="n"/>
      <c r="DJ1093" s="254" t="inlineStr">
        <is>
          <t>SE ELIMINA</t>
        </is>
      </c>
      <c r="DK1093" s="254" t="n"/>
      <c r="DL1093" s="95" t="n"/>
      <c r="DM1093" s="254"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4" t="n"/>
      <c r="BX1094" s="254" t="n"/>
      <c r="BY1094" s="254" t="n"/>
      <c r="BZ1094" s="254" t="n"/>
      <c r="CA1094" s="254" t="n"/>
      <c r="CB1094" s="254" t="n"/>
      <c r="CC1094" s="254" t="n"/>
      <c r="CD1094" s="254" t="n"/>
      <c r="CE1094" s="254" t="n"/>
      <c r="CF1094" s="254" t="n"/>
      <c r="CG1094" s="254" t="n"/>
      <c r="CH1094" s="254" t="n"/>
      <c r="CI1094" s="254" t="n"/>
      <c r="CJ1094" s="254" t="n"/>
      <c r="CK1094" s="254" t="n"/>
      <c r="CL1094" s="254" t="n"/>
      <c r="CM1094" s="254" t="n"/>
      <c r="CN1094" s="254" t="n"/>
      <c r="CO1094" s="323" t="n"/>
      <c r="CP1094" s="254" t="n"/>
      <c r="CQ1094" s="254" t="n"/>
      <c r="CR1094" s="254" t="n"/>
      <c r="CS1094" s="254" t="n"/>
      <c r="CT1094" s="254" t="n"/>
      <c r="CU1094" s="254" t="n"/>
      <c r="CV1094" s="254" t="n"/>
      <c r="CW1094" s="254" t="n"/>
      <c r="CX1094" s="254" t="n"/>
      <c r="CY1094" s="254" t="n"/>
      <c r="CZ1094" s="124">
        <f>+COUNT(BV1094:CY1094)</f>
        <v/>
      </c>
      <c r="DA1094" s="124" t="n"/>
      <c r="DB1094" s="124" t="n"/>
      <c r="DC1094" s="124" t="n"/>
      <c r="DD1094" s="124" t="n"/>
      <c r="DE1094" s="124" t="n"/>
      <c r="DF1094" s="124" t="n"/>
      <c r="DG1094" s="124" t="n"/>
      <c r="DH1094" s="124" t="n"/>
      <c r="DI1094" s="124" t="n"/>
      <c r="DJ1094" s="254" t="inlineStr">
        <is>
          <t>SE ELIMINA</t>
        </is>
      </c>
      <c r="DK1094" s="254" t="n"/>
      <c r="DL1094" s="95" t="n"/>
      <c r="DM1094" s="254"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4" t="n"/>
      <c r="BW1095" s="254" t="n"/>
      <c r="BX1095" s="254" t="n"/>
      <c r="BY1095" s="254" t="n"/>
      <c r="BZ1095" s="254" t="n"/>
      <c r="CA1095" s="254" t="n"/>
      <c r="CB1095" s="254" t="n"/>
      <c r="CC1095" s="254" t="n"/>
      <c r="CD1095" s="254" t="n"/>
      <c r="CE1095" s="254" t="n"/>
      <c r="CF1095" s="254" t="n"/>
      <c r="CG1095" s="254" t="n"/>
      <c r="CH1095" s="254" t="n"/>
      <c r="CI1095" s="254" t="n"/>
      <c r="CJ1095" s="254" t="n"/>
      <c r="CK1095" s="254" t="n"/>
      <c r="CL1095" s="254" t="n"/>
      <c r="CM1095" s="254" t="n"/>
      <c r="CN1095" s="254" t="n"/>
      <c r="CO1095" s="323" t="n"/>
      <c r="CP1095" s="254" t="n"/>
      <c r="CQ1095" s="254" t="n"/>
      <c r="CR1095" s="254" t="n"/>
      <c r="CS1095" s="254" t="n"/>
      <c r="CT1095" s="254" t="n"/>
      <c r="CU1095" s="254" t="n"/>
      <c r="CV1095" s="254" t="n"/>
      <c r="CW1095" s="254" t="n"/>
      <c r="CX1095" s="254" t="n"/>
      <c r="CY1095" s="254" t="n"/>
      <c r="CZ1095" s="124">
        <f>+COUNT(BV1095:CY1095)</f>
        <v/>
      </c>
      <c r="DA1095" s="124" t="n"/>
      <c r="DB1095" s="124" t="n"/>
      <c r="DC1095" s="124" t="n"/>
      <c r="DD1095" s="124" t="n"/>
      <c r="DE1095" s="124" t="n"/>
      <c r="DF1095" s="124" t="n"/>
      <c r="DG1095" s="124" t="n"/>
      <c r="DH1095" s="124" t="n"/>
      <c r="DI1095" s="124" t="n"/>
      <c r="DJ1095" s="254" t="inlineStr">
        <is>
          <t>SE ELIMINA</t>
        </is>
      </c>
      <c r="DK1095" s="254" t="n"/>
      <c r="DL1095" s="95" t="n"/>
      <c r="DM1095" s="254" t="inlineStr">
        <is>
          <t>N/A</t>
        </is>
      </c>
      <c r="DN1095" s="95" t="n"/>
      <c r="DO1095" s="95" t="n"/>
    </row>
    <row r="1096" ht="14.25" customHeight="1">
      <c r="A1096" s="147" t="inlineStr">
        <is>
          <t>AR-256</t>
        </is>
      </c>
      <c r="B1096" s="151" t="n"/>
      <c r="C1096" s="29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4" t="inlineStr">
        <is>
          <t>ASUB</t>
        </is>
      </c>
      <c r="BN1096" s="266" t="inlineStr">
        <is>
          <t>Rosario</t>
        </is>
      </c>
      <c r="BO1096" s="254" t="inlineStr">
        <is>
          <t>NO</t>
        </is>
      </c>
      <c r="BP1096" s="251" t="n"/>
      <c r="BQ1096" s="251" t="n"/>
      <c r="BR1096" s="251" t="n"/>
      <c r="BS1096" s="251" t="n"/>
      <c r="BT1096" s="251" t="n"/>
      <c r="BU1096" s="102" t="inlineStr">
        <is>
          <t>SE ELIMINA</t>
        </is>
      </c>
      <c r="BV1096" s="254" t="n"/>
      <c r="BW1096" s="254" t="n"/>
      <c r="BX1096" s="254" t="n"/>
      <c r="BY1096" s="254" t="n"/>
      <c r="BZ1096" s="254" t="n"/>
      <c r="CA1096" s="254" t="n"/>
      <c r="CB1096" s="254" t="n"/>
      <c r="CC1096" s="254" t="n"/>
      <c r="CD1096" s="254" t="n"/>
      <c r="CE1096" s="254" t="n"/>
      <c r="CF1096" s="254" t="n"/>
      <c r="CG1096" s="254" t="n"/>
      <c r="CH1096" s="254" t="n"/>
      <c r="CI1096" s="254" t="n"/>
      <c r="CJ1096" s="254" t="n"/>
      <c r="CK1096" s="254" t="n"/>
      <c r="CL1096" s="254" t="n"/>
      <c r="CM1096" s="254" t="n"/>
      <c r="CN1096" s="254" t="n"/>
      <c r="CO1096" s="254" t="n"/>
      <c r="CP1096" s="254" t="n"/>
      <c r="CQ1096" s="254" t="n"/>
      <c r="CR1096" s="254" t="n"/>
      <c r="CS1096" s="254" t="n"/>
      <c r="CT1096" s="254" t="n"/>
      <c r="CU1096" s="254" t="n"/>
      <c r="CV1096" s="254" t="n"/>
      <c r="CW1096" s="254" t="n"/>
      <c r="CX1096" s="254" t="n"/>
      <c r="CY1096" s="254" t="n"/>
      <c r="CZ1096" s="124">
        <f>+COUNT(BV1096:CY1096)</f>
        <v/>
      </c>
      <c r="DA1096" s="124" t="n"/>
      <c r="DB1096" s="124" t="n"/>
      <c r="DC1096" s="124" t="n"/>
      <c r="DD1096" s="124" t="n"/>
      <c r="DE1096" s="124" t="n"/>
      <c r="DF1096" s="124" t="n"/>
      <c r="DG1096" s="124" t="n"/>
      <c r="DH1096" s="124" t="n"/>
      <c r="DI1096" s="124" t="n"/>
      <c r="DJ1096" s="254" t="inlineStr">
        <is>
          <t>SE ELIMINA</t>
        </is>
      </c>
      <c r="DK1096" s="254" t="n"/>
      <c r="DL1096" s="95" t="n"/>
      <c r="DM1096" s="254" t="inlineStr">
        <is>
          <t>N/A</t>
        </is>
      </c>
      <c r="DN1096" s="95" t="n"/>
      <c r="DO1096" s="95" t="n"/>
    </row>
    <row r="1097" ht="14.25" customHeight="1">
      <c r="A1097" s="147" t="inlineStr">
        <is>
          <t>CMW-07</t>
        </is>
      </c>
      <c r="B1097" s="151" t="n"/>
      <c r="C1097" s="29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4" t="inlineStr">
        <is>
          <t>ASUB</t>
        </is>
      </c>
      <c r="BN1097" s="266" t="inlineStr">
        <is>
          <t xml:space="preserve">Coposa Centro </t>
        </is>
      </c>
      <c r="BO1097" s="254" t="inlineStr">
        <is>
          <t>SI</t>
        </is>
      </c>
      <c r="BP1097" s="251" t="n"/>
      <c r="BQ1097" s="251" t="n"/>
      <c r="BR1097" s="251" t="n"/>
      <c r="BS1097" s="251" t="n"/>
      <c r="BT1097" s="251" t="n"/>
      <c r="BU1097" s="123" t="inlineStr">
        <is>
          <t>SE ELIMINO (29-09-2023) X CMDIC</t>
        </is>
      </c>
      <c r="BV1097" s="254" t="n"/>
      <c r="BW1097" s="254" t="n"/>
      <c r="BX1097" s="254" t="n"/>
      <c r="BY1097" s="254" t="n"/>
      <c r="BZ1097" s="254" t="n"/>
      <c r="CA1097" s="254" t="n"/>
      <c r="CB1097" s="254" t="n"/>
      <c r="CC1097" s="254" t="n"/>
      <c r="CD1097" s="254" t="n"/>
      <c r="CE1097" s="254" t="n"/>
      <c r="CF1097" s="254" t="n"/>
      <c r="CG1097" s="254" t="n"/>
      <c r="CH1097" s="254" t="n"/>
      <c r="CI1097" s="254" t="n"/>
      <c r="CJ1097" s="254" t="n"/>
      <c r="CK1097" s="254" t="n"/>
      <c r="CL1097" s="254" t="n"/>
      <c r="CM1097" s="254" t="n"/>
      <c r="CN1097" s="254" t="n"/>
      <c r="CO1097" s="254" t="n"/>
      <c r="CP1097" s="254" t="n"/>
      <c r="CQ1097" s="254" t="n"/>
      <c r="CR1097" s="254" t="n"/>
      <c r="CS1097" s="254" t="n"/>
      <c r="CT1097" s="254" t="n"/>
      <c r="CU1097" s="254" t="n"/>
      <c r="CV1097" s="254" t="n"/>
      <c r="CW1097" s="254" t="n"/>
      <c r="CX1097" s="254" t="n"/>
      <c r="CY1097" s="254" t="n"/>
      <c r="CZ1097" s="124">
        <f>+COUNT(BV1097:CY1097)</f>
        <v/>
      </c>
      <c r="DA1097" s="124" t="n"/>
      <c r="DB1097" s="124" t="n"/>
      <c r="DC1097" s="124" t="n"/>
      <c r="DD1097" s="124" t="n"/>
      <c r="DE1097" s="124" t="n"/>
      <c r="DF1097" s="124" t="n"/>
      <c r="DG1097" s="124" t="n"/>
      <c r="DH1097" s="124" t="n"/>
      <c r="DI1097" s="124" t="n"/>
      <c r="DJ1097" s="254" t="inlineStr">
        <is>
          <t>SE ELIMINA</t>
        </is>
      </c>
      <c r="DK1097" s="254" t="n">
        <v>22</v>
      </c>
      <c r="DL1097" s="95" t="n">
        <v>28</v>
      </c>
      <c r="DM1097" s="254" t="inlineStr">
        <is>
          <t>N/A</t>
        </is>
      </c>
      <c r="DN1097" s="95" t="n"/>
      <c r="DO1097" s="95" t="n"/>
    </row>
    <row r="1098" ht="14.25" customHeight="1">
      <c r="A1098" s="147" t="inlineStr">
        <is>
          <t>CMW-09</t>
        </is>
      </c>
      <c r="B1098" s="151" t="n"/>
      <c r="C1098" s="29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4" t="inlineStr">
        <is>
          <t>ASUB</t>
        </is>
      </c>
      <c r="BN1098" s="266" t="inlineStr">
        <is>
          <t xml:space="preserve">Coposa Centro </t>
        </is>
      </c>
      <c r="BO1098" s="254" t="inlineStr">
        <is>
          <t>SI</t>
        </is>
      </c>
      <c r="BP1098" s="251" t="n"/>
      <c r="BQ1098" s="251" t="n"/>
      <c r="BR1098" s="251" t="n"/>
      <c r="BS1098" s="251" t="n"/>
      <c r="BT1098" s="251" t="n"/>
      <c r="BU1098" s="123" t="inlineStr">
        <is>
          <t>SE ELIMINO (29-09-2023) X CMDIC</t>
        </is>
      </c>
      <c r="BV1098" s="254" t="n"/>
      <c r="BW1098" s="254" t="n"/>
      <c r="BX1098" s="254" t="n"/>
      <c r="BY1098" s="254" t="n"/>
      <c r="BZ1098" s="254" t="n"/>
      <c r="CA1098" s="254" t="n"/>
      <c r="CB1098" s="254" t="n"/>
      <c r="CC1098" s="254" t="n"/>
      <c r="CD1098" s="254" t="n"/>
      <c r="CE1098" s="254" t="n"/>
      <c r="CF1098" s="254" t="n"/>
      <c r="CG1098" s="254" t="n"/>
      <c r="CH1098" s="254" t="n"/>
      <c r="CI1098" s="254" t="n"/>
      <c r="CJ1098" s="254" t="n"/>
      <c r="CK1098" s="254" t="n"/>
      <c r="CL1098" s="254" t="n"/>
      <c r="CM1098" s="254" t="n"/>
      <c r="CN1098" s="254" t="n"/>
      <c r="CO1098" s="254" t="n"/>
      <c r="CP1098" s="254" t="n"/>
      <c r="CQ1098" s="254" t="inlineStr">
        <is>
          <t>|</t>
        </is>
      </c>
      <c r="CR1098" s="254" t="n"/>
      <c r="CS1098" s="254" t="n"/>
      <c r="CT1098" s="254" t="n"/>
      <c r="CU1098" s="254" t="n"/>
      <c r="CV1098" s="254" t="n"/>
      <c r="CW1098" s="254" t="n"/>
      <c r="CX1098" s="254" t="n"/>
      <c r="CY1098" s="254" t="n"/>
      <c r="CZ1098" s="124">
        <f>+COUNT(BV1098:CY1098)</f>
        <v/>
      </c>
      <c r="DA1098" s="124" t="n"/>
      <c r="DB1098" s="124" t="n"/>
      <c r="DC1098" s="124" t="n"/>
      <c r="DD1098" s="124" t="n"/>
      <c r="DE1098" s="124" t="n"/>
      <c r="DF1098" s="124" t="n"/>
      <c r="DG1098" s="124" t="n"/>
      <c r="DH1098" s="124" t="n"/>
      <c r="DI1098" s="124" t="n"/>
      <c r="DJ1098" s="254" t="inlineStr">
        <is>
          <t>SE ELIMINA</t>
        </is>
      </c>
      <c r="DK1098" s="254" t="n">
        <v>8</v>
      </c>
      <c r="DL1098" s="95" t="n">
        <v>14</v>
      </c>
      <c r="DM1098" s="254" t="inlineStr">
        <is>
          <t>N/A</t>
        </is>
      </c>
      <c r="DN1098" s="95" t="n"/>
      <c r="DO1098" s="95" t="n"/>
    </row>
    <row r="1099" ht="14.25" customHeight="1">
      <c r="A1099" s="147" t="inlineStr">
        <is>
          <t>CMW-10</t>
        </is>
      </c>
      <c r="B1099" s="151" t="n"/>
      <c r="C1099" s="29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4" t="inlineStr">
        <is>
          <t>ASUB</t>
        </is>
      </c>
      <c r="BN1099" s="266" t="inlineStr">
        <is>
          <t xml:space="preserve">Coposa Centro </t>
        </is>
      </c>
      <c r="BO1099" s="254" t="inlineStr">
        <is>
          <t>SI</t>
        </is>
      </c>
      <c r="BP1099" s="251" t="n"/>
      <c r="BQ1099" s="251" t="n"/>
      <c r="BR1099" s="251" t="n"/>
      <c r="BS1099" s="251" t="n"/>
      <c r="BT1099" s="251" t="n"/>
      <c r="BU1099" s="123" t="inlineStr">
        <is>
          <t>SE ELIMINO (29-09-2023) X CMDIC</t>
        </is>
      </c>
      <c r="BV1099" s="254" t="n"/>
      <c r="BW1099" s="254" t="n"/>
      <c r="BX1099" s="254" t="n"/>
      <c r="BY1099" s="254" t="n"/>
      <c r="BZ1099" s="254" t="n"/>
      <c r="CA1099" s="254" t="n"/>
      <c r="CB1099" s="254" t="n"/>
      <c r="CC1099" s="254" t="n"/>
      <c r="CD1099" s="254" t="n"/>
      <c r="CE1099" s="254" t="n"/>
      <c r="CF1099" s="254" t="n"/>
      <c r="CG1099" s="254" t="n"/>
      <c r="CH1099" s="254" t="n"/>
      <c r="CI1099" s="254" t="n"/>
      <c r="CJ1099" s="254" t="n"/>
      <c r="CK1099" s="254" t="n"/>
      <c r="CL1099" s="254" t="n"/>
      <c r="CM1099" s="254" t="n"/>
      <c r="CN1099" s="254" t="n"/>
      <c r="CO1099" s="254" t="n"/>
      <c r="CP1099" s="254" t="n"/>
      <c r="CQ1099" s="254" t="n"/>
      <c r="CR1099" s="254" t="n"/>
      <c r="CS1099" s="254" t="n"/>
      <c r="CT1099" s="254" t="n"/>
      <c r="CU1099" s="254" t="n"/>
      <c r="CV1099" s="254" t="n"/>
      <c r="CW1099" s="254" t="n"/>
      <c r="CX1099" s="254" t="n"/>
      <c r="CY1099" s="254" t="n"/>
      <c r="CZ1099" s="124">
        <f>+COUNT(BV1099:CY1099)</f>
        <v/>
      </c>
      <c r="DA1099" s="124" t="n"/>
      <c r="DB1099" s="124" t="n"/>
      <c r="DC1099" s="124" t="n"/>
      <c r="DD1099" s="124" t="n"/>
      <c r="DE1099" s="124" t="n"/>
      <c r="DF1099" s="124" t="n"/>
      <c r="DG1099" s="124" t="n"/>
      <c r="DH1099" s="124" t="n"/>
      <c r="DI1099" s="124" t="n"/>
      <c r="DJ1099" s="254" t="inlineStr">
        <is>
          <t>SE ELIMINA</t>
        </is>
      </c>
      <c r="DK1099" s="254" t="n">
        <v>22</v>
      </c>
      <c r="DL1099" s="95" t="n">
        <v>28</v>
      </c>
      <c r="DM1099" s="254" t="inlineStr">
        <is>
          <t>N/A</t>
        </is>
      </c>
      <c r="DN1099" s="95" t="n"/>
      <c r="DO1099" s="95" t="n"/>
    </row>
    <row r="1100" ht="14.25" customHeight="1">
      <c r="A1100" s="147" t="inlineStr">
        <is>
          <t>CMW-14</t>
        </is>
      </c>
      <c r="B1100" s="151" t="n"/>
      <c r="C1100" s="29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4" t="inlineStr">
        <is>
          <t>ASUB</t>
        </is>
      </c>
      <c r="BN1100" s="266" t="inlineStr">
        <is>
          <t xml:space="preserve">Coposa Centro </t>
        </is>
      </c>
      <c r="BO1100" s="254" t="inlineStr">
        <is>
          <t>SI</t>
        </is>
      </c>
      <c r="BP1100" s="251" t="n"/>
      <c r="BQ1100" s="251" t="n"/>
      <c r="BR1100" s="251" t="n"/>
      <c r="BS1100" s="251" t="n"/>
      <c r="BT1100" s="251" t="n"/>
      <c r="BU1100" s="123" t="inlineStr">
        <is>
          <t>SE ELIMINO (29-09-2023) X CMDIC</t>
        </is>
      </c>
      <c r="BV1100" s="254" t="n"/>
      <c r="BW1100" s="254" t="n"/>
      <c r="BX1100" s="254" t="n"/>
      <c r="BY1100" s="254" t="n"/>
      <c r="BZ1100" s="254" t="n"/>
      <c r="CA1100" s="254" t="n"/>
      <c r="CB1100" s="254" t="n"/>
      <c r="CC1100" s="254" t="n"/>
      <c r="CD1100" s="254" t="n"/>
      <c r="CE1100" s="254" t="n"/>
      <c r="CF1100" s="254" t="n"/>
      <c r="CG1100" s="254" t="n"/>
      <c r="CH1100" s="254" t="n"/>
      <c r="CI1100" s="254" t="n"/>
      <c r="CJ1100" s="254" t="n"/>
      <c r="CK1100" s="254" t="n"/>
      <c r="CL1100" s="254" t="n"/>
      <c r="CM1100" s="254" t="n"/>
      <c r="CN1100" s="254" t="n"/>
      <c r="CO1100" s="254" t="n"/>
      <c r="CP1100" s="254" t="n"/>
      <c r="CQ1100" s="254" t="n"/>
      <c r="CR1100" s="254" t="n"/>
      <c r="CS1100" s="254" t="n"/>
      <c r="CT1100" s="254" t="n"/>
      <c r="CU1100" s="254" t="n"/>
      <c r="CV1100" s="254" t="n"/>
      <c r="CW1100" s="254" t="n"/>
      <c r="CX1100" s="254" t="n"/>
      <c r="CY1100" s="254" t="n"/>
      <c r="CZ1100" s="124">
        <f>+COUNT(BV1100:CY1100)</f>
        <v/>
      </c>
      <c r="DA1100" s="124" t="n"/>
      <c r="DB1100" s="124" t="n"/>
      <c r="DC1100" s="124" t="n"/>
      <c r="DD1100" s="124" t="n"/>
      <c r="DE1100" s="124" t="n"/>
      <c r="DF1100" s="124" t="n"/>
      <c r="DG1100" s="124" t="n"/>
      <c r="DH1100" s="124" t="n"/>
      <c r="DI1100" s="124" t="n"/>
      <c r="DJ1100" s="254" t="inlineStr">
        <is>
          <t>SE ELIMINA</t>
        </is>
      </c>
      <c r="DK1100" s="254" t="n">
        <v>22</v>
      </c>
      <c r="DL1100" s="95" t="n">
        <v>28</v>
      </c>
      <c r="DM1100" s="254" t="inlineStr">
        <is>
          <t>N/A</t>
        </is>
      </c>
      <c r="DN1100" s="95" t="n"/>
      <c r="DO1100" s="95" t="n"/>
    </row>
    <row r="1101" ht="14.25" customHeight="1">
      <c r="A1101" s="147" t="inlineStr">
        <is>
          <t>CMW-16</t>
        </is>
      </c>
      <c r="B1101" s="151" t="n"/>
      <c r="C1101" s="29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4" t="inlineStr">
        <is>
          <t>ASUB</t>
        </is>
      </c>
      <c r="BN1101" s="266" t="inlineStr">
        <is>
          <t xml:space="preserve">Coposa Centro </t>
        </is>
      </c>
      <c r="BO1101" s="254" t="inlineStr">
        <is>
          <t>SI</t>
        </is>
      </c>
      <c r="BP1101" s="251" t="n"/>
      <c r="BQ1101" s="251" t="n"/>
      <c r="BR1101" s="251" t="n"/>
      <c r="BS1101" s="251" t="n"/>
      <c r="BT1101" s="251" t="n"/>
      <c r="BU1101" s="123" t="inlineStr">
        <is>
          <t>SE ELIMINO (29-09-2023) X CMDIC</t>
        </is>
      </c>
      <c r="BV1101" s="254" t="n"/>
      <c r="BW1101" s="254" t="n"/>
      <c r="BX1101" s="254" t="n"/>
      <c r="BY1101" s="254" t="n"/>
      <c r="BZ1101" s="254" t="n"/>
      <c r="CA1101" s="254" t="n"/>
      <c r="CB1101" s="254" t="n"/>
      <c r="CC1101" s="254" t="n"/>
      <c r="CD1101" s="254" t="n"/>
      <c r="CE1101" s="254" t="n"/>
      <c r="CF1101" s="254" t="n"/>
      <c r="CG1101" s="254" t="n"/>
      <c r="CH1101" s="254" t="n"/>
      <c r="CI1101" s="254" t="n"/>
      <c r="CJ1101" s="254" t="n"/>
      <c r="CK1101" s="254" t="n"/>
      <c r="CL1101" s="254" t="n"/>
      <c r="CM1101" s="254" t="n"/>
      <c r="CN1101" s="254" t="n"/>
      <c r="CO1101" s="254" t="n"/>
      <c r="CP1101" s="254" t="n"/>
      <c r="CQ1101" s="254" t="n"/>
      <c r="CR1101" s="254" t="n"/>
      <c r="CS1101" s="254" t="n"/>
      <c r="CT1101" s="254" t="n"/>
      <c r="CU1101" s="254" t="n"/>
      <c r="CV1101" s="254" t="n"/>
      <c r="CW1101" s="254" t="n"/>
      <c r="CX1101" s="254" t="n"/>
      <c r="CY1101" s="254" t="n"/>
      <c r="CZ1101" s="124">
        <f>+COUNT(BV1101:CY1101)</f>
        <v/>
      </c>
      <c r="DA1101" s="124" t="n"/>
      <c r="DB1101" s="124" t="n"/>
      <c r="DC1101" s="124" t="n"/>
      <c r="DD1101" s="124" t="n"/>
      <c r="DE1101" s="124" t="n"/>
      <c r="DF1101" s="124" t="n"/>
      <c r="DG1101" s="124" t="n"/>
      <c r="DH1101" s="124" t="n"/>
      <c r="DI1101" s="124" t="n"/>
      <c r="DJ1101" s="254" t="inlineStr">
        <is>
          <t>SE ELIMINA</t>
        </is>
      </c>
      <c r="DK1101" s="254" t="n">
        <v>22</v>
      </c>
      <c r="DL1101" s="95" t="n">
        <v>28</v>
      </c>
      <c r="DM1101" s="254" t="inlineStr">
        <is>
          <t>N/A</t>
        </is>
      </c>
      <c r="DN1101" s="95" t="n"/>
      <c r="DO1101" s="95" t="n"/>
    </row>
    <row r="1102" ht="14.25" customHeight="1">
      <c r="A1102" s="147" t="inlineStr">
        <is>
          <t>CMW-17B</t>
        </is>
      </c>
      <c r="B1102" s="151" t="n"/>
      <c r="C1102" s="29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4" t="inlineStr">
        <is>
          <t>ASUB</t>
        </is>
      </c>
      <c r="BN1102" s="266" t="inlineStr">
        <is>
          <t xml:space="preserve">Coposa Centro </t>
        </is>
      </c>
      <c r="BO1102" s="254" t="inlineStr">
        <is>
          <t>SI</t>
        </is>
      </c>
      <c r="BP1102" s="251" t="n"/>
      <c r="BQ1102" s="251" t="n"/>
      <c r="BR1102" s="251" t="n"/>
      <c r="BS1102" s="251" t="n"/>
      <c r="BT1102" s="251" t="n"/>
      <c r="BU1102" s="123" t="inlineStr">
        <is>
          <t>SE ELIMINO (29-09-2023) X CMDIC</t>
        </is>
      </c>
      <c r="BV1102" s="254" t="n"/>
      <c r="BW1102" s="254" t="n"/>
      <c r="BX1102" s="254" t="n"/>
      <c r="BY1102" s="254" t="n"/>
      <c r="BZ1102" s="254" t="n"/>
      <c r="CA1102" s="254" t="n"/>
      <c r="CB1102" s="254" t="n"/>
      <c r="CC1102" s="254" t="n"/>
      <c r="CD1102" s="254" t="n"/>
      <c r="CE1102" s="254" t="n"/>
      <c r="CF1102" s="254" t="n"/>
      <c r="CG1102" s="254" t="n"/>
      <c r="CH1102" s="254" t="n"/>
      <c r="CI1102" s="254" t="n"/>
      <c r="CJ1102" s="254" t="n"/>
      <c r="CK1102" s="254" t="n"/>
      <c r="CL1102" s="254" t="n"/>
      <c r="CM1102" s="254" t="n"/>
      <c r="CN1102" s="254" t="n"/>
      <c r="CO1102" s="254" t="n"/>
      <c r="CP1102" s="254" t="n"/>
      <c r="CQ1102" s="254" t="n"/>
      <c r="CR1102" s="254" t="n"/>
      <c r="CS1102" s="254" t="n"/>
      <c r="CT1102" s="254" t="n"/>
      <c r="CU1102" s="254" t="n"/>
      <c r="CV1102" s="254" t="n"/>
      <c r="CW1102" s="254" t="n"/>
      <c r="CX1102" s="254" t="n"/>
      <c r="CY1102" s="254" t="n"/>
      <c r="CZ1102" s="124">
        <f>+COUNT(BV1102:CY1102)</f>
        <v/>
      </c>
      <c r="DA1102" s="124" t="n"/>
      <c r="DB1102" s="124" t="n"/>
      <c r="DC1102" s="124" t="n"/>
      <c r="DD1102" s="124" t="n"/>
      <c r="DE1102" s="124" t="n"/>
      <c r="DF1102" s="124" t="n"/>
      <c r="DG1102" s="124" t="n"/>
      <c r="DH1102" s="124" t="n"/>
      <c r="DI1102" s="124" t="n"/>
      <c r="DJ1102" s="254" t="inlineStr">
        <is>
          <t>SE ELIMINA</t>
        </is>
      </c>
      <c r="DK1102" s="254" t="n">
        <v>22</v>
      </c>
      <c r="DL1102" s="95" t="n">
        <v>28</v>
      </c>
      <c r="DM1102" s="254" t="inlineStr">
        <is>
          <t>N/A</t>
        </is>
      </c>
      <c r="DN1102" s="95" t="n"/>
      <c r="DO1102" s="95" t="n"/>
    </row>
    <row r="1103" ht="14.25" customHeight="1">
      <c r="A1103" s="147" t="inlineStr">
        <is>
          <t>CMW-19</t>
        </is>
      </c>
      <c r="B1103" s="151" t="n"/>
      <c r="C1103" s="29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4" t="inlineStr">
        <is>
          <t>ASUB</t>
        </is>
      </c>
      <c r="BN1103" s="266" t="inlineStr">
        <is>
          <t xml:space="preserve">Coposa Centro </t>
        </is>
      </c>
      <c r="BO1103" s="254" t="inlineStr">
        <is>
          <t>SI</t>
        </is>
      </c>
      <c r="BP1103" s="251" t="n"/>
      <c r="BQ1103" s="251" t="n"/>
      <c r="BR1103" s="251" t="n"/>
      <c r="BS1103" s="251" t="n"/>
      <c r="BT1103" s="251" t="n"/>
      <c r="BU1103" s="123" t="inlineStr">
        <is>
          <t>SE ELIMINO (29-09-2023) X CMDIC</t>
        </is>
      </c>
      <c r="BV1103" s="254" t="n"/>
      <c r="BW1103" s="254" t="n"/>
      <c r="BX1103" s="254" t="n"/>
      <c r="BY1103" s="254" t="n"/>
      <c r="BZ1103" s="254" t="n"/>
      <c r="CA1103" s="254" t="n"/>
      <c r="CB1103" s="254" t="n"/>
      <c r="CC1103" s="254" t="n"/>
      <c r="CD1103" s="254" t="n"/>
      <c r="CE1103" s="254" t="n"/>
      <c r="CF1103" s="254" t="n"/>
      <c r="CG1103" s="254" t="n"/>
      <c r="CH1103" s="254" t="n"/>
      <c r="CI1103" s="254" t="n"/>
      <c r="CJ1103" s="254" t="n"/>
      <c r="CK1103" s="254" t="n"/>
      <c r="CL1103" s="254" t="n"/>
      <c r="CM1103" s="254" t="n"/>
      <c r="CN1103" s="254" t="n"/>
      <c r="CO1103" s="254" t="n"/>
      <c r="CP1103" s="254" t="n"/>
      <c r="CQ1103" s="254" t="n"/>
      <c r="CR1103" s="254" t="n"/>
      <c r="CS1103" s="254" t="n"/>
      <c r="CT1103" s="254" t="n"/>
      <c r="CU1103" s="254" t="n"/>
      <c r="CV1103" s="254" t="n"/>
      <c r="CW1103" s="254" t="n"/>
      <c r="CX1103" s="254" t="n"/>
      <c r="CY1103" s="254" t="n"/>
      <c r="CZ1103" s="124">
        <f>+COUNT(BV1103:CY1103)</f>
        <v/>
      </c>
      <c r="DA1103" s="124" t="n"/>
      <c r="DB1103" s="124" t="n"/>
      <c r="DC1103" s="124" t="n"/>
      <c r="DD1103" s="124" t="n"/>
      <c r="DE1103" s="124" t="n"/>
      <c r="DF1103" s="124" t="n"/>
      <c r="DG1103" s="124" t="n"/>
      <c r="DH1103" s="124" t="n"/>
      <c r="DI1103" s="124" t="n"/>
      <c r="DJ1103" s="254" t="inlineStr">
        <is>
          <t>SE ELIMINA</t>
        </is>
      </c>
      <c r="DK1103" s="254" t="n">
        <v>22</v>
      </c>
      <c r="DL1103" s="95" t="n">
        <v>28</v>
      </c>
      <c r="DM1103" s="254" t="inlineStr">
        <is>
          <t>N/A</t>
        </is>
      </c>
      <c r="DN1103" s="95" t="n"/>
      <c r="DO1103" s="95" t="n"/>
    </row>
    <row r="1104" ht="14.25" customHeight="1">
      <c r="A1104" s="147" t="inlineStr">
        <is>
          <t>CMW-24</t>
        </is>
      </c>
      <c r="B1104" s="151" t="n"/>
      <c r="C1104" s="29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4" t="inlineStr">
        <is>
          <t>ASUB</t>
        </is>
      </c>
      <c r="BN1104" s="266" t="inlineStr">
        <is>
          <t xml:space="preserve">Coposa Centro </t>
        </is>
      </c>
      <c r="BO1104" s="254" t="inlineStr">
        <is>
          <t>SI</t>
        </is>
      </c>
      <c r="BP1104" s="251" t="n"/>
      <c r="BQ1104" s="251" t="n"/>
      <c r="BR1104" s="251" t="n"/>
      <c r="BS1104" s="251" t="n"/>
      <c r="BT1104" s="251" t="n"/>
      <c r="BU1104" s="123" t="inlineStr">
        <is>
          <t>SE ELIMINO (29-09-2023) X CMDIC</t>
        </is>
      </c>
      <c r="BV1104" s="254" t="n"/>
      <c r="BW1104" s="254" t="n"/>
      <c r="BX1104" s="254" t="n"/>
      <c r="BY1104" s="254" t="n"/>
      <c r="BZ1104" s="254" t="n"/>
      <c r="CA1104" s="254" t="n"/>
      <c r="CB1104" s="254" t="n"/>
      <c r="CC1104" s="254" t="n"/>
      <c r="CD1104" s="254" t="n"/>
      <c r="CE1104" s="254" t="n"/>
      <c r="CF1104" s="254" t="n"/>
      <c r="CG1104" s="254" t="n"/>
      <c r="CH1104" s="254" t="n"/>
      <c r="CI1104" s="254" t="n"/>
      <c r="CJ1104" s="254" t="n"/>
      <c r="CK1104" s="254" t="n"/>
      <c r="CL1104" s="254" t="n"/>
      <c r="CM1104" s="254" t="n"/>
      <c r="CN1104" s="254" t="n"/>
      <c r="CO1104" s="254" t="n"/>
      <c r="CP1104" s="254" t="n"/>
      <c r="CQ1104" s="254" t="n"/>
      <c r="CR1104" s="254" t="n"/>
      <c r="CS1104" s="254" t="n"/>
      <c r="CT1104" s="254" t="n"/>
      <c r="CU1104" s="254" t="n"/>
      <c r="CV1104" s="254" t="n"/>
      <c r="CW1104" s="254" t="n"/>
      <c r="CX1104" s="254" t="n"/>
      <c r="CY1104" s="254" t="n"/>
      <c r="CZ1104" s="124">
        <f>+COUNT(BV1104:CY1104)</f>
        <v/>
      </c>
      <c r="DA1104" s="124" t="n"/>
      <c r="DB1104" s="124" t="n"/>
      <c r="DC1104" s="124" t="n"/>
      <c r="DD1104" s="124" t="n"/>
      <c r="DE1104" s="124" t="n"/>
      <c r="DF1104" s="124" t="n"/>
      <c r="DG1104" s="124" t="n"/>
      <c r="DH1104" s="124" t="n"/>
      <c r="DI1104" s="124" t="n"/>
      <c r="DJ1104" s="254" t="inlineStr">
        <is>
          <t>SE ELIMINA</t>
        </is>
      </c>
      <c r="DK1104" s="254" t="n">
        <v>22</v>
      </c>
      <c r="DL1104" s="95" t="n">
        <v>28</v>
      </c>
      <c r="DM1104" s="254" t="inlineStr">
        <is>
          <t>N/A</t>
        </is>
      </c>
      <c r="DN1104" s="95" t="n"/>
      <c r="DO1104" s="95" t="n"/>
    </row>
    <row r="1105" ht="14.25" customHeight="1">
      <c r="A1105" s="147" t="inlineStr">
        <is>
          <t>CMW-26</t>
        </is>
      </c>
      <c r="B1105" s="151" t="n"/>
      <c r="C1105" s="29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266" t="inlineStr">
        <is>
          <t xml:space="preserve">Coposa Centro </t>
        </is>
      </c>
      <c r="BO1105" s="254" t="inlineStr">
        <is>
          <t>SI</t>
        </is>
      </c>
      <c r="BP1105" s="251" t="n"/>
      <c r="BQ1105" s="251" t="n"/>
      <c r="BR1105" s="251" t="n"/>
      <c r="BS1105" s="251" t="n"/>
      <c r="BT1105" s="251" t="n"/>
      <c r="BU1105" s="123" t="inlineStr">
        <is>
          <t>SE ELIMINO (29-09-2023) X CMDIC</t>
        </is>
      </c>
      <c r="BV1105" s="254" t="n"/>
      <c r="BW1105" s="254" t="n"/>
      <c r="BX1105" s="254" t="n"/>
      <c r="BY1105" s="254" t="n"/>
      <c r="BZ1105" s="254" t="n"/>
      <c r="CA1105" s="254" t="n"/>
      <c r="CB1105" s="254" t="n"/>
      <c r="CC1105" s="254" t="n"/>
      <c r="CD1105" s="254" t="n"/>
      <c r="CE1105" s="254" t="n"/>
      <c r="CF1105" s="254" t="n"/>
      <c r="CG1105" s="254" t="n"/>
      <c r="CH1105" s="254" t="n"/>
      <c r="CI1105" s="254" t="n"/>
      <c r="CJ1105" s="254" t="n"/>
      <c r="CK1105" s="254" t="n"/>
      <c r="CL1105" s="254" t="n"/>
      <c r="CM1105" s="254" t="n"/>
      <c r="CN1105" s="254" t="n"/>
      <c r="CO1105" s="254" t="n"/>
      <c r="CP1105" s="254" t="n"/>
      <c r="CQ1105" s="254" t="n"/>
      <c r="CR1105" s="254" t="n"/>
      <c r="CS1105" s="254" t="n"/>
      <c r="CT1105" s="254" t="n"/>
      <c r="CU1105" s="254" t="n"/>
      <c r="CV1105" s="254" t="n"/>
      <c r="CW1105" s="254" t="n"/>
      <c r="CX1105" s="254" t="n"/>
      <c r="CY1105" s="254" t="n"/>
      <c r="CZ1105" s="124">
        <f>+COUNT(BV1105:CY1105)</f>
        <v/>
      </c>
      <c r="DA1105" s="124" t="n"/>
      <c r="DB1105" s="124" t="n"/>
      <c r="DC1105" s="124" t="n"/>
      <c r="DD1105" s="124" t="n"/>
      <c r="DE1105" s="124" t="n"/>
      <c r="DF1105" s="124" t="n"/>
      <c r="DG1105" s="124" t="n"/>
      <c r="DH1105" s="124" t="n"/>
      <c r="DI1105" s="124" t="n"/>
      <c r="DJ1105" s="254" t="inlineStr">
        <is>
          <t>SE ELIMINA</t>
        </is>
      </c>
      <c r="DK1105" s="254" t="n">
        <v>22</v>
      </c>
      <c r="DL1105" s="95" t="n">
        <v>28</v>
      </c>
      <c r="DM1105" s="254" t="inlineStr">
        <is>
          <t>N/A</t>
        </is>
      </c>
      <c r="DN1105" s="95" t="n"/>
      <c r="DO1105" s="95" t="n"/>
    </row>
    <row r="1106" ht="14.25" customHeight="1">
      <c r="A1106" s="147" t="inlineStr">
        <is>
          <t>CMW-28B</t>
        </is>
      </c>
      <c r="B1106" s="151" t="n"/>
      <c r="C1106" s="29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4" t="inlineStr">
        <is>
          <t>ASUB</t>
        </is>
      </c>
      <c r="BN1106" s="266" t="inlineStr">
        <is>
          <t xml:space="preserve">Coposa Centro </t>
        </is>
      </c>
      <c r="BO1106" s="254" t="inlineStr">
        <is>
          <t>SI</t>
        </is>
      </c>
      <c r="BP1106" s="251" t="n"/>
      <c r="BQ1106" s="251" t="n"/>
      <c r="BR1106" s="251" t="n"/>
      <c r="BS1106" s="251" t="n"/>
      <c r="BT1106" s="251" t="n"/>
      <c r="BU1106" s="123" t="inlineStr">
        <is>
          <t>SE ELIMINO (29-09-2023) X CMDIC</t>
        </is>
      </c>
      <c r="BV1106" s="254" t="n"/>
      <c r="BW1106" s="254" t="n"/>
      <c r="BX1106" s="254" t="n"/>
      <c r="BY1106" s="254" t="n"/>
      <c r="BZ1106" s="254" t="n"/>
      <c r="CA1106" s="254" t="n"/>
      <c r="CB1106" s="254" t="n"/>
      <c r="CC1106" s="254" t="n"/>
      <c r="CD1106" s="254" t="n"/>
      <c r="CE1106" s="254" t="n"/>
      <c r="CF1106" s="254" t="n"/>
      <c r="CG1106" s="254" t="n"/>
      <c r="CH1106" s="254" t="n"/>
      <c r="CI1106" s="254" t="n"/>
      <c r="CJ1106" s="254" t="n"/>
      <c r="CK1106" s="254" t="n"/>
      <c r="CL1106" s="254" t="n"/>
      <c r="CM1106" s="254" t="n"/>
      <c r="CN1106" s="254" t="n"/>
      <c r="CO1106" s="254" t="n"/>
      <c r="CP1106" s="254" t="n"/>
      <c r="CQ1106" s="254" t="n"/>
      <c r="CR1106" s="254" t="n"/>
      <c r="CS1106" s="254" t="n"/>
      <c r="CT1106" s="254" t="n"/>
      <c r="CU1106" s="254" t="n"/>
      <c r="CV1106" s="254" t="n"/>
      <c r="CW1106" s="254" t="n"/>
      <c r="CX1106" s="254" t="n"/>
      <c r="CY1106" s="254" t="n"/>
      <c r="CZ1106" s="124">
        <f>+COUNT(BV1106:CY1106)</f>
        <v/>
      </c>
      <c r="DA1106" s="124" t="n"/>
      <c r="DB1106" s="124" t="n"/>
      <c r="DC1106" s="124" t="n"/>
      <c r="DD1106" s="124" t="n"/>
      <c r="DE1106" s="124" t="n"/>
      <c r="DF1106" s="124" t="n"/>
      <c r="DG1106" s="124" t="n"/>
      <c r="DH1106" s="124" t="n"/>
      <c r="DI1106" s="124" t="n"/>
      <c r="DJ1106" s="254" t="inlineStr">
        <is>
          <t>SE ELIMINA</t>
        </is>
      </c>
      <c r="DK1106" s="254" t="n">
        <v>22</v>
      </c>
      <c r="DL1106" s="95" t="n">
        <v>28</v>
      </c>
      <c r="DM1106" s="254" t="inlineStr">
        <is>
          <t>N/A</t>
        </is>
      </c>
      <c r="DN1106" s="95" t="n"/>
      <c r="DO1106" s="95" t="n"/>
    </row>
    <row r="1107" ht="14.25" customHeight="1">
      <c r="A1107" s="147" t="inlineStr">
        <is>
          <t>CMW-31</t>
        </is>
      </c>
      <c r="B1107" s="151" t="n"/>
      <c r="C1107" s="29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4" t="inlineStr">
        <is>
          <t>ASUB</t>
        </is>
      </c>
      <c r="BN1107" s="266" t="inlineStr">
        <is>
          <t xml:space="preserve">Coposa Centro </t>
        </is>
      </c>
      <c r="BO1107" s="254" t="inlineStr">
        <is>
          <t>SI</t>
        </is>
      </c>
      <c r="BP1107" s="251" t="n"/>
      <c r="BQ1107" s="251" t="n"/>
      <c r="BR1107" s="251" t="n"/>
      <c r="BS1107" s="251" t="n"/>
      <c r="BT1107" s="251" t="n"/>
      <c r="BU1107" s="123" t="inlineStr">
        <is>
          <t>SE ELIMINO (29-09-2023) X CMDIC</t>
        </is>
      </c>
      <c r="BV1107" s="254" t="n"/>
      <c r="BW1107" s="254" t="n"/>
      <c r="BX1107" s="254" t="n"/>
      <c r="BY1107" s="254" t="n"/>
      <c r="BZ1107" s="254" t="n"/>
      <c r="CA1107" s="254" t="n"/>
      <c r="CB1107" s="254" t="n"/>
      <c r="CC1107" s="254" t="n"/>
      <c r="CD1107" s="254" t="n"/>
      <c r="CE1107" s="254" t="n"/>
      <c r="CF1107" s="254" t="n"/>
      <c r="CG1107" s="254" t="n"/>
      <c r="CH1107" s="254" t="n"/>
      <c r="CI1107" s="254" t="n"/>
      <c r="CJ1107" s="254" t="n"/>
      <c r="CK1107" s="254" t="n"/>
      <c r="CL1107" s="254" t="n"/>
      <c r="CM1107" s="254" t="n"/>
      <c r="CN1107" s="254" t="n"/>
      <c r="CO1107" s="254" t="n"/>
      <c r="CP1107" s="254" t="n"/>
      <c r="CQ1107" s="254" t="n"/>
      <c r="CR1107" s="254" t="n"/>
      <c r="CS1107" s="254" t="n"/>
      <c r="CT1107" s="254" t="n"/>
      <c r="CU1107" s="254" t="n"/>
      <c r="CV1107" s="254" t="n"/>
      <c r="CW1107" s="254" t="n"/>
      <c r="CX1107" s="254" t="n"/>
      <c r="CY1107" s="254" t="n"/>
      <c r="CZ1107" s="124">
        <f>+COUNT(BV1107:CY1107)</f>
        <v/>
      </c>
      <c r="DA1107" s="124" t="n"/>
      <c r="DB1107" s="124" t="n"/>
      <c r="DC1107" s="124" t="n"/>
      <c r="DD1107" s="124" t="n"/>
      <c r="DE1107" s="124" t="n"/>
      <c r="DF1107" s="124" t="n"/>
      <c r="DG1107" s="124" t="n"/>
      <c r="DH1107" s="124" t="n"/>
      <c r="DI1107" s="124" t="n"/>
      <c r="DJ1107" s="254" t="inlineStr">
        <is>
          <t>SE ELIMINA</t>
        </is>
      </c>
      <c r="DK1107" s="254" t="n">
        <v>22</v>
      </c>
      <c r="DL1107" s="95" t="n">
        <v>28</v>
      </c>
      <c r="DM1107" s="254" t="inlineStr">
        <is>
          <t>N/A</t>
        </is>
      </c>
      <c r="DN1107" s="95" t="n"/>
      <c r="DO1107" s="95" t="n"/>
    </row>
    <row r="1108" ht="14.25" customHeight="1">
      <c r="A1108" s="147" t="inlineStr">
        <is>
          <t>CMW-34</t>
        </is>
      </c>
      <c r="B1108" s="151" t="n"/>
      <c r="C1108" s="29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4" t="inlineStr">
        <is>
          <t>ASUB</t>
        </is>
      </c>
      <c r="BN1108" s="266" t="inlineStr">
        <is>
          <t xml:space="preserve">Coposa Centro </t>
        </is>
      </c>
      <c r="BO1108" s="254" t="inlineStr">
        <is>
          <t>SI</t>
        </is>
      </c>
      <c r="BP1108" s="251" t="n"/>
      <c r="BQ1108" s="251" t="n"/>
      <c r="BR1108" s="251" t="n"/>
      <c r="BS1108" s="251" t="n"/>
      <c r="BT1108" s="251" t="n"/>
      <c r="BU1108" s="123" t="inlineStr">
        <is>
          <t>SE ELIMINO (29-09-2023) X CMDIC</t>
        </is>
      </c>
      <c r="BV1108" s="254" t="n"/>
      <c r="BW1108" s="254" t="n"/>
      <c r="BX1108" s="254" t="n"/>
      <c r="BY1108" s="254" t="n"/>
      <c r="BZ1108" s="254" t="n"/>
      <c r="CA1108" s="254" t="n"/>
      <c r="CB1108" s="254" t="n"/>
      <c r="CC1108" s="254" t="n"/>
      <c r="CD1108" s="254" t="n"/>
      <c r="CE1108" s="254" t="n"/>
      <c r="CF1108" s="254" t="n"/>
      <c r="CG1108" s="254" t="n"/>
      <c r="CH1108" s="254" t="n"/>
      <c r="CI1108" s="254" t="n"/>
      <c r="CJ1108" s="254" t="n"/>
      <c r="CK1108" s="254" t="n"/>
      <c r="CL1108" s="254" t="n"/>
      <c r="CM1108" s="254" t="n"/>
      <c r="CN1108" s="254" t="n"/>
      <c r="CO1108" s="254" t="n"/>
      <c r="CP1108" s="254" t="n"/>
      <c r="CQ1108" s="254" t="n"/>
      <c r="CR1108" s="254" t="n"/>
      <c r="CS1108" s="254" t="n"/>
      <c r="CT1108" s="254" t="n"/>
      <c r="CU1108" s="254" t="n"/>
      <c r="CV1108" s="254" t="n"/>
      <c r="CW1108" s="254" t="n"/>
      <c r="CX1108" s="254" t="n"/>
      <c r="CY1108" s="254" t="n"/>
      <c r="CZ1108" s="124">
        <f>+COUNT(BV1108:CY1108)</f>
        <v/>
      </c>
      <c r="DA1108" s="124" t="n"/>
      <c r="DB1108" s="124" t="n"/>
      <c r="DC1108" s="124" t="n"/>
      <c r="DD1108" s="124" t="n"/>
      <c r="DE1108" s="124" t="n"/>
      <c r="DF1108" s="124" t="n"/>
      <c r="DG1108" s="124" t="n"/>
      <c r="DH1108" s="124" t="n"/>
      <c r="DI1108" s="124" t="n"/>
      <c r="DJ1108" s="254" t="inlineStr">
        <is>
          <t>SE ELIMINA</t>
        </is>
      </c>
      <c r="DK1108" s="254" t="n">
        <v>22</v>
      </c>
      <c r="DL1108" s="95" t="n">
        <v>28</v>
      </c>
      <c r="DM1108" s="254" t="inlineStr">
        <is>
          <t>N/A</t>
        </is>
      </c>
      <c r="DN1108" s="95" t="n"/>
      <c r="DO1108" s="95" t="n"/>
    </row>
    <row r="1109" ht="14.25" customHeight="1">
      <c r="A1109" s="147" t="inlineStr">
        <is>
          <t>CPMA-02</t>
        </is>
      </c>
      <c r="B1109" s="151" t="n"/>
      <c r="C1109" s="29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4" t="inlineStr">
        <is>
          <t>ASUB</t>
        </is>
      </c>
      <c r="BN1109" s="266" t="inlineStr">
        <is>
          <t>Jachucoposa</t>
        </is>
      </c>
      <c r="BO1109" s="254" t="inlineStr">
        <is>
          <t>SI</t>
        </is>
      </c>
      <c r="BP1109" s="251" t="n"/>
      <c r="BQ1109" s="251" t="n"/>
      <c r="BR1109" s="251" t="n"/>
      <c r="BS1109" s="251" t="n"/>
      <c r="BT1109" s="251" t="n"/>
      <c r="BU1109" s="123" t="inlineStr">
        <is>
          <t>SE ELIMINO (29-09-2023) X CMDIC</t>
        </is>
      </c>
      <c r="BV1109" s="105" t="n"/>
      <c r="BW1109" s="104" t="n"/>
      <c r="BX1109" s="266" t="n"/>
      <c r="BY1109" s="104" t="n"/>
      <c r="BZ1109" s="106" t="n"/>
      <c r="CA1109" s="254"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4" t="n">
        <v>1</v>
      </c>
      <c r="DL1109" s="95" t="n">
        <v>7</v>
      </c>
      <c r="DM1109" s="127" t="inlineStr">
        <is>
          <t>SE ELIMINO</t>
        </is>
      </c>
      <c r="DN1109" s="95" t="n">
        <v>1</v>
      </c>
      <c r="DO1109" s="95" t="n">
        <v>7</v>
      </c>
    </row>
    <row r="1110" ht="14.25" customHeight="1">
      <c r="A1110" s="147" t="inlineStr">
        <is>
          <t>CWE-04</t>
        </is>
      </c>
      <c r="B1110" s="151" t="n"/>
      <c r="C1110" s="29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4" t="inlineStr">
        <is>
          <t>ASUB</t>
        </is>
      </c>
      <c r="BN1110" s="106" t="inlineStr">
        <is>
          <t>Falla Pabellón</t>
        </is>
      </c>
      <c r="BO1110" s="254" t="inlineStr">
        <is>
          <t>NO</t>
        </is>
      </c>
      <c r="BP1110" s="251" t="n"/>
      <c r="BQ1110" s="251" t="n"/>
      <c r="BR1110" s="251" t="n"/>
      <c r="BS1110" s="251" t="n"/>
      <c r="BT1110" s="251"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4" t="inlineStr">
        <is>
          <t>N/A</t>
        </is>
      </c>
      <c r="DK1110" s="254" t="n"/>
      <c r="DL1110" s="95" t="n"/>
      <c r="DM1110" s="254" t="inlineStr">
        <is>
          <t>N/A</t>
        </is>
      </c>
      <c r="DN1110" s="95" t="n"/>
      <c r="DO1110" s="95" t="n"/>
    </row>
    <row r="1111" ht="14.25" customHeight="1">
      <c r="A1111" s="147" t="inlineStr">
        <is>
          <t>CPS-30</t>
        </is>
      </c>
      <c r="B1111" s="151" t="n"/>
      <c r="C1111" s="29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266" t="inlineStr">
        <is>
          <t>Jachucoposa</t>
        </is>
      </c>
      <c r="BO1111" s="254" t="inlineStr">
        <is>
          <t>NO</t>
        </is>
      </c>
      <c r="BP1111" s="251" t="n"/>
      <c r="BQ1111" s="251" t="n"/>
      <c r="BR1111" s="251" t="n"/>
      <c r="BS1111" s="251" t="n"/>
      <c r="BT1111" s="251"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4" t="inlineStr">
        <is>
          <t>N/A</t>
        </is>
      </c>
      <c r="DK1111" s="254" t="n"/>
      <c r="DL1111" s="95" t="n"/>
      <c r="DM1111" s="254" t="inlineStr">
        <is>
          <t>N/A</t>
        </is>
      </c>
      <c r="DN1111" s="95" t="n"/>
      <c r="DO1111" s="95" t="n"/>
    </row>
    <row r="1112" ht="14.25" customHeight="1">
      <c r="A1112" s="147" t="inlineStr">
        <is>
          <t>DDH-R236</t>
        </is>
      </c>
      <c r="B1112" s="151" t="n"/>
      <c r="C1112" s="29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4" t="inlineStr">
        <is>
          <t>ASUB</t>
        </is>
      </c>
      <c r="BN1112" s="266" t="inlineStr">
        <is>
          <t>Jachucoposa</t>
        </is>
      </c>
      <c r="BO1112" s="254" t="inlineStr">
        <is>
          <t>NO</t>
        </is>
      </c>
      <c r="BP1112" s="251" t="n"/>
      <c r="BQ1112" s="251" t="n"/>
      <c r="BR1112" s="251" t="n"/>
      <c r="BS1112" s="251" t="n"/>
      <c r="BT1112" s="251"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4" t="inlineStr">
        <is>
          <t>N/A</t>
        </is>
      </c>
      <c r="DK1112" s="254" t="n"/>
      <c r="DL1112" s="95" t="n"/>
      <c r="DM1112" s="254" t="inlineStr">
        <is>
          <t>N/A</t>
        </is>
      </c>
      <c r="DN1112" s="95" t="n"/>
      <c r="DO1112" s="95" t="n"/>
    </row>
    <row r="1113" ht="14.25" customHeight="1">
      <c r="A1113" s="147" t="inlineStr">
        <is>
          <t>DEB-02</t>
        </is>
      </c>
      <c r="B1113" s="151" t="n"/>
      <c r="C1113" s="29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4" t="inlineStr">
        <is>
          <t>ASUB</t>
        </is>
      </c>
      <c r="BN1113" s="266" t="inlineStr">
        <is>
          <t>Rosario</t>
        </is>
      </c>
      <c r="BO1113" s="254" t="inlineStr">
        <is>
          <t>NO</t>
        </is>
      </c>
      <c r="BP1113" s="251" t="n"/>
      <c r="BQ1113" s="251" t="n"/>
      <c r="BR1113" s="251" t="n"/>
      <c r="BS1113" s="251" t="n"/>
      <c r="BT1113" s="251"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4" t="n"/>
      <c r="DL1113" s="95" t="n"/>
      <c r="DM1113" s="254" t="inlineStr">
        <is>
          <t>N/A</t>
        </is>
      </c>
      <c r="DN1113" s="95" t="n"/>
      <c r="DO1113" s="95" t="n"/>
    </row>
    <row r="1114" ht="14.25" customHeight="1">
      <c r="A1114" s="147" t="inlineStr">
        <is>
          <t>DEB-03</t>
        </is>
      </c>
      <c r="B1114" s="151" t="n"/>
      <c r="C1114" s="29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4" t="inlineStr">
        <is>
          <t>ASUB</t>
        </is>
      </c>
      <c r="BN1114" s="266" t="inlineStr">
        <is>
          <t>Rosario</t>
        </is>
      </c>
      <c r="BO1114" s="254" t="inlineStr">
        <is>
          <t>NO</t>
        </is>
      </c>
      <c r="BP1114" s="251" t="n"/>
      <c r="BQ1114" s="251" t="n"/>
      <c r="BR1114" s="251" t="n"/>
      <c r="BS1114" s="251" t="n"/>
      <c r="BT1114" s="251"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4" t="n"/>
      <c r="DL1114" s="95" t="n"/>
      <c r="DM1114" s="254" t="inlineStr">
        <is>
          <t>N/A</t>
        </is>
      </c>
      <c r="DN1114" s="95" t="n"/>
      <c r="DO1114" s="95" t="n"/>
    </row>
    <row r="1115" ht="14.25" customHeight="1">
      <c r="A1115" s="147" t="inlineStr">
        <is>
          <t>DEB-04</t>
        </is>
      </c>
      <c r="B1115" s="151" t="n"/>
      <c r="C1115" s="29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4" t="inlineStr">
        <is>
          <t>ASUB</t>
        </is>
      </c>
      <c r="BN1115" s="266" t="inlineStr">
        <is>
          <t>Rosario</t>
        </is>
      </c>
      <c r="BO1115" s="254" t="inlineStr">
        <is>
          <t>NO</t>
        </is>
      </c>
      <c r="BP1115" s="251" t="n"/>
      <c r="BQ1115" s="251" t="n"/>
      <c r="BR1115" s="251" t="n"/>
      <c r="BS1115" s="251" t="n"/>
      <c r="BT1115" s="251"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4" t="n"/>
      <c r="DL1115" s="95" t="n"/>
      <c r="DM1115" s="254" t="inlineStr">
        <is>
          <t>N/A</t>
        </is>
      </c>
      <c r="DN1115" s="95" t="n"/>
      <c r="DO1115" s="95" t="n"/>
    </row>
    <row r="1116" ht="14.25" customHeight="1">
      <c r="A1116" s="147" t="inlineStr">
        <is>
          <t>DEB-05</t>
        </is>
      </c>
      <c r="B1116" s="151" t="n"/>
      <c r="C1116" s="29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4" t="inlineStr">
        <is>
          <t>ASUB</t>
        </is>
      </c>
      <c r="BN1116" s="266" t="inlineStr">
        <is>
          <t>Rosario</t>
        </is>
      </c>
      <c r="BO1116" s="254" t="inlineStr">
        <is>
          <t>NO</t>
        </is>
      </c>
      <c r="BP1116" s="251" t="n"/>
      <c r="BQ1116" s="251" t="n"/>
      <c r="BR1116" s="251" t="n"/>
      <c r="BS1116" s="251" t="n"/>
      <c r="BT1116" s="251"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4" t="n"/>
      <c r="DL1116" s="95" t="n"/>
      <c r="DM1116" s="254" t="inlineStr">
        <is>
          <t>N/A</t>
        </is>
      </c>
      <c r="DN1116" s="95" t="n"/>
      <c r="DO1116" s="95" t="n"/>
    </row>
    <row r="1117" ht="14.25" customHeight="1">
      <c r="A1117" s="147" t="inlineStr">
        <is>
          <t>DEB-06</t>
        </is>
      </c>
      <c r="B1117" s="151" t="n"/>
      <c r="C1117" s="29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4" t="inlineStr">
        <is>
          <t>ASUB</t>
        </is>
      </c>
      <c r="BN1117" s="266" t="inlineStr">
        <is>
          <t>Rosario</t>
        </is>
      </c>
      <c r="BO1117" s="254" t="inlineStr">
        <is>
          <t>NO</t>
        </is>
      </c>
      <c r="BP1117" s="251" t="n"/>
      <c r="BQ1117" s="251" t="n"/>
      <c r="BR1117" s="251" t="n"/>
      <c r="BS1117" s="251" t="n"/>
      <c r="BT1117" s="251"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4" t="n"/>
      <c r="DL1117" s="95" t="n"/>
      <c r="DM1117" s="254" t="inlineStr">
        <is>
          <t>N/A</t>
        </is>
      </c>
      <c r="DN1117" s="95" t="n"/>
      <c r="DO1117" s="95" t="n"/>
    </row>
    <row r="1118" ht="14.25" customHeight="1">
      <c r="A1118" s="147" t="inlineStr">
        <is>
          <t>DEB-07</t>
        </is>
      </c>
      <c r="B1118" s="151" t="n"/>
      <c r="C1118" s="29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4" t="inlineStr">
        <is>
          <t>ASUB</t>
        </is>
      </c>
      <c r="BN1118" s="266" t="inlineStr">
        <is>
          <t>Rosario</t>
        </is>
      </c>
      <c r="BO1118" s="254" t="inlineStr">
        <is>
          <t>NO</t>
        </is>
      </c>
      <c r="BP1118" s="251" t="n"/>
      <c r="BQ1118" s="251" t="n"/>
      <c r="BR1118" s="251" t="n"/>
      <c r="BS1118" s="251" t="n"/>
      <c r="BT1118" s="251"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4" t="n"/>
      <c r="DL1118" s="95" t="n"/>
      <c r="DM1118" s="254" t="inlineStr">
        <is>
          <t>N/A</t>
        </is>
      </c>
      <c r="DN1118" s="95" t="n"/>
      <c r="DO1118" s="95" t="n"/>
    </row>
    <row r="1119" ht="14.25" customHeight="1">
      <c r="A1119" s="147" t="inlineStr">
        <is>
          <t>DEB-08</t>
        </is>
      </c>
      <c r="B1119" s="151" t="n"/>
      <c r="C1119" s="29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4" t="inlineStr">
        <is>
          <t>ASUB</t>
        </is>
      </c>
      <c r="BN1119" s="266" t="inlineStr">
        <is>
          <t>Rosario</t>
        </is>
      </c>
      <c r="BO1119" s="254" t="inlineStr">
        <is>
          <t>NO</t>
        </is>
      </c>
      <c r="BP1119" s="251" t="n"/>
      <c r="BQ1119" s="251" t="n"/>
      <c r="BR1119" s="251" t="n"/>
      <c r="BS1119" s="251" t="n"/>
      <c r="BT1119" s="251"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4" t="n"/>
      <c r="DL1119" s="95" t="n"/>
      <c r="DM1119" s="254" t="inlineStr">
        <is>
          <t>N/A</t>
        </is>
      </c>
      <c r="DN1119" s="95" t="n"/>
      <c r="DO1119" s="95" t="n"/>
    </row>
    <row r="1120" ht="14.25" customHeight="1">
      <c r="A1120" s="147" t="inlineStr">
        <is>
          <t>DEB-09</t>
        </is>
      </c>
      <c r="B1120" s="151" t="n"/>
      <c r="C1120" s="29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4" t="inlineStr">
        <is>
          <t>ASUB</t>
        </is>
      </c>
      <c r="BN1120" s="266" t="inlineStr">
        <is>
          <t>Rosario</t>
        </is>
      </c>
      <c r="BO1120" s="254" t="inlineStr">
        <is>
          <t>NO</t>
        </is>
      </c>
      <c r="BP1120" s="251" t="n"/>
      <c r="BQ1120" s="251" t="n"/>
      <c r="BR1120" s="251" t="n"/>
      <c r="BS1120" s="251" t="n"/>
      <c r="BT1120" s="251"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4" t="n"/>
      <c r="DL1120" s="95" t="n"/>
      <c r="DM1120" s="254" t="inlineStr">
        <is>
          <t>N/A</t>
        </is>
      </c>
      <c r="DN1120" s="95" t="n"/>
      <c r="DO1120" s="95" t="n"/>
    </row>
    <row r="1121" ht="14.25" customHeight="1">
      <c r="A1121" s="147" t="inlineStr">
        <is>
          <t>DER-01</t>
        </is>
      </c>
      <c r="B1121" s="151" t="n"/>
      <c r="C1121" s="29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4" t="inlineStr">
        <is>
          <t>ASUB</t>
        </is>
      </c>
      <c r="BN1121" s="266" t="inlineStr">
        <is>
          <t>Rosario</t>
        </is>
      </c>
      <c r="BO1121" s="254" t="inlineStr">
        <is>
          <t>NO</t>
        </is>
      </c>
      <c r="BP1121" s="251" t="n"/>
      <c r="BQ1121" s="251" t="n"/>
      <c r="BR1121" s="251" t="n"/>
      <c r="BS1121" s="251" t="n"/>
      <c r="BT1121" s="251"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4" t="n"/>
      <c r="DL1121" s="95" t="n"/>
      <c r="DM1121" s="254" t="inlineStr">
        <is>
          <t>N/A</t>
        </is>
      </c>
      <c r="DN1121" s="95" t="n"/>
      <c r="DO1121" s="95" t="n"/>
    </row>
    <row r="1122" ht="14.25" customHeight="1">
      <c r="A1122" s="147" t="inlineStr">
        <is>
          <t>DER-02</t>
        </is>
      </c>
      <c r="B1122" s="151" t="n"/>
      <c r="C1122" s="29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4" t="inlineStr">
        <is>
          <t>ASUB</t>
        </is>
      </c>
      <c r="BN1122" s="266" t="inlineStr">
        <is>
          <t>Rosario</t>
        </is>
      </c>
      <c r="BO1122" s="254" t="inlineStr">
        <is>
          <t>NO</t>
        </is>
      </c>
      <c r="BP1122" s="251" t="n"/>
      <c r="BQ1122" s="251" t="n"/>
      <c r="BR1122" s="251" t="n"/>
      <c r="BS1122" s="251" t="n"/>
      <c r="BT1122" s="251"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4" t="n"/>
      <c r="DL1122" s="95" t="n"/>
      <c r="DM1122" s="254" t="inlineStr">
        <is>
          <t>N/A</t>
        </is>
      </c>
      <c r="DN1122" s="95" t="n"/>
      <c r="DO1122" s="95" t="n"/>
    </row>
    <row r="1123" ht="14.25" customHeight="1">
      <c r="A1123" s="147" t="inlineStr">
        <is>
          <t>DER-03</t>
        </is>
      </c>
      <c r="B1123" s="151" t="n"/>
      <c r="C1123" s="29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4" t="inlineStr">
        <is>
          <t>ASUB</t>
        </is>
      </c>
      <c r="BN1123" s="266" t="inlineStr">
        <is>
          <t>Rosario</t>
        </is>
      </c>
      <c r="BO1123" s="254" t="inlineStr">
        <is>
          <t>NO</t>
        </is>
      </c>
      <c r="BP1123" s="251" t="n"/>
      <c r="BQ1123" s="251" t="n"/>
      <c r="BR1123" s="251" t="n"/>
      <c r="BS1123" s="251" t="n"/>
      <c r="BT1123" s="251"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4" t="n"/>
      <c r="DL1123" s="95" t="n"/>
      <c r="DM1123" s="254" t="inlineStr">
        <is>
          <t>N/A</t>
        </is>
      </c>
      <c r="DN1123" s="95" t="n"/>
      <c r="DO1123" s="95" t="n"/>
    </row>
    <row r="1124" ht="14.25" customHeight="1">
      <c r="A1124" s="147" t="inlineStr">
        <is>
          <t>DER-05</t>
        </is>
      </c>
      <c r="B1124" s="151" t="n"/>
      <c r="C1124" s="29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4" t="inlineStr">
        <is>
          <t>ASUB</t>
        </is>
      </c>
      <c r="BN1124" s="266" t="inlineStr">
        <is>
          <t>Rosario</t>
        </is>
      </c>
      <c r="BO1124" s="254" t="inlineStr">
        <is>
          <t>NO</t>
        </is>
      </c>
      <c r="BP1124" s="251" t="n"/>
      <c r="BQ1124" s="251" t="n"/>
      <c r="BR1124" s="251" t="n"/>
      <c r="BS1124" s="251" t="n"/>
      <c r="BT1124" s="251"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4" t="n"/>
      <c r="DL1124" s="95" t="n"/>
      <c r="DM1124" s="254" t="inlineStr">
        <is>
          <t>N/A</t>
        </is>
      </c>
      <c r="DN1124" s="95" t="n"/>
      <c r="DO1124" s="95" t="n"/>
    </row>
    <row r="1125" ht="14.25" customHeight="1">
      <c r="A1125" s="147" t="inlineStr">
        <is>
          <t>DER-08</t>
        </is>
      </c>
      <c r="B1125" s="151" t="n"/>
      <c r="C1125" s="29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4" t="inlineStr">
        <is>
          <t>ASUB</t>
        </is>
      </c>
      <c r="BN1125" s="266" t="inlineStr">
        <is>
          <t>Rosario</t>
        </is>
      </c>
      <c r="BO1125" s="254" t="inlineStr">
        <is>
          <t>NO</t>
        </is>
      </c>
      <c r="BP1125" s="251" t="n"/>
      <c r="BQ1125" s="251" t="n"/>
      <c r="BR1125" s="251" t="n"/>
      <c r="BS1125" s="251" t="n"/>
      <c r="BT1125" s="251"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4" t="n"/>
      <c r="DL1125" s="95" t="n"/>
      <c r="DM1125" s="254" t="inlineStr">
        <is>
          <t>N/A</t>
        </is>
      </c>
      <c r="DN1125" s="95" t="n"/>
      <c r="DO1125" s="95" t="n"/>
    </row>
    <row r="1126" ht="14.25" customHeight="1">
      <c r="A1126" s="147" t="inlineStr">
        <is>
          <t>DER-12</t>
        </is>
      </c>
      <c r="B1126" s="151" t="n"/>
      <c r="C1126" s="29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4" t="inlineStr">
        <is>
          <t>ASUB</t>
        </is>
      </c>
      <c r="BN1126" s="266" t="inlineStr">
        <is>
          <t>Rosario</t>
        </is>
      </c>
      <c r="BO1126" s="254" t="inlineStr">
        <is>
          <t>NO</t>
        </is>
      </c>
      <c r="BP1126" s="251" t="n"/>
      <c r="BQ1126" s="251" t="n"/>
      <c r="BR1126" s="251" t="n"/>
      <c r="BS1126" s="251" t="n"/>
      <c r="BT1126" s="251"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4" t="n"/>
      <c r="DL1126" s="95" t="n"/>
      <c r="DM1126" s="254" t="inlineStr">
        <is>
          <t>N/A</t>
        </is>
      </c>
      <c r="DN1126" s="95" t="n"/>
      <c r="DO1126" s="95" t="n"/>
    </row>
    <row r="1127" ht="14.25" customHeight="1">
      <c r="A1127" s="147" t="inlineStr">
        <is>
          <t>DER-15</t>
        </is>
      </c>
      <c r="B1127" s="151" t="n"/>
      <c r="C1127" s="29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4" t="inlineStr">
        <is>
          <t>ASUB</t>
        </is>
      </c>
      <c r="BN1127" s="266" t="inlineStr">
        <is>
          <t>Rosario</t>
        </is>
      </c>
      <c r="BO1127" s="254" t="inlineStr">
        <is>
          <t>NO</t>
        </is>
      </c>
      <c r="BP1127" s="251" t="n"/>
      <c r="BQ1127" s="251" t="n"/>
      <c r="BR1127" s="251" t="n"/>
      <c r="BS1127" s="251" t="n"/>
      <c r="BT1127" s="251"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4" t="n"/>
      <c r="DL1127" s="95" t="n"/>
      <c r="DM1127" s="254" t="inlineStr">
        <is>
          <t>N/A</t>
        </is>
      </c>
      <c r="DN1127" s="95" t="n"/>
      <c r="DO1127" s="95" t="n"/>
    </row>
    <row r="1128" ht="14.25" customHeight="1">
      <c r="A1128" s="147" t="inlineStr">
        <is>
          <t>DER-18</t>
        </is>
      </c>
      <c r="B1128" s="151" t="n"/>
      <c r="C1128" s="29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4" t="inlineStr">
        <is>
          <t>ASUB</t>
        </is>
      </c>
      <c r="BN1128" s="266" t="inlineStr">
        <is>
          <t>Rosario</t>
        </is>
      </c>
      <c r="BO1128" s="254" t="inlineStr">
        <is>
          <t>NO</t>
        </is>
      </c>
      <c r="BP1128" s="251" t="n"/>
      <c r="BQ1128" s="251" t="n"/>
      <c r="BR1128" s="251" t="n"/>
      <c r="BS1128" s="251" t="n"/>
      <c r="BT1128" s="251"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4" t="n"/>
      <c r="DL1128" s="95" t="n"/>
      <c r="DM1128" s="254" t="inlineStr">
        <is>
          <t>N/A</t>
        </is>
      </c>
      <c r="DN1128" s="95" t="n"/>
      <c r="DO1128" s="95" t="n"/>
    </row>
    <row r="1129" ht="14.25" customHeight="1">
      <c r="A1129" s="147" t="inlineStr">
        <is>
          <t>DER-20</t>
        </is>
      </c>
      <c r="B1129" s="151" t="n"/>
      <c r="C1129" s="29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4" t="inlineStr">
        <is>
          <t>ASUB</t>
        </is>
      </c>
      <c r="BN1129" s="266" t="inlineStr">
        <is>
          <t>Rosario</t>
        </is>
      </c>
      <c r="BO1129" s="254" t="inlineStr">
        <is>
          <t>NO</t>
        </is>
      </c>
      <c r="BP1129" s="251" t="n"/>
      <c r="BQ1129" s="251" t="n"/>
      <c r="BR1129" s="251" t="n"/>
      <c r="BS1129" s="251" t="n"/>
      <c r="BT1129" s="251"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4" t="n"/>
      <c r="DL1129" s="95" t="n"/>
      <c r="DM1129" s="254" t="inlineStr">
        <is>
          <t>N/A</t>
        </is>
      </c>
      <c r="DN1129" s="95" t="n"/>
      <c r="DO1129" s="95" t="n"/>
    </row>
    <row r="1130" ht="14.25" customHeight="1">
      <c r="A1130" s="147" t="inlineStr">
        <is>
          <t>DER-21</t>
        </is>
      </c>
      <c r="B1130" s="151" t="n"/>
      <c r="C1130" s="29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4" t="inlineStr">
        <is>
          <t>ASUB</t>
        </is>
      </c>
      <c r="BN1130" s="266" t="inlineStr">
        <is>
          <t>Rosario</t>
        </is>
      </c>
      <c r="BO1130" s="254" t="inlineStr">
        <is>
          <t>NO</t>
        </is>
      </c>
      <c r="BP1130" s="251" t="n"/>
      <c r="BQ1130" s="251" t="n"/>
      <c r="BR1130" s="251" t="n"/>
      <c r="BS1130" s="251" t="n"/>
      <c r="BT1130" s="251"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4" t="n"/>
      <c r="DL1130" s="95" t="n"/>
      <c r="DM1130" s="254" t="inlineStr">
        <is>
          <t>N/A</t>
        </is>
      </c>
      <c r="DN1130" s="95" t="n"/>
      <c r="DO1130" s="95" t="n"/>
    </row>
    <row r="1131" ht="14.25" customHeight="1">
      <c r="A1131" s="147" t="inlineStr">
        <is>
          <t>DER-23</t>
        </is>
      </c>
      <c r="B1131" s="151" t="n"/>
      <c r="C1131" s="29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4" t="inlineStr">
        <is>
          <t>ASUB</t>
        </is>
      </c>
      <c r="BN1131" s="266" t="inlineStr">
        <is>
          <t>Rosario</t>
        </is>
      </c>
      <c r="BO1131" s="254" t="inlineStr">
        <is>
          <t>NO</t>
        </is>
      </c>
      <c r="BP1131" s="251" t="n"/>
      <c r="BQ1131" s="251" t="n"/>
      <c r="BR1131" s="251" t="n"/>
      <c r="BS1131" s="251" t="n"/>
      <c r="BT1131" s="251"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4" t="n"/>
      <c r="DL1131" s="95" t="n"/>
      <c r="DM1131" s="254" t="inlineStr">
        <is>
          <t>N/A</t>
        </is>
      </c>
      <c r="DN1131" s="95" t="n"/>
      <c r="DO1131" s="95" t="n"/>
    </row>
    <row r="1132" ht="14.25" customHeight="1">
      <c r="A1132" s="147" t="inlineStr">
        <is>
          <t>DER-26</t>
        </is>
      </c>
      <c r="B1132" s="151" t="n"/>
      <c r="C1132" s="29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4" t="inlineStr">
        <is>
          <t>ASUB</t>
        </is>
      </c>
      <c r="BN1132" s="266" t="inlineStr">
        <is>
          <t>Rosario</t>
        </is>
      </c>
      <c r="BO1132" s="254" t="inlineStr">
        <is>
          <t>NO</t>
        </is>
      </c>
      <c r="BP1132" s="251" t="n"/>
      <c r="BQ1132" s="251" t="n"/>
      <c r="BR1132" s="251" t="n"/>
      <c r="BS1132" s="251" t="n"/>
      <c r="BT1132" s="251"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4" t="n"/>
      <c r="DL1132" s="95" t="n"/>
      <c r="DM1132" s="254" t="inlineStr">
        <is>
          <t>N/A</t>
        </is>
      </c>
      <c r="DN1132" s="95" t="n"/>
      <c r="DO1132" s="95" t="n"/>
    </row>
    <row r="1133" ht="14.25" customHeight="1">
      <c r="A1133" s="147" t="inlineStr">
        <is>
          <t>DER-28</t>
        </is>
      </c>
      <c r="B1133" s="151" t="n"/>
      <c r="C1133" s="29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4" t="inlineStr">
        <is>
          <t>ASUB</t>
        </is>
      </c>
      <c r="BN1133" s="266" t="inlineStr">
        <is>
          <t>Rosario</t>
        </is>
      </c>
      <c r="BO1133" s="254" t="inlineStr">
        <is>
          <t>NO</t>
        </is>
      </c>
      <c r="BP1133" s="251" t="n"/>
      <c r="BQ1133" s="251" t="n"/>
      <c r="BR1133" s="251" t="n"/>
      <c r="BS1133" s="251" t="n"/>
      <c r="BT1133" s="251"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4" t="n"/>
      <c r="DL1133" s="95" t="n"/>
      <c r="DM1133" s="254" t="inlineStr">
        <is>
          <t>N/A</t>
        </is>
      </c>
      <c r="DN1133" s="95" t="n"/>
      <c r="DO1133" s="95" t="n"/>
    </row>
    <row r="1134" ht="14.25" customHeight="1">
      <c r="A1134" s="147" t="inlineStr">
        <is>
          <t>DER-42</t>
        </is>
      </c>
      <c r="B1134" s="151" t="n"/>
      <c r="C1134" s="29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4" t="inlineStr">
        <is>
          <t>ASUB</t>
        </is>
      </c>
      <c r="BN1134" s="266" t="inlineStr">
        <is>
          <t>Rosario</t>
        </is>
      </c>
      <c r="BO1134" s="254" t="inlineStr">
        <is>
          <t>NO</t>
        </is>
      </c>
      <c r="BP1134" s="251" t="n"/>
      <c r="BQ1134" s="251" t="n"/>
      <c r="BR1134" s="251" t="n"/>
      <c r="BS1134" s="251" t="n"/>
      <c r="BT1134" s="251"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4" t="n"/>
      <c r="DL1134" s="95" t="n"/>
      <c r="DM1134" s="254" t="inlineStr">
        <is>
          <t>N/A</t>
        </is>
      </c>
      <c r="DN1134" s="95" t="n"/>
      <c r="DO1134" s="95" t="n"/>
    </row>
    <row r="1135" ht="14.25" customHeight="1">
      <c r="A1135" s="147" t="inlineStr">
        <is>
          <t>DPA-02</t>
        </is>
      </c>
      <c r="B1135" s="151" t="n"/>
      <c r="C1135" s="29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4" t="inlineStr">
        <is>
          <t>ASUB</t>
        </is>
      </c>
      <c r="BN1135" s="266" t="inlineStr">
        <is>
          <t>HUASCO</t>
        </is>
      </c>
      <c r="BO1135" s="254" t="inlineStr">
        <is>
          <t>NO</t>
        </is>
      </c>
      <c r="BP1135" s="251" t="n"/>
      <c r="BQ1135" s="251" t="n"/>
      <c r="BR1135" s="251" t="n"/>
      <c r="BS1135" s="251" t="n"/>
      <c r="BT1135" s="251"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4" t="inlineStr">
        <is>
          <t>N/A</t>
        </is>
      </c>
      <c r="DK1135" s="254" t="n"/>
      <c r="DL1135" s="95" t="n"/>
      <c r="DM1135" s="254" t="inlineStr">
        <is>
          <t>N/A</t>
        </is>
      </c>
      <c r="DN1135" s="95" t="n"/>
      <c r="DO1135" s="95" t="n"/>
    </row>
    <row r="1136" ht="14.25" customHeight="1">
      <c r="A1136" s="147" t="inlineStr">
        <is>
          <t>HE-149</t>
        </is>
      </c>
      <c r="B1136" s="151" t="n"/>
      <c r="C1136" s="29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4" t="inlineStr">
        <is>
          <t>ASUB</t>
        </is>
      </c>
      <c r="BN1136" s="266" t="inlineStr">
        <is>
          <t xml:space="preserve">Huinquintipa </t>
        </is>
      </c>
      <c r="BO1136" s="254" t="inlineStr">
        <is>
          <t>SI</t>
        </is>
      </c>
      <c r="BP1136" s="251" t="n"/>
      <c r="BQ1136" s="251" t="n"/>
      <c r="BR1136" s="251" t="n"/>
      <c r="BS1136" s="251" t="n"/>
      <c r="BT1136" s="251"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4" t="inlineStr">
        <is>
          <t>N/A</t>
        </is>
      </c>
      <c r="DK1136" s="254" t="n"/>
      <c r="DL1136" s="95" t="n"/>
      <c r="DM1136" s="254" t="inlineStr">
        <is>
          <t>N/A</t>
        </is>
      </c>
      <c r="DN1136" s="95" t="n"/>
      <c r="DO1136" s="95" t="n"/>
    </row>
    <row r="1137" ht="14.25" customHeight="1">
      <c r="A1137" s="147" t="inlineStr">
        <is>
          <t>HPS-02</t>
        </is>
      </c>
      <c r="B1137" s="151" t="n"/>
      <c r="C1137" s="29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4" t="inlineStr">
        <is>
          <t>ASUB</t>
        </is>
      </c>
      <c r="BN1137" s="266" t="inlineStr">
        <is>
          <t>Huasco</t>
        </is>
      </c>
      <c r="BO1137" s="254" t="inlineStr">
        <is>
          <t>NO</t>
        </is>
      </c>
      <c r="BP1137" s="251" t="n"/>
      <c r="BQ1137" s="251" t="n"/>
      <c r="BR1137" s="251" t="n"/>
      <c r="BS1137" s="251" t="n"/>
      <c r="BT1137" s="251" t="n"/>
      <c r="BU1137" s="102" t="inlineStr">
        <is>
          <t>SE ELIMINA</t>
        </is>
      </c>
      <c r="BV1137" s="178" t="n"/>
      <c r="BW1137" s="254" t="n"/>
      <c r="BX1137" s="254" t="n"/>
      <c r="BY1137" s="254" t="n"/>
      <c r="BZ1137" s="254" t="n"/>
      <c r="CA1137" s="254" t="n"/>
      <c r="CB1137" s="254" t="n"/>
      <c r="CC1137" s="254" t="n"/>
      <c r="CD1137" s="254" t="n"/>
      <c r="CE1137" s="254" t="n"/>
      <c r="CF1137" s="254" t="n"/>
      <c r="CG1137" s="254" t="n"/>
      <c r="CH1137" s="254" t="n"/>
      <c r="CI1137" s="254" t="n"/>
      <c r="CJ1137" s="254" t="n"/>
      <c r="CK1137" s="254" t="n"/>
      <c r="CL1137" s="254" t="n"/>
      <c r="CM1137" s="254" t="n"/>
      <c r="CN1137" s="254" t="n"/>
      <c r="CO1137" s="254" t="n"/>
      <c r="CP1137" s="266" t="n"/>
      <c r="CQ1137" s="254" t="n"/>
      <c r="CR1137" s="254" t="n"/>
      <c r="CS1137" s="254" t="n"/>
      <c r="CT1137" s="254" t="n"/>
      <c r="CU1137" s="254" t="n"/>
      <c r="CV1137" s="254" t="n"/>
      <c r="CW1137" s="254" t="n"/>
      <c r="CX1137" s="254" t="n"/>
      <c r="CY1137" s="254" t="n"/>
      <c r="CZ1137" s="124">
        <f>+COUNT(BV1137:CY1137)</f>
        <v/>
      </c>
      <c r="DA1137" s="124" t="n"/>
      <c r="DB1137" s="124" t="n"/>
      <c r="DC1137" s="124" t="n"/>
      <c r="DD1137" s="124" t="n"/>
      <c r="DE1137" s="124" t="n"/>
      <c r="DF1137" s="124" t="n"/>
      <c r="DG1137" s="124" t="n"/>
      <c r="DH1137" s="124" t="n"/>
      <c r="DI1137" s="124" t="n"/>
      <c r="DJ1137" s="254" t="inlineStr">
        <is>
          <t>SE ELIMINA</t>
        </is>
      </c>
      <c r="DK1137" s="254" t="n"/>
      <c r="DL1137" s="95" t="n"/>
      <c r="DM1137" s="254" t="inlineStr">
        <is>
          <t>N/A</t>
        </is>
      </c>
      <c r="DN1137" s="95" t="n"/>
      <c r="DO1137" s="95" t="n"/>
    </row>
    <row r="1138" ht="14.25" customHeight="1">
      <c r="A1138" s="147" t="inlineStr">
        <is>
          <t>HPS-04</t>
        </is>
      </c>
      <c r="B1138" s="151" t="n"/>
      <c r="C1138" s="29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4" t="inlineStr">
        <is>
          <t>ASUB</t>
        </is>
      </c>
      <c r="BN1138" s="266" t="inlineStr">
        <is>
          <t>HUASCO</t>
        </is>
      </c>
      <c r="BO1138" s="254" t="inlineStr">
        <is>
          <t>NO</t>
        </is>
      </c>
      <c r="BP1138" s="251" t="n"/>
      <c r="BQ1138" s="251" t="n"/>
      <c r="BR1138" s="251" t="n"/>
      <c r="BS1138" s="251" t="n"/>
      <c r="BT1138" s="251"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4" t="inlineStr">
        <is>
          <t>N/A</t>
        </is>
      </c>
      <c r="DK1138" s="254" t="n"/>
      <c r="DL1138" s="95" t="n"/>
      <c r="DM1138" s="254" t="inlineStr">
        <is>
          <t>N/A</t>
        </is>
      </c>
      <c r="DN1138" s="95" t="n"/>
      <c r="DO1138" s="95" t="n"/>
    </row>
    <row r="1139" ht="14.25" customHeight="1">
      <c r="A1139" s="147" t="inlineStr">
        <is>
          <t>HPS-40A</t>
        </is>
      </c>
      <c r="B1139" s="151" t="n"/>
      <c r="C1139" s="29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4" t="inlineStr">
        <is>
          <t>ASUB</t>
        </is>
      </c>
      <c r="BN1139" s="266" t="inlineStr">
        <is>
          <t>Huasco</t>
        </is>
      </c>
      <c r="BO1139" s="254" t="inlineStr">
        <is>
          <t>NO</t>
        </is>
      </c>
      <c r="BP1139" s="251" t="n"/>
      <c r="BQ1139" s="251" t="n"/>
      <c r="BR1139" s="251" t="n"/>
      <c r="BS1139" s="251" t="n"/>
      <c r="BT1139" s="251"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4" t="inlineStr">
        <is>
          <t>N/A</t>
        </is>
      </c>
      <c r="DK1139" s="254" t="n"/>
      <c r="DL1139" s="95" t="n"/>
      <c r="DM1139" s="254" t="inlineStr">
        <is>
          <t>N/A</t>
        </is>
      </c>
      <c r="DN1139" s="95" t="n"/>
      <c r="DO1139" s="95" t="n"/>
    </row>
    <row r="1140" ht="14.25" customHeight="1">
      <c r="A1140" s="147" t="inlineStr">
        <is>
          <t>MA-09B</t>
        </is>
      </c>
      <c r="B1140" s="151" t="n"/>
      <c r="C1140" s="29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4" t="inlineStr">
        <is>
          <t>ASUB</t>
        </is>
      </c>
      <c r="BN1140" s="106" t="inlineStr">
        <is>
          <t>Falla Pabellón</t>
        </is>
      </c>
      <c r="BO1140" s="254" t="inlineStr">
        <is>
          <t>NO</t>
        </is>
      </c>
      <c r="BP1140" s="251" t="n"/>
      <c r="BQ1140" s="251" t="n"/>
      <c r="BR1140" s="251" t="n"/>
      <c r="BS1140" s="251" t="n"/>
      <c r="BT1140" s="251" t="n"/>
      <c r="BU1140" s="102" t="inlineStr">
        <is>
          <t>SE ELIMINO</t>
        </is>
      </c>
      <c r="BV1140" s="178" t="n"/>
      <c r="BW1140" s="254" t="n"/>
      <c r="BX1140" s="254" t="n"/>
      <c r="BY1140" s="254" t="n"/>
      <c r="BZ1140" s="254" t="n"/>
      <c r="CA1140" s="254" t="n"/>
      <c r="CB1140" s="254" t="n"/>
      <c r="CC1140" s="254" t="n"/>
      <c r="CD1140" s="254" t="n"/>
      <c r="CE1140" s="254" t="n"/>
      <c r="CF1140" s="254" t="n"/>
      <c r="CG1140" s="254" t="n"/>
      <c r="CH1140" s="254" t="n"/>
      <c r="CI1140" s="254" t="n"/>
      <c r="CJ1140" s="254" t="n"/>
      <c r="CK1140" s="254" t="n"/>
      <c r="CL1140" s="254" t="n"/>
      <c r="CM1140" s="254" t="n"/>
      <c r="CN1140" s="266" t="n"/>
      <c r="CO1140" s="254" t="n"/>
      <c r="CP1140" s="254" t="n"/>
      <c r="CQ1140" s="254" t="n"/>
      <c r="CR1140" s="254" t="n"/>
      <c r="CS1140" s="254" t="n"/>
      <c r="CT1140" s="254" t="n"/>
      <c r="CU1140" s="254" t="n"/>
      <c r="CV1140" s="254" t="n"/>
      <c r="CW1140" s="254" t="n"/>
      <c r="CX1140" s="254" t="n"/>
      <c r="CY1140" s="254" t="n"/>
      <c r="CZ1140" s="124">
        <f>+COUNT(BV1140:CY1140)</f>
        <v/>
      </c>
      <c r="DA1140" s="124" t="n"/>
      <c r="DB1140" s="124" t="n"/>
      <c r="DC1140" s="124" t="n"/>
      <c r="DD1140" s="124" t="n"/>
      <c r="DE1140" s="124" t="n"/>
      <c r="DF1140" s="124" t="n"/>
      <c r="DG1140" s="124" t="n"/>
      <c r="DH1140" s="124" t="n"/>
      <c r="DI1140" s="124" t="n"/>
      <c r="DJ1140" s="254" t="inlineStr">
        <is>
          <t>SE ELIMINA</t>
        </is>
      </c>
      <c r="DK1140" s="254" t="n"/>
      <c r="DL1140" s="95" t="n"/>
      <c r="DM1140" s="254" t="inlineStr">
        <is>
          <t>SE ELIMINA</t>
        </is>
      </c>
      <c r="DN1140" s="95" t="n"/>
      <c r="DO1140" s="95" t="n"/>
    </row>
    <row r="1141" ht="14.25" customHeight="1">
      <c r="A1141" s="147" t="inlineStr">
        <is>
          <t>MAU-11</t>
        </is>
      </c>
      <c r="B1141" s="151" t="n"/>
      <c r="C1141" s="29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4" t="inlineStr">
        <is>
          <t>ASUB</t>
        </is>
      </c>
      <c r="BN1141" s="266" t="inlineStr">
        <is>
          <t>Lixiviación</t>
        </is>
      </c>
      <c r="BO1141" s="254" t="inlineStr">
        <is>
          <t>SI</t>
        </is>
      </c>
      <c r="BP1141" s="251" t="n"/>
      <c r="BQ1141" s="251" t="n"/>
      <c r="BR1141" s="251" t="n"/>
      <c r="BS1141" s="251" t="n"/>
      <c r="BT1141" s="251" t="n"/>
      <c r="BU1141" s="101" t="inlineStr">
        <is>
          <t xml:space="preserve">pozo se encuentra sellado por cmdic </t>
        </is>
      </c>
      <c r="BV1141" s="178" t="n"/>
      <c r="BW1141" s="254" t="n"/>
      <c r="BX1141" s="254" t="n"/>
      <c r="BY1141" s="254" t="n"/>
      <c r="BZ1141" s="254" t="n"/>
      <c r="CA1141" s="254" t="n"/>
      <c r="CB1141" s="254" t="n"/>
      <c r="CC1141" s="254" t="n"/>
      <c r="CD1141" s="254" t="n"/>
      <c r="CE1141" s="254" t="n"/>
      <c r="CF1141" s="254" t="n"/>
      <c r="CG1141" s="254" t="n"/>
      <c r="CH1141" s="254" t="n"/>
      <c r="CI1141" s="254" t="n"/>
      <c r="CJ1141" s="254" t="n"/>
      <c r="CK1141" s="254" t="n"/>
      <c r="CL1141" s="254" t="n"/>
      <c r="CM1141" s="254" t="n"/>
      <c r="CN1141" s="254" t="n"/>
      <c r="CO1141" s="254" t="n"/>
      <c r="CP1141" s="254" t="n"/>
      <c r="CQ1141" s="254" t="n"/>
      <c r="CR1141" s="254" t="n"/>
      <c r="CS1141" s="254" t="n"/>
      <c r="CT1141" s="254" t="n"/>
      <c r="CU1141" s="254" t="n"/>
      <c r="CV1141" s="254" t="n"/>
      <c r="CW1141" s="254" t="n"/>
      <c r="CX1141" s="254" t="n"/>
      <c r="CY1141" s="254" t="n"/>
      <c r="CZ1141" s="124">
        <f>+COUNT(BV1141:CY1141)</f>
        <v/>
      </c>
      <c r="DA1141" s="124" t="n"/>
      <c r="DB1141" s="124" t="n"/>
      <c r="DC1141" s="124" t="n"/>
      <c r="DD1141" s="124" t="n"/>
      <c r="DE1141" s="124" t="n"/>
      <c r="DF1141" s="124" t="n"/>
      <c r="DG1141" s="124" t="n"/>
      <c r="DH1141" s="124" t="n"/>
      <c r="DI1141" s="124" t="n"/>
      <c r="DJ1141" s="254" t="inlineStr">
        <is>
          <t>SE ELIMINA</t>
        </is>
      </c>
      <c r="DK1141" s="254" t="inlineStr">
        <is>
          <t>N/A</t>
        </is>
      </c>
      <c r="DL1141" s="254" t="inlineStr">
        <is>
          <t>N/A</t>
        </is>
      </c>
      <c r="DM1141" s="254" t="inlineStr">
        <is>
          <t>N/A</t>
        </is>
      </c>
      <c r="DN1141" s="95" t="n"/>
      <c r="DO1141" s="95" t="n"/>
    </row>
    <row r="1142" ht="14.25" customHeight="1">
      <c r="A1142" s="147" t="inlineStr">
        <is>
          <t>MAU-06</t>
        </is>
      </c>
      <c r="B1142" s="151" t="n"/>
      <c r="C1142" s="29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4" t="inlineStr">
        <is>
          <t>ASUB</t>
        </is>
      </c>
      <c r="BN1142" s="266" t="inlineStr">
        <is>
          <t>Lixiviación</t>
        </is>
      </c>
      <c r="BO1142" s="254" t="inlineStr">
        <is>
          <t>SI</t>
        </is>
      </c>
      <c r="BP1142" s="251" t="n"/>
      <c r="BQ1142" s="251" t="n"/>
      <c r="BR1142" s="251" t="n"/>
      <c r="BS1142" s="251" t="n"/>
      <c r="BT1142" s="251" t="n"/>
      <c r="BU1142" s="102" t="inlineStr">
        <is>
          <t>POZO DESAPARECIDO SE ELIMINA</t>
        </is>
      </c>
      <c r="BV1142" s="178" t="n"/>
      <c r="BW1142" s="254" t="n"/>
      <c r="BX1142" s="254" t="n"/>
      <c r="BY1142" s="254" t="n"/>
      <c r="BZ1142" s="254" t="n"/>
      <c r="CA1142" s="254" t="n"/>
      <c r="CB1142" s="254" t="n"/>
      <c r="CC1142" s="254" t="n"/>
      <c r="CD1142" s="254" t="n"/>
      <c r="CE1142" s="254" t="n"/>
      <c r="CF1142" s="254" t="n"/>
      <c r="CG1142" s="254" t="n"/>
      <c r="CH1142" s="254" t="n"/>
      <c r="CI1142" s="254" t="n"/>
      <c r="CJ1142" s="254" t="n"/>
      <c r="CK1142" s="254" t="n"/>
      <c r="CL1142" s="254" t="n"/>
      <c r="CM1142" s="254" t="n"/>
      <c r="CN1142" s="254" t="n"/>
      <c r="CO1142" s="254" t="n"/>
      <c r="CP1142" s="254" t="n"/>
      <c r="CQ1142" s="254" t="n"/>
      <c r="CR1142" s="254" t="n"/>
      <c r="CS1142" s="254" t="n"/>
      <c r="CT1142" s="254" t="n"/>
      <c r="CU1142" s="254" t="n"/>
      <c r="CV1142" s="254" t="n"/>
      <c r="CW1142" s="254" t="n"/>
      <c r="CX1142" s="254" t="n"/>
      <c r="CY1142" s="254" t="n"/>
      <c r="CZ1142" s="124">
        <f>+COUNT(BV1142:CY1142)</f>
        <v/>
      </c>
      <c r="DA1142" s="124" t="n"/>
      <c r="DB1142" s="124" t="n"/>
      <c r="DC1142" s="124" t="n"/>
      <c r="DD1142" s="124" t="n"/>
      <c r="DE1142" s="124" t="n"/>
      <c r="DF1142" s="124" t="n"/>
      <c r="DG1142" s="124" t="n"/>
      <c r="DH1142" s="124" t="n"/>
      <c r="DI1142" s="124" t="n"/>
      <c r="DJ1142" s="254" t="inlineStr">
        <is>
          <t>SE ELIMINA</t>
        </is>
      </c>
      <c r="DK1142" s="254" t="n"/>
      <c r="DL1142" s="95" t="n"/>
      <c r="DM1142" s="254" t="inlineStr">
        <is>
          <t>N/A</t>
        </is>
      </c>
      <c r="DN1142" s="95" t="n"/>
      <c r="DO1142" s="95" t="n"/>
    </row>
    <row r="1143" ht="14.25" customHeight="1">
      <c r="A1143" s="147" t="inlineStr">
        <is>
          <t>MAU-07</t>
        </is>
      </c>
      <c r="B1143" s="151" t="n"/>
      <c r="C1143" s="29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4" t="inlineStr">
        <is>
          <t>ASUB</t>
        </is>
      </c>
      <c r="BN1143" s="266" t="inlineStr">
        <is>
          <t>Lixiviación</t>
        </is>
      </c>
      <c r="BO1143" s="254" t="inlineStr">
        <is>
          <t>SI</t>
        </is>
      </c>
      <c r="BP1143" s="251" t="n"/>
      <c r="BQ1143" s="251" t="n"/>
      <c r="BR1143" s="251" t="n"/>
      <c r="BS1143" s="251" t="n"/>
      <c r="BT1143" s="251" t="n"/>
      <c r="BU1143" s="101" t="inlineStr">
        <is>
          <t>sellado por CMDIC</t>
        </is>
      </c>
      <c r="BV1143" s="178" t="n"/>
      <c r="BW1143" s="254" t="n"/>
      <c r="BX1143" s="254" t="n"/>
      <c r="BY1143" s="254" t="n"/>
      <c r="BZ1143" s="254" t="n"/>
      <c r="CA1143" s="254" t="n"/>
      <c r="CB1143" s="254" t="n"/>
      <c r="CC1143" s="254" t="n"/>
      <c r="CD1143" s="254" t="n"/>
      <c r="CE1143" s="254" t="n"/>
      <c r="CF1143" s="254" t="n"/>
      <c r="CG1143" s="254" t="n"/>
      <c r="CH1143" s="254" t="n"/>
      <c r="CI1143" s="254" t="n"/>
      <c r="CJ1143" s="254" t="n"/>
      <c r="CK1143" s="254" t="n"/>
      <c r="CL1143" s="254" t="n"/>
      <c r="CM1143" s="254" t="n"/>
      <c r="CN1143" s="254" t="n"/>
      <c r="CO1143" s="254" t="n"/>
      <c r="CP1143" s="254" t="n"/>
      <c r="CQ1143" s="254" t="n"/>
      <c r="CR1143" s="254" t="n"/>
      <c r="CS1143" s="254" t="n"/>
      <c r="CT1143" s="254" t="n"/>
      <c r="CU1143" s="254" t="n"/>
      <c r="CV1143" s="254" t="n"/>
      <c r="CW1143" s="254" t="n"/>
      <c r="CX1143" s="254" t="n"/>
      <c r="CY1143" s="254" t="n"/>
      <c r="CZ1143" s="124">
        <f>+COUNT(BV1143:CY1143)</f>
        <v/>
      </c>
      <c r="DA1143" s="124" t="n"/>
      <c r="DB1143" s="124" t="n"/>
      <c r="DC1143" s="124" t="n"/>
      <c r="DD1143" s="124" t="n"/>
      <c r="DE1143" s="124" t="n"/>
      <c r="DF1143" s="124" t="n"/>
      <c r="DG1143" s="124" t="n"/>
      <c r="DH1143" s="124" t="n"/>
      <c r="DI1143" s="124" t="n"/>
      <c r="DJ1143" s="254" t="inlineStr">
        <is>
          <t>SE ELIMINA</t>
        </is>
      </c>
      <c r="DK1143" s="254" t="inlineStr">
        <is>
          <t>N/A</t>
        </is>
      </c>
      <c r="DL1143" s="254" t="inlineStr">
        <is>
          <t>N/A</t>
        </is>
      </c>
      <c r="DM1143" s="254" t="inlineStr">
        <is>
          <t>N/A</t>
        </is>
      </c>
      <c r="DN1143" s="95" t="n"/>
      <c r="DO1143" s="95" t="n"/>
    </row>
    <row r="1144" ht="14.25" customHeight="1">
      <c r="A1144" s="147" t="inlineStr">
        <is>
          <t>MAU-08</t>
        </is>
      </c>
      <c r="B1144" s="151" t="n"/>
      <c r="C1144" s="29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4" t="inlineStr">
        <is>
          <t>ASUB</t>
        </is>
      </c>
      <c r="BN1144" s="266" t="inlineStr">
        <is>
          <t>Lixiviación</t>
        </is>
      </c>
      <c r="BO1144" s="254" t="inlineStr">
        <is>
          <t>SI</t>
        </is>
      </c>
      <c r="BP1144" s="251" t="n"/>
      <c r="BQ1144" s="251" t="n"/>
      <c r="BR1144" s="251" t="n"/>
      <c r="BS1144" s="251" t="n"/>
      <c r="BT1144" s="251" t="n"/>
      <c r="BU1144" s="101" t="inlineStr">
        <is>
          <t>sellado por CMDIC</t>
        </is>
      </c>
      <c r="BV1144" s="178" t="n"/>
      <c r="BW1144" s="254" t="n"/>
      <c r="BX1144" s="254" t="n"/>
      <c r="BY1144" s="254" t="n"/>
      <c r="BZ1144" s="254" t="n"/>
      <c r="CA1144" s="254" t="n"/>
      <c r="CB1144" s="254" t="n"/>
      <c r="CC1144" s="254" t="n"/>
      <c r="CD1144" s="254" t="n"/>
      <c r="CE1144" s="254" t="n"/>
      <c r="CF1144" s="254" t="n"/>
      <c r="CG1144" s="254" t="n"/>
      <c r="CH1144" s="254" t="n"/>
      <c r="CI1144" s="254" t="n"/>
      <c r="CJ1144" s="254" t="n"/>
      <c r="CK1144" s="254" t="n"/>
      <c r="CL1144" s="254" t="n"/>
      <c r="CM1144" s="254" t="n"/>
      <c r="CN1144" s="254" t="n"/>
      <c r="CO1144" s="254" t="n"/>
      <c r="CP1144" s="254" t="n"/>
      <c r="CQ1144" s="254" t="n"/>
      <c r="CR1144" s="254" t="n"/>
      <c r="CS1144" s="254" t="n"/>
      <c r="CT1144" s="254" t="n"/>
      <c r="CU1144" s="254" t="n"/>
      <c r="CV1144" s="254" t="n"/>
      <c r="CW1144" s="254" t="n"/>
      <c r="CX1144" s="254" t="n"/>
      <c r="CY1144" s="254" t="n"/>
      <c r="CZ1144" s="124">
        <f>+COUNT(BV1144:CY1144)</f>
        <v/>
      </c>
      <c r="DA1144" s="124" t="n"/>
      <c r="DB1144" s="124" t="n"/>
      <c r="DC1144" s="124" t="n"/>
      <c r="DD1144" s="124" t="n"/>
      <c r="DE1144" s="124" t="n"/>
      <c r="DF1144" s="124" t="n"/>
      <c r="DG1144" s="124" t="n"/>
      <c r="DH1144" s="124" t="n"/>
      <c r="DI1144" s="124" t="n"/>
      <c r="DJ1144" s="254" t="inlineStr">
        <is>
          <t>SE ELIMINA</t>
        </is>
      </c>
      <c r="DK1144" s="254" t="inlineStr">
        <is>
          <t>N/A</t>
        </is>
      </c>
      <c r="DL1144" s="254" t="inlineStr">
        <is>
          <t>N/A</t>
        </is>
      </c>
      <c r="DM1144" s="254" t="inlineStr">
        <is>
          <t>N/A</t>
        </is>
      </c>
      <c r="DN1144" s="95" t="n"/>
      <c r="DO1144" s="95" t="n"/>
    </row>
    <row r="1145" ht="14.25" customHeight="1">
      <c r="A1145" s="147" t="inlineStr">
        <is>
          <t>Mitigación Jachucoposa (actual)</t>
        </is>
      </c>
      <c r="B1145" s="151" t="n"/>
      <c r="C1145" s="29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4" t="inlineStr">
        <is>
          <t>ASUB</t>
        </is>
      </c>
      <c r="BN1145" s="106" t="inlineStr">
        <is>
          <t>Falla Pabellón</t>
        </is>
      </c>
      <c r="BO1145" s="254" t="inlineStr">
        <is>
          <t>SI</t>
        </is>
      </c>
      <c r="BP1145" s="251" t="n"/>
      <c r="BQ1145" s="251" t="n"/>
      <c r="BR1145" s="251" t="n"/>
      <c r="BS1145" s="251" t="n"/>
      <c r="BT1145" s="251" t="n"/>
      <c r="BU1145" s="123" t="inlineStr">
        <is>
          <t>ELIMINADO x CP-03M (Mitigación nueva)</t>
        </is>
      </c>
      <c r="BV1145" s="178" t="n"/>
      <c r="BW1145" s="323" t="n"/>
      <c r="BX1145" s="254" t="n"/>
      <c r="BY1145" s="254" t="n"/>
      <c r="BZ1145" s="254" t="n"/>
      <c r="CA1145" s="254" t="n"/>
      <c r="CB1145" s="254" t="n"/>
      <c r="CC1145" s="254" t="n"/>
      <c r="CD1145" s="254" t="n"/>
      <c r="CE1145" s="254" t="n"/>
      <c r="CF1145" s="254" t="n"/>
      <c r="CG1145" s="254" t="n"/>
      <c r="CH1145" s="254" t="n"/>
      <c r="CI1145" s="254" t="n"/>
      <c r="CJ1145" s="323" t="n"/>
      <c r="CK1145" s="254" t="n"/>
      <c r="CL1145" s="254" t="n"/>
      <c r="CM1145" s="266" t="n"/>
      <c r="CN1145" s="266" t="n"/>
      <c r="CO1145" s="323" t="n"/>
      <c r="CP1145" s="254" t="n"/>
      <c r="CQ1145" s="254" t="n"/>
      <c r="CR1145" s="254" t="n"/>
      <c r="CS1145" s="254" t="n"/>
      <c r="CT1145" s="254" t="n"/>
      <c r="CU1145" s="254" t="n"/>
      <c r="CV1145" s="254" t="n"/>
      <c r="CW1145" s="254" t="n"/>
      <c r="CX1145" s="254" t="n"/>
      <c r="CY1145" s="254" t="n"/>
      <c r="CZ1145" s="124">
        <f>+COUNT(BV1145:CY1145)</f>
        <v/>
      </c>
      <c r="DA1145" s="124" t="n"/>
      <c r="DB1145" s="124" t="n"/>
      <c r="DC1145" s="124" t="n"/>
      <c r="DD1145" s="124" t="n"/>
      <c r="DE1145" s="124" t="n"/>
      <c r="DF1145" s="124" t="n"/>
      <c r="DG1145" s="124" t="n"/>
      <c r="DH1145" s="124" t="n"/>
      <c r="DI1145" s="124" t="n"/>
      <c r="DJ1145" s="254" t="inlineStr">
        <is>
          <t>SE ELIMINA</t>
        </is>
      </c>
      <c r="DK1145" s="254" t="n"/>
      <c r="DL1145" s="95" t="n"/>
      <c r="DM1145" s="254" t="inlineStr">
        <is>
          <t>N/A</t>
        </is>
      </c>
      <c r="DN1145" s="95" t="n">
        <v>15</v>
      </c>
      <c r="DO1145" s="95" t="n">
        <v>21</v>
      </c>
    </row>
    <row r="1146" ht="14.25" customHeight="1">
      <c r="A1146" s="147" t="inlineStr">
        <is>
          <t>MPZ-05B</t>
        </is>
      </c>
      <c r="B1146" s="151" t="n"/>
      <c r="C1146" s="29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4" t="inlineStr">
        <is>
          <t>ASUB</t>
        </is>
      </c>
      <c r="BN1146" s="266" t="inlineStr">
        <is>
          <t>Tranque</t>
        </is>
      </c>
      <c r="BO1146" s="254" t="inlineStr">
        <is>
          <t>NO</t>
        </is>
      </c>
      <c r="BP1146" s="251" t="n"/>
      <c r="BQ1146" s="251" t="n"/>
      <c r="BR1146" s="251" t="n"/>
      <c r="BS1146" s="251" t="n"/>
      <c r="BT1146" s="251" t="n"/>
      <c r="BU1146" s="102" t="inlineStr">
        <is>
          <t>ELIMINADO</t>
        </is>
      </c>
      <c r="BV1146" s="178" t="n"/>
      <c r="BW1146" s="254" t="n"/>
      <c r="BX1146" s="254" t="n"/>
      <c r="BY1146" s="254" t="n"/>
      <c r="BZ1146" s="254" t="n"/>
      <c r="CA1146" s="254" t="n"/>
      <c r="CB1146" s="254" t="n"/>
      <c r="CC1146" s="254" t="n"/>
      <c r="CD1146" s="254" t="n"/>
      <c r="CE1146" s="254" t="n"/>
      <c r="CF1146" s="254" t="n"/>
      <c r="CG1146" s="254" t="n"/>
      <c r="CH1146" s="254" t="n"/>
      <c r="CI1146" s="254" t="n"/>
      <c r="CJ1146" s="254" t="n"/>
      <c r="CK1146" s="254" t="n"/>
      <c r="CL1146" s="254" t="n"/>
      <c r="CM1146" s="254" t="n"/>
      <c r="CN1146" s="254" t="n"/>
      <c r="CO1146" s="254" t="n"/>
      <c r="CP1146" s="254" t="n"/>
      <c r="CQ1146" s="254" t="n"/>
      <c r="CR1146" s="254" t="n"/>
      <c r="CS1146" s="254" t="n"/>
      <c r="CT1146" s="254" t="n"/>
      <c r="CU1146" s="254" t="n"/>
      <c r="CV1146" s="254" t="n"/>
      <c r="CW1146" s="254" t="n"/>
      <c r="CX1146" s="254" t="n"/>
      <c r="CY1146" s="254" t="n"/>
      <c r="CZ1146" s="124">
        <f>+COUNT(BV1146:CY1146)</f>
        <v/>
      </c>
      <c r="DA1146" s="124" t="n"/>
      <c r="DB1146" s="124" t="n"/>
      <c r="DC1146" s="124" t="n"/>
      <c r="DD1146" s="124" t="n"/>
      <c r="DE1146" s="124" t="n"/>
      <c r="DF1146" s="124" t="n"/>
      <c r="DG1146" s="124" t="n"/>
      <c r="DH1146" s="124" t="n"/>
      <c r="DI1146" s="124" t="n"/>
      <c r="DJ1146" s="254" t="inlineStr">
        <is>
          <t>SE ELIMINA</t>
        </is>
      </c>
      <c r="DK1146" s="254" t="n"/>
      <c r="DL1146" s="95" t="n"/>
      <c r="DM1146" s="254" t="inlineStr">
        <is>
          <t>N/A</t>
        </is>
      </c>
      <c r="DN1146" s="95" t="n"/>
      <c r="DO1146" s="95" t="n"/>
    </row>
    <row r="1147" ht="14.25" customHeight="1">
      <c r="A1147" s="147" t="inlineStr">
        <is>
          <t>MPZ-05B-L2</t>
        </is>
      </c>
      <c r="B1147" s="151" t="n"/>
      <c r="C1147" s="29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4" t="inlineStr">
        <is>
          <t>ASUB</t>
        </is>
      </c>
      <c r="BN1147" s="266" t="inlineStr">
        <is>
          <t>Tranque</t>
        </is>
      </c>
      <c r="BO1147" s="254" t="inlineStr">
        <is>
          <t>NO</t>
        </is>
      </c>
      <c r="BP1147" s="251" t="n"/>
      <c r="BQ1147" s="251" t="n"/>
      <c r="BR1147" s="251" t="n"/>
      <c r="BS1147" s="251" t="n"/>
      <c r="BT1147" s="251" t="n"/>
      <c r="BU1147" s="102" t="inlineStr">
        <is>
          <t>ELIMINADO</t>
        </is>
      </c>
      <c r="BV1147" s="178" t="n"/>
      <c r="BW1147" s="254" t="n"/>
      <c r="BX1147" s="254" t="n"/>
      <c r="BY1147" s="254" t="n"/>
      <c r="BZ1147" s="254" t="n"/>
      <c r="CA1147" s="254" t="n"/>
      <c r="CB1147" s="254" t="n"/>
      <c r="CC1147" s="254" t="n"/>
      <c r="CD1147" s="254" t="n"/>
      <c r="CE1147" s="254" t="n"/>
      <c r="CF1147" s="254" t="n"/>
      <c r="CG1147" s="254" t="n"/>
      <c r="CH1147" s="254" t="n"/>
      <c r="CI1147" s="254" t="n"/>
      <c r="CJ1147" s="254" t="n"/>
      <c r="CK1147" s="254" t="n"/>
      <c r="CL1147" s="254" t="n"/>
      <c r="CM1147" s="254" t="n"/>
      <c r="CN1147" s="254" t="n"/>
      <c r="CO1147" s="254" t="n"/>
      <c r="CP1147" s="254" t="n"/>
      <c r="CQ1147" s="254" t="n"/>
      <c r="CR1147" s="254" t="n"/>
      <c r="CS1147" s="254" t="n"/>
      <c r="CT1147" s="254" t="n"/>
      <c r="CU1147" s="254" t="n"/>
      <c r="CV1147" s="254" t="n"/>
      <c r="CW1147" s="254" t="n"/>
      <c r="CX1147" s="254" t="n"/>
      <c r="CY1147" s="254" t="n"/>
      <c r="CZ1147" s="124">
        <f>+COUNT(BV1147:CY1147)</f>
        <v/>
      </c>
      <c r="DA1147" s="124" t="n"/>
      <c r="DB1147" s="124" t="n"/>
      <c r="DC1147" s="124" t="n"/>
      <c r="DD1147" s="124" t="n"/>
      <c r="DE1147" s="124" t="n"/>
      <c r="DF1147" s="124" t="n"/>
      <c r="DG1147" s="124" t="n"/>
      <c r="DH1147" s="124" t="n"/>
      <c r="DI1147" s="124" t="n"/>
      <c r="DJ1147" s="254" t="inlineStr">
        <is>
          <t>SE ELIMINA</t>
        </is>
      </c>
      <c r="DK1147" s="254" t="n"/>
      <c r="DL1147" s="95" t="n"/>
      <c r="DM1147" s="254" t="inlineStr">
        <is>
          <t>N/A</t>
        </is>
      </c>
      <c r="DN1147" s="95" t="n"/>
      <c r="DO1147" s="95" t="n"/>
    </row>
    <row r="1148" ht="14.25" customHeight="1">
      <c r="A1148" s="147" t="inlineStr">
        <is>
          <t>MPZ-08B2</t>
        </is>
      </c>
      <c r="B1148" s="151" t="n"/>
      <c r="C1148" s="29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4" t="inlineStr">
        <is>
          <t>ASUB</t>
        </is>
      </c>
      <c r="BN1148" s="266" t="inlineStr">
        <is>
          <t>Tranque</t>
        </is>
      </c>
      <c r="BO1148" s="254" t="inlineStr">
        <is>
          <t>NO</t>
        </is>
      </c>
      <c r="BP1148" s="251" t="n"/>
      <c r="BQ1148" s="251" t="n"/>
      <c r="BR1148" s="251" t="n"/>
      <c r="BS1148" s="251" t="n"/>
      <c r="BT1148" s="251" t="n"/>
      <c r="BU1148" s="102" t="inlineStr">
        <is>
          <t>ELIMINADO</t>
        </is>
      </c>
      <c r="BV1148" s="178" t="n"/>
      <c r="BW1148" s="254" t="n"/>
      <c r="BX1148" s="254" t="n"/>
      <c r="BY1148" s="254" t="n"/>
      <c r="BZ1148" s="254" t="n"/>
      <c r="CA1148" s="254" t="n"/>
      <c r="CB1148" s="254" t="n"/>
      <c r="CC1148" s="254" t="n"/>
      <c r="CD1148" s="254" t="n"/>
      <c r="CE1148" s="254" t="n"/>
      <c r="CF1148" s="254" t="n"/>
      <c r="CG1148" s="254" t="n"/>
      <c r="CH1148" s="254" t="n"/>
      <c r="CI1148" s="254" t="n"/>
      <c r="CJ1148" s="254" t="n"/>
      <c r="CK1148" s="254" t="n"/>
      <c r="CL1148" s="254" t="n"/>
      <c r="CM1148" s="254" t="n"/>
      <c r="CN1148" s="254" t="n"/>
      <c r="CO1148" s="254" t="n"/>
      <c r="CP1148" s="254" t="n"/>
      <c r="CQ1148" s="254" t="n"/>
      <c r="CR1148" s="254" t="n"/>
      <c r="CS1148" s="254" t="n"/>
      <c r="CT1148" s="254" t="n"/>
      <c r="CU1148" s="254" t="n"/>
      <c r="CV1148" s="254" t="n"/>
      <c r="CW1148" s="254" t="n"/>
      <c r="CX1148" s="254" t="n"/>
      <c r="CY1148" s="254" t="n"/>
      <c r="CZ1148" s="124">
        <f>+COUNT(BV1148:CY1148)</f>
        <v/>
      </c>
      <c r="DA1148" s="124" t="n"/>
      <c r="DB1148" s="124" t="n"/>
      <c r="DC1148" s="124" t="n"/>
      <c r="DD1148" s="124" t="n"/>
      <c r="DE1148" s="124" t="n"/>
      <c r="DF1148" s="124" t="n"/>
      <c r="DG1148" s="124" t="n"/>
      <c r="DH1148" s="124" t="n"/>
      <c r="DI1148" s="124" t="n"/>
      <c r="DJ1148" s="254" t="inlineStr">
        <is>
          <t>SE ELIMINA</t>
        </is>
      </c>
      <c r="DK1148" s="254" t="n"/>
      <c r="DL1148" s="95" t="n"/>
      <c r="DM1148" s="254" t="inlineStr">
        <is>
          <t>N/A</t>
        </is>
      </c>
      <c r="DN1148" s="95" t="n"/>
      <c r="DO1148" s="95" t="n"/>
    </row>
    <row r="1149" ht="14.25" customHeight="1">
      <c r="A1149" s="147" t="inlineStr">
        <is>
          <t>MPZ-08C</t>
        </is>
      </c>
      <c r="B1149" s="151" t="n"/>
      <c r="C1149" s="29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4" t="inlineStr">
        <is>
          <t>ASUB</t>
        </is>
      </c>
      <c r="BN1149" s="266" t="inlineStr">
        <is>
          <t>Tranque</t>
        </is>
      </c>
      <c r="BO1149" s="254" t="inlineStr">
        <is>
          <t>NO</t>
        </is>
      </c>
      <c r="BP1149" s="251" t="n"/>
      <c r="BQ1149" s="251" t="n"/>
      <c r="BR1149" s="251" t="n"/>
      <c r="BS1149" s="251" t="n"/>
      <c r="BT1149" s="251" t="n"/>
      <c r="BU1149" s="102" t="inlineStr">
        <is>
          <t>ELIMINADO</t>
        </is>
      </c>
      <c r="BV1149" s="178" t="n"/>
      <c r="BW1149" s="254" t="n"/>
      <c r="BX1149" s="254" t="n"/>
      <c r="BY1149" s="254" t="n"/>
      <c r="BZ1149" s="254" t="n"/>
      <c r="CA1149" s="254" t="n"/>
      <c r="CB1149" s="254" t="n"/>
      <c r="CC1149" s="254" t="n"/>
      <c r="CD1149" s="254" t="n"/>
      <c r="CE1149" s="254" t="n"/>
      <c r="CF1149" s="254" t="n"/>
      <c r="CG1149" s="254" t="n"/>
      <c r="CH1149" s="254" t="n"/>
      <c r="CI1149" s="254" t="n"/>
      <c r="CJ1149" s="254" t="n"/>
      <c r="CK1149" s="254" t="n"/>
      <c r="CL1149" s="254" t="n"/>
      <c r="CM1149" s="254" t="n"/>
      <c r="CN1149" s="254" t="n"/>
      <c r="CO1149" s="254" t="n"/>
      <c r="CP1149" s="254" t="n"/>
      <c r="CQ1149" s="254" t="n"/>
      <c r="CR1149" s="254" t="n"/>
      <c r="CS1149" s="254" t="n"/>
      <c r="CT1149" s="254" t="n"/>
      <c r="CU1149" s="254" t="n"/>
      <c r="CV1149" s="254" t="n"/>
      <c r="CW1149" s="254" t="n"/>
      <c r="CX1149" s="254" t="n"/>
      <c r="CY1149" s="254" t="n"/>
      <c r="CZ1149" s="124">
        <f>+COUNT(BV1149:CY1149)</f>
        <v/>
      </c>
      <c r="DA1149" s="124" t="n"/>
      <c r="DB1149" s="124" t="n"/>
      <c r="DC1149" s="124" t="n"/>
      <c r="DD1149" s="124" t="n"/>
      <c r="DE1149" s="124" t="n"/>
      <c r="DF1149" s="124" t="n"/>
      <c r="DG1149" s="124" t="n"/>
      <c r="DH1149" s="124" t="n"/>
      <c r="DI1149" s="124" t="n"/>
      <c r="DJ1149" s="254" t="inlineStr">
        <is>
          <t>SE ELIMINA</t>
        </is>
      </c>
      <c r="DK1149" s="254" t="n"/>
      <c r="DL1149" s="95" t="n"/>
      <c r="DM1149" s="254" t="inlineStr">
        <is>
          <t>N/A</t>
        </is>
      </c>
      <c r="DN1149" s="95" t="n"/>
      <c r="DO1149" s="95" t="n"/>
    </row>
    <row r="1150" ht="14.25" customHeight="1">
      <c r="A1150" s="147" t="inlineStr">
        <is>
          <t>MPZ-09</t>
        </is>
      </c>
      <c r="B1150" s="151" t="n"/>
      <c r="C1150" s="29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4" t="inlineStr">
        <is>
          <t>ASUB</t>
        </is>
      </c>
      <c r="BN1150" s="266" t="inlineStr">
        <is>
          <t>tranque</t>
        </is>
      </c>
      <c r="BO1150" s="254" t="inlineStr">
        <is>
          <t>SI</t>
        </is>
      </c>
      <c r="BP1150" s="251" t="n"/>
      <c r="BQ1150" s="251" t="n"/>
      <c r="BR1150" s="251" t="n"/>
      <c r="BS1150" s="251" t="n"/>
      <c r="BT1150" s="251" t="n"/>
      <c r="BU1150" s="102" t="inlineStr">
        <is>
          <t>PDTE ELIMINARLO</t>
        </is>
      </c>
      <c r="BV1150" s="178" t="n"/>
      <c r="BW1150" s="254" t="n"/>
      <c r="BX1150" s="254" t="n"/>
      <c r="BY1150" s="254" t="n"/>
      <c r="BZ1150" s="254" t="n"/>
      <c r="CA1150" s="254" t="n"/>
      <c r="CB1150" s="254" t="n"/>
      <c r="CC1150" s="254" t="n"/>
      <c r="CD1150" s="254" t="n"/>
      <c r="CE1150" s="254" t="n"/>
      <c r="CF1150" s="254" t="n"/>
      <c r="CG1150" s="254" t="n"/>
      <c r="CH1150" s="254" t="n"/>
      <c r="CI1150" s="254" t="n"/>
      <c r="CJ1150" s="254" t="n"/>
      <c r="CK1150" s="254" t="n"/>
      <c r="CL1150" s="254" t="n"/>
      <c r="CM1150" s="254" t="n"/>
      <c r="CN1150" s="254" t="n"/>
      <c r="CO1150" s="254" t="n"/>
      <c r="CP1150" s="254" t="n"/>
      <c r="CQ1150" s="254" t="n"/>
      <c r="CR1150" s="254" t="n"/>
      <c r="CS1150" s="254" t="n"/>
      <c r="CT1150" s="254" t="n"/>
      <c r="CU1150" s="254" t="n"/>
      <c r="CV1150" s="254" t="n"/>
      <c r="CW1150" s="254" t="n"/>
      <c r="CX1150" s="254" t="n"/>
      <c r="CY1150" s="254" t="n"/>
      <c r="CZ1150" s="124">
        <f>+COUNT(BV1150:CY1150)</f>
        <v/>
      </c>
      <c r="DA1150" s="124" t="n"/>
      <c r="DB1150" s="124" t="n"/>
      <c r="DC1150" s="124" t="n"/>
      <c r="DD1150" s="124" t="n"/>
      <c r="DE1150" s="124" t="n"/>
      <c r="DF1150" s="124" t="n"/>
      <c r="DG1150" s="124" t="n"/>
      <c r="DH1150" s="124" t="n"/>
      <c r="DI1150" s="124" t="n"/>
      <c r="DJ1150" s="254" t="inlineStr">
        <is>
          <t>SE ELIMINA</t>
        </is>
      </c>
      <c r="DK1150" s="254" t="n">
        <v>8</v>
      </c>
      <c r="DL1150" s="95" t="n">
        <v>14</v>
      </c>
      <c r="DM1150" s="254" t="inlineStr">
        <is>
          <t>SE ELIMINA</t>
        </is>
      </c>
      <c r="DN1150" s="95" t="n"/>
      <c r="DO1150" s="95" t="n"/>
    </row>
    <row r="1151" ht="14.25" customHeight="1">
      <c r="A1151" s="147" t="inlineStr">
        <is>
          <t>MPZ-08A2-L2</t>
        </is>
      </c>
      <c r="B1151" s="151" t="n"/>
      <c r="C1151" s="29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4" t="inlineStr">
        <is>
          <t>ASUB</t>
        </is>
      </c>
      <c r="BN1151" s="266" t="inlineStr">
        <is>
          <t>Tranque</t>
        </is>
      </c>
      <c r="BO1151" s="254" t="inlineStr">
        <is>
          <t>SI</t>
        </is>
      </c>
      <c r="BP1151" s="251" t="n"/>
      <c r="BQ1151" s="251" t="n"/>
      <c r="BR1151" s="251" t="n"/>
      <c r="BS1151" s="251" t="n"/>
      <c r="BT1151" s="251" t="n"/>
      <c r="BU1151" s="101" t="inlineStr">
        <is>
          <t>Desaparecido</t>
        </is>
      </c>
      <c r="BV1151" s="178" t="n"/>
      <c r="BW1151" s="254" t="n"/>
      <c r="BX1151" s="254" t="n"/>
      <c r="BY1151" s="254" t="n"/>
      <c r="BZ1151" s="254" t="n"/>
      <c r="CA1151" s="254" t="n"/>
      <c r="CB1151" s="254" t="n"/>
      <c r="CC1151" s="254" t="n"/>
      <c r="CD1151" s="254" t="n"/>
      <c r="CE1151" s="254" t="n"/>
      <c r="CF1151" s="254" t="n"/>
      <c r="CG1151" s="254" t="n"/>
      <c r="CH1151" s="254" t="n"/>
      <c r="CI1151" s="254" t="n"/>
      <c r="CJ1151" s="254" t="n"/>
      <c r="CK1151" s="254" t="n"/>
      <c r="CL1151" s="254" t="n"/>
      <c r="CM1151" s="254" t="n"/>
      <c r="CN1151" s="254" t="n"/>
      <c r="CO1151" s="254" t="n"/>
      <c r="CP1151" s="254" t="n"/>
      <c r="CQ1151" s="254" t="n"/>
      <c r="CR1151" s="254" t="n"/>
      <c r="CS1151" s="254" t="n"/>
      <c r="CT1151" s="254" t="n"/>
      <c r="CU1151" s="254" t="n"/>
      <c r="CV1151" s="254" t="n"/>
      <c r="CW1151" s="254" t="n"/>
      <c r="CX1151" s="254" t="n"/>
      <c r="CY1151" s="254" t="n"/>
      <c r="CZ1151" s="124">
        <f>+COUNT(BV1151:CY1151)</f>
        <v/>
      </c>
      <c r="DA1151" s="124" t="n"/>
      <c r="DB1151" s="124" t="n"/>
      <c r="DC1151" s="124" t="n"/>
      <c r="DD1151" s="124" t="n"/>
      <c r="DE1151" s="124" t="n"/>
      <c r="DF1151" s="124" t="n"/>
      <c r="DG1151" s="124" t="n"/>
      <c r="DH1151" s="124" t="n"/>
      <c r="DI1151" s="124" t="n"/>
      <c r="DJ1151" s="254" t="inlineStr">
        <is>
          <t>SE ELIMINA</t>
        </is>
      </c>
      <c r="DK1151" s="254" t="n">
        <v>22</v>
      </c>
      <c r="DL1151" s="95" t="n">
        <v>28</v>
      </c>
      <c r="DM1151" s="254" t="inlineStr">
        <is>
          <t>N/A</t>
        </is>
      </c>
      <c r="DN1151" s="95" t="n"/>
      <c r="DO1151" s="95" t="n"/>
    </row>
    <row r="1152" ht="14.25" customHeight="1">
      <c r="A1152" s="147" t="inlineStr">
        <is>
          <t>MPZ-8A2</t>
        </is>
      </c>
      <c r="B1152" s="151" t="n"/>
      <c r="C1152" s="29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4" t="inlineStr">
        <is>
          <t>ASUB</t>
        </is>
      </c>
      <c r="BN1152" s="266" t="inlineStr">
        <is>
          <t>Tranque</t>
        </is>
      </c>
      <c r="BO1152" s="254" t="inlineStr">
        <is>
          <t>SI</t>
        </is>
      </c>
      <c r="BP1152" s="251" t="n"/>
      <c r="BQ1152" s="251" t="n"/>
      <c r="BR1152" s="251" t="n"/>
      <c r="BS1152" s="251" t="n"/>
      <c r="BT1152" s="251" t="n"/>
      <c r="BU1152" s="102" t="inlineStr">
        <is>
          <t>ELIMINADO</t>
        </is>
      </c>
      <c r="BV1152" s="178" t="n"/>
      <c r="BW1152" s="254" t="n"/>
      <c r="BX1152" s="254" t="n"/>
      <c r="BY1152" s="254" t="n"/>
      <c r="BZ1152" s="254" t="n"/>
      <c r="CA1152" s="254" t="n"/>
      <c r="CB1152" s="254" t="n"/>
      <c r="CC1152" s="254" t="n"/>
      <c r="CD1152" s="254" t="n"/>
      <c r="CE1152" s="254" t="n"/>
      <c r="CF1152" s="254" t="n"/>
      <c r="CG1152" s="254" t="n"/>
      <c r="CH1152" s="254" t="n"/>
      <c r="CI1152" s="254" t="n"/>
      <c r="CJ1152" s="254" t="n"/>
      <c r="CK1152" s="254" t="n"/>
      <c r="CL1152" s="254" t="n"/>
      <c r="CM1152" s="254" t="n"/>
      <c r="CN1152" s="254" t="n"/>
      <c r="CO1152" s="254" t="n"/>
      <c r="CP1152" s="254" t="n"/>
      <c r="CQ1152" s="254" t="n"/>
      <c r="CR1152" s="254" t="n"/>
      <c r="CS1152" s="254" t="n"/>
      <c r="CT1152" s="254" t="n"/>
      <c r="CU1152" s="254" t="n"/>
      <c r="CV1152" s="254" t="n"/>
      <c r="CW1152" s="254" t="n"/>
      <c r="CX1152" s="254" t="n"/>
      <c r="CY1152" s="254" t="n"/>
      <c r="CZ1152" s="124">
        <f>+COUNT(BV1152:CY1152)</f>
        <v/>
      </c>
      <c r="DA1152" s="124" t="n"/>
      <c r="DB1152" s="124" t="n"/>
      <c r="DC1152" s="124" t="n"/>
      <c r="DD1152" s="124" t="n"/>
      <c r="DE1152" s="124" t="n"/>
      <c r="DF1152" s="124" t="n"/>
      <c r="DG1152" s="124" t="n"/>
      <c r="DH1152" s="124" t="n"/>
      <c r="DI1152" s="124" t="n"/>
      <c r="DJ1152" s="254" t="inlineStr">
        <is>
          <t>SE ELIMINA</t>
        </is>
      </c>
      <c r="DK1152" s="254" t="n"/>
      <c r="DL1152" s="95" t="n"/>
      <c r="DM1152" s="98" t="inlineStr">
        <is>
          <t>N/A</t>
        </is>
      </c>
      <c r="DN1152" s="95" t="n"/>
      <c r="DO1152" s="95" t="n"/>
    </row>
    <row r="1153" ht="14.25" customHeight="1">
      <c r="A1153" s="147" t="inlineStr">
        <is>
          <t>M-22</t>
        </is>
      </c>
      <c r="B1153" s="151" t="n"/>
      <c r="C1153" s="29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4" t="inlineStr">
        <is>
          <t>ASUB</t>
        </is>
      </c>
      <c r="BN1153" s="266" t="inlineStr">
        <is>
          <t>Lixiviación</t>
        </is>
      </c>
      <c r="BO1153" s="254" t="inlineStr">
        <is>
          <t>SI</t>
        </is>
      </c>
      <c r="BP1153" s="251" t="n"/>
      <c r="BQ1153" s="251" t="n"/>
      <c r="BR1153" s="251" t="n"/>
      <c r="BS1153" s="251" t="n"/>
      <c r="BT1153" s="251"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4" t="inlineStr">
        <is>
          <t>N/A</t>
        </is>
      </c>
      <c r="DK1153" s="254" t="n"/>
      <c r="DL1153" s="95" t="n"/>
      <c r="DM1153" s="254" t="inlineStr">
        <is>
          <t>N/A</t>
        </is>
      </c>
      <c r="DN1153" s="95" t="n"/>
      <c r="DO1153" s="95" t="n"/>
    </row>
    <row r="1154" ht="14.25" customHeight="1">
      <c r="A1154" s="147" t="inlineStr">
        <is>
          <t>MTP-06</t>
        </is>
      </c>
      <c r="B1154" s="151" t="n"/>
      <c r="C1154" s="29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4" t="inlineStr">
        <is>
          <t>ASUB</t>
        </is>
      </c>
      <c r="BN1154" s="266" t="inlineStr">
        <is>
          <t>Tranque</t>
        </is>
      </c>
      <c r="BO1154" s="254" t="n"/>
      <c r="BP1154" s="251" t="n"/>
      <c r="BQ1154" s="251" t="n"/>
      <c r="BR1154" s="251" t="n"/>
      <c r="BS1154" s="251" t="n"/>
      <c r="BT1154" s="251"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4" t="inlineStr">
        <is>
          <t>N/A</t>
        </is>
      </c>
      <c r="DK1154" s="254" t="inlineStr">
        <is>
          <t>N/A</t>
        </is>
      </c>
      <c r="DL1154" s="254" t="inlineStr">
        <is>
          <t>N/A</t>
        </is>
      </c>
      <c r="DM1154" s="254" t="inlineStr">
        <is>
          <t>N/A</t>
        </is>
      </c>
      <c r="DN1154" s="95" t="n"/>
      <c r="DO1154" s="95" t="n"/>
    </row>
    <row r="1155" ht="14.25" customHeight="1">
      <c r="A1155" s="147" t="inlineStr">
        <is>
          <t>MTP-07</t>
        </is>
      </c>
      <c r="B1155" s="151" t="n"/>
      <c r="C1155" s="29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4" t="inlineStr">
        <is>
          <t>ASUB</t>
        </is>
      </c>
      <c r="BN1155" s="266" t="inlineStr">
        <is>
          <t>Tranque</t>
        </is>
      </c>
      <c r="BO1155" s="254" t="n"/>
      <c r="BP1155" s="251" t="n"/>
      <c r="BQ1155" s="251" t="n"/>
      <c r="BR1155" s="251" t="n"/>
      <c r="BS1155" s="251" t="n"/>
      <c r="BT1155" s="251"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4" t="inlineStr">
        <is>
          <t>N/A</t>
        </is>
      </c>
      <c r="DK1155" s="254" t="inlineStr">
        <is>
          <t>N/A</t>
        </is>
      </c>
      <c r="DL1155" s="254" t="inlineStr">
        <is>
          <t>N/A</t>
        </is>
      </c>
      <c r="DM1155" s="254" t="inlineStr">
        <is>
          <t>N/A</t>
        </is>
      </c>
      <c r="DN1155" s="95" t="n"/>
      <c r="DO1155" s="95" t="n"/>
    </row>
    <row r="1156" ht="14.25" customHeight="1">
      <c r="A1156" s="147" t="inlineStr">
        <is>
          <t>MTP-08</t>
        </is>
      </c>
      <c r="B1156" s="151" t="n"/>
      <c r="C1156" s="29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4" t="inlineStr">
        <is>
          <t>ASUB</t>
        </is>
      </c>
      <c r="BN1156" s="266" t="inlineStr">
        <is>
          <t>Tranque</t>
        </is>
      </c>
      <c r="BO1156" s="254" t="n"/>
      <c r="BP1156" s="251" t="n"/>
      <c r="BQ1156" s="251" t="n"/>
      <c r="BR1156" s="251" t="n"/>
      <c r="BS1156" s="251" t="n"/>
      <c r="BT1156" s="251"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4" t="inlineStr">
        <is>
          <t>N/A</t>
        </is>
      </c>
      <c r="DK1156" s="254" t="inlineStr">
        <is>
          <t>N/A</t>
        </is>
      </c>
      <c r="DL1156" s="254" t="inlineStr">
        <is>
          <t>N/A</t>
        </is>
      </c>
      <c r="DM1156" s="254" t="inlineStr">
        <is>
          <t>N/A</t>
        </is>
      </c>
      <c r="DN1156" s="95" t="n"/>
      <c r="DO1156" s="95" t="n"/>
    </row>
    <row r="1157" ht="14.25" customHeight="1">
      <c r="A1157" s="147" t="inlineStr">
        <is>
          <t>PDB-01</t>
        </is>
      </c>
      <c r="B1157" s="151" t="n"/>
      <c r="C1157" s="29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4" t="inlineStr">
        <is>
          <t>ASUB</t>
        </is>
      </c>
      <c r="BN1157" s="266" t="inlineStr">
        <is>
          <t>Rosario</t>
        </is>
      </c>
      <c r="BO1157" s="254" t="inlineStr">
        <is>
          <t>NO</t>
        </is>
      </c>
      <c r="BP1157" s="251" t="n"/>
      <c r="BQ1157" s="251" t="n"/>
      <c r="BR1157" s="251" t="n"/>
      <c r="BS1157" s="251" t="n"/>
      <c r="BT1157" s="251" t="n"/>
      <c r="BU1157" s="109" t="inlineStr">
        <is>
          <t>ARCADIS</t>
        </is>
      </c>
      <c r="BV1157" s="178" t="n"/>
      <c r="BW1157" s="254" t="n"/>
      <c r="BX1157" s="254" t="n"/>
      <c r="BY1157" s="254" t="n"/>
      <c r="BZ1157" s="254" t="n"/>
      <c r="CA1157" s="254" t="n"/>
      <c r="CB1157" s="254" t="n"/>
      <c r="CC1157" s="254" t="n"/>
      <c r="CD1157" s="254" t="n"/>
      <c r="CE1157" s="254" t="n"/>
      <c r="CF1157" s="254" t="n"/>
      <c r="CG1157" s="254" t="n"/>
      <c r="CH1157" s="254" t="n"/>
      <c r="CI1157" s="254" t="n"/>
      <c r="CJ1157" s="254" t="n"/>
      <c r="CK1157" s="254" t="n"/>
      <c r="CL1157" s="254" t="n"/>
      <c r="CM1157" s="254" t="n"/>
      <c r="CN1157" s="254" t="n"/>
      <c r="CO1157" s="254" t="n"/>
      <c r="CP1157" s="254" t="n"/>
      <c r="CQ1157" s="254" t="n"/>
      <c r="CR1157" s="254" t="n"/>
      <c r="CS1157" s="254" t="n"/>
      <c r="CT1157" s="254" t="n"/>
      <c r="CU1157" s="254" t="n"/>
      <c r="CV1157" s="254" t="n"/>
      <c r="CW1157" s="254" t="n"/>
      <c r="CX1157" s="254" t="n"/>
      <c r="CY1157" s="254" t="n"/>
      <c r="CZ1157" s="124">
        <f>+COUNT(BV1157:CY1157)</f>
        <v/>
      </c>
      <c r="DA1157" s="124" t="n"/>
      <c r="DB1157" s="124" t="n"/>
      <c r="DC1157" s="124" t="n"/>
      <c r="DD1157" s="124" t="n"/>
      <c r="DE1157" s="124" t="n"/>
      <c r="DF1157" s="124" t="n"/>
      <c r="DG1157" s="124" t="n"/>
      <c r="DH1157" s="124" t="n"/>
      <c r="DI1157" s="124" t="n"/>
      <c r="DJ1157" s="254" t="inlineStr">
        <is>
          <t>SE ELIMINA</t>
        </is>
      </c>
      <c r="DK1157" s="254" t="n"/>
      <c r="DL1157" s="95" t="n"/>
      <c r="DM1157" s="254" t="inlineStr">
        <is>
          <t>N/A</t>
        </is>
      </c>
      <c r="DN1157" s="95" t="n"/>
      <c r="DO1157" s="95" t="n"/>
    </row>
    <row r="1158" ht="14.25" customHeight="1">
      <c r="A1158" s="147" t="inlineStr">
        <is>
          <t>PDR-107</t>
        </is>
      </c>
      <c r="B1158" s="151" t="n"/>
      <c r="C1158" s="29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4" t="inlineStr">
        <is>
          <t>ASUB</t>
        </is>
      </c>
      <c r="BN1158" s="266" t="inlineStr">
        <is>
          <t>Rosario</t>
        </is>
      </c>
      <c r="BO1158" s="254" t="inlineStr">
        <is>
          <t>SI</t>
        </is>
      </c>
      <c r="BP1158" s="251" t="n"/>
      <c r="BQ1158" s="251" t="n"/>
      <c r="BR1158" s="251" t="n"/>
      <c r="BS1158" s="251" t="n"/>
      <c r="BT1158" s="251" t="n"/>
      <c r="BU1158" s="101" t="inlineStr">
        <is>
          <t>ELIMINADO</t>
        </is>
      </c>
      <c r="BV1158" s="178" t="n"/>
      <c r="BW1158" s="254" t="n"/>
      <c r="BX1158" s="254" t="n"/>
      <c r="BY1158" s="254" t="n"/>
      <c r="BZ1158" s="254" t="n"/>
      <c r="CA1158" s="254" t="n"/>
      <c r="CB1158" s="254" t="n"/>
      <c r="CC1158" s="254" t="n"/>
      <c r="CD1158" s="254" t="n"/>
      <c r="CE1158" s="254" t="n"/>
      <c r="CF1158" s="254" t="n"/>
      <c r="CG1158" s="254" t="n"/>
      <c r="CH1158" s="254" t="n"/>
      <c r="CI1158" s="254" t="n"/>
      <c r="CJ1158" s="254" t="n"/>
      <c r="CK1158" s="254" t="n"/>
      <c r="CL1158" s="254" t="n"/>
      <c r="CM1158" s="254" t="n"/>
      <c r="CN1158" s="254" t="n"/>
      <c r="CO1158" s="254" t="n"/>
      <c r="CP1158" s="254" t="n"/>
      <c r="CQ1158" s="323" t="n"/>
      <c r="CR1158" s="323" t="n"/>
      <c r="CS1158" s="254" t="n"/>
      <c r="CT1158" s="323" t="n"/>
      <c r="CU1158" s="254" t="n"/>
      <c r="CV1158" s="254" t="n"/>
      <c r="CW1158" s="254" t="n"/>
      <c r="CX1158" s="254" t="n"/>
      <c r="CY1158" s="254" t="n"/>
      <c r="CZ1158" s="124">
        <f>+COUNT(BV1158:CY1158)</f>
        <v/>
      </c>
      <c r="DA1158" s="124" t="n"/>
      <c r="DB1158" s="124" t="n"/>
      <c r="DC1158" s="124" t="n"/>
      <c r="DD1158" s="124" t="n"/>
      <c r="DE1158" s="124" t="n"/>
      <c r="DF1158" s="124" t="n"/>
      <c r="DG1158" s="124" t="n"/>
      <c r="DH1158" s="124" t="n"/>
      <c r="DI1158" s="124" t="n"/>
      <c r="DJ1158" s="254" t="inlineStr">
        <is>
          <t>SE ELIMINA</t>
        </is>
      </c>
      <c r="DK1158" s="254" t="inlineStr">
        <is>
          <t>N/A</t>
        </is>
      </c>
      <c r="DL1158" s="95" t="inlineStr">
        <is>
          <t>N/A</t>
        </is>
      </c>
      <c r="DM1158" s="254" t="inlineStr">
        <is>
          <t>ELIMINADO</t>
        </is>
      </c>
      <c r="DN1158" s="95" t="inlineStr">
        <is>
          <t>N/A</t>
        </is>
      </c>
      <c r="DO1158" s="95" t="inlineStr">
        <is>
          <t>N/A</t>
        </is>
      </c>
    </row>
    <row r="1159" ht="14.25" customHeight="1">
      <c r="A1159" s="147" t="inlineStr">
        <is>
          <t>PDR-82</t>
        </is>
      </c>
      <c r="B1159" s="151" t="n"/>
      <c r="C1159" s="29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4" t="inlineStr">
        <is>
          <t>ASUB</t>
        </is>
      </c>
      <c r="BN1159" s="266" t="inlineStr">
        <is>
          <t>Rosario(interior rajo rosario sector tucu tucu  face 12)</t>
        </is>
      </c>
      <c r="BO1159" s="254" t="inlineStr">
        <is>
          <t>SI</t>
        </is>
      </c>
      <c r="BP1159" s="251" t="n"/>
      <c r="BQ1159" s="251" t="n"/>
      <c r="BR1159" s="251" t="n"/>
      <c r="BS1159" s="251" t="n"/>
      <c r="BT1159" s="251" t="n"/>
      <c r="BU1159" s="101" t="inlineStr">
        <is>
          <t>DESAPARECIDO AVANCE FACE 12</t>
        </is>
      </c>
      <c r="BV1159" s="178" t="n"/>
      <c r="BW1159" s="254" t="n"/>
      <c r="BX1159" s="254" t="n"/>
      <c r="BY1159" s="254" t="n"/>
      <c r="BZ1159" s="254" t="n"/>
      <c r="CA1159" s="254" t="n"/>
      <c r="CB1159" s="254" t="n"/>
      <c r="CC1159" s="254" t="n"/>
      <c r="CD1159" s="254" t="n"/>
      <c r="CE1159" s="254" t="n"/>
      <c r="CF1159" s="254" t="n"/>
      <c r="CG1159" s="254" t="n"/>
      <c r="CH1159" s="254" t="n"/>
      <c r="CI1159" s="254" t="n"/>
      <c r="CJ1159" s="254" t="n"/>
      <c r="CK1159" s="254" t="n"/>
      <c r="CL1159" s="254" t="n"/>
      <c r="CM1159" s="254" t="n"/>
      <c r="CN1159" s="254" t="n"/>
      <c r="CO1159" s="254" t="n"/>
      <c r="CP1159" s="254" t="n"/>
      <c r="CQ1159" s="254" t="n"/>
      <c r="CR1159" s="254" t="n"/>
      <c r="CS1159" s="254" t="n"/>
      <c r="CT1159" s="254" t="n"/>
      <c r="CU1159" s="254" t="n"/>
      <c r="CV1159" s="254" t="n"/>
      <c r="CW1159" s="254" t="n"/>
      <c r="CX1159" s="254" t="n"/>
      <c r="CY1159" s="254" t="n"/>
      <c r="CZ1159" s="124">
        <f>+COUNT(BV1159:CY1159)</f>
        <v/>
      </c>
      <c r="DA1159" s="124" t="n"/>
      <c r="DB1159" s="124" t="n"/>
      <c r="DC1159" s="124" t="n"/>
      <c r="DD1159" s="124" t="n"/>
      <c r="DE1159" s="124" t="n"/>
      <c r="DF1159" s="124" t="n"/>
      <c r="DG1159" s="124" t="n"/>
      <c r="DH1159" s="124" t="n"/>
      <c r="DI1159" s="124" t="n"/>
      <c r="DJ1159" s="254" t="inlineStr">
        <is>
          <t>SE ELIMINA</t>
        </is>
      </c>
      <c r="DK1159" s="254" t="inlineStr">
        <is>
          <t>N/A</t>
        </is>
      </c>
      <c r="DL1159" s="254" t="inlineStr">
        <is>
          <t>N/A</t>
        </is>
      </c>
      <c r="DM1159" s="254" t="inlineStr">
        <is>
          <t>N/A</t>
        </is>
      </c>
      <c r="DN1159" s="95" t="inlineStr">
        <is>
          <t>N/A</t>
        </is>
      </c>
      <c r="DO1159" s="95" t="inlineStr">
        <is>
          <t>N/A</t>
        </is>
      </c>
    </row>
    <row r="1160" ht="14.25" customHeight="1">
      <c r="A1160" s="147" t="inlineStr">
        <is>
          <t>PDR-93</t>
        </is>
      </c>
      <c r="B1160" s="151" t="n"/>
      <c r="C1160" s="29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4" t="inlineStr">
        <is>
          <t>ASUB</t>
        </is>
      </c>
      <c r="BN1160" s="266" t="inlineStr">
        <is>
          <t>Rosario</t>
        </is>
      </c>
      <c r="BO1160" s="254" t="inlineStr">
        <is>
          <t>SI</t>
        </is>
      </c>
      <c r="BP1160" s="251" t="n"/>
      <c r="BQ1160" s="251" t="n"/>
      <c r="BR1160" s="251" t="n"/>
      <c r="BS1160" s="251" t="n"/>
      <c r="BT1160" s="251" t="n"/>
      <c r="BU1160" s="101" t="inlineStr">
        <is>
          <t>ELIMINADO</t>
        </is>
      </c>
      <c r="BV1160" s="178" t="n"/>
      <c r="BW1160" s="254" t="n"/>
      <c r="BX1160" s="254" t="n"/>
      <c r="BY1160" s="254" t="n"/>
      <c r="BZ1160" s="254" t="n"/>
      <c r="CA1160" s="254" t="n"/>
      <c r="CB1160" s="254" t="n"/>
      <c r="CC1160" s="254" t="n"/>
      <c r="CD1160" s="254" t="n"/>
      <c r="CE1160" s="254" t="n"/>
      <c r="CF1160" s="254" t="n"/>
      <c r="CG1160" s="254" t="n"/>
      <c r="CH1160" s="254" t="n"/>
      <c r="CI1160" s="254" t="n"/>
      <c r="CJ1160" s="254" t="n"/>
      <c r="CK1160" s="254" t="n"/>
      <c r="CL1160" s="254" t="n"/>
      <c r="CM1160" s="254" t="n"/>
      <c r="CN1160" s="254" t="n"/>
      <c r="CO1160" s="254" t="n"/>
      <c r="CP1160" s="254" t="n"/>
      <c r="CQ1160" s="254" t="n"/>
      <c r="CR1160" s="323" t="n"/>
      <c r="CS1160" s="254" t="n"/>
      <c r="CT1160" s="254" t="n"/>
      <c r="CU1160" s="254" t="n"/>
      <c r="CV1160" s="254" t="n"/>
      <c r="CW1160" s="254" t="n"/>
      <c r="CX1160" s="254" t="n"/>
      <c r="CY1160" s="254" t="n"/>
      <c r="CZ1160" s="124">
        <f>+COUNT(BV1160:CY1160)</f>
        <v/>
      </c>
      <c r="DA1160" s="124" t="n"/>
      <c r="DB1160" s="124" t="n"/>
      <c r="DC1160" s="124" t="n"/>
      <c r="DD1160" s="124" t="n"/>
      <c r="DE1160" s="124" t="n"/>
      <c r="DF1160" s="124" t="n"/>
      <c r="DG1160" s="124" t="n"/>
      <c r="DH1160" s="124" t="n"/>
      <c r="DI1160" s="124" t="n"/>
      <c r="DJ1160" s="254" t="inlineStr">
        <is>
          <t>SE ELIMINA</t>
        </is>
      </c>
      <c r="DK1160" s="254" t="inlineStr">
        <is>
          <t>N/A</t>
        </is>
      </c>
      <c r="DL1160" s="95" t="inlineStr">
        <is>
          <t>N/A</t>
        </is>
      </c>
      <c r="DM1160" s="254" t="inlineStr">
        <is>
          <t>ELIMINADO</t>
        </is>
      </c>
      <c r="DN1160" s="95" t="inlineStr">
        <is>
          <t>N/A</t>
        </is>
      </c>
      <c r="DO1160" s="95" t="inlineStr">
        <is>
          <t>N/A</t>
        </is>
      </c>
    </row>
    <row r="1161" ht="14.25" customHeight="1">
      <c r="A1161" s="147" t="inlineStr">
        <is>
          <t>PDU-03</t>
        </is>
      </c>
      <c r="B1161" s="151" t="n"/>
      <c r="C1161" s="29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4" t="inlineStr">
        <is>
          <t>ASUB</t>
        </is>
      </c>
      <c r="BN1161" s="266" t="inlineStr">
        <is>
          <t>Ujina</t>
        </is>
      </c>
      <c r="BO1161" s="254" t="inlineStr">
        <is>
          <t>NO</t>
        </is>
      </c>
      <c r="BP1161" s="251" t="n"/>
      <c r="BQ1161" s="251" t="n"/>
      <c r="BR1161" s="251" t="n"/>
      <c r="BS1161" s="251" t="n"/>
      <c r="BT1161" s="251" t="n"/>
      <c r="BU1161" s="109" t="inlineStr">
        <is>
          <t>ARCADIS</t>
        </is>
      </c>
      <c r="BV1161" s="178" t="n"/>
      <c r="BW1161" s="254" t="n"/>
      <c r="BX1161" s="254" t="n"/>
      <c r="BY1161" s="254" t="n"/>
      <c r="BZ1161" s="254" t="n"/>
      <c r="CA1161" s="254" t="n"/>
      <c r="CB1161" s="254" t="n"/>
      <c r="CC1161" s="254" t="n"/>
      <c r="CD1161" s="254" t="n"/>
      <c r="CE1161" s="254" t="n"/>
      <c r="CF1161" s="254" t="n"/>
      <c r="CG1161" s="254" t="n"/>
      <c r="CH1161" s="254" t="n"/>
      <c r="CI1161" s="254" t="n"/>
      <c r="CJ1161" s="254" t="n"/>
      <c r="CK1161" s="254" t="n"/>
      <c r="CL1161" s="254" t="n"/>
      <c r="CM1161" s="254" t="n"/>
      <c r="CN1161" s="254" t="n"/>
      <c r="CO1161" s="254" t="n"/>
      <c r="CP1161" s="254" t="n"/>
      <c r="CQ1161" s="254" t="n"/>
      <c r="CR1161" s="254" t="n"/>
      <c r="CS1161" s="254" t="n"/>
      <c r="CT1161" s="254" t="n"/>
      <c r="CU1161" s="254" t="n"/>
      <c r="CV1161" s="254" t="n"/>
      <c r="CW1161" s="254" t="n"/>
      <c r="CX1161" s="254" t="n"/>
      <c r="CY1161" s="254" t="n"/>
      <c r="CZ1161" s="124">
        <f>+COUNT(BV1161:CY1161)</f>
        <v/>
      </c>
      <c r="DA1161" s="124" t="n"/>
      <c r="DB1161" s="124" t="n"/>
      <c r="DC1161" s="124" t="n"/>
      <c r="DD1161" s="124" t="n"/>
      <c r="DE1161" s="124" t="n"/>
      <c r="DF1161" s="124" t="n"/>
      <c r="DG1161" s="124" t="n"/>
      <c r="DH1161" s="124" t="n"/>
      <c r="DI1161" s="124" t="n"/>
      <c r="DJ1161" s="254" t="inlineStr">
        <is>
          <t>SE ELIMINA</t>
        </is>
      </c>
      <c r="DK1161" s="254" t="n"/>
      <c r="DL1161" s="95" t="n"/>
      <c r="DM1161" s="254" t="inlineStr">
        <is>
          <t>N/A</t>
        </is>
      </c>
      <c r="DN1161" s="95" t="n"/>
      <c r="DO1161" s="95" t="n"/>
    </row>
    <row r="1162" ht="14.25" customHeight="1">
      <c r="A1162" s="147" t="inlineStr">
        <is>
          <t>PDU-14</t>
        </is>
      </c>
      <c r="B1162" s="151" t="n"/>
      <c r="C1162" s="29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4" t="inlineStr">
        <is>
          <t>ASUB</t>
        </is>
      </c>
      <c r="BN1162" s="266" t="inlineStr">
        <is>
          <t>Ujina</t>
        </is>
      </c>
      <c r="BO1162" s="254" t="inlineStr">
        <is>
          <t>NO</t>
        </is>
      </c>
      <c r="BP1162" s="251" t="n"/>
      <c r="BQ1162" s="251" t="n"/>
      <c r="BR1162" s="251" t="n"/>
      <c r="BS1162" s="251" t="n"/>
      <c r="BT1162" s="251" t="n"/>
      <c r="BU1162" s="101" t="inlineStr">
        <is>
          <t>ARCADIS</t>
        </is>
      </c>
      <c r="BV1162" s="178" t="n"/>
      <c r="BW1162" s="254" t="n"/>
      <c r="BX1162" s="254" t="n"/>
      <c r="BY1162" s="254" t="n"/>
      <c r="BZ1162" s="254" t="n"/>
      <c r="CA1162" s="254" t="n"/>
      <c r="CB1162" s="254" t="n"/>
      <c r="CC1162" s="254" t="n"/>
      <c r="CD1162" s="254" t="n"/>
      <c r="CE1162" s="254" t="n"/>
      <c r="CF1162" s="254" t="n"/>
      <c r="CG1162" s="254" t="n"/>
      <c r="CH1162" s="254" t="n"/>
      <c r="CI1162" s="254" t="n"/>
      <c r="CJ1162" s="254" t="n"/>
      <c r="CK1162" s="254" t="n"/>
      <c r="CL1162" s="254" t="n"/>
      <c r="CM1162" s="254" t="n"/>
      <c r="CN1162" s="254" t="n"/>
      <c r="CO1162" s="254" t="n"/>
      <c r="CP1162" s="254" t="n"/>
      <c r="CQ1162" s="254" t="n"/>
      <c r="CR1162" s="254" t="n"/>
      <c r="CS1162" s="254" t="n"/>
      <c r="CT1162" s="254" t="n"/>
      <c r="CU1162" s="254" t="n"/>
      <c r="CV1162" s="254" t="n"/>
      <c r="CW1162" s="254" t="n"/>
      <c r="CX1162" s="254" t="n"/>
      <c r="CY1162" s="254" t="n"/>
      <c r="CZ1162" s="124">
        <f>+COUNT(BV1162:CY1162)</f>
        <v/>
      </c>
      <c r="DA1162" s="124" t="n"/>
      <c r="DB1162" s="124" t="n"/>
      <c r="DC1162" s="124" t="n"/>
      <c r="DD1162" s="124" t="n"/>
      <c r="DE1162" s="124" t="n"/>
      <c r="DF1162" s="124" t="n"/>
      <c r="DG1162" s="124" t="n"/>
      <c r="DH1162" s="124" t="n"/>
      <c r="DI1162" s="124" t="n"/>
      <c r="DJ1162" s="254" t="inlineStr">
        <is>
          <t>SE ELIMINA</t>
        </is>
      </c>
      <c r="DK1162" s="254" t="n"/>
      <c r="DL1162" s="95" t="n"/>
      <c r="DM1162" s="254" t="inlineStr">
        <is>
          <t>N/A</t>
        </is>
      </c>
      <c r="DN1162" s="95" t="n"/>
      <c r="DO1162" s="95" t="n"/>
    </row>
    <row r="1163" ht="14.25" customHeight="1">
      <c r="A1163" s="147" t="inlineStr">
        <is>
          <t>PDU-16</t>
        </is>
      </c>
      <c r="B1163" s="151" t="n"/>
      <c r="C1163" s="29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4" t="inlineStr">
        <is>
          <t>ASUB</t>
        </is>
      </c>
      <c r="BN1163" s="266" t="inlineStr">
        <is>
          <t>Ujina</t>
        </is>
      </c>
      <c r="BO1163" s="254" t="inlineStr">
        <is>
          <t>NO</t>
        </is>
      </c>
      <c r="BP1163" s="251" t="n"/>
      <c r="BQ1163" s="251" t="n"/>
      <c r="BR1163" s="251" t="n"/>
      <c r="BS1163" s="251" t="n"/>
      <c r="BT1163" s="251" t="n"/>
      <c r="BU1163" s="101" t="inlineStr">
        <is>
          <t>ARCADIS</t>
        </is>
      </c>
      <c r="BV1163" s="178" t="n"/>
      <c r="BW1163" s="254" t="n"/>
      <c r="BX1163" s="254" t="n"/>
      <c r="BY1163" s="254" t="n"/>
      <c r="BZ1163" s="254" t="n"/>
      <c r="CA1163" s="254" t="n"/>
      <c r="CB1163" s="254" t="n"/>
      <c r="CC1163" s="254" t="n"/>
      <c r="CD1163" s="254" t="n"/>
      <c r="CE1163" s="254" t="n"/>
      <c r="CF1163" s="254" t="n"/>
      <c r="CG1163" s="254" t="n"/>
      <c r="CH1163" s="254" t="n"/>
      <c r="CI1163" s="254" t="n"/>
      <c r="CJ1163" s="254" t="n"/>
      <c r="CK1163" s="254" t="n"/>
      <c r="CL1163" s="254" t="n"/>
      <c r="CM1163" s="254" t="n"/>
      <c r="CN1163" s="254" t="n"/>
      <c r="CO1163" s="254" t="n"/>
      <c r="CP1163" s="254" t="n"/>
      <c r="CQ1163" s="254" t="n"/>
      <c r="CR1163" s="254" t="n"/>
      <c r="CS1163" s="254" t="n"/>
      <c r="CT1163" s="254" t="n"/>
      <c r="CU1163" s="254" t="n"/>
      <c r="CV1163" s="254" t="n"/>
      <c r="CW1163" s="254" t="n"/>
      <c r="CX1163" s="254" t="n"/>
      <c r="CY1163" s="254" t="n"/>
      <c r="CZ1163" s="124">
        <f>+COUNT(BV1163:CY1163)</f>
        <v/>
      </c>
      <c r="DA1163" s="124" t="n"/>
      <c r="DB1163" s="124" t="n"/>
      <c r="DC1163" s="124" t="n"/>
      <c r="DD1163" s="124" t="n"/>
      <c r="DE1163" s="124" t="n"/>
      <c r="DF1163" s="124" t="n"/>
      <c r="DG1163" s="124" t="n"/>
      <c r="DH1163" s="124" t="n"/>
      <c r="DI1163" s="124" t="n"/>
      <c r="DJ1163" s="254" t="inlineStr">
        <is>
          <t>SE ELIMINA</t>
        </is>
      </c>
      <c r="DK1163" s="254" t="n"/>
      <c r="DL1163" s="95" t="n"/>
      <c r="DM1163" s="254" t="inlineStr">
        <is>
          <t>N/A</t>
        </is>
      </c>
      <c r="DN1163" s="95" t="n"/>
      <c r="DO1163" s="95" t="n"/>
    </row>
    <row r="1164" ht="14.25" customHeight="1">
      <c r="A1164" s="147" t="inlineStr">
        <is>
          <t>PDU-18</t>
        </is>
      </c>
      <c r="B1164" s="151" t="n"/>
      <c r="C1164" s="29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4" t="inlineStr">
        <is>
          <t>ASUB</t>
        </is>
      </c>
      <c r="BN1164" s="266" t="inlineStr">
        <is>
          <t>Ujina</t>
        </is>
      </c>
      <c r="BO1164" s="254" t="inlineStr">
        <is>
          <t>NO</t>
        </is>
      </c>
      <c r="BP1164" s="251" t="n"/>
      <c r="BQ1164" s="251" t="n"/>
      <c r="BR1164" s="251" t="n"/>
      <c r="BS1164" s="251" t="n"/>
      <c r="BT1164" s="251" t="n"/>
      <c r="BU1164" s="101" t="inlineStr">
        <is>
          <t>ARCADIS</t>
        </is>
      </c>
      <c r="BV1164" s="178" t="n"/>
      <c r="BW1164" s="254" t="n"/>
      <c r="BX1164" s="254" t="n"/>
      <c r="BY1164" s="254" t="n"/>
      <c r="BZ1164" s="254" t="n"/>
      <c r="CA1164" s="254" t="n"/>
      <c r="CB1164" s="254" t="n"/>
      <c r="CC1164" s="254" t="n"/>
      <c r="CD1164" s="254" t="n"/>
      <c r="CE1164" s="254" t="n"/>
      <c r="CF1164" s="254" t="n"/>
      <c r="CG1164" s="254" t="n"/>
      <c r="CH1164" s="254" t="n"/>
      <c r="CI1164" s="254" t="n"/>
      <c r="CJ1164" s="254" t="n"/>
      <c r="CK1164" s="254" t="n"/>
      <c r="CL1164" s="254" t="n"/>
      <c r="CM1164" s="254" t="n"/>
      <c r="CN1164" s="254" t="n"/>
      <c r="CO1164" s="254" t="n"/>
      <c r="CP1164" s="254" t="n"/>
      <c r="CQ1164" s="254" t="n"/>
      <c r="CR1164" s="254" t="n"/>
      <c r="CS1164" s="254" t="n"/>
      <c r="CT1164" s="254" t="n"/>
      <c r="CU1164" s="254" t="n"/>
      <c r="CV1164" s="254" t="n"/>
      <c r="CW1164" s="254" t="n"/>
      <c r="CX1164" s="254" t="n"/>
      <c r="CY1164" s="254" t="n"/>
      <c r="CZ1164" s="124">
        <f>+COUNT(BV1164:CY1164)</f>
        <v/>
      </c>
      <c r="DA1164" s="124" t="n"/>
      <c r="DB1164" s="124" t="n"/>
      <c r="DC1164" s="124" t="n"/>
      <c r="DD1164" s="124" t="n"/>
      <c r="DE1164" s="124" t="n"/>
      <c r="DF1164" s="124" t="n"/>
      <c r="DG1164" s="124" t="n"/>
      <c r="DH1164" s="124" t="n"/>
      <c r="DI1164" s="124" t="n"/>
      <c r="DJ1164" s="254" t="inlineStr">
        <is>
          <t>SE ELIMINA</t>
        </is>
      </c>
      <c r="DK1164" s="254" t="n"/>
      <c r="DL1164" s="95" t="n"/>
      <c r="DM1164" s="254" t="inlineStr">
        <is>
          <t>N/A</t>
        </is>
      </c>
      <c r="DN1164" s="95" t="n"/>
      <c r="DO1164" s="95" t="n"/>
    </row>
    <row r="1165" ht="14.25" customHeight="1">
      <c r="A1165" s="147" t="inlineStr">
        <is>
          <t>PDU-19</t>
        </is>
      </c>
      <c r="B1165" s="151" t="n"/>
      <c r="C1165" s="29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4" t="inlineStr">
        <is>
          <t>ASUB</t>
        </is>
      </c>
      <c r="BN1165" s="266" t="inlineStr">
        <is>
          <t>Ujina</t>
        </is>
      </c>
      <c r="BO1165" s="254" t="inlineStr">
        <is>
          <t>NO</t>
        </is>
      </c>
      <c r="BP1165" s="251" t="n"/>
      <c r="BQ1165" s="251" t="n"/>
      <c r="BR1165" s="251" t="n"/>
      <c r="BS1165" s="251" t="n"/>
      <c r="BT1165" s="251" t="n"/>
      <c r="BU1165" s="101" t="inlineStr">
        <is>
          <t>ARCADIS</t>
        </is>
      </c>
      <c r="BV1165" s="178" t="n"/>
      <c r="BW1165" s="254" t="n"/>
      <c r="BX1165" s="254" t="n"/>
      <c r="BY1165" s="254" t="n"/>
      <c r="BZ1165" s="254" t="n"/>
      <c r="CA1165" s="254" t="n"/>
      <c r="CB1165" s="254" t="n"/>
      <c r="CC1165" s="254" t="n"/>
      <c r="CD1165" s="254" t="n"/>
      <c r="CE1165" s="254" t="n"/>
      <c r="CF1165" s="254" t="n"/>
      <c r="CG1165" s="254" t="n"/>
      <c r="CH1165" s="254" t="n"/>
      <c r="CI1165" s="254" t="n"/>
      <c r="CJ1165" s="254" t="n"/>
      <c r="CK1165" s="254" t="n"/>
      <c r="CL1165" s="254" t="n"/>
      <c r="CM1165" s="254" t="n"/>
      <c r="CN1165" s="254" t="n"/>
      <c r="CO1165" s="254" t="n"/>
      <c r="CP1165" s="254" t="n"/>
      <c r="CQ1165" s="254" t="n"/>
      <c r="CR1165" s="254" t="n"/>
      <c r="CS1165" s="254" t="n"/>
      <c r="CT1165" s="254" t="n"/>
      <c r="CU1165" s="254" t="n"/>
      <c r="CV1165" s="254" t="n"/>
      <c r="CW1165" s="254" t="n"/>
      <c r="CX1165" s="254" t="n"/>
      <c r="CY1165" s="254" t="n"/>
      <c r="CZ1165" s="124">
        <f>+COUNT(BV1165:CY1165)</f>
        <v/>
      </c>
      <c r="DA1165" s="124" t="n"/>
      <c r="DB1165" s="124" t="n"/>
      <c r="DC1165" s="124" t="n"/>
      <c r="DD1165" s="124" t="n"/>
      <c r="DE1165" s="124" t="n"/>
      <c r="DF1165" s="124" t="n"/>
      <c r="DG1165" s="124" t="n"/>
      <c r="DH1165" s="124" t="n"/>
      <c r="DI1165" s="124" t="n"/>
      <c r="DJ1165" s="254" t="inlineStr">
        <is>
          <t>SE ELIMINA</t>
        </is>
      </c>
      <c r="DK1165" s="254" t="n"/>
      <c r="DL1165" s="95" t="n"/>
      <c r="DM1165" s="254" t="inlineStr">
        <is>
          <t>N/A</t>
        </is>
      </c>
      <c r="DN1165" s="95" t="n"/>
      <c r="DO1165" s="95" t="n"/>
    </row>
    <row r="1166" ht="14.25" customHeight="1">
      <c r="A1166" s="147" t="inlineStr">
        <is>
          <t>PDU-22</t>
        </is>
      </c>
      <c r="B1166" s="151" t="n"/>
      <c r="C1166" s="29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4" t="inlineStr">
        <is>
          <t>ASUB</t>
        </is>
      </c>
      <c r="BN1166" s="266" t="inlineStr">
        <is>
          <t>Ujina</t>
        </is>
      </c>
      <c r="BO1166" s="254" t="inlineStr">
        <is>
          <t>NO</t>
        </is>
      </c>
      <c r="BP1166" s="251" t="n"/>
      <c r="BQ1166" s="251" t="n"/>
      <c r="BR1166" s="251" t="n"/>
      <c r="BS1166" s="251" t="n"/>
      <c r="BT1166" s="251" t="n"/>
      <c r="BU1166" s="101" t="inlineStr">
        <is>
          <t>ARCADIS</t>
        </is>
      </c>
      <c r="BV1166" s="178" t="n"/>
      <c r="BW1166" s="254" t="n"/>
      <c r="BX1166" s="254" t="n"/>
      <c r="BY1166" s="254" t="n"/>
      <c r="BZ1166" s="254" t="n"/>
      <c r="CA1166" s="254" t="n"/>
      <c r="CB1166" s="254" t="n"/>
      <c r="CC1166" s="254" t="n"/>
      <c r="CD1166" s="254" t="n"/>
      <c r="CE1166" s="254" t="n"/>
      <c r="CF1166" s="254" t="n"/>
      <c r="CG1166" s="254" t="n"/>
      <c r="CH1166" s="254" t="n"/>
      <c r="CI1166" s="254" t="n"/>
      <c r="CJ1166" s="254" t="n"/>
      <c r="CK1166" s="254" t="n"/>
      <c r="CL1166" s="254" t="n"/>
      <c r="CM1166" s="254" t="n"/>
      <c r="CN1166" s="254" t="n"/>
      <c r="CO1166" s="254" t="n"/>
      <c r="CP1166" s="254" t="n"/>
      <c r="CQ1166" s="254" t="n"/>
      <c r="CR1166" s="254" t="n"/>
      <c r="CS1166" s="254" t="n"/>
      <c r="CT1166" s="254" t="n"/>
      <c r="CU1166" s="254" t="n"/>
      <c r="CV1166" s="254" t="n"/>
      <c r="CW1166" s="254" t="n"/>
      <c r="CX1166" s="254" t="n"/>
      <c r="CY1166" s="254" t="n"/>
      <c r="CZ1166" s="124">
        <f>+COUNT(BV1166:CY1166)</f>
        <v/>
      </c>
      <c r="DA1166" s="124" t="n"/>
      <c r="DB1166" s="124" t="n"/>
      <c r="DC1166" s="124" t="n"/>
      <c r="DD1166" s="124" t="n"/>
      <c r="DE1166" s="124" t="n"/>
      <c r="DF1166" s="124" t="n"/>
      <c r="DG1166" s="124" t="n"/>
      <c r="DH1166" s="124" t="n"/>
      <c r="DI1166" s="124" t="n"/>
      <c r="DJ1166" s="254" t="inlineStr">
        <is>
          <t>SE ELIMINA</t>
        </is>
      </c>
      <c r="DK1166" s="254" t="n"/>
      <c r="DL1166" s="95" t="n"/>
      <c r="DM1166" s="254" t="inlineStr">
        <is>
          <t>N/A</t>
        </is>
      </c>
      <c r="DN1166" s="95" t="n"/>
      <c r="DO1166" s="95" t="n"/>
    </row>
    <row r="1167" ht="14.25" customHeight="1">
      <c r="A1167" s="147" t="inlineStr">
        <is>
          <t>PDU-23</t>
        </is>
      </c>
      <c r="B1167" s="151" t="n"/>
      <c r="C1167" s="29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4" t="inlineStr">
        <is>
          <t>ASUB</t>
        </is>
      </c>
      <c r="BN1167" s="266" t="inlineStr">
        <is>
          <t>Ujina</t>
        </is>
      </c>
      <c r="BO1167" s="254" t="inlineStr">
        <is>
          <t>NO</t>
        </is>
      </c>
      <c r="BP1167" s="251" t="n"/>
      <c r="BQ1167" s="251" t="n"/>
      <c r="BR1167" s="251" t="n"/>
      <c r="BS1167" s="251" t="n"/>
      <c r="BT1167" s="251" t="n"/>
      <c r="BU1167" s="101" t="inlineStr">
        <is>
          <t>ARCADIS</t>
        </is>
      </c>
      <c r="BV1167" s="178" t="n"/>
      <c r="BW1167" s="254" t="n"/>
      <c r="BX1167" s="254" t="n"/>
      <c r="BY1167" s="254" t="n"/>
      <c r="BZ1167" s="254" t="n"/>
      <c r="CA1167" s="254" t="n"/>
      <c r="CB1167" s="254" t="n"/>
      <c r="CC1167" s="254" t="n"/>
      <c r="CD1167" s="254" t="n"/>
      <c r="CE1167" s="254" t="n"/>
      <c r="CF1167" s="254" t="n"/>
      <c r="CG1167" s="254" t="n"/>
      <c r="CH1167" s="254" t="n"/>
      <c r="CI1167" s="254" t="n"/>
      <c r="CJ1167" s="254" t="n"/>
      <c r="CK1167" s="254" t="n"/>
      <c r="CL1167" s="254" t="n"/>
      <c r="CM1167" s="254" t="n"/>
      <c r="CN1167" s="254" t="n"/>
      <c r="CO1167" s="254" t="n"/>
      <c r="CP1167" s="254" t="n"/>
      <c r="CQ1167" s="254" t="n"/>
      <c r="CR1167" s="254" t="n"/>
      <c r="CS1167" s="254" t="n"/>
      <c r="CT1167" s="254" t="n"/>
      <c r="CU1167" s="254" t="n"/>
      <c r="CV1167" s="254" t="n"/>
      <c r="CW1167" s="254" t="n"/>
      <c r="CX1167" s="254" t="n"/>
      <c r="CY1167" s="254" t="n"/>
      <c r="CZ1167" s="124">
        <f>+COUNT(BV1167:CY1167)</f>
        <v/>
      </c>
      <c r="DA1167" s="124" t="n"/>
      <c r="DB1167" s="124" t="n"/>
      <c r="DC1167" s="124" t="n"/>
      <c r="DD1167" s="124" t="n"/>
      <c r="DE1167" s="124" t="n"/>
      <c r="DF1167" s="124" t="n"/>
      <c r="DG1167" s="124" t="n"/>
      <c r="DH1167" s="124" t="n"/>
      <c r="DI1167" s="124" t="n"/>
      <c r="DJ1167" s="254" t="inlineStr">
        <is>
          <t>SE ELIMINA</t>
        </is>
      </c>
      <c r="DK1167" s="254" t="n"/>
      <c r="DL1167" s="95" t="n"/>
      <c r="DM1167" s="254" t="inlineStr">
        <is>
          <t>N/A</t>
        </is>
      </c>
      <c r="DN1167" s="95" t="n"/>
      <c r="DO1167" s="95" t="n"/>
    </row>
    <row r="1168" ht="14.25" customHeight="1">
      <c r="A1168" s="147" t="inlineStr">
        <is>
          <t>PDU-24</t>
        </is>
      </c>
      <c r="B1168" s="151" t="n"/>
      <c r="C1168" s="29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4" t="inlineStr">
        <is>
          <t>ASUB</t>
        </is>
      </c>
      <c r="BN1168" s="266" t="inlineStr">
        <is>
          <t>Ujina</t>
        </is>
      </c>
      <c r="BO1168" s="254" t="inlineStr">
        <is>
          <t>NO</t>
        </is>
      </c>
      <c r="BP1168" s="251" t="n"/>
      <c r="BQ1168" s="251" t="n"/>
      <c r="BR1168" s="251" t="n"/>
      <c r="BS1168" s="251" t="n"/>
      <c r="BT1168" s="251" t="n"/>
      <c r="BU1168" s="101" t="inlineStr">
        <is>
          <t>ARCADIS</t>
        </is>
      </c>
      <c r="BV1168" s="178" t="n"/>
      <c r="BW1168" s="254" t="n"/>
      <c r="BX1168" s="254" t="n"/>
      <c r="BY1168" s="254" t="n"/>
      <c r="BZ1168" s="254" t="n"/>
      <c r="CA1168" s="254" t="n"/>
      <c r="CB1168" s="254" t="n"/>
      <c r="CC1168" s="254" t="n"/>
      <c r="CD1168" s="254" t="n"/>
      <c r="CE1168" s="254" t="n"/>
      <c r="CF1168" s="254" t="n"/>
      <c r="CG1168" s="254" t="n"/>
      <c r="CH1168" s="254" t="n"/>
      <c r="CI1168" s="254" t="n"/>
      <c r="CJ1168" s="254" t="n"/>
      <c r="CK1168" s="254" t="n"/>
      <c r="CL1168" s="254" t="n"/>
      <c r="CM1168" s="254" t="n"/>
      <c r="CN1168" s="254" t="n"/>
      <c r="CO1168" s="254" t="n"/>
      <c r="CP1168" s="254" t="n"/>
      <c r="CQ1168" s="254" t="n"/>
      <c r="CR1168" s="254" t="n"/>
      <c r="CS1168" s="254" t="n"/>
      <c r="CT1168" s="254" t="n"/>
      <c r="CU1168" s="254" t="n"/>
      <c r="CV1168" s="254" t="n"/>
      <c r="CW1168" s="254" t="n"/>
      <c r="CX1168" s="254" t="n"/>
      <c r="CY1168" s="254" t="n"/>
      <c r="CZ1168" s="124">
        <f>+COUNT(BV1168:CY1168)</f>
        <v/>
      </c>
      <c r="DA1168" s="124" t="n"/>
      <c r="DB1168" s="124" t="n"/>
      <c r="DC1168" s="124" t="n"/>
      <c r="DD1168" s="124" t="n"/>
      <c r="DE1168" s="124" t="n"/>
      <c r="DF1168" s="124" t="n"/>
      <c r="DG1168" s="124" t="n"/>
      <c r="DH1168" s="124" t="n"/>
      <c r="DI1168" s="124" t="n"/>
      <c r="DJ1168" s="254" t="inlineStr">
        <is>
          <t>SE ELIMINA</t>
        </is>
      </c>
      <c r="DK1168" s="254" t="n"/>
      <c r="DL1168" s="95" t="n"/>
      <c r="DM1168" s="254" t="inlineStr">
        <is>
          <t>N/A</t>
        </is>
      </c>
      <c r="DN1168" s="95" t="n"/>
      <c r="DO1168" s="95" t="n"/>
    </row>
    <row r="1169" ht="14.25" customHeight="1">
      <c r="A1169" s="147" t="inlineStr">
        <is>
          <t>PDU-26</t>
        </is>
      </c>
      <c r="B1169" s="151" t="n"/>
      <c r="C1169" s="29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4" t="inlineStr">
        <is>
          <t>ASUB</t>
        </is>
      </c>
      <c r="BN1169" s="266" t="inlineStr">
        <is>
          <t>Ujina</t>
        </is>
      </c>
      <c r="BO1169" s="254" t="inlineStr">
        <is>
          <t>NO</t>
        </is>
      </c>
      <c r="BP1169" s="251" t="n"/>
      <c r="BQ1169" s="251" t="n"/>
      <c r="BR1169" s="251" t="n"/>
      <c r="BS1169" s="251" t="n"/>
      <c r="BT1169" s="251" t="n"/>
      <c r="BU1169" s="101" t="inlineStr">
        <is>
          <t>ARCADIS</t>
        </is>
      </c>
      <c r="BV1169" s="178" t="n"/>
      <c r="BW1169" s="254" t="n"/>
      <c r="BX1169" s="254" t="n"/>
      <c r="BY1169" s="254" t="n"/>
      <c r="BZ1169" s="254" t="n"/>
      <c r="CA1169" s="254" t="n"/>
      <c r="CB1169" s="254" t="n"/>
      <c r="CC1169" s="254" t="n"/>
      <c r="CD1169" s="254" t="n"/>
      <c r="CE1169" s="254" t="n"/>
      <c r="CF1169" s="254" t="n"/>
      <c r="CG1169" s="254" t="n"/>
      <c r="CH1169" s="254" t="n"/>
      <c r="CI1169" s="254" t="n"/>
      <c r="CJ1169" s="254" t="n"/>
      <c r="CK1169" s="254" t="n"/>
      <c r="CL1169" s="254" t="n"/>
      <c r="CM1169" s="254" t="n"/>
      <c r="CN1169" s="254" t="n"/>
      <c r="CO1169" s="254" t="n"/>
      <c r="CP1169" s="254" t="n"/>
      <c r="CQ1169" s="254" t="n"/>
      <c r="CR1169" s="254" t="n"/>
      <c r="CS1169" s="254" t="n"/>
      <c r="CT1169" s="254" t="n"/>
      <c r="CU1169" s="254" t="n"/>
      <c r="CV1169" s="254" t="n"/>
      <c r="CW1169" s="254" t="n"/>
      <c r="CX1169" s="254" t="n"/>
      <c r="CY1169" s="254" t="n"/>
      <c r="CZ1169" s="124">
        <f>+COUNT(BV1169:CY1169)</f>
        <v/>
      </c>
      <c r="DA1169" s="124" t="n"/>
      <c r="DB1169" s="124" t="n"/>
      <c r="DC1169" s="124" t="n"/>
      <c r="DD1169" s="124" t="n"/>
      <c r="DE1169" s="124" t="n"/>
      <c r="DF1169" s="124" t="n"/>
      <c r="DG1169" s="124" t="n"/>
      <c r="DH1169" s="124" t="n"/>
      <c r="DI1169" s="124" t="n"/>
      <c r="DJ1169" s="254" t="inlineStr">
        <is>
          <t>SE ELIMINA</t>
        </is>
      </c>
      <c r="DK1169" s="254" t="n"/>
      <c r="DL1169" s="95" t="n"/>
      <c r="DM1169" s="254" t="inlineStr">
        <is>
          <t>N/A</t>
        </is>
      </c>
      <c r="DN1169" s="95" t="n"/>
      <c r="DO1169" s="95" t="n"/>
    </row>
    <row r="1170" ht="14.25" customHeight="1">
      <c r="A1170" s="147" t="inlineStr">
        <is>
          <t>PDU-27</t>
        </is>
      </c>
      <c r="B1170" s="151" t="n"/>
      <c r="C1170" s="29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4" t="inlineStr">
        <is>
          <t>ASUB</t>
        </is>
      </c>
      <c r="BN1170" s="266" t="inlineStr">
        <is>
          <t>Ujina</t>
        </is>
      </c>
      <c r="BO1170" s="254" t="inlineStr">
        <is>
          <t>NO</t>
        </is>
      </c>
      <c r="BP1170" s="251" t="n"/>
      <c r="BQ1170" s="251" t="n"/>
      <c r="BR1170" s="251" t="n"/>
      <c r="BS1170" s="251" t="n"/>
      <c r="BT1170" s="251" t="n"/>
      <c r="BU1170" s="101" t="inlineStr">
        <is>
          <t>ARCADIS</t>
        </is>
      </c>
      <c r="BV1170" s="178" t="n"/>
      <c r="BW1170" s="254" t="n"/>
      <c r="BX1170" s="254" t="n"/>
      <c r="BY1170" s="254" t="n"/>
      <c r="BZ1170" s="254" t="n"/>
      <c r="CA1170" s="254" t="n"/>
      <c r="CB1170" s="254" t="n"/>
      <c r="CC1170" s="254" t="n"/>
      <c r="CD1170" s="254" t="n"/>
      <c r="CE1170" s="254" t="n"/>
      <c r="CF1170" s="254" t="n"/>
      <c r="CG1170" s="254" t="n"/>
      <c r="CH1170" s="254" t="n"/>
      <c r="CI1170" s="254" t="n"/>
      <c r="CJ1170" s="254" t="n"/>
      <c r="CK1170" s="254" t="n"/>
      <c r="CL1170" s="254" t="n"/>
      <c r="CM1170" s="254" t="n"/>
      <c r="CN1170" s="254" t="n"/>
      <c r="CO1170" s="254" t="n"/>
      <c r="CP1170" s="254" t="n"/>
      <c r="CQ1170" s="254" t="n"/>
      <c r="CR1170" s="254" t="n"/>
      <c r="CS1170" s="254" t="n"/>
      <c r="CT1170" s="254" t="n"/>
      <c r="CU1170" s="254" t="n"/>
      <c r="CV1170" s="254" t="n"/>
      <c r="CW1170" s="254" t="n"/>
      <c r="CX1170" s="254" t="n"/>
      <c r="CY1170" s="254" t="n"/>
      <c r="CZ1170" s="124">
        <f>+COUNT(BV1170:CY1170)</f>
        <v/>
      </c>
      <c r="DA1170" s="124" t="n"/>
      <c r="DB1170" s="124" t="n"/>
      <c r="DC1170" s="124" t="n"/>
      <c r="DD1170" s="124" t="n"/>
      <c r="DE1170" s="124" t="n"/>
      <c r="DF1170" s="124" t="n"/>
      <c r="DG1170" s="124" t="n"/>
      <c r="DH1170" s="124" t="n"/>
      <c r="DI1170" s="124" t="n"/>
      <c r="DJ1170" s="254" t="inlineStr">
        <is>
          <t>SE ELIMINA</t>
        </is>
      </c>
      <c r="DK1170" s="254" t="n"/>
      <c r="DL1170" s="95" t="n"/>
      <c r="DM1170" s="254" t="inlineStr">
        <is>
          <t>N/A</t>
        </is>
      </c>
      <c r="DN1170" s="95" t="n"/>
      <c r="DO1170" s="95" t="n"/>
    </row>
    <row r="1171" ht="14.25" customHeight="1">
      <c r="A1171" s="147" t="inlineStr">
        <is>
          <t>PDU-28</t>
        </is>
      </c>
      <c r="B1171" s="151" t="n"/>
      <c r="C1171" s="29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4" t="inlineStr">
        <is>
          <t>ASUB</t>
        </is>
      </c>
      <c r="BN1171" s="266" t="inlineStr">
        <is>
          <t>Ujina</t>
        </is>
      </c>
      <c r="BO1171" s="254" t="inlineStr">
        <is>
          <t>NO</t>
        </is>
      </c>
      <c r="BP1171" s="251" t="n"/>
      <c r="BQ1171" s="251" t="n"/>
      <c r="BR1171" s="251" t="n"/>
      <c r="BS1171" s="251" t="n"/>
      <c r="BT1171" s="251" t="n"/>
      <c r="BU1171" s="101" t="inlineStr">
        <is>
          <t>ARCADIS</t>
        </is>
      </c>
      <c r="BV1171" s="178" t="n"/>
      <c r="BW1171" s="254" t="n"/>
      <c r="BX1171" s="254" t="n"/>
      <c r="BY1171" s="254" t="n"/>
      <c r="BZ1171" s="254" t="n"/>
      <c r="CA1171" s="254" t="n"/>
      <c r="CB1171" s="254" t="n"/>
      <c r="CC1171" s="254" t="n"/>
      <c r="CD1171" s="254" t="n"/>
      <c r="CE1171" s="254" t="n"/>
      <c r="CF1171" s="254" t="n"/>
      <c r="CG1171" s="254" t="n"/>
      <c r="CH1171" s="254" t="n"/>
      <c r="CI1171" s="254" t="n"/>
      <c r="CJ1171" s="254" t="n"/>
      <c r="CK1171" s="254" t="n"/>
      <c r="CL1171" s="254" t="n"/>
      <c r="CM1171" s="254" t="n"/>
      <c r="CN1171" s="254" t="n"/>
      <c r="CO1171" s="254" t="n"/>
      <c r="CP1171" s="254" t="n"/>
      <c r="CQ1171" s="254" t="n"/>
      <c r="CR1171" s="254" t="n"/>
      <c r="CS1171" s="254" t="n"/>
      <c r="CT1171" s="254" t="n"/>
      <c r="CU1171" s="254" t="n"/>
      <c r="CV1171" s="254" t="n"/>
      <c r="CW1171" s="254" t="n"/>
      <c r="CX1171" s="254" t="n"/>
      <c r="CY1171" s="254" t="n"/>
      <c r="CZ1171" s="124">
        <f>+COUNT(BV1171:CY1171)</f>
        <v/>
      </c>
      <c r="DA1171" s="124" t="n"/>
      <c r="DB1171" s="124" t="n"/>
      <c r="DC1171" s="124" t="n"/>
      <c r="DD1171" s="124" t="n"/>
      <c r="DE1171" s="124" t="n"/>
      <c r="DF1171" s="124" t="n"/>
      <c r="DG1171" s="124" t="n"/>
      <c r="DH1171" s="124" t="n"/>
      <c r="DI1171" s="124" t="n"/>
      <c r="DJ1171" s="254" t="inlineStr">
        <is>
          <t>SE ELIMINA</t>
        </is>
      </c>
      <c r="DK1171" s="254" t="n"/>
      <c r="DL1171" s="95" t="n"/>
      <c r="DM1171" s="254" t="inlineStr">
        <is>
          <t>N/A</t>
        </is>
      </c>
      <c r="DN1171" s="95" t="n"/>
      <c r="DO1171" s="95" t="n"/>
    </row>
    <row r="1172" ht="14.25" customHeight="1">
      <c r="A1172" s="147" t="inlineStr">
        <is>
          <t>PDU-29</t>
        </is>
      </c>
      <c r="B1172" s="151" t="n"/>
      <c r="C1172" s="29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4" t="inlineStr">
        <is>
          <t>ASUB</t>
        </is>
      </c>
      <c r="BN1172" s="266" t="inlineStr">
        <is>
          <t>Ujina</t>
        </is>
      </c>
      <c r="BO1172" s="254" t="inlineStr">
        <is>
          <t>NO</t>
        </is>
      </c>
      <c r="BP1172" s="251" t="n"/>
      <c r="BQ1172" s="251" t="n"/>
      <c r="BR1172" s="251" t="n"/>
      <c r="BS1172" s="251" t="n"/>
      <c r="BT1172" s="251" t="n"/>
      <c r="BU1172" s="101" t="inlineStr">
        <is>
          <t>ARCADIS</t>
        </is>
      </c>
      <c r="BV1172" s="178" t="n"/>
      <c r="BW1172" s="254" t="n"/>
      <c r="BX1172" s="254" t="n"/>
      <c r="BY1172" s="254" t="n"/>
      <c r="BZ1172" s="254" t="n"/>
      <c r="CA1172" s="254" t="n"/>
      <c r="CB1172" s="254" t="n"/>
      <c r="CC1172" s="254" t="n"/>
      <c r="CD1172" s="254" t="n"/>
      <c r="CE1172" s="254" t="n"/>
      <c r="CF1172" s="254" t="n"/>
      <c r="CG1172" s="254" t="n"/>
      <c r="CH1172" s="254" t="n"/>
      <c r="CI1172" s="254" t="n"/>
      <c r="CJ1172" s="254" t="n"/>
      <c r="CK1172" s="254" t="n"/>
      <c r="CL1172" s="254" t="n"/>
      <c r="CM1172" s="254" t="n"/>
      <c r="CN1172" s="254" t="n"/>
      <c r="CO1172" s="254" t="n"/>
      <c r="CP1172" s="254" t="n"/>
      <c r="CQ1172" s="254" t="n"/>
      <c r="CR1172" s="254" t="n"/>
      <c r="CS1172" s="254" t="n"/>
      <c r="CT1172" s="254" t="n"/>
      <c r="CU1172" s="254" t="n"/>
      <c r="CV1172" s="254" t="n"/>
      <c r="CW1172" s="254" t="n"/>
      <c r="CX1172" s="254" t="n"/>
      <c r="CY1172" s="254" t="n"/>
      <c r="CZ1172" s="124">
        <f>+COUNT(BV1172:CY1172)</f>
        <v/>
      </c>
      <c r="DA1172" s="124" t="n"/>
      <c r="DB1172" s="124" t="n"/>
      <c r="DC1172" s="124" t="n"/>
      <c r="DD1172" s="124" t="n"/>
      <c r="DE1172" s="124" t="n"/>
      <c r="DF1172" s="124" t="n"/>
      <c r="DG1172" s="124" t="n"/>
      <c r="DH1172" s="124" t="n"/>
      <c r="DI1172" s="124" t="n"/>
      <c r="DJ1172" s="254" t="inlineStr">
        <is>
          <t>SE ELIMINA</t>
        </is>
      </c>
      <c r="DK1172" s="254" t="n"/>
      <c r="DL1172" s="95" t="n"/>
      <c r="DM1172" s="254" t="inlineStr">
        <is>
          <t>N/A</t>
        </is>
      </c>
      <c r="DN1172" s="95" t="n"/>
      <c r="DO1172" s="95" t="n"/>
    </row>
    <row r="1173" ht="14.25" customHeight="1">
      <c r="A1173" s="147" t="inlineStr">
        <is>
          <t>PDU-30</t>
        </is>
      </c>
      <c r="B1173" s="151" t="n"/>
      <c r="C1173" s="29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4" t="inlineStr">
        <is>
          <t>ASUB</t>
        </is>
      </c>
      <c r="BN1173" s="266" t="inlineStr">
        <is>
          <t>Ujina</t>
        </is>
      </c>
      <c r="BO1173" s="254" t="inlineStr">
        <is>
          <t>NO</t>
        </is>
      </c>
      <c r="BP1173" s="251" t="n"/>
      <c r="BQ1173" s="251" t="n"/>
      <c r="BR1173" s="251" t="n"/>
      <c r="BS1173" s="251" t="n"/>
      <c r="BT1173" s="251" t="n"/>
      <c r="BU1173" s="101" t="inlineStr">
        <is>
          <t>ARCADIS</t>
        </is>
      </c>
      <c r="BV1173" s="178" t="n"/>
      <c r="BW1173" s="254" t="n"/>
      <c r="BX1173" s="254" t="n"/>
      <c r="BY1173" s="254" t="n"/>
      <c r="BZ1173" s="254" t="n"/>
      <c r="CA1173" s="254" t="n"/>
      <c r="CB1173" s="254" t="n"/>
      <c r="CC1173" s="254" t="n"/>
      <c r="CD1173" s="254" t="n"/>
      <c r="CE1173" s="254" t="n"/>
      <c r="CF1173" s="254" t="n"/>
      <c r="CG1173" s="254" t="n"/>
      <c r="CH1173" s="254" t="n"/>
      <c r="CI1173" s="254" t="n"/>
      <c r="CJ1173" s="254" t="n"/>
      <c r="CK1173" s="254" t="n"/>
      <c r="CL1173" s="254" t="n"/>
      <c r="CM1173" s="254" t="n"/>
      <c r="CN1173" s="254" t="n"/>
      <c r="CO1173" s="254" t="n"/>
      <c r="CP1173" s="254" t="n"/>
      <c r="CQ1173" s="254" t="n"/>
      <c r="CR1173" s="254" t="n"/>
      <c r="CS1173" s="254" t="n"/>
      <c r="CT1173" s="254" t="n"/>
      <c r="CU1173" s="254" t="n"/>
      <c r="CV1173" s="254" t="n"/>
      <c r="CW1173" s="254" t="n"/>
      <c r="CX1173" s="254" t="n"/>
      <c r="CY1173" s="254" t="n"/>
      <c r="CZ1173" s="124">
        <f>+COUNT(BV1173:CY1173)</f>
        <v/>
      </c>
      <c r="DA1173" s="124" t="n"/>
      <c r="DB1173" s="124" t="n"/>
      <c r="DC1173" s="124" t="n"/>
      <c r="DD1173" s="124" t="n"/>
      <c r="DE1173" s="124" t="n"/>
      <c r="DF1173" s="124" t="n"/>
      <c r="DG1173" s="124" t="n"/>
      <c r="DH1173" s="124" t="n"/>
      <c r="DI1173" s="124" t="n"/>
      <c r="DJ1173" s="254" t="inlineStr">
        <is>
          <t>SE ELIMINA</t>
        </is>
      </c>
      <c r="DK1173" s="254" t="n"/>
      <c r="DL1173" s="95" t="n"/>
      <c r="DM1173" s="254" t="inlineStr">
        <is>
          <t>N/A</t>
        </is>
      </c>
      <c r="DN1173" s="95" t="n"/>
      <c r="DO1173" s="95" t="n"/>
    </row>
    <row r="1174" ht="14.25" customHeight="1">
      <c r="A1174" s="147" t="inlineStr">
        <is>
          <t>PDU-31</t>
        </is>
      </c>
      <c r="B1174" s="151" t="n"/>
      <c r="C1174" s="29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4" t="inlineStr">
        <is>
          <t>ASUB</t>
        </is>
      </c>
      <c r="BN1174" s="266" t="inlineStr">
        <is>
          <t>Ujina</t>
        </is>
      </c>
      <c r="BO1174" s="254" t="inlineStr">
        <is>
          <t>NO</t>
        </is>
      </c>
      <c r="BP1174" s="251" t="n"/>
      <c r="BQ1174" s="251" t="n"/>
      <c r="BR1174" s="251" t="n"/>
      <c r="BS1174" s="251" t="n"/>
      <c r="BT1174" s="251" t="n"/>
      <c r="BU1174" s="101" t="inlineStr">
        <is>
          <t>ARCADIS</t>
        </is>
      </c>
      <c r="BV1174" s="178" t="n"/>
      <c r="BW1174" s="254" t="n"/>
      <c r="BX1174" s="254" t="n"/>
      <c r="BY1174" s="254" t="n"/>
      <c r="BZ1174" s="254" t="n"/>
      <c r="CA1174" s="254" t="n"/>
      <c r="CB1174" s="254" t="n"/>
      <c r="CC1174" s="254" t="n"/>
      <c r="CD1174" s="254" t="n"/>
      <c r="CE1174" s="254" t="n"/>
      <c r="CF1174" s="254" t="n"/>
      <c r="CG1174" s="254" t="n"/>
      <c r="CH1174" s="254" t="n"/>
      <c r="CI1174" s="254" t="n"/>
      <c r="CJ1174" s="254" t="n"/>
      <c r="CK1174" s="254" t="n"/>
      <c r="CL1174" s="254" t="n"/>
      <c r="CM1174" s="254" t="n"/>
      <c r="CN1174" s="254" t="n"/>
      <c r="CO1174" s="254" t="n"/>
      <c r="CP1174" s="254" t="n"/>
      <c r="CQ1174" s="254" t="n"/>
      <c r="CR1174" s="254" t="n"/>
      <c r="CS1174" s="254" t="n"/>
      <c r="CT1174" s="254" t="n"/>
      <c r="CU1174" s="254" t="n"/>
      <c r="CV1174" s="254" t="n"/>
      <c r="CW1174" s="254" t="n"/>
      <c r="CX1174" s="254" t="n"/>
      <c r="CY1174" s="254" t="n"/>
      <c r="CZ1174" s="124">
        <f>+COUNT(BV1174:CY1174)</f>
        <v/>
      </c>
      <c r="DA1174" s="124" t="n"/>
      <c r="DB1174" s="124" t="n"/>
      <c r="DC1174" s="124" t="n"/>
      <c r="DD1174" s="124" t="n"/>
      <c r="DE1174" s="124" t="n"/>
      <c r="DF1174" s="124" t="n"/>
      <c r="DG1174" s="124" t="n"/>
      <c r="DH1174" s="124" t="n"/>
      <c r="DI1174" s="124" t="n"/>
      <c r="DJ1174" s="254" t="inlineStr">
        <is>
          <t>SE ELIMINA</t>
        </is>
      </c>
      <c r="DK1174" s="254" t="n"/>
      <c r="DL1174" s="95" t="n"/>
      <c r="DM1174" s="254" t="inlineStr">
        <is>
          <t>N/A</t>
        </is>
      </c>
      <c r="DN1174" s="95" t="n"/>
      <c r="DO1174" s="95" t="n"/>
    </row>
    <row r="1175" ht="14.25" customHeight="1">
      <c r="A1175" s="147" t="inlineStr">
        <is>
          <t>PEB-01</t>
        </is>
      </c>
      <c r="B1175" s="151" t="n"/>
      <c r="C1175" s="29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4" t="inlineStr">
        <is>
          <t>ASUB</t>
        </is>
      </c>
      <c r="BN1175" s="266" t="inlineStr">
        <is>
          <t>Rosario</t>
        </is>
      </c>
      <c r="BO1175" s="254" t="inlineStr">
        <is>
          <t>NO</t>
        </is>
      </c>
      <c r="BP1175" s="251" t="n"/>
      <c r="BQ1175" s="251" t="n"/>
      <c r="BR1175" s="251" t="n"/>
      <c r="BS1175" s="251" t="n"/>
      <c r="BT1175" s="251" t="n"/>
      <c r="BU1175" s="101" t="inlineStr">
        <is>
          <t>ARCADIS</t>
        </is>
      </c>
      <c r="BV1175" s="178" t="n"/>
      <c r="BW1175" s="254" t="n"/>
      <c r="BX1175" s="254" t="n"/>
      <c r="BY1175" s="254" t="n"/>
      <c r="BZ1175" s="254" t="n"/>
      <c r="CA1175" s="254" t="n"/>
      <c r="CB1175" s="254" t="n"/>
      <c r="CC1175" s="254" t="n"/>
      <c r="CD1175" s="254" t="n"/>
      <c r="CE1175" s="254" t="n"/>
      <c r="CF1175" s="254" t="n"/>
      <c r="CG1175" s="254" t="n"/>
      <c r="CH1175" s="254" t="n"/>
      <c r="CI1175" s="254" t="n"/>
      <c r="CJ1175" s="254" t="n"/>
      <c r="CK1175" s="254" t="n"/>
      <c r="CL1175" s="254" t="n"/>
      <c r="CM1175" s="254" t="n"/>
      <c r="CN1175" s="254" t="n"/>
      <c r="CO1175" s="254" t="n"/>
      <c r="CP1175" s="254" t="n"/>
      <c r="CQ1175" s="254" t="n"/>
      <c r="CR1175" s="254" t="n"/>
      <c r="CS1175" s="254" t="n"/>
      <c r="CT1175" s="254" t="n"/>
      <c r="CU1175" s="254" t="n"/>
      <c r="CV1175" s="254" t="n"/>
      <c r="CW1175" s="254" t="n"/>
      <c r="CX1175" s="254" t="n"/>
      <c r="CY1175" s="254" t="n"/>
      <c r="CZ1175" s="124">
        <f>+COUNT(BV1175:CY1175)</f>
        <v/>
      </c>
      <c r="DA1175" s="124" t="n"/>
      <c r="DB1175" s="124" t="n"/>
      <c r="DC1175" s="124" t="n"/>
      <c r="DD1175" s="124" t="n"/>
      <c r="DE1175" s="124" t="n"/>
      <c r="DF1175" s="124" t="n"/>
      <c r="DG1175" s="124" t="n"/>
      <c r="DH1175" s="124" t="n"/>
      <c r="DI1175" s="124" t="n"/>
      <c r="DJ1175" s="254" t="inlineStr">
        <is>
          <t>SE ELIMINA</t>
        </is>
      </c>
      <c r="DK1175" s="254" t="n"/>
      <c r="DL1175" s="95" t="n"/>
      <c r="DM1175" s="254" t="inlineStr">
        <is>
          <t>N/A</t>
        </is>
      </c>
      <c r="DN1175" s="95" t="n"/>
      <c r="DO1175" s="95" t="n"/>
    </row>
    <row r="1176" ht="14.25" customHeight="1">
      <c r="A1176" s="147" t="inlineStr">
        <is>
          <t>PEB-02</t>
        </is>
      </c>
      <c r="B1176" s="151" t="n"/>
      <c r="C1176" s="29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4" t="inlineStr">
        <is>
          <t>ASUB</t>
        </is>
      </c>
      <c r="BN1176" s="266" t="inlineStr">
        <is>
          <t>Rosario</t>
        </is>
      </c>
      <c r="BO1176" s="254" t="inlineStr">
        <is>
          <t>NO</t>
        </is>
      </c>
      <c r="BP1176" s="251" t="n"/>
      <c r="BQ1176" s="251" t="n"/>
      <c r="BR1176" s="251" t="n"/>
      <c r="BS1176" s="251" t="n"/>
      <c r="BT1176" s="251" t="n"/>
      <c r="BU1176" s="109" t="inlineStr">
        <is>
          <t>ARCADIS</t>
        </is>
      </c>
      <c r="BV1176" s="178" t="n"/>
      <c r="BW1176" s="254" t="n"/>
      <c r="BX1176" s="254" t="n"/>
      <c r="BY1176" s="254" t="n"/>
      <c r="BZ1176" s="254" t="n"/>
      <c r="CA1176" s="254" t="n"/>
      <c r="CB1176" s="254" t="n"/>
      <c r="CC1176" s="254" t="n"/>
      <c r="CD1176" s="254" t="n"/>
      <c r="CE1176" s="254" t="n"/>
      <c r="CF1176" s="254" t="n"/>
      <c r="CG1176" s="254" t="n"/>
      <c r="CH1176" s="254" t="n"/>
      <c r="CI1176" s="254" t="n"/>
      <c r="CJ1176" s="254" t="n"/>
      <c r="CK1176" s="254" t="n"/>
      <c r="CL1176" s="254" t="n"/>
      <c r="CM1176" s="254" t="n"/>
      <c r="CN1176" s="254" t="n"/>
      <c r="CO1176" s="254" t="n"/>
      <c r="CP1176" s="254" t="n"/>
      <c r="CQ1176" s="254" t="n"/>
      <c r="CR1176" s="254" t="n"/>
      <c r="CS1176" s="254" t="n"/>
      <c r="CT1176" s="254" t="n"/>
      <c r="CU1176" s="254" t="n"/>
      <c r="CV1176" s="254" t="n"/>
      <c r="CW1176" s="254" t="n"/>
      <c r="CX1176" s="254" t="n"/>
      <c r="CY1176" s="254" t="n"/>
      <c r="CZ1176" s="124">
        <f>+COUNT(BV1176:CY1176)</f>
        <v/>
      </c>
      <c r="DA1176" s="124" t="n"/>
      <c r="DB1176" s="124" t="n"/>
      <c r="DC1176" s="124" t="n"/>
      <c r="DD1176" s="124" t="n"/>
      <c r="DE1176" s="124" t="n"/>
      <c r="DF1176" s="124" t="n"/>
      <c r="DG1176" s="124" t="n"/>
      <c r="DH1176" s="124" t="n"/>
      <c r="DI1176" s="124" t="n"/>
      <c r="DJ1176" s="254" t="inlineStr">
        <is>
          <t>SE ELIMINA</t>
        </is>
      </c>
      <c r="DK1176" s="254" t="n"/>
      <c r="DL1176" s="95" t="n"/>
      <c r="DM1176" s="254" t="inlineStr">
        <is>
          <t>N/A</t>
        </is>
      </c>
      <c r="DN1176" s="95" t="n"/>
      <c r="DO1176" s="95" t="n"/>
    </row>
    <row r="1177" ht="14.25" customHeight="1">
      <c r="A1177" s="147" t="inlineStr">
        <is>
          <t>PIEZ-19</t>
        </is>
      </c>
      <c r="B1177" s="151" t="n"/>
      <c r="C1177" s="29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4" t="inlineStr">
        <is>
          <t>ASUB</t>
        </is>
      </c>
      <c r="BN1177" s="266" t="inlineStr">
        <is>
          <t>Ujina</t>
        </is>
      </c>
      <c r="BO1177" s="254" t="inlineStr">
        <is>
          <t>NO</t>
        </is>
      </c>
      <c r="BP1177" s="251" t="n"/>
      <c r="BQ1177" s="251" t="n"/>
      <c r="BR1177" s="251" t="n"/>
      <c r="BS1177" s="251" t="n"/>
      <c r="BT1177" s="251" t="n"/>
      <c r="BU1177" s="101" t="inlineStr">
        <is>
          <t>ARCADIS</t>
        </is>
      </c>
      <c r="BV1177" s="178" t="n"/>
      <c r="BW1177" s="254" t="n"/>
      <c r="BX1177" s="254" t="n"/>
      <c r="BY1177" s="254" t="n"/>
      <c r="BZ1177" s="254" t="n"/>
      <c r="CA1177" s="254" t="n"/>
      <c r="CB1177" s="254" t="n"/>
      <c r="CC1177" s="254" t="n"/>
      <c r="CD1177" s="254" t="n"/>
      <c r="CE1177" s="254" t="n"/>
      <c r="CF1177" s="254" t="n"/>
      <c r="CG1177" s="254" t="n"/>
      <c r="CH1177" s="254" t="n"/>
      <c r="CI1177" s="254" t="n"/>
      <c r="CJ1177" s="254" t="n"/>
      <c r="CK1177" s="254" t="n"/>
      <c r="CL1177" s="254" t="n"/>
      <c r="CM1177" s="254" t="n"/>
      <c r="CN1177" s="254" t="n"/>
      <c r="CO1177" s="254" t="n"/>
      <c r="CP1177" s="254" t="n"/>
      <c r="CQ1177" s="254" t="n"/>
      <c r="CR1177" s="254" t="n"/>
      <c r="CS1177" s="254" t="n"/>
      <c r="CT1177" s="254" t="n"/>
      <c r="CU1177" s="254" t="n"/>
      <c r="CV1177" s="254" t="n"/>
      <c r="CW1177" s="254" t="n"/>
      <c r="CX1177" s="254" t="n"/>
      <c r="CY1177" s="254" t="n"/>
      <c r="CZ1177" s="124">
        <f>+COUNT(BV1177:CY1177)</f>
        <v/>
      </c>
      <c r="DA1177" s="124" t="n"/>
      <c r="DB1177" s="124" t="n"/>
      <c r="DC1177" s="124" t="n"/>
      <c r="DD1177" s="124" t="n"/>
      <c r="DE1177" s="124" t="n"/>
      <c r="DF1177" s="124" t="n"/>
      <c r="DG1177" s="124" t="n"/>
      <c r="DH1177" s="124" t="n"/>
      <c r="DI1177" s="124" t="n"/>
      <c r="DJ1177" s="254" t="inlineStr">
        <is>
          <t>SE ELIMINA</t>
        </is>
      </c>
      <c r="DK1177" s="254" t="n"/>
      <c r="DL1177" s="95" t="n"/>
      <c r="DM1177" s="254" t="inlineStr">
        <is>
          <t>N/A</t>
        </is>
      </c>
      <c r="DN1177" s="95" t="n"/>
      <c r="DO1177" s="95" t="n"/>
    </row>
    <row r="1178" ht="14.25" customHeight="1">
      <c r="A1178" s="147" t="inlineStr">
        <is>
          <t>PIEZ-20</t>
        </is>
      </c>
      <c r="B1178" s="151" t="n"/>
      <c r="C1178" s="29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4" t="inlineStr">
        <is>
          <t>ASUB</t>
        </is>
      </c>
      <c r="BN1178" s="266" t="inlineStr">
        <is>
          <t>Ujina</t>
        </is>
      </c>
      <c r="BO1178" s="254" t="inlineStr">
        <is>
          <t>NO</t>
        </is>
      </c>
      <c r="BP1178" s="251" t="n"/>
      <c r="BQ1178" s="251" t="n"/>
      <c r="BR1178" s="251" t="n"/>
      <c r="BS1178" s="251" t="n"/>
      <c r="BT1178" s="251" t="n"/>
      <c r="BU1178" s="101" t="inlineStr">
        <is>
          <t>ARCADIS</t>
        </is>
      </c>
      <c r="BV1178" s="178" t="n"/>
      <c r="BW1178" s="254" t="n"/>
      <c r="BX1178" s="254" t="n"/>
      <c r="BY1178" s="254" t="n"/>
      <c r="BZ1178" s="254" t="n"/>
      <c r="CA1178" s="254" t="n"/>
      <c r="CB1178" s="254" t="n"/>
      <c r="CC1178" s="254" t="n"/>
      <c r="CD1178" s="254" t="n"/>
      <c r="CE1178" s="254" t="n"/>
      <c r="CF1178" s="254" t="n"/>
      <c r="CG1178" s="254" t="n"/>
      <c r="CH1178" s="254" t="n"/>
      <c r="CI1178" s="254" t="n"/>
      <c r="CJ1178" s="254" t="n"/>
      <c r="CK1178" s="254" t="n"/>
      <c r="CL1178" s="254" t="n"/>
      <c r="CM1178" s="254" t="n"/>
      <c r="CN1178" s="254" t="n"/>
      <c r="CO1178" s="254" t="n"/>
      <c r="CP1178" s="254" t="n"/>
      <c r="CQ1178" s="254" t="n"/>
      <c r="CR1178" s="254" t="n"/>
      <c r="CS1178" s="254" t="n"/>
      <c r="CT1178" s="254" t="n"/>
      <c r="CU1178" s="254" t="n"/>
      <c r="CV1178" s="254" t="n"/>
      <c r="CW1178" s="254" t="n"/>
      <c r="CX1178" s="254" t="n"/>
      <c r="CY1178" s="254" t="n"/>
      <c r="CZ1178" s="124">
        <f>+COUNT(BV1178:CY1178)</f>
        <v/>
      </c>
      <c r="DA1178" s="124" t="n"/>
      <c r="DB1178" s="124" t="n"/>
      <c r="DC1178" s="124" t="n"/>
      <c r="DD1178" s="124" t="n"/>
      <c r="DE1178" s="124" t="n"/>
      <c r="DF1178" s="124" t="n"/>
      <c r="DG1178" s="124" t="n"/>
      <c r="DH1178" s="124" t="n"/>
      <c r="DI1178" s="124" t="n"/>
      <c r="DJ1178" s="254" t="inlineStr">
        <is>
          <t>SE ELIMINA</t>
        </is>
      </c>
      <c r="DK1178" s="254" t="n"/>
      <c r="DL1178" s="95" t="n"/>
      <c r="DM1178" s="254" t="inlineStr">
        <is>
          <t>N/A</t>
        </is>
      </c>
      <c r="DN1178" s="95" t="n"/>
      <c r="DO1178" s="95" t="n"/>
    </row>
    <row r="1179" ht="14.25" customHeight="1">
      <c r="A1179" s="147" t="inlineStr">
        <is>
          <t>PIEZ-21</t>
        </is>
      </c>
      <c r="B1179" s="151" t="n"/>
      <c r="C1179" s="29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4" t="inlineStr">
        <is>
          <t>ASUB</t>
        </is>
      </c>
      <c r="BN1179" s="266" t="inlineStr">
        <is>
          <t>Ujina</t>
        </is>
      </c>
      <c r="BO1179" s="254" t="inlineStr">
        <is>
          <t>NO</t>
        </is>
      </c>
      <c r="BP1179" s="251" t="n"/>
      <c r="BQ1179" s="251" t="n"/>
      <c r="BR1179" s="251" t="n"/>
      <c r="BS1179" s="251" t="n"/>
      <c r="BT1179" s="251" t="n"/>
      <c r="BU1179" s="101" t="inlineStr">
        <is>
          <t>ARCADIS</t>
        </is>
      </c>
      <c r="BV1179" s="178" t="n"/>
      <c r="BW1179" s="254" t="n"/>
      <c r="BX1179" s="254" t="n"/>
      <c r="BY1179" s="254" t="n"/>
      <c r="BZ1179" s="254" t="n"/>
      <c r="CA1179" s="254" t="n"/>
      <c r="CB1179" s="254" t="n"/>
      <c r="CC1179" s="254" t="n"/>
      <c r="CD1179" s="254" t="n"/>
      <c r="CE1179" s="254" t="n"/>
      <c r="CF1179" s="254" t="n"/>
      <c r="CG1179" s="254" t="n"/>
      <c r="CH1179" s="254" t="n"/>
      <c r="CI1179" s="254" t="n"/>
      <c r="CJ1179" s="254" t="n"/>
      <c r="CK1179" s="254" t="n"/>
      <c r="CL1179" s="254" t="n"/>
      <c r="CM1179" s="254" t="n"/>
      <c r="CN1179" s="254" t="n"/>
      <c r="CO1179" s="254" t="n"/>
      <c r="CP1179" s="254" t="n"/>
      <c r="CQ1179" s="254" t="n"/>
      <c r="CR1179" s="254" t="n"/>
      <c r="CS1179" s="254" t="n"/>
      <c r="CT1179" s="254" t="n"/>
      <c r="CU1179" s="254" t="n"/>
      <c r="CV1179" s="254" t="n"/>
      <c r="CW1179" s="254" t="n"/>
      <c r="CX1179" s="254" t="n"/>
      <c r="CY1179" s="254" t="n"/>
      <c r="CZ1179" s="124">
        <f>+COUNT(BV1179:CY1179)</f>
        <v/>
      </c>
      <c r="DA1179" s="124" t="n"/>
      <c r="DB1179" s="124" t="n"/>
      <c r="DC1179" s="124" t="n"/>
      <c r="DD1179" s="124" t="n"/>
      <c r="DE1179" s="124" t="n"/>
      <c r="DF1179" s="124" t="n"/>
      <c r="DG1179" s="124" t="n"/>
      <c r="DH1179" s="124" t="n"/>
      <c r="DI1179" s="124" t="n"/>
      <c r="DJ1179" s="254" t="inlineStr">
        <is>
          <t>SE ELIMINA</t>
        </is>
      </c>
      <c r="DK1179" s="254" t="n"/>
      <c r="DL1179" s="95" t="n"/>
      <c r="DM1179" s="254" t="inlineStr">
        <is>
          <t>N/A</t>
        </is>
      </c>
      <c r="DN1179" s="95" t="n"/>
      <c r="DO1179" s="95" t="n"/>
    </row>
    <row r="1180" ht="14.25" customHeight="1">
      <c r="A1180" s="147" t="inlineStr">
        <is>
          <t>PIEZ-22</t>
        </is>
      </c>
      <c r="B1180" s="151" t="n"/>
      <c r="C1180" s="29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4" t="inlineStr">
        <is>
          <t>ASUB</t>
        </is>
      </c>
      <c r="BN1180" s="266" t="inlineStr">
        <is>
          <t>Ujina</t>
        </is>
      </c>
      <c r="BO1180" s="254" t="inlineStr">
        <is>
          <t>NO</t>
        </is>
      </c>
      <c r="BP1180" s="251" t="n"/>
      <c r="BQ1180" s="251" t="n"/>
      <c r="BR1180" s="251" t="n"/>
      <c r="BS1180" s="251" t="n"/>
      <c r="BT1180" s="251" t="n"/>
      <c r="BU1180" s="101" t="inlineStr">
        <is>
          <t>ARCADIS</t>
        </is>
      </c>
      <c r="BV1180" s="178" t="n"/>
      <c r="BW1180" s="254" t="n"/>
      <c r="BX1180" s="254" t="n"/>
      <c r="BY1180" s="254" t="n"/>
      <c r="BZ1180" s="254" t="n"/>
      <c r="CA1180" s="254" t="n"/>
      <c r="CB1180" s="254" t="n"/>
      <c r="CC1180" s="254" t="n"/>
      <c r="CD1180" s="254" t="n"/>
      <c r="CE1180" s="254" t="n"/>
      <c r="CF1180" s="254" t="n"/>
      <c r="CG1180" s="254" t="n"/>
      <c r="CH1180" s="254" t="n"/>
      <c r="CI1180" s="254" t="n"/>
      <c r="CJ1180" s="254" t="n"/>
      <c r="CK1180" s="254" t="n"/>
      <c r="CL1180" s="254" t="n"/>
      <c r="CM1180" s="254" t="n"/>
      <c r="CN1180" s="254" t="n"/>
      <c r="CO1180" s="254" t="n"/>
      <c r="CP1180" s="254" t="n"/>
      <c r="CQ1180" s="254" t="n"/>
      <c r="CR1180" s="254" t="n"/>
      <c r="CS1180" s="254" t="n"/>
      <c r="CT1180" s="254" t="n"/>
      <c r="CU1180" s="254" t="n"/>
      <c r="CV1180" s="254" t="n"/>
      <c r="CW1180" s="254" t="n"/>
      <c r="CX1180" s="254" t="n"/>
      <c r="CY1180" s="254" t="n"/>
      <c r="CZ1180" s="124">
        <f>+COUNT(BV1180:CY1180)</f>
        <v/>
      </c>
      <c r="DA1180" s="124" t="n"/>
      <c r="DB1180" s="124" t="n"/>
      <c r="DC1180" s="124" t="n"/>
      <c r="DD1180" s="124" t="n"/>
      <c r="DE1180" s="124" t="n"/>
      <c r="DF1180" s="124" t="n"/>
      <c r="DG1180" s="124" t="n"/>
      <c r="DH1180" s="124" t="n"/>
      <c r="DI1180" s="124" t="n"/>
      <c r="DJ1180" s="254" t="inlineStr">
        <is>
          <t>SE ELIMINA</t>
        </is>
      </c>
      <c r="DK1180" s="254" t="n"/>
      <c r="DL1180" s="95" t="n"/>
      <c r="DM1180" s="254" t="inlineStr">
        <is>
          <t>N/A</t>
        </is>
      </c>
      <c r="DN1180" s="95" t="n"/>
      <c r="DO1180" s="95" t="n"/>
    </row>
    <row r="1181" ht="14.25" customHeight="1">
      <c r="A1181" s="147" t="inlineStr">
        <is>
          <t>PIEZ-23</t>
        </is>
      </c>
      <c r="B1181" s="151" t="n"/>
      <c r="C1181" s="29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4" t="inlineStr">
        <is>
          <t>ASUB</t>
        </is>
      </c>
      <c r="BN1181" s="266" t="inlineStr">
        <is>
          <t>Ujina</t>
        </is>
      </c>
      <c r="BO1181" s="254" t="inlineStr">
        <is>
          <t>NO</t>
        </is>
      </c>
      <c r="BP1181" s="251" t="n"/>
      <c r="BQ1181" s="251" t="n"/>
      <c r="BR1181" s="251" t="n"/>
      <c r="BS1181" s="251" t="n"/>
      <c r="BT1181" s="251" t="n"/>
      <c r="BU1181" s="101" t="inlineStr">
        <is>
          <t>ARCADIS</t>
        </is>
      </c>
      <c r="BV1181" s="178" t="n"/>
      <c r="BW1181" s="254" t="n"/>
      <c r="BX1181" s="254" t="n"/>
      <c r="BY1181" s="254" t="n"/>
      <c r="BZ1181" s="254" t="n"/>
      <c r="CA1181" s="254" t="n"/>
      <c r="CB1181" s="254" t="n"/>
      <c r="CC1181" s="254" t="n"/>
      <c r="CD1181" s="254" t="n"/>
      <c r="CE1181" s="254" t="n"/>
      <c r="CF1181" s="254" t="n"/>
      <c r="CG1181" s="254" t="n"/>
      <c r="CH1181" s="254" t="n"/>
      <c r="CI1181" s="254" t="n"/>
      <c r="CJ1181" s="254" t="n"/>
      <c r="CK1181" s="254" t="n"/>
      <c r="CL1181" s="254" t="n"/>
      <c r="CM1181" s="254" t="n"/>
      <c r="CN1181" s="254" t="n"/>
      <c r="CO1181" s="254" t="n"/>
      <c r="CP1181" s="254" t="n"/>
      <c r="CQ1181" s="254" t="n"/>
      <c r="CR1181" s="254" t="n"/>
      <c r="CS1181" s="254" t="n"/>
      <c r="CT1181" s="254" t="n"/>
      <c r="CU1181" s="254" t="n"/>
      <c r="CV1181" s="254" t="n"/>
      <c r="CW1181" s="254" t="n"/>
      <c r="CX1181" s="254" t="n"/>
      <c r="CY1181" s="254" t="n"/>
      <c r="CZ1181" s="124">
        <f>+COUNT(BV1181:CY1181)</f>
        <v/>
      </c>
      <c r="DA1181" s="124" t="n"/>
      <c r="DB1181" s="124" t="n"/>
      <c r="DC1181" s="124" t="n"/>
      <c r="DD1181" s="124" t="n"/>
      <c r="DE1181" s="124" t="n"/>
      <c r="DF1181" s="124" t="n"/>
      <c r="DG1181" s="124" t="n"/>
      <c r="DH1181" s="124" t="n"/>
      <c r="DI1181" s="124" t="n"/>
      <c r="DJ1181" s="254" t="inlineStr">
        <is>
          <t>SE ELIMINA</t>
        </is>
      </c>
      <c r="DK1181" s="254" t="n"/>
      <c r="DL1181" s="95" t="n"/>
      <c r="DM1181" s="254" t="inlineStr">
        <is>
          <t>N/A</t>
        </is>
      </c>
      <c r="DN1181" s="95" t="n"/>
      <c r="DO1181" s="95" t="n"/>
    </row>
    <row r="1182" ht="14.25" customHeight="1">
      <c r="A1182" s="147" t="inlineStr">
        <is>
          <t>PIEZ-25</t>
        </is>
      </c>
      <c r="B1182" s="151" t="n"/>
      <c r="C1182" s="29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4" t="inlineStr">
        <is>
          <t>ASUB</t>
        </is>
      </c>
      <c r="BN1182" s="266" t="inlineStr">
        <is>
          <t>Ujina</t>
        </is>
      </c>
      <c r="BO1182" s="254" t="inlineStr">
        <is>
          <t>NO</t>
        </is>
      </c>
      <c r="BP1182" s="251" t="n"/>
      <c r="BQ1182" s="251" t="n"/>
      <c r="BR1182" s="251" t="n"/>
      <c r="BS1182" s="251" t="n"/>
      <c r="BT1182" s="251" t="n"/>
      <c r="BU1182" s="101" t="inlineStr">
        <is>
          <t>ARCADIS</t>
        </is>
      </c>
      <c r="BV1182" s="178" t="n"/>
      <c r="BW1182" s="254" t="n"/>
      <c r="BX1182" s="254" t="n"/>
      <c r="BY1182" s="254" t="n"/>
      <c r="BZ1182" s="254" t="n"/>
      <c r="CA1182" s="254" t="n"/>
      <c r="CB1182" s="254" t="n"/>
      <c r="CC1182" s="254" t="n"/>
      <c r="CD1182" s="254" t="n"/>
      <c r="CE1182" s="254" t="n"/>
      <c r="CF1182" s="254" t="n"/>
      <c r="CG1182" s="254" t="n"/>
      <c r="CH1182" s="254" t="n"/>
      <c r="CI1182" s="254" t="n"/>
      <c r="CJ1182" s="254" t="n"/>
      <c r="CK1182" s="254" t="n"/>
      <c r="CL1182" s="254" t="n"/>
      <c r="CM1182" s="254" t="n"/>
      <c r="CN1182" s="254" t="n"/>
      <c r="CO1182" s="254" t="n"/>
      <c r="CP1182" s="254" t="n"/>
      <c r="CQ1182" s="254" t="n"/>
      <c r="CR1182" s="254" t="n"/>
      <c r="CS1182" s="254" t="n"/>
      <c r="CT1182" s="254" t="n"/>
      <c r="CU1182" s="254" t="n"/>
      <c r="CV1182" s="254" t="n"/>
      <c r="CW1182" s="254" t="n"/>
      <c r="CX1182" s="254" t="n"/>
      <c r="CY1182" s="254" t="n"/>
      <c r="CZ1182" s="124">
        <f>+COUNT(BV1182:CY1182)</f>
        <v/>
      </c>
      <c r="DA1182" s="124" t="n"/>
      <c r="DB1182" s="124" t="n"/>
      <c r="DC1182" s="124" t="n"/>
      <c r="DD1182" s="124" t="n"/>
      <c r="DE1182" s="124" t="n"/>
      <c r="DF1182" s="124" t="n"/>
      <c r="DG1182" s="124" t="n"/>
      <c r="DH1182" s="124" t="n"/>
      <c r="DI1182" s="124" t="n"/>
      <c r="DJ1182" s="254" t="inlineStr">
        <is>
          <t>SE ELIMINA</t>
        </is>
      </c>
      <c r="DK1182" s="254" t="n"/>
      <c r="DL1182" s="95" t="n"/>
      <c r="DM1182" s="254" t="inlineStr">
        <is>
          <t>N/A</t>
        </is>
      </c>
      <c r="DN1182" s="95" t="n"/>
      <c r="DO1182" s="95" t="n"/>
    </row>
    <row r="1183" ht="14.25" customHeight="1">
      <c r="A1183" s="147" t="inlineStr">
        <is>
          <t>PIEZ-26</t>
        </is>
      </c>
      <c r="B1183" s="151" t="n"/>
      <c r="C1183" s="29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4" t="inlineStr">
        <is>
          <t>ASUB</t>
        </is>
      </c>
      <c r="BN1183" s="266" t="inlineStr">
        <is>
          <t>Ujina</t>
        </is>
      </c>
      <c r="BO1183" s="254" t="inlineStr">
        <is>
          <t>NO</t>
        </is>
      </c>
      <c r="BP1183" s="251" t="n"/>
      <c r="BQ1183" s="251" t="n"/>
      <c r="BR1183" s="251" t="n"/>
      <c r="BS1183" s="251" t="n"/>
      <c r="BT1183" s="251" t="n"/>
      <c r="BU1183" s="101" t="inlineStr">
        <is>
          <t>ARCADIS</t>
        </is>
      </c>
      <c r="BV1183" s="178" t="n"/>
      <c r="BW1183" s="254" t="n"/>
      <c r="BX1183" s="254" t="n"/>
      <c r="BY1183" s="254" t="n"/>
      <c r="BZ1183" s="254" t="n"/>
      <c r="CA1183" s="254" t="n"/>
      <c r="CB1183" s="254" t="n"/>
      <c r="CC1183" s="254" t="n"/>
      <c r="CD1183" s="254" t="n"/>
      <c r="CE1183" s="254" t="n"/>
      <c r="CF1183" s="254" t="n"/>
      <c r="CG1183" s="254" t="n"/>
      <c r="CH1183" s="254" t="n"/>
      <c r="CI1183" s="254" t="n"/>
      <c r="CJ1183" s="254" t="n"/>
      <c r="CK1183" s="254" t="n"/>
      <c r="CL1183" s="254" t="n"/>
      <c r="CM1183" s="254" t="n"/>
      <c r="CN1183" s="254" t="n"/>
      <c r="CO1183" s="254" t="n"/>
      <c r="CP1183" s="254" t="n"/>
      <c r="CQ1183" s="254" t="n"/>
      <c r="CR1183" s="254" t="n"/>
      <c r="CS1183" s="254" t="n"/>
      <c r="CT1183" s="254" t="n"/>
      <c r="CU1183" s="254" t="n"/>
      <c r="CV1183" s="254" t="n"/>
      <c r="CW1183" s="254" t="n"/>
      <c r="CX1183" s="254" t="n"/>
      <c r="CY1183" s="254" t="n"/>
      <c r="CZ1183" s="124">
        <f>+COUNT(BV1183:CY1183)</f>
        <v/>
      </c>
      <c r="DA1183" s="124" t="n"/>
      <c r="DB1183" s="124" t="n"/>
      <c r="DC1183" s="124" t="n"/>
      <c r="DD1183" s="124" t="n"/>
      <c r="DE1183" s="124" t="n"/>
      <c r="DF1183" s="124" t="n"/>
      <c r="DG1183" s="124" t="n"/>
      <c r="DH1183" s="124" t="n"/>
      <c r="DI1183" s="124" t="n"/>
      <c r="DJ1183" s="254" t="inlineStr">
        <is>
          <t>SE ELIMINA</t>
        </is>
      </c>
      <c r="DK1183" s="254" t="n"/>
      <c r="DL1183" s="95" t="n"/>
      <c r="DM1183" s="254" t="inlineStr">
        <is>
          <t>N/A</t>
        </is>
      </c>
      <c r="DN1183" s="95" t="n"/>
      <c r="DO1183" s="95" t="n"/>
    </row>
    <row r="1184" ht="14.25" customHeight="1">
      <c r="A1184" s="147" t="inlineStr">
        <is>
          <t>PIEZ-27</t>
        </is>
      </c>
      <c r="B1184" s="151" t="n"/>
      <c r="C1184" s="29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4" t="inlineStr">
        <is>
          <t>ASUB</t>
        </is>
      </c>
      <c r="BN1184" s="266" t="inlineStr">
        <is>
          <t>Ujina</t>
        </is>
      </c>
      <c r="BO1184" s="254" t="inlineStr">
        <is>
          <t>NO</t>
        </is>
      </c>
      <c r="BP1184" s="251" t="n"/>
      <c r="BQ1184" s="251" t="n"/>
      <c r="BR1184" s="251" t="n"/>
      <c r="BS1184" s="251" t="n"/>
      <c r="BT1184" s="251" t="n"/>
      <c r="BU1184" s="101" t="inlineStr">
        <is>
          <t>ARCADIS</t>
        </is>
      </c>
      <c r="BV1184" s="178" t="n"/>
      <c r="BW1184" s="254" t="n"/>
      <c r="BX1184" s="254" t="n"/>
      <c r="BY1184" s="254" t="n"/>
      <c r="BZ1184" s="254" t="n"/>
      <c r="CA1184" s="254" t="n"/>
      <c r="CB1184" s="254" t="n"/>
      <c r="CC1184" s="254" t="n"/>
      <c r="CD1184" s="254" t="n"/>
      <c r="CE1184" s="254" t="n"/>
      <c r="CF1184" s="254" t="n"/>
      <c r="CG1184" s="254" t="n"/>
      <c r="CH1184" s="254" t="n"/>
      <c r="CI1184" s="254" t="n"/>
      <c r="CJ1184" s="254" t="n"/>
      <c r="CK1184" s="254" t="n"/>
      <c r="CL1184" s="254" t="n"/>
      <c r="CM1184" s="254" t="n"/>
      <c r="CN1184" s="254" t="n"/>
      <c r="CO1184" s="254" t="n"/>
      <c r="CP1184" s="254" t="n"/>
      <c r="CQ1184" s="254" t="n"/>
      <c r="CR1184" s="254" t="n"/>
      <c r="CS1184" s="254" t="n"/>
      <c r="CT1184" s="254" t="n"/>
      <c r="CU1184" s="254" t="n"/>
      <c r="CV1184" s="254" t="n"/>
      <c r="CW1184" s="254" t="n"/>
      <c r="CX1184" s="254" t="n"/>
      <c r="CY1184" s="254" t="n"/>
      <c r="CZ1184" s="124">
        <f>+COUNT(BV1184:CY1184)</f>
        <v/>
      </c>
      <c r="DA1184" s="124" t="n"/>
      <c r="DB1184" s="124" t="n"/>
      <c r="DC1184" s="124" t="n"/>
      <c r="DD1184" s="124" t="n"/>
      <c r="DE1184" s="124" t="n"/>
      <c r="DF1184" s="124" t="n"/>
      <c r="DG1184" s="124" t="n"/>
      <c r="DH1184" s="124" t="n"/>
      <c r="DI1184" s="124" t="n"/>
      <c r="DJ1184" s="254" t="inlineStr">
        <is>
          <t>SE ELIMINA</t>
        </is>
      </c>
      <c r="DK1184" s="254" t="n"/>
      <c r="DL1184" s="95" t="n"/>
      <c r="DM1184" s="254" t="inlineStr">
        <is>
          <t>N/A</t>
        </is>
      </c>
      <c r="DN1184" s="95" t="n"/>
      <c r="DO1184" s="95" t="n"/>
    </row>
    <row r="1185" ht="14.25" customHeight="1">
      <c r="A1185" s="147" t="inlineStr">
        <is>
          <t>PIEZ-28</t>
        </is>
      </c>
      <c r="B1185" s="151" t="n"/>
      <c r="C1185" s="29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4" t="inlineStr">
        <is>
          <t>ASUB</t>
        </is>
      </c>
      <c r="BN1185" s="266" t="inlineStr">
        <is>
          <t>Ujina</t>
        </is>
      </c>
      <c r="BO1185" s="254" t="inlineStr">
        <is>
          <t>NO</t>
        </is>
      </c>
      <c r="BP1185" s="251" t="n"/>
      <c r="BQ1185" s="251" t="n"/>
      <c r="BR1185" s="251" t="n"/>
      <c r="BS1185" s="251" t="n"/>
      <c r="BT1185" s="251" t="n"/>
      <c r="BU1185" s="101" t="inlineStr">
        <is>
          <t>ARCADIS</t>
        </is>
      </c>
      <c r="BV1185" s="178" t="n"/>
      <c r="BW1185" s="254" t="n"/>
      <c r="BX1185" s="254" t="n"/>
      <c r="BY1185" s="254" t="n"/>
      <c r="BZ1185" s="254" t="n"/>
      <c r="CA1185" s="254" t="n"/>
      <c r="CB1185" s="254" t="n"/>
      <c r="CC1185" s="254" t="n"/>
      <c r="CD1185" s="254" t="n"/>
      <c r="CE1185" s="254" t="n"/>
      <c r="CF1185" s="254" t="n"/>
      <c r="CG1185" s="254" t="n"/>
      <c r="CH1185" s="254" t="n"/>
      <c r="CI1185" s="254" t="n"/>
      <c r="CJ1185" s="254" t="n"/>
      <c r="CK1185" s="254" t="n"/>
      <c r="CL1185" s="254" t="n"/>
      <c r="CM1185" s="254" t="n"/>
      <c r="CN1185" s="254" t="n"/>
      <c r="CO1185" s="254" t="n"/>
      <c r="CP1185" s="254" t="n"/>
      <c r="CQ1185" s="254" t="n"/>
      <c r="CR1185" s="254" t="n"/>
      <c r="CS1185" s="254" t="n"/>
      <c r="CT1185" s="254" t="n"/>
      <c r="CU1185" s="254" t="n"/>
      <c r="CV1185" s="254" t="n"/>
      <c r="CW1185" s="254" t="n"/>
      <c r="CX1185" s="254" t="n"/>
      <c r="CY1185" s="254" t="n"/>
      <c r="CZ1185" s="124">
        <f>+COUNT(BV1185:CY1185)</f>
        <v/>
      </c>
      <c r="DA1185" s="124" t="n"/>
      <c r="DB1185" s="124" t="n"/>
      <c r="DC1185" s="124" t="n"/>
      <c r="DD1185" s="124" t="n"/>
      <c r="DE1185" s="124" t="n"/>
      <c r="DF1185" s="124" t="n"/>
      <c r="DG1185" s="124" t="n"/>
      <c r="DH1185" s="124" t="n"/>
      <c r="DI1185" s="124" t="n"/>
      <c r="DJ1185" s="254" t="inlineStr">
        <is>
          <t>SE ELIMINA</t>
        </is>
      </c>
      <c r="DK1185" s="254" t="n"/>
      <c r="DL1185" s="95" t="n"/>
      <c r="DM1185" s="254" t="inlineStr">
        <is>
          <t>N/A</t>
        </is>
      </c>
      <c r="DN1185" s="95" t="n"/>
      <c r="DO1185" s="95" t="n"/>
    </row>
    <row r="1186" ht="14.25" customHeight="1">
      <c r="A1186" s="147" t="inlineStr">
        <is>
          <t>PIU-02</t>
        </is>
      </c>
      <c r="B1186" s="151" t="n"/>
      <c r="C1186" s="29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4" t="inlineStr">
        <is>
          <t>ASUB</t>
        </is>
      </c>
      <c r="BN1186" s="266" t="inlineStr">
        <is>
          <t>Ujina</t>
        </is>
      </c>
      <c r="BO1186" s="254" t="inlineStr">
        <is>
          <t>NO</t>
        </is>
      </c>
      <c r="BP1186" s="251" t="n"/>
      <c r="BQ1186" s="251" t="n"/>
      <c r="BR1186" s="251" t="n"/>
      <c r="BS1186" s="251" t="n"/>
      <c r="BT1186" s="251" t="n"/>
      <c r="BU1186" s="101" t="inlineStr">
        <is>
          <t>ARCADIS</t>
        </is>
      </c>
      <c r="BV1186" s="178" t="n"/>
      <c r="BW1186" s="254" t="n"/>
      <c r="BX1186" s="254" t="n"/>
      <c r="BY1186" s="254" t="n"/>
      <c r="BZ1186" s="254" t="n"/>
      <c r="CA1186" s="254" t="n"/>
      <c r="CB1186" s="254" t="n"/>
      <c r="CC1186" s="254" t="n"/>
      <c r="CD1186" s="254" t="n"/>
      <c r="CE1186" s="254" t="n"/>
      <c r="CF1186" s="254" t="n"/>
      <c r="CG1186" s="254" t="n"/>
      <c r="CH1186" s="254" t="n"/>
      <c r="CI1186" s="254" t="n"/>
      <c r="CJ1186" s="254" t="n"/>
      <c r="CK1186" s="254" t="n"/>
      <c r="CL1186" s="254" t="n"/>
      <c r="CM1186" s="254" t="n"/>
      <c r="CN1186" s="254" t="n"/>
      <c r="CO1186" s="254" t="n"/>
      <c r="CP1186" s="254" t="n"/>
      <c r="CQ1186" s="254" t="n"/>
      <c r="CR1186" s="254" t="n"/>
      <c r="CS1186" s="254" t="n"/>
      <c r="CT1186" s="254" t="n"/>
      <c r="CU1186" s="254" t="n"/>
      <c r="CV1186" s="254" t="n"/>
      <c r="CW1186" s="254" t="n"/>
      <c r="CX1186" s="254" t="n"/>
      <c r="CY1186" s="254" t="n"/>
      <c r="CZ1186" s="124">
        <f>+COUNT(BV1186:CY1186)</f>
        <v/>
      </c>
      <c r="DA1186" s="124" t="n"/>
      <c r="DB1186" s="124" t="n"/>
      <c r="DC1186" s="124" t="n"/>
      <c r="DD1186" s="124" t="n"/>
      <c r="DE1186" s="124" t="n"/>
      <c r="DF1186" s="124" t="n"/>
      <c r="DG1186" s="124" t="n"/>
      <c r="DH1186" s="124" t="n"/>
      <c r="DI1186" s="124" t="n"/>
      <c r="DJ1186" s="254" t="inlineStr">
        <is>
          <t>SE ELIMINA</t>
        </is>
      </c>
      <c r="DK1186" s="254" t="n"/>
      <c r="DL1186" s="95" t="n"/>
      <c r="DM1186" s="254" t="inlineStr">
        <is>
          <t>N/A</t>
        </is>
      </c>
      <c r="DN1186" s="95" t="n"/>
      <c r="DO1186" s="95" t="n"/>
    </row>
    <row r="1187" ht="14.25" customHeight="1">
      <c r="A1187" s="147" t="inlineStr">
        <is>
          <t>PIU-04</t>
        </is>
      </c>
      <c r="B1187" s="151" t="n"/>
      <c r="C1187" s="29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4" t="inlineStr">
        <is>
          <t>ASUB</t>
        </is>
      </c>
      <c r="BN1187" s="266" t="inlineStr">
        <is>
          <t>Ujina</t>
        </is>
      </c>
      <c r="BO1187" s="254" t="inlineStr">
        <is>
          <t>NO</t>
        </is>
      </c>
      <c r="BP1187" s="251" t="n"/>
      <c r="BQ1187" s="251" t="n"/>
      <c r="BR1187" s="251" t="n"/>
      <c r="BS1187" s="251" t="n"/>
      <c r="BT1187" s="251" t="n"/>
      <c r="BU1187" s="101" t="inlineStr">
        <is>
          <t>ARCADIS</t>
        </is>
      </c>
      <c r="BV1187" s="178" t="n"/>
      <c r="BW1187" s="254" t="n"/>
      <c r="BX1187" s="254" t="n"/>
      <c r="BY1187" s="254" t="n"/>
      <c r="BZ1187" s="254" t="n"/>
      <c r="CA1187" s="254" t="n"/>
      <c r="CB1187" s="254" t="n"/>
      <c r="CC1187" s="254" t="n"/>
      <c r="CD1187" s="254" t="n"/>
      <c r="CE1187" s="254" t="n"/>
      <c r="CF1187" s="254" t="n"/>
      <c r="CG1187" s="254" t="n"/>
      <c r="CH1187" s="254" t="n"/>
      <c r="CI1187" s="254" t="n"/>
      <c r="CJ1187" s="254" t="n"/>
      <c r="CK1187" s="254" t="n"/>
      <c r="CL1187" s="254" t="n"/>
      <c r="CM1187" s="254" t="n"/>
      <c r="CN1187" s="254" t="n"/>
      <c r="CO1187" s="254" t="n"/>
      <c r="CP1187" s="254" t="n"/>
      <c r="CQ1187" s="254" t="n"/>
      <c r="CR1187" s="254" t="n"/>
      <c r="CS1187" s="254" t="n"/>
      <c r="CT1187" s="254" t="n"/>
      <c r="CU1187" s="254" t="n"/>
      <c r="CV1187" s="254" t="n"/>
      <c r="CW1187" s="254" t="n"/>
      <c r="CX1187" s="254" t="n"/>
      <c r="CY1187" s="254" t="n"/>
      <c r="CZ1187" s="124">
        <f>+COUNT(BV1187:CY1187)</f>
        <v/>
      </c>
      <c r="DA1187" s="124" t="n"/>
      <c r="DB1187" s="124" t="n"/>
      <c r="DC1187" s="124" t="n"/>
      <c r="DD1187" s="124" t="n"/>
      <c r="DE1187" s="124" t="n"/>
      <c r="DF1187" s="124" t="n"/>
      <c r="DG1187" s="124" t="n"/>
      <c r="DH1187" s="124" t="n"/>
      <c r="DI1187" s="124" t="n"/>
      <c r="DJ1187" s="254" t="inlineStr">
        <is>
          <t>SE ELIMINA</t>
        </is>
      </c>
      <c r="DK1187" s="254" t="n"/>
      <c r="DL1187" s="95" t="n"/>
      <c r="DM1187" s="254" t="inlineStr">
        <is>
          <t>N/A</t>
        </is>
      </c>
      <c r="DN1187" s="95" t="n"/>
      <c r="DO1187" s="95" t="n"/>
    </row>
    <row r="1188" ht="14.25" customHeight="1">
      <c r="A1188" s="147" t="inlineStr">
        <is>
          <t>PEU-01</t>
        </is>
      </c>
      <c r="B1188" s="151" t="n"/>
      <c r="C1188" s="29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4" t="inlineStr">
        <is>
          <t>ASUB</t>
        </is>
      </c>
      <c r="BN1188" s="266" t="inlineStr">
        <is>
          <t>Ujina</t>
        </is>
      </c>
      <c r="BO1188" s="254" t="inlineStr">
        <is>
          <t>NO</t>
        </is>
      </c>
      <c r="BP1188" s="251" t="n"/>
      <c r="BQ1188" s="251" t="n"/>
      <c r="BR1188" s="251" t="n"/>
      <c r="BS1188" s="251" t="n"/>
      <c r="BT1188" s="251" t="n"/>
      <c r="BU1188" s="101" t="inlineStr">
        <is>
          <t>ARCADIS</t>
        </is>
      </c>
      <c r="BV1188" s="178" t="n"/>
      <c r="BW1188" s="254" t="n"/>
      <c r="BX1188" s="254" t="n"/>
      <c r="BY1188" s="254" t="n"/>
      <c r="BZ1188" s="254" t="n"/>
      <c r="CA1188" s="254" t="n"/>
      <c r="CB1188" s="254" t="n"/>
      <c r="CC1188" s="254" t="n"/>
      <c r="CD1188" s="254" t="n"/>
      <c r="CE1188" s="254" t="n"/>
      <c r="CF1188" s="254" t="n"/>
      <c r="CG1188" s="254" t="n"/>
      <c r="CH1188" s="254" t="n"/>
      <c r="CI1188" s="254" t="n"/>
      <c r="CJ1188" s="254" t="n"/>
      <c r="CK1188" s="254" t="n"/>
      <c r="CL1188" s="254" t="n"/>
      <c r="CM1188" s="254" t="n"/>
      <c r="CN1188" s="254" t="n"/>
      <c r="CO1188" s="254" t="n"/>
      <c r="CP1188" s="254" t="n"/>
      <c r="CQ1188" s="254" t="n"/>
      <c r="CR1188" s="254" t="n"/>
      <c r="CS1188" s="254" t="n"/>
      <c r="CT1188" s="254" t="n"/>
      <c r="CU1188" s="254" t="n"/>
      <c r="CV1188" s="254" t="n"/>
      <c r="CW1188" s="254" t="n"/>
      <c r="CX1188" s="254" t="n"/>
      <c r="CY1188" s="254" t="n"/>
      <c r="CZ1188" s="124">
        <f>+COUNT(BV1188:CY1188)</f>
        <v/>
      </c>
      <c r="DA1188" s="124" t="n"/>
      <c r="DB1188" s="124" t="n"/>
      <c r="DC1188" s="124" t="n"/>
      <c r="DD1188" s="124" t="n"/>
      <c r="DE1188" s="124" t="n"/>
      <c r="DF1188" s="124" t="n"/>
      <c r="DG1188" s="124" t="n"/>
      <c r="DH1188" s="124" t="n"/>
      <c r="DI1188" s="124" t="n"/>
      <c r="DJ1188" s="254" t="inlineStr">
        <is>
          <t>SE ELIMINA</t>
        </is>
      </c>
      <c r="DK1188" s="254" t="n"/>
      <c r="DL1188" s="95" t="n"/>
      <c r="DM1188" s="254" t="inlineStr">
        <is>
          <t>N/A</t>
        </is>
      </c>
      <c r="DN1188" s="95" t="n"/>
      <c r="DO1188" s="95" t="n"/>
    </row>
    <row r="1189" ht="14.25" customHeight="1">
      <c r="A1189" s="147" t="inlineStr">
        <is>
          <t>PMI-09B</t>
        </is>
      </c>
      <c r="B1189" s="151" t="n"/>
      <c r="C1189" s="29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4" t="inlineStr">
        <is>
          <t>ASUB</t>
        </is>
      </c>
      <c r="BN1189" s="106" t="inlineStr">
        <is>
          <t>Falla Pabellón</t>
        </is>
      </c>
      <c r="BO1189" s="254" t="inlineStr">
        <is>
          <t>SI</t>
        </is>
      </c>
      <c r="BP1189" s="251" t="n"/>
      <c r="BQ1189" s="251" t="n"/>
      <c r="BR1189" s="251" t="n"/>
      <c r="BS1189" s="251" t="n"/>
      <c r="BT1189" s="251" t="n"/>
      <c r="BU1189" s="123" t="inlineStr">
        <is>
          <t>SE ELIMINO (29-09-2023) X CMDIC</t>
        </is>
      </c>
      <c r="BV1189" s="177" t="n"/>
      <c r="BW1189" s="254" t="n"/>
      <c r="BX1189" s="254" t="n"/>
      <c r="BY1189" s="323" t="n"/>
      <c r="BZ1189" s="323" t="n"/>
      <c r="CA1189" s="254" t="n"/>
      <c r="CB1189" s="254" t="n"/>
      <c r="CC1189" s="254" t="n"/>
      <c r="CD1189" s="254" t="n"/>
      <c r="CE1189" s="254" t="n"/>
      <c r="CF1189" s="254" t="n"/>
      <c r="CG1189" s="266" t="n"/>
      <c r="CH1189" s="254" t="n"/>
      <c r="CI1189" s="266" t="n"/>
      <c r="CJ1189" s="254" t="n"/>
      <c r="CK1189" s="254" t="n"/>
      <c r="CL1189" s="254" t="n"/>
      <c r="CM1189" s="254" t="n"/>
      <c r="CN1189" s="254" t="n"/>
      <c r="CO1189" s="254" t="n"/>
      <c r="CP1189" s="254" t="n"/>
      <c r="CQ1189" s="254" t="n"/>
      <c r="CR1189" s="254" t="n"/>
      <c r="CS1189" s="254" t="n"/>
      <c r="CT1189" s="254" t="n"/>
      <c r="CU1189" s="254" t="n"/>
      <c r="CV1189" s="254" t="n"/>
      <c r="CW1189" s="254" t="n"/>
      <c r="CX1189" s="254" t="n"/>
      <c r="CY1189" s="254" t="n"/>
      <c r="CZ1189" s="124">
        <f>+COUNT(BV1189:CY1189)</f>
        <v/>
      </c>
      <c r="DA1189" s="124" t="n"/>
      <c r="DB1189" s="124" t="n"/>
      <c r="DC1189" s="124" t="n"/>
      <c r="DD1189" s="124" t="n"/>
      <c r="DE1189" s="124" t="n"/>
      <c r="DF1189" s="124" t="n"/>
      <c r="DG1189" s="124" t="n"/>
      <c r="DH1189" s="124" t="n"/>
      <c r="DI1189" s="124" t="n"/>
      <c r="DJ1189" s="254" t="inlineStr">
        <is>
          <t>SE ELIMINA</t>
        </is>
      </c>
      <c r="DK1189" s="254" t="n">
        <v>8</v>
      </c>
      <c r="DL1189" s="95" t="n">
        <v>14</v>
      </c>
      <c r="DM1189" s="127" t="inlineStr">
        <is>
          <t>SE ELIMINO</t>
        </is>
      </c>
      <c r="DN1189" s="95" t="n">
        <v>8</v>
      </c>
      <c r="DO1189" s="95" t="n">
        <v>14</v>
      </c>
    </row>
    <row r="1190" ht="14.25" customHeight="1">
      <c r="A1190" s="147" t="inlineStr">
        <is>
          <t>SH-17B</t>
        </is>
      </c>
      <c r="B1190" s="151" t="n"/>
      <c r="C1190" s="29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4" t="n"/>
      <c r="BN1190" s="266" t="inlineStr">
        <is>
          <t>Puerto Collahuasi</t>
        </is>
      </c>
      <c r="BO1190" s="254" t="n"/>
      <c r="BP1190" s="251" t="n"/>
      <c r="BQ1190" s="251" t="n"/>
      <c r="BR1190" s="251" t="n"/>
      <c r="BS1190" s="251" t="n"/>
      <c r="BT1190" s="251"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4" t="n"/>
      <c r="DK1190" s="254" t="n">
        <v>22</v>
      </c>
      <c r="DL1190" s="95" t="n">
        <v>28</v>
      </c>
      <c r="DM1190" s="254" t="n"/>
      <c r="DN1190" s="95" t="n"/>
      <c r="DO1190" s="95" t="n"/>
    </row>
    <row r="1191" ht="14.25" customHeight="1">
      <c r="A1191" s="147" t="inlineStr">
        <is>
          <t>SH-10B</t>
        </is>
      </c>
      <c r="B1191" s="151" t="n"/>
      <c r="C1191" s="29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4" t="inlineStr">
        <is>
          <t>ASUB</t>
        </is>
      </c>
      <c r="BN1191" s="266" t="inlineStr">
        <is>
          <t>Puerto Collahuasi</t>
        </is>
      </c>
      <c r="BO1191" s="254" t="inlineStr">
        <is>
          <t>SI</t>
        </is>
      </c>
      <c r="BP1191" s="251" t="n"/>
      <c r="BQ1191" s="251" t="n"/>
      <c r="BR1191" s="251" t="n"/>
      <c r="BS1191" s="251" t="n"/>
      <c r="BT1191" s="251" t="n"/>
      <c r="BU1191" s="123" t="inlineStr">
        <is>
          <t>SE ELIMINO (29-09-2023) X CMDIC</t>
        </is>
      </c>
      <c r="BV1191" s="178" t="n"/>
      <c r="BW1191" s="254" t="n"/>
      <c r="BX1191" s="254" t="n"/>
      <c r="BY1191" s="254" t="n"/>
      <c r="BZ1191" s="254" t="n"/>
      <c r="CA1191" s="254" t="n"/>
      <c r="CB1191" s="254" t="n"/>
      <c r="CC1191" s="254" t="n"/>
      <c r="CD1191" s="254" t="n"/>
      <c r="CE1191" s="254" t="n"/>
      <c r="CF1191" s="254" t="n"/>
      <c r="CG1191" s="254" t="n"/>
      <c r="CH1191" s="254" t="n"/>
      <c r="CI1191" s="254" t="n"/>
      <c r="CJ1191" s="254" t="n"/>
      <c r="CK1191" s="254" t="n"/>
      <c r="CL1191" s="254" t="n"/>
      <c r="CM1191" s="254" t="n"/>
      <c r="CN1191" s="254" t="n"/>
      <c r="CO1191" s="254" t="n"/>
      <c r="CP1191" s="254" t="n"/>
      <c r="CQ1191" s="254" t="n"/>
      <c r="CR1191" s="254" t="n"/>
      <c r="CS1191" s="254" t="n"/>
      <c r="CT1191" s="254" t="n"/>
      <c r="CU1191" s="266" t="n"/>
      <c r="CV1191" s="266" t="n"/>
      <c r="CW1191" s="266" t="n"/>
      <c r="CX1191" s="266" t="n"/>
      <c r="CY1191" s="266" t="n"/>
      <c r="CZ1191" s="124">
        <f>+COUNT(BV1191:CY1191)</f>
        <v/>
      </c>
      <c r="DA1191" s="124" t="n"/>
      <c r="DB1191" s="124" t="n"/>
      <c r="DC1191" s="124" t="n"/>
      <c r="DD1191" s="124" t="n"/>
      <c r="DE1191" s="124" t="n"/>
      <c r="DF1191" s="124" t="n"/>
      <c r="DG1191" s="124" t="n"/>
      <c r="DH1191" s="124" t="n"/>
      <c r="DI1191" s="124" t="n"/>
      <c r="DJ1191" s="254" t="inlineStr">
        <is>
          <t>SE ELIMINA</t>
        </is>
      </c>
      <c r="DK1191" s="254" t="n">
        <v>22</v>
      </c>
      <c r="DL1191" s="95" t="n">
        <v>28</v>
      </c>
      <c r="DM1191" s="127" t="inlineStr">
        <is>
          <t>SE ELIMINO</t>
        </is>
      </c>
      <c r="DN1191" s="95" t="n">
        <v>22</v>
      </c>
      <c r="DO1191" s="95" t="n">
        <v>28</v>
      </c>
    </row>
    <row r="1192" ht="14.25" customHeight="1">
      <c r="A1192" s="147" t="inlineStr">
        <is>
          <t>SH-11B</t>
        </is>
      </c>
      <c r="B1192" s="151" t="n"/>
      <c r="C1192" s="29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4" t="inlineStr">
        <is>
          <t>ASUB</t>
        </is>
      </c>
      <c r="BN1192" s="266" t="inlineStr">
        <is>
          <t>Puerto Collahuasi</t>
        </is>
      </c>
      <c r="BO1192" s="254" t="inlineStr">
        <is>
          <t>SI</t>
        </is>
      </c>
      <c r="BP1192" s="251" t="n"/>
      <c r="BQ1192" s="251" t="n"/>
      <c r="BR1192" s="251" t="n"/>
      <c r="BS1192" s="251" t="n"/>
      <c r="BT1192" s="251" t="n"/>
      <c r="BU1192" s="123" t="inlineStr">
        <is>
          <t>SE ELIMINO (29-09-2023) X CMDIC</t>
        </is>
      </c>
      <c r="BV1192" s="178" t="n"/>
      <c r="BW1192" s="254" t="n"/>
      <c r="BX1192" s="254" t="n"/>
      <c r="BY1192" s="254" t="n"/>
      <c r="BZ1192" s="254" t="n"/>
      <c r="CA1192" s="254" t="n"/>
      <c r="CB1192" s="254" t="n"/>
      <c r="CC1192" s="254" t="n"/>
      <c r="CD1192" s="254" t="n"/>
      <c r="CE1192" s="254" t="n"/>
      <c r="CF1192" s="254" t="n"/>
      <c r="CG1192" s="254" t="n"/>
      <c r="CH1192" s="254" t="n"/>
      <c r="CI1192" s="254" t="n"/>
      <c r="CJ1192" s="254" t="n"/>
      <c r="CK1192" s="254" t="n"/>
      <c r="CL1192" s="254" t="n"/>
      <c r="CM1192" s="254" t="n"/>
      <c r="CN1192" s="254" t="n"/>
      <c r="CO1192" s="254" t="n"/>
      <c r="CP1192" s="254" t="n"/>
      <c r="CQ1192" s="254" t="n"/>
      <c r="CR1192" s="254" t="n"/>
      <c r="CS1192" s="254" t="n"/>
      <c r="CT1192" s="254" t="n"/>
      <c r="CU1192" s="266" t="n"/>
      <c r="CV1192" s="266" t="n"/>
      <c r="CW1192" s="266" t="n"/>
      <c r="CX1192" s="266" t="n"/>
      <c r="CY1192" s="266" t="n"/>
      <c r="CZ1192" s="124">
        <f>+COUNT(BV1192:CY1192)</f>
        <v/>
      </c>
      <c r="DA1192" s="124" t="n"/>
      <c r="DB1192" s="124" t="n"/>
      <c r="DC1192" s="124" t="n"/>
      <c r="DD1192" s="124" t="n"/>
      <c r="DE1192" s="124" t="n"/>
      <c r="DF1192" s="124" t="n"/>
      <c r="DG1192" s="124" t="n"/>
      <c r="DH1192" s="124" t="n"/>
      <c r="DI1192" s="124" t="n"/>
      <c r="DJ1192" s="254" t="inlineStr">
        <is>
          <t>SE ELIMINA</t>
        </is>
      </c>
      <c r="DK1192" s="254" t="n">
        <v>22</v>
      </c>
      <c r="DL1192" s="95" t="n">
        <v>28</v>
      </c>
      <c r="DM1192" s="127" t="inlineStr">
        <is>
          <t>SE ELIMINO</t>
        </is>
      </c>
      <c r="DN1192" s="95" t="n">
        <v>22</v>
      </c>
      <c r="DO1192" s="95" t="n">
        <v>28</v>
      </c>
    </row>
    <row r="1193" ht="14.25" customHeight="1">
      <c r="A1193" s="147" t="inlineStr">
        <is>
          <t>T-10  (0,2-0,4 y 0,6 m)</t>
        </is>
      </c>
      <c r="B1193" s="151" t="n"/>
      <c r="C1193" s="29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4" t="inlineStr">
        <is>
          <t>SUELOS</t>
        </is>
      </c>
      <c r="BN1193" s="266" t="inlineStr">
        <is>
          <t>Jachucoposa</t>
        </is>
      </c>
      <c r="BO1193" s="254" t="n"/>
      <c r="BP1193" s="251" t="n"/>
      <c r="BQ1193" s="251" t="n"/>
      <c r="BR1193" s="251" t="n"/>
      <c r="BS1193" s="251" t="n"/>
      <c r="BT1193" s="251" t="n"/>
      <c r="BU1193" s="101" t="n"/>
      <c r="BV1193" s="178" t="n"/>
      <c r="BW1193" s="254" t="n"/>
      <c r="BX1193" s="254" t="n"/>
      <c r="BY1193" s="254" t="n"/>
      <c r="BZ1193" s="254" t="n"/>
      <c r="CA1193" s="254" t="n"/>
      <c r="CB1193" s="254" t="n"/>
      <c r="CC1193" s="254" t="n"/>
      <c r="CD1193" s="254" t="n"/>
      <c r="CE1193" s="254" t="n"/>
      <c r="CF1193" s="254" t="n"/>
      <c r="CG1193" s="254" t="n"/>
      <c r="CH1193" s="254" t="n"/>
      <c r="CI1193" s="254" t="n"/>
      <c r="CJ1193" s="254" t="n"/>
      <c r="CK1193" s="254" t="n"/>
      <c r="CL1193" s="254" t="n"/>
      <c r="CM1193" s="254" t="n"/>
      <c r="CN1193" s="254" t="n"/>
      <c r="CO1193" s="254" t="n"/>
      <c r="CP1193" s="254" t="n"/>
      <c r="CQ1193" s="254" t="n"/>
      <c r="CR1193" s="254" t="n"/>
      <c r="CS1193" s="254" t="n"/>
      <c r="CT1193" s="254" t="n"/>
      <c r="CU1193" s="254" t="n"/>
      <c r="CV1193" s="254" t="n"/>
      <c r="CW1193" s="254" t="n"/>
      <c r="CX1193" s="254" t="n"/>
      <c r="CY1193" s="254" t="n"/>
      <c r="CZ1193" s="124">
        <f>+COUNT(BV1193:CY1193)</f>
        <v/>
      </c>
      <c r="DA1193" s="124" t="n"/>
      <c r="DB1193" s="124" t="n"/>
      <c r="DC1193" s="124" t="n"/>
      <c r="DD1193" s="124" t="n"/>
      <c r="DE1193" s="124" t="n"/>
      <c r="DF1193" s="124" t="n"/>
      <c r="DG1193" s="124" t="n"/>
      <c r="DH1193" s="124" t="n"/>
      <c r="DI1193" s="124" t="n"/>
      <c r="DJ1193" s="254" t="inlineStr">
        <is>
          <t>SE ELIMINA</t>
        </is>
      </c>
      <c r="DK1193" s="95" t="n"/>
      <c r="DL1193" s="95" t="n"/>
      <c r="DM1193" s="254" t="n"/>
      <c r="DN1193" s="95" t="n"/>
      <c r="DO1193" s="95" t="n"/>
    </row>
    <row r="1194" ht="14.25" customHeight="1">
      <c r="A1194" s="147" t="inlineStr">
        <is>
          <t>T-11  (0,2-0,4 y 0,6 m)</t>
        </is>
      </c>
      <c r="B1194" s="151" t="n"/>
      <c r="C1194" s="29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4" t="inlineStr">
        <is>
          <t>SUELOS</t>
        </is>
      </c>
      <c r="BN1194" s="266" t="inlineStr">
        <is>
          <t>Jachucoposa</t>
        </is>
      </c>
      <c r="BO1194" s="254" t="n"/>
      <c r="BP1194" s="251" t="n"/>
      <c r="BQ1194" s="251" t="n"/>
      <c r="BR1194" s="251" t="n"/>
      <c r="BS1194" s="251" t="n"/>
      <c r="BT1194" s="251" t="n"/>
      <c r="BU1194" s="101" t="n"/>
      <c r="BV1194" s="178" t="n"/>
      <c r="BW1194" s="254" t="n"/>
      <c r="BX1194" s="254" t="n"/>
      <c r="BY1194" s="254" t="n"/>
      <c r="BZ1194" s="254" t="n"/>
      <c r="CA1194" s="254" t="n"/>
      <c r="CB1194" s="254" t="n"/>
      <c r="CC1194" s="254" t="n"/>
      <c r="CD1194" s="254" t="n"/>
      <c r="CE1194" s="254" t="n"/>
      <c r="CF1194" s="254" t="n"/>
      <c r="CG1194" s="254" t="n"/>
      <c r="CH1194" s="254" t="n"/>
      <c r="CI1194" s="254" t="n"/>
      <c r="CJ1194" s="254" t="n"/>
      <c r="CK1194" s="254" t="n"/>
      <c r="CL1194" s="254" t="n"/>
      <c r="CM1194" s="254" t="n"/>
      <c r="CN1194" s="254" t="n"/>
      <c r="CO1194" s="254" t="n"/>
      <c r="CP1194" s="254" t="n"/>
      <c r="CQ1194" s="254" t="n"/>
      <c r="CR1194" s="254" t="n"/>
      <c r="CS1194" s="254" t="n"/>
      <c r="CT1194" s="254" t="n"/>
      <c r="CU1194" s="254" t="n"/>
      <c r="CV1194" s="254" t="n"/>
      <c r="CW1194" s="254" t="n"/>
      <c r="CX1194" s="254" t="n"/>
      <c r="CY1194" s="254" t="n"/>
      <c r="CZ1194" s="124">
        <f>+COUNT(BV1194:CY1194)</f>
        <v/>
      </c>
      <c r="DA1194" s="124" t="n"/>
      <c r="DB1194" s="124" t="n"/>
      <c r="DC1194" s="124" t="n"/>
      <c r="DD1194" s="124" t="n"/>
      <c r="DE1194" s="124" t="n"/>
      <c r="DF1194" s="124" t="n"/>
      <c r="DG1194" s="124" t="n"/>
      <c r="DH1194" s="124" t="n"/>
      <c r="DI1194" s="124" t="n"/>
      <c r="DJ1194" s="254" t="inlineStr">
        <is>
          <t>SE ELIMINA</t>
        </is>
      </c>
      <c r="DK1194" s="95" t="n"/>
      <c r="DL1194" s="95" t="n"/>
      <c r="DM1194" s="254" t="n"/>
      <c r="DN1194" s="95" t="n"/>
      <c r="DO1194" s="95" t="n"/>
    </row>
    <row r="1195" ht="14.25" customHeight="1">
      <c r="A1195" s="147" t="inlineStr">
        <is>
          <t>T-12  (0,2-0,4 y 0,6 m)</t>
        </is>
      </c>
      <c r="B1195" s="151" t="n"/>
      <c r="C1195" s="29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4" t="inlineStr">
        <is>
          <t>SUELOS</t>
        </is>
      </c>
      <c r="BN1195" s="266" t="inlineStr">
        <is>
          <t>Jachucoposa</t>
        </is>
      </c>
      <c r="BO1195" s="254" t="n"/>
      <c r="BP1195" s="251" t="n"/>
      <c r="BQ1195" s="251" t="n"/>
      <c r="BR1195" s="251" t="n"/>
      <c r="BS1195" s="251" t="n"/>
      <c r="BT1195" s="251" t="n"/>
      <c r="BU1195" s="101" t="n"/>
      <c r="BV1195" s="178" t="n"/>
      <c r="BW1195" s="254" t="n"/>
      <c r="BX1195" s="254" t="n"/>
      <c r="BY1195" s="254" t="n"/>
      <c r="BZ1195" s="254" t="n"/>
      <c r="CA1195" s="254" t="n"/>
      <c r="CB1195" s="254" t="n"/>
      <c r="CC1195" s="254" t="n"/>
      <c r="CD1195" s="254" t="n"/>
      <c r="CE1195" s="254" t="n"/>
      <c r="CF1195" s="254" t="n"/>
      <c r="CG1195" s="254" t="n"/>
      <c r="CH1195" s="254" t="n"/>
      <c r="CI1195" s="254" t="n"/>
      <c r="CJ1195" s="254" t="n"/>
      <c r="CK1195" s="254" t="n"/>
      <c r="CL1195" s="254" t="n"/>
      <c r="CM1195" s="254" t="n"/>
      <c r="CN1195" s="254" t="n"/>
      <c r="CO1195" s="254" t="n"/>
      <c r="CP1195" s="254" t="n"/>
      <c r="CQ1195" s="254" t="n"/>
      <c r="CR1195" s="254" t="n"/>
      <c r="CS1195" s="254" t="n"/>
      <c r="CT1195" s="254" t="n"/>
      <c r="CU1195" s="254" t="n"/>
      <c r="CV1195" s="254" t="n"/>
      <c r="CW1195" s="254" t="n"/>
      <c r="CX1195" s="254" t="n"/>
      <c r="CY1195" s="254" t="n"/>
      <c r="CZ1195" s="124">
        <f>+COUNT(BV1195:CY1195)</f>
        <v/>
      </c>
      <c r="DA1195" s="124" t="n"/>
      <c r="DB1195" s="124" t="n"/>
      <c r="DC1195" s="124" t="n"/>
      <c r="DD1195" s="124" t="n"/>
      <c r="DE1195" s="124" t="n"/>
      <c r="DF1195" s="124" t="n"/>
      <c r="DG1195" s="124" t="n"/>
      <c r="DH1195" s="124" t="n"/>
      <c r="DI1195" s="124" t="n"/>
      <c r="DJ1195" s="254" t="inlineStr">
        <is>
          <t>SE ELIMINA</t>
        </is>
      </c>
      <c r="DK1195" s="95" t="n"/>
      <c r="DL1195" s="95" t="n"/>
      <c r="DM1195" s="254" t="n"/>
      <c r="DN1195" s="95" t="n"/>
      <c r="DO1195" s="95" t="n"/>
    </row>
    <row r="1196" ht="14.25" customHeight="1">
      <c r="A1196" s="147" t="inlineStr">
        <is>
          <t>T-13  (0,2-0,4 y 0,6 m)</t>
        </is>
      </c>
      <c r="B1196" s="151" t="n"/>
      <c r="C1196" s="29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4" t="inlineStr">
        <is>
          <t>SUELOS</t>
        </is>
      </c>
      <c r="BN1196" s="266" t="inlineStr">
        <is>
          <t>Jachucoposa</t>
        </is>
      </c>
      <c r="BO1196" s="254" t="n"/>
      <c r="BP1196" s="251" t="n"/>
      <c r="BQ1196" s="251" t="n"/>
      <c r="BR1196" s="251" t="n"/>
      <c r="BS1196" s="251" t="n"/>
      <c r="BT1196" s="251" t="n"/>
      <c r="BU1196" s="101" t="n"/>
      <c r="BV1196" s="178" t="n"/>
      <c r="BW1196" s="254" t="n"/>
      <c r="BX1196" s="254" t="n"/>
      <c r="BY1196" s="254" t="n"/>
      <c r="BZ1196" s="254" t="n"/>
      <c r="CA1196" s="254" t="n"/>
      <c r="CB1196" s="254" t="n"/>
      <c r="CC1196" s="254" t="n"/>
      <c r="CD1196" s="254" t="n"/>
      <c r="CE1196" s="254" t="n"/>
      <c r="CF1196" s="254" t="n"/>
      <c r="CG1196" s="254" t="n"/>
      <c r="CH1196" s="254" t="n"/>
      <c r="CI1196" s="254" t="n"/>
      <c r="CJ1196" s="254" t="n"/>
      <c r="CK1196" s="254" t="n"/>
      <c r="CL1196" s="254" t="n"/>
      <c r="CM1196" s="254" t="n"/>
      <c r="CN1196" s="254" t="n"/>
      <c r="CO1196" s="254" t="n"/>
      <c r="CP1196" s="254" t="n"/>
      <c r="CQ1196" s="254" t="n"/>
      <c r="CR1196" s="254" t="n"/>
      <c r="CS1196" s="254" t="n"/>
      <c r="CT1196" s="254" t="n"/>
      <c r="CU1196" s="254" t="n"/>
      <c r="CV1196" s="254" t="n"/>
      <c r="CW1196" s="254" t="n"/>
      <c r="CX1196" s="254" t="n"/>
      <c r="CY1196" s="254" t="n"/>
      <c r="CZ1196" s="124">
        <f>+COUNT(BV1196:CY1196)</f>
        <v/>
      </c>
      <c r="DA1196" s="124" t="n"/>
      <c r="DB1196" s="124" t="n"/>
      <c r="DC1196" s="124" t="n"/>
      <c r="DD1196" s="124" t="n"/>
      <c r="DE1196" s="124" t="n"/>
      <c r="DF1196" s="124" t="n"/>
      <c r="DG1196" s="124" t="n"/>
      <c r="DH1196" s="124" t="n"/>
      <c r="DI1196" s="124" t="n"/>
      <c r="DJ1196" s="254" t="inlineStr">
        <is>
          <t>SE ELIMINA</t>
        </is>
      </c>
      <c r="DK1196" s="95" t="n"/>
      <c r="DL1196" s="95" t="n"/>
      <c r="DM1196" s="254" t="n"/>
      <c r="DN1196" s="95" t="n"/>
      <c r="DO1196" s="95" t="n"/>
    </row>
    <row r="1197" ht="14.25" customHeight="1">
      <c r="A1197" s="147" t="inlineStr">
        <is>
          <t>T-15  (0,2-0,4 y 0,6 m)</t>
        </is>
      </c>
      <c r="B1197" s="151" t="n"/>
      <c r="C1197" s="29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4" t="inlineStr">
        <is>
          <t>SUELOS</t>
        </is>
      </c>
      <c r="BN1197" s="266" t="inlineStr">
        <is>
          <t>Jachucoposa</t>
        </is>
      </c>
      <c r="BO1197" s="254" t="n"/>
      <c r="BP1197" s="251" t="n"/>
      <c r="BQ1197" s="251" t="n"/>
      <c r="BR1197" s="251" t="n"/>
      <c r="BS1197" s="251" t="n"/>
      <c r="BT1197" s="251" t="n"/>
      <c r="BU1197" s="101" t="n"/>
      <c r="BV1197" s="178" t="n"/>
      <c r="BW1197" s="254" t="n"/>
      <c r="BX1197" s="254" t="n"/>
      <c r="BY1197" s="254" t="n"/>
      <c r="BZ1197" s="254" t="n"/>
      <c r="CA1197" s="254" t="n"/>
      <c r="CB1197" s="254" t="n"/>
      <c r="CC1197" s="254" t="n"/>
      <c r="CD1197" s="254" t="n"/>
      <c r="CE1197" s="254" t="n"/>
      <c r="CF1197" s="254" t="n"/>
      <c r="CG1197" s="254" t="n"/>
      <c r="CH1197" s="254" t="n"/>
      <c r="CI1197" s="254" t="n"/>
      <c r="CJ1197" s="254" t="n"/>
      <c r="CK1197" s="254" t="n"/>
      <c r="CL1197" s="254" t="n"/>
      <c r="CM1197" s="254" t="n"/>
      <c r="CN1197" s="254" t="n"/>
      <c r="CO1197" s="254" t="n"/>
      <c r="CP1197" s="254" t="n"/>
      <c r="CQ1197" s="254" t="n"/>
      <c r="CR1197" s="254" t="n"/>
      <c r="CS1197" s="254" t="n"/>
      <c r="CT1197" s="254" t="n"/>
      <c r="CU1197" s="254" t="n"/>
      <c r="CV1197" s="254" t="n"/>
      <c r="CW1197" s="254" t="n"/>
      <c r="CX1197" s="254" t="n"/>
      <c r="CY1197" s="254" t="n"/>
      <c r="CZ1197" s="124">
        <f>+COUNT(BV1197:CY1197)</f>
        <v/>
      </c>
      <c r="DA1197" s="124" t="n"/>
      <c r="DB1197" s="124" t="n"/>
      <c r="DC1197" s="124" t="n"/>
      <c r="DD1197" s="124" t="n"/>
      <c r="DE1197" s="124" t="n"/>
      <c r="DF1197" s="124" t="n"/>
      <c r="DG1197" s="124" t="n"/>
      <c r="DH1197" s="124" t="n"/>
      <c r="DI1197" s="124" t="n"/>
      <c r="DJ1197" s="254" t="inlineStr">
        <is>
          <t>SE ELIMINA</t>
        </is>
      </c>
      <c r="DK1197" s="95" t="n"/>
      <c r="DL1197" s="95" t="n"/>
      <c r="DM1197" s="254" t="n"/>
      <c r="DN1197" s="95" t="n"/>
      <c r="DO1197" s="95" t="n"/>
    </row>
    <row r="1198" ht="14.25" customHeight="1">
      <c r="A1198" s="147" t="inlineStr">
        <is>
          <t>T-17  (0,2-0,4 y 0,6 m)</t>
        </is>
      </c>
      <c r="B1198" s="151" t="n"/>
      <c r="C1198" s="29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4" t="inlineStr">
        <is>
          <t>SUELOS</t>
        </is>
      </c>
      <c r="BN1198" s="266" t="inlineStr">
        <is>
          <t>Jachucoposa</t>
        </is>
      </c>
      <c r="BO1198" s="254" t="n"/>
      <c r="BP1198" s="251" t="n"/>
      <c r="BQ1198" s="251" t="n"/>
      <c r="BR1198" s="251" t="n"/>
      <c r="BS1198" s="251" t="n"/>
      <c r="BT1198" s="251" t="n"/>
      <c r="BU1198" s="101" t="n"/>
      <c r="BV1198" s="178" t="n"/>
      <c r="BW1198" s="254" t="n"/>
      <c r="BX1198" s="254" t="n"/>
      <c r="BY1198" s="254" t="n"/>
      <c r="BZ1198" s="254" t="n"/>
      <c r="CA1198" s="254" t="n"/>
      <c r="CB1198" s="254" t="n"/>
      <c r="CC1198" s="254" t="n"/>
      <c r="CD1198" s="254" t="n"/>
      <c r="CE1198" s="254" t="n"/>
      <c r="CF1198" s="254" t="n"/>
      <c r="CG1198" s="254" t="n"/>
      <c r="CH1198" s="254" t="n"/>
      <c r="CI1198" s="254" t="n"/>
      <c r="CJ1198" s="254" t="n"/>
      <c r="CK1198" s="254" t="n"/>
      <c r="CL1198" s="254" t="n"/>
      <c r="CM1198" s="254" t="n"/>
      <c r="CN1198" s="254" t="n"/>
      <c r="CO1198" s="254" t="n"/>
      <c r="CP1198" s="254" t="n"/>
      <c r="CQ1198" s="254" t="n"/>
      <c r="CR1198" s="254" t="n"/>
      <c r="CS1198" s="254" t="n"/>
      <c r="CT1198" s="254" t="n"/>
      <c r="CU1198" s="254" t="n"/>
      <c r="CV1198" s="254" t="n"/>
      <c r="CW1198" s="254" t="n"/>
      <c r="CX1198" s="254" t="n"/>
      <c r="CY1198" s="254" t="n"/>
      <c r="CZ1198" s="124">
        <f>+COUNT(BV1198:CY1198)</f>
        <v/>
      </c>
      <c r="DA1198" s="124" t="n"/>
      <c r="DB1198" s="124" t="n"/>
      <c r="DC1198" s="124" t="n"/>
      <c r="DD1198" s="124" t="n"/>
      <c r="DE1198" s="124" t="n"/>
      <c r="DF1198" s="124" t="n"/>
      <c r="DG1198" s="124" t="n"/>
      <c r="DH1198" s="124" t="n"/>
      <c r="DI1198" s="124" t="n"/>
      <c r="DJ1198" s="254" t="inlineStr">
        <is>
          <t>SE ELIMINA</t>
        </is>
      </c>
      <c r="DK1198" s="95" t="n"/>
      <c r="DL1198" s="95" t="n"/>
      <c r="DM1198" s="254" t="n"/>
      <c r="DN1198" s="95" t="n"/>
      <c r="DO1198" s="95" t="n"/>
    </row>
    <row r="1199" ht="14.25" customHeight="1">
      <c r="A1199" s="147" t="inlineStr">
        <is>
          <t>T-18  (0,2-0,4 y 0,6 m)</t>
        </is>
      </c>
      <c r="B1199" s="151" t="n"/>
      <c r="C1199" s="29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4" t="inlineStr">
        <is>
          <t>SUELOS</t>
        </is>
      </c>
      <c r="BN1199" s="266" t="inlineStr">
        <is>
          <t>Jachucoposa</t>
        </is>
      </c>
      <c r="BO1199" s="254" t="n"/>
      <c r="BP1199" s="251" t="n"/>
      <c r="BQ1199" s="251" t="n"/>
      <c r="BR1199" s="251" t="n"/>
      <c r="BS1199" s="251" t="n"/>
      <c r="BT1199" s="251" t="n"/>
      <c r="BU1199" s="101" t="n"/>
      <c r="BV1199" s="178" t="n"/>
      <c r="BW1199" s="254" t="n"/>
      <c r="BX1199" s="254" t="n"/>
      <c r="BY1199" s="254" t="n"/>
      <c r="BZ1199" s="254" t="n"/>
      <c r="CA1199" s="254" t="n"/>
      <c r="CB1199" s="254" t="n"/>
      <c r="CC1199" s="254" t="n"/>
      <c r="CD1199" s="254" t="n"/>
      <c r="CE1199" s="254" t="n"/>
      <c r="CF1199" s="254" t="n"/>
      <c r="CG1199" s="254" t="n"/>
      <c r="CH1199" s="254" t="n"/>
      <c r="CI1199" s="254" t="n"/>
      <c r="CJ1199" s="254" t="n"/>
      <c r="CK1199" s="254" t="n"/>
      <c r="CL1199" s="254" t="n"/>
      <c r="CM1199" s="254" t="n"/>
      <c r="CN1199" s="254" t="n"/>
      <c r="CO1199" s="254" t="n"/>
      <c r="CP1199" s="254" t="n"/>
      <c r="CQ1199" s="254" t="n"/>
      <c r="CR1199" s="254" t="n"/>
      <c r="CS1199" s="254" t="n"/>
      <c r="CT1199" s="254" t="n"/>
      <c r="CU1199" s="254" t="n"/>
      <c r="CV1199" s="254" t="n"/>
      <c r="CW1199" s="254" t="n"/>
      <c r="CX1199" s="254" t="n"/>
      <c r="CY1199" s="254" t="n"/>
      <c r="CZ1199" s="124">
        <f>+COUNT(BV1199:CY1199)</f>
        <v/>
      </c>
      <c r="DA1199" s="124" t="n"/>
      <c r="DB1199" s="124" t="n"/>
      <c r="DC1199" s="124" t="n"/>
      <c r="DD1199" s="124" t="n"/>
      <c r="DE1199" s="124" t="n"/>
      <c r="DF1199" s="124" t="n"/>
      <c r="DG1199" s="124" t="n"/>
      <c r="DH1199" s="124" t="n"/>
      <c r="DI1199" s="124" t="n"/>
      <c r="DJ1199" s="254" t="inlineStr">
        <is>
          <t>SE ELIMINA</t>
        </is>
      </c>
      <c r="DK1199" s="95" t="n"/>
      <c r="DL1199" s="95" t="n"/>
      <c r="DM1199" s="254" t="n"/>
      <c r="DN1199" s="95" t="n"/>
      <c r="DO1199" s="95" t="n"/>
    </row>
    <row r="1200" ht="14.25" customHeight="1">
      <c r="A1200" s="147" t="inlineStr">
        <is>
          <t>T-21  (0,2-0,4 y 0,6 m)</t>
        </is>
      </c>
      <c r="B1200" s="151" t="n"/>
      <c r="C1200" s="29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4" t="inlineStr">
        <is>
          <t>SUELOS</t>
        </is>
      </c>
      <c r="BN1200" s="266" t="inlineStr">
        <is>
          <t>Jachucoposa</t>
        </is>
      </c>
      <c r="BO1200" s="254" t="n"/>
      <c r="BP1200" s="251" t="n"/>
      <c r="BQ1200" s="251" t="n"/>
      <c r="BR1200" s="251" t="n"/>
      <c r="BS1200" s="251" t="n"/>
      <c r="BT1200" s="251" t="n"/>
      <c r="BU1200" s="101" t="n"/>
      <c r="BV1200" s="178" t="n"/>
      <c r="BW1200" s="254" t="n"/>
      <c r="BX1200" s="254" t="n"/>
      <c r="BY1200" s="254" t="n"/>
      <c r="BZ1200" s="254" t="n"/>
      <c r="CA1200" s="254" t="n"/>
      <c r="CB1200" s="254" t="n"/>
      <c r="CC1200" s="254" t="n"/>
      <c r="CD1200" s="254" t="n"/>
      <c r="CE1200" s="254" t="n"/>
      <c r="CF1200" s="254" t="n"/>
      <c r="CG1200" s="254" t="n"/>
      <c r="CH1200" s="254" t="n"/>
      <c r="CI1200" s="254" t="n"/>
      <c r="CJ1200" s="254" t="n"/>
      <c r="CK1200" s="254" t="n"/>
      <c r="CL1200" s="254" t="n"/>
      <c r="CM1200" s="254" t="n"/>
      <c r="CN1200" s="254" t="n"/>
      <c r="CO1200" s="254" t="n"/>
      <c r="CP1200" s="254" t="n"/>
      <c r="CQ1200" s="254" t="n"/>
      <c r="CR1200" s="254" t="n"/>
      <c r="CS1200" s="254" t="n"/>
      <c r="CT1200" s="254" t="n"/>
      <c r="CU1200" s="254" t="n"/>
      <c r="CV1200" s="254" t="n"/>
      <c r="CW1200" s="254" t="n"/>
      <c r="CX1200" s="254" t="n"/>
      <c r="CY1200" s="254" t="n"/>
      <c r="CZ1200" s="124">
        <f>+COUNT(BV1200:CY1200)</f>
        <v/>
      </c>
      <c r="DA1200" s="124" t="n"/>
      <c r="DB1200" s="124" t="n"/>
      <c r="DC1200" s="124" t="n"/>
      <c r="DD1200" s="124" t="n"/>
      <c r="DE1200" s="124" t="n"/>
      <c r="DF1200" s="124" t="n"/>
      <c r="DG1200" s="124" t="n"/>
      <c r="DH1200" s="124" t="n"/>
      <c r="DI1200" s="124" t="n"/>
      <c r="DJ1200" s="254" t="inlineStr">
        <is>
          <t>SE ELIMINA</t>
        </is>
      </c>
      <c r="DK1200" s="95" t="n"/>
      <c r="DL1200" s="95" t="n"/>
      <c r="DM1200" s="254" t="n"/>
      <c r="DN1200" s="95" t="n"/>
      <c r="DO1200" s="95" t="n"/>
    </row>
    <row r="1201" ht="14.25" customHeight="1">
      <c r="A1201" s="147" t="inlineStr">
        <is>
          <t>T-22  (0,2-0,4 y 0,6 m)</t>
        </is>
      </c>
      <c r="B1201" s="151" t="n"/>
      <c r="C1201" s="29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4" t="inlineStr">
        <is>
          <t>SUELOS</t>
        </is>
      </c>
      <c r="BN1201" s="266" t="inlineStr">
        <is>
          <t>Jachucoposa</t>
        </is>
      </c>
      <c r="BO1201" s="254" t="n"/>
      <c r="BP1201" s="251" t="n"/>
      <c r="BQ1201" s="251" t="n"/>
      <c r="BR1201" s="251" t="n"/>
      <c r="BS1201" s="251" t="n"/>
      <c r="BT1201" s="251" t="n"/>
      <c r="BU1201" s="101" t="n"/>
      <c r="BV1201" s="178" t="n"/>
      <c r="BW1201" s="254" t="n"/>
      <c r="BX1201" s="254" t="n"/>
      <c r="BY1201" s="254" t="n"/>
      <c r="BZ1201" s="254" t="n"/>
      <c r="CA1201" s="254" t="n"/>
      <c r="CB1201" s="254" t="n"/>
      <c r="CC1201" s="254" t="n"/>
      <c r="CD1201" s="254" t="n"/>
      <c r="CE1201" s="254" t="n"/>
      <c r="CF1201" s="254" t="n"/>
      <c r="CG1201" s="254" t="n"/>
      <c r="CH1201" s="254" t="n"/>
      <c r="CI1201" s="254" t="n"/>
      <c r="CJ1201" s="254" t="n"/>
      <c r="CK1201" s="254" t="n"/>
      <c r="CL1201" s="254" t="n"/>
      <c r="CM1201" s="254" t="n"/>
      <c r="CN1201" s="254" t="n"/>
      <c r="CO1201" s="254" t="n"/>
      <c r="CP1201" s="254" t="n"/>
      <c r="CQ1201" s="254" t="n"/>
      <c r="CR1201" s="254" t="n"/>
      <c r="CS1201" s="254" t="n"/>
      <c r="CT1201" s="254" t="n"/>
      <c r="CU1201" s="254" t="n"/>
      <c r="CV1201" s="254" t="n"/>
      <c r="CW1201" s="254" t="n"/>
      <c r="CX1201" s="254" t="n"/>
      <c r="CY1201" s="254" t="n"/>
      <c r="CZ1201" s="124">
        <f>+COUNT(BV1201:CY1201)</f>
        <v/>
      </c>
      <c r="DA1201" s="124" t="n"/>
      <c r="DB1201" s="124" t="n"/>
      <c r="DC1201" s="124" t="n"/>
      <c r="DD1201" s="124" t="n"/>
      <c r="DE1201" s="124" t="n"/>
      <c r="DF1201" s="124" t="n"/>
      <c r="DG1201" s="124" t="n"/>
      <c r="DH1201" s="124" t="n"/>
      <c r="DI1201" s="124" t="n"/>
      <c r="DJ1201" s="254" t="inlineStr">
        <is>
          <t>SE ELIMINA</t>
        </is>
      </c>
      <c r="DK1201" s="95" t="n"/>
      <c r="DL1201" s="95" t="n"/>
      <c r="DM1201" s="254" t="n"/>
      <c r="DN1201" s="95" t="n"/>
      <c r="DO1201" s="95" t="n"/>
    </row>
    <row r="1202" ht="14.25" customHeight="1">
      <c r="A1202" s="147" t="inlineStr">
        <is>
          <t>T-24  (0,2-0,4 y 0,6 m)</t>
        </is>
      </c>
      <c r="B1202" s="151" t="n"/>
      <c r="C1202" s="29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4" t="inlineStr">
        <is>
          <t>SUELOS</t>
        </is>
      </c>
      <c r="BN1202" s="266" t="inlineStr">
        <is>
          <t>Jachucoposa</t>
        </is>
      </c>
      <c r="BO1202" s="254" t="n"/>
      <c r="BP1202" s="251" t="n"/>
      <c r="BQ1202" s="251" t="n"/>
      <c r="BR1202" s="251" t="n"/>
      <c r="BS1202" s="251" t="n"/>
      <c r="BT1202" s="251" t="n"/>
      <c r="BU1202" s="101" t="n"/>
      <c r="BV1202" s="178" t="n"/>
      <c r="BW1202" s="254" t="n"/>
      <c r="BX1202" s="254" t="n"/>
      <c r="BY1202" s="254" t="n"/>
      <c r="BZ1202" s="254" t="n"/>
      <c r="CA1202" s="254" t="n"/>
      <c r="CB1202" s="254" t="n"/>
      <c r="CC1202" s="254" t="n"/>
      <c r="CD1202" s="254" t="n"/>
      <c r="CE1202" s="254" t="n"/>
      <c r="CF1202" s="254" t="n"/>
      <c r="CG1202" s="254" t="n"/>
      <c r="CH1202" s="254" t="n"/>
      <c r="CI1202" s="254" t="n"/>
      <c r="CJ1202" s="254" t="n"/>
      <c r="CK1202" s="254" t="n"/>
      <c r="CL1202" s="254" t="n"/>
      <c r="CM1202" s="254" t="n"/>
      <c r="CN1202" s="254" t="n"/>
      <c r="CO1202" s="254" t="n"/>
      <c r="CP1202" s="254" t="n"/>
      <c r="CQ1202" s="254" t="n"/>
      <c r="CR1202" s="254" t="n"/>
      <c r="CS1202" s="254" t="n"/>
      <c r="CT1202" s="254" t="n"/>
      <c r="CU1202" s="254" t="n"/>
      <c r="CV1202" s="254" t="n"/>
      <c r="CW1202" s="254" t="n"/>
      <c r="CX1202" s="254" t="n"/>
      <c r="CY1202" s="254" t="n"/>
      <c r="CZ1202" s="124">
        <f>+COUNT(BV1202:CY1202)</f>
        <v/>
      </c>
      <c r="DA1202" s="124" t="n"/>
      <c r="DB1202" s="124" t="n"/>
      <c r="DC1202" s="124" t="n"/>
      <c r="DD1202" s="124" t="n"/>
      <c r="DE1202" s="124" t="n"/>
      <c r="DF1202" s="124" t="n"/>
      <c r="DG1202" s="124" t="n"/>
      <c r="DH1202" s="124" t="n"/>
      <c r="DI1202" s="124" t="n"/>
      <c r="DJ1202" s="254" t="inlineStr">
        <is>
          <t>SE ELIMINA</t>
        </is>
      </c>
      <c r="DK1202" s="95" t="n"/>
      <c r="DL1202" s="95" t="n"/>
      <c r="DM1202" s="254" t="n"/>
      <c r="DN1202" s="95" t="n"/>
      <c r="DO1202" s="95" t="n"/>
    </row>
    <row r="1203" ht="14.25" customHeight="1">
      <c r="A1203" s="147" t="inlineStr">
        <is>
          <t>T-25  (0,2-0,4 y 0,6 m)</t>
        </is>
      </c>
      <c r="B1203" s="151" t="n"/>
      <c r="C1203" s="29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4" t="inlineStr">
        <is>
          <t>SUELOS</t>
        </is>
      </c>
      <c r="BN1203" s="266" t="inlineStr">
        <is>
          <t>Jachucoposa</t>
        </is>
      </c>
      <c r="BO1203" s="254" t="n"/>
      <c r="BP1203" s="251" t="n"/>
      <c r="BQ1203" s="251" t="n"/>
      <c r="BR1203" s="251" t="n"/>
      <c r="BS1203" s="251" t="n"/>
      <c r="BT1203" s="251" t="n"/>
      <c r="BU1203" s="101" t="n"/>
      <c r="BV1203" s="178" t="n"/>
      <c r="BW1203" s="254" t="n"/>
      <c r="BX1203" s="254" t="n"/>
      <c r="BY1203" s="254" t="n"/>
      <c r="BZ1203" s="254" t="n"/>
      <c r="CA1203" s="254" t="n"/>
      <c r="CB1203" s="254" t="n"/>
      <c r="CC1203" s="254" t="n"/>
      <c r="CD1203" s="254" t="n"/>
      <c r="CE1203" s="254" t="n"/>
      <c r="CF1203" s="254" t="n"/>
      <c r="CG1203" s="254" t="n"/>
      <c r="CH1203" s="254" t="n"/>
      <c r="CI1203" s="254" t="n"/>
      <c r="CJ1203" s="254" t="n"/>
      <c r="CK1203" s="254" t="n"/>
      <c r="CL1203" s="254" t="n"/>
      <c r="CM1203" s="254" t="n"/>
      <c r="CN1203" s="254" t="n"/>
      <c r="CO1203" s="254" t="n"/>
      <c r="CP1203" s="254" t="n"/>
      <c r="CQ1203" s="254" t="n"/>
      <c r="CR1203" s="254" t="n"/>
      <c r="CS1203" s="254" t="n"/>
      <c r="CT1203" s="254" t="n"/>
      <c r="CU1203" s="254" t="n"/>
      <c r="CV1203" s="254" t="n"/>
      <c r="CW1203" s="254" t="n"/>
      <c r="CX1203" s="254" t="n"/>
      <c r="CY1203" s="254" t="n"/>
      <c r="CZ1203" s="124">
        <f>+COUNT(BV1203:CY1203)</f>
        <v/>
      </c>
      <c r="DA1203" s="124" t="n"/>
      <c r="DB1203" s="124" t="n"/>
      <c r="DC1203" s="124" t="n"/>
      <c r="DD1203" s="124" t="n"/>
      <c r="DE1203" s="124" t="n"/>
      <c r="DF1203" s="124" t="n"/>
      <c r="DG1203" s="124" t="n"/>
      <c r="DH1203" s="124" t="n"/>
      <c r="DI1203" s="124" t="n"/>
      <c r="DJ1203" s="254" t="inlineStr">
        <is>
          <t>SE ELIMINA</t>
        </is>
      </c>
      <c r="DK1203" s="95" t="n"/>
      <c r="DL1203" s="95" t="n"/>
      <c r="DM1203" s="254" t="n"/>
      <c r="DN1203" s="95" t="n"/>
      <c r="DO1203" s="95" t="n"/>
    </row>
    <row r="1204" ht="14.25" customHeight="1">
      <c r="A1204" s="147" t="inlineStr">
        <is>
          <t>PCA-05</t>
        </is>
      </c>
      <c r="B1204" s="151" t="n"/>
      <c r="C1204" s="29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4" t="inlineStr">
        <is>
          <t>ASUB</t>
        </is>
      </c>
      <c r="BN1204" s="266" t="inlineStr">
        <is>
          <t>Rosario</t>
        </is>
      </c>
      <c r="BO1204" s="254" t="inlineStr">
        <is>
          <t>NO</t>
        </is>
      </c>
      <c r="BP1204" s="251" t="n"/>
      <c r="BQ1204" s="251" t="n"/>
      <c r="BR1204" s="251" t="n"/>
      <c r="BS1204" s="251" t="n"/>
      <c r="BT1204" s="251"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4" t="n"/>
      <c r="DL1204" s="95" t="n"/>
      <c r="DM1204" s="254" t="inlineStr">
        <is>
          <t>N/A</t>
        </is>
      </c>
      <c r="DN1204" s="95" t="n"/>
      <c r="DO1204" s="95" t="n"/>
    </row>
    <row r="1205" ht="12" customHeight="1"/>
    <row r="1206" ht="12" customHeight="1"/>
    <row r="1207" ht="12" customHeight="1"/>
    <row r="1208" ht="12" customHeight="1"/>
    <row r="1209" ht="12" customHeight="1"/>
    <row r="1210" ht="12" customHeight="1"/>
    <row r="1211" ht="12" customHeight="1"/>
    <row r="1212" ht="12" customHeight="1"/>
    <row r="1213" ht="12" customHeight="1"/>
    <row r="1214" ht="12" customHeight="1"/>
    <row r="1215" ht="12" customHeight="1"/>
    <row r="1216" ht="12" customHeight="1"/>
    <row r="1217" ht="12" customHeight="1"/>
    <row r="1218" ht="12" customHeight="1"/>
    <row r="1219" ht="12" customHeight="1"/>
    <row r="1220" ht="12" customHeight="1"/>
    <row r="1221" ht="12" customHeight="1"/>
    <row r="1222" ht="12" customHeight="1"/>
    <row r="1223" ht="12" customHeight="1"/>
    <row r="1224" ht="12" customHeight="1"/>
    <row r="1225" ht="12" customHeight="1"/>
    <row r="1226" ht="12" customHeight="1"/>
    <row r="1227" ht="12" customHeight="1"/>
    <row r="1228" ht="12" customHeight="1"/>
    <row r="1229" ht="12" customHeight="1"/>
    <row r="1230" ht="12" customHeight="1"/>
    <row r="1231" ht="12" customHeight="1"/>
    <row r="1232" ht="12" customHeight="1"/>
    <row r="1233" ht="12" customHeight="1"/>
    <row r="1234" ht="12" customHeight="1"/>
    <row r="1235" ht="12" customHeight="1"/>
    <row r="1236" ht="12" customHeight="1"/>
    <row r="1237" ht="12" customHeight="1"/>
    <row r="1238" ht="12" customHeight="1"/>
    <row r="1239" ht="12" customHeight="1"/>
    <row r="1240" ht="12" customHeight="1"/>
    <row r="1241" ht="12" customHeight="1"/>
    <row r="1242" ht="12" customHeight="1"/>
    <row r="1243" ht="12" customHeight="1"/>
    <row r="1244" ht="12" customHeight="1"/>
    <row r="1245" ht="12" customHeight="1"/>
    <row r="1246" ht="12" customHeight="1"/>
    <row r="1247" ht="12" customHeight="1"/>
    <row r="1248" ht="12" customHeight="1"/>
    <row r="1249" ht="12" customHeight="1"/>
    <row r="1250" ht="12" customHeight="1"/>
    <row r="1251" ht="12" customHeight="1"/>
    <row r="1252" ht="12" customHeight="1"/>
    <row r="1253" ht="12" customHeight="1"/>
    <row r="1254" ht="12" customHeight="1"/>
    <row r="1255" ht="12" customHeight="1"/>
    <row r="1256" ht="12" customHeight="1"/>
    <row r="1257" ht="12" customHeight="1"/>
    <row r="1258" ht="12" customHeight="1"/>
    <row r="1259" ht="12" customHeight="1"/>
    <row r="1260" ht="12" customHeight="1"/>
    <row r="1261" ht="12" customHeight="1"/>
    <row r="1262" ht="12" customHeight="1"/>
    <row r="1263" ht="12" customHeight="1"/>
    <row r="1264"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2" customHeight="1"/>
    <row r="1301" ht="12" customHeight="1"/>
    <row r="1302" ht="12" customHeight="1"/>
    <row r="1303" ht="12" customHeight="1"/>
    <row r="1304" ht="12" customHeight="1"/>
    <row r="1305" ht="12" customHeight="1"/>
    <row r="1306" ht="12" customHeight="1"/>
    <row r="1307" ht="12" customHeight="1"/>
    <row r="1308" ht="12" customHeight="1"/>
    <row r="1309" ht="12" customHeight="1"/>
    <row r="1310" ht="12" customHeight="1"/>
    <row r="1311" ht="12" customHeight="1"/>
    <row r="1312" ht="12" customHeight="1"/>
    <row r="1313" ht="12" customHeight="1"/>
    <row r="1314" ht="12" customHeight="1"/>
    <row r="1315" ht="12" customHeight="1"/>
    <row r="1316" ht="12" customHeight="1"/>
    <row r="1317" ht="12" customHeight="1"/>
    <row r="1318" ht="12" customHeight="1"/>
    <row r="1319" ht="12" customHeight="1"/>
    <row r="1320" ht="12" customHeight="1"/>
    <row r="1321" ht="12" customHeight="1"/>
    <row r="1322" ht="12" customHeight="1"/>
    <row r="1323" ht="12" customHeight="1"/>
    <row r="1324" ht="12" customHeight="1"/>
    <row r="1325" ht="12" customHeight="1"/>
    <row r="1326" ht="12" customHeight="1"/>
    <row r="1327" ht="12" customHeight="1"/>
    <row r="1328" ht="12" customHeight="1"/>
    <row r="1329" ht="12" customHeight="1"/>
    <row r="1330" ht="12" customHeight="1"/>
    <row r="1331" ht="12" customHeight="1"/>
    <row r="1332" ht="12" customHeight="1"/>
    <row r="1333" ht="12" customHeight="1"/>
    <row r="1334" ht="12" customHeight="1"/>
    <row r="1335" ht="12" customHeight="1"/>
    <row r="1336" ht="12" customHeight="1"/>
    <row r="1337" ht="12" customHeight="1"/>
    <row r="1338" ht="12" customHeight="1"/>
    <row r="1339" ht="12" customHeight="1"/>
    <row r="1340" ht="12" customHeight="1"/>
    <row r="1341" ht="12" customHeight="1"/>
    <row r="1342" ht="12" customHeight="1"/>
    <row r="1343" ht="12" customHeight="1"/>
    <row r="1344"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56" ht="12" customHeight="1"/>
    <row r="1357" ht="12" customHeight="1"/>
    <row r="1358" ht="12" customHeight="1"/>
    <row r="1359" ht="12" customHeight="1"/>
    <row r="1360" ht="12" customHeight="1"/>
    <row r="1361" ht="12" customHeight="1"/>
    <row r="1362" ht="12" customHeight="1"/>
    <row r="1363" ht="12" customHeight="1"/>
    <row r="1364" ht="12" customHeight="1"/>
    <row r="1365" ht="12" customHeight="1"/>
    <row r="1366" ht="12" customHeight="1"/>
    <row r="1367" ht="12" customHeight="1"/>
    <row r="1368" ht="12" customHeight="1"/>
    <row r="1369" ht="12" customHeight="1"/>
    <row r="1370" ht="12" customHeight="1"/>
    <row r="1371" ht="12" customHeight="1"/>
    <row r="1372" ht="12" customHeight="1"/>
    <row r="1373" ht="12" customHeight="1"/>
    <row r="1374" ht="12" customHeight="1"/>
    <row r="1375" ht="12" customHeight="1"/>
    <row r="1376" ht="12" customHeight="1"/>
    <row r="1377" ht="12" customHeight="1"/>
    <row r="1378" ht="12" customHeight="1"/>
    <row r="1379" ht="12" customHeight="1"/>
    <row r="1380" ht="12" customHeight="1"/>
    <row r="1381" ht="12" customHeight="1"/>
    <row r="1382" ht="12" customHeight="1"/>
    <row r="1383" ht="12" customHeight="1"/>
    <row r="1384" ht="12" customHeight="1"/>
    <row r="1385" ht="12" customHeight="1"/>
    <row r="1386" ht="12" customHeight="1"/>
    <row r="1387" ht="12" customHeight="1"/>
    <row r="1388" ht="12" customHeight="1"/>
    <row r="1389" ht="12" customHeight="1"/>
    <row r="1390" ht="12" customHeight="1"/>
    <row r="1391" ht="12" customHeight="1"/>
    <row r="1392" ht="12" customHeight="1"/>
    <row r="1393" ht="12" customHeight="1"/>
    <row r="1394" ht="12" customHeight="1"/>
    <row r="1395" ht="12" customHeight="1"/>
    <row r="1396" ht="12" customHeight="1"/>
    <row r="1397" ht="12" customHeight="1"/>
    <row r="1398" ht="12" customHeight="1"/>
    <row r="1399" ht="12" customHeight="1"/>
    <row r="1400" ht="12" customHeight="1"/>
    <row r="1401" ht="12" customHeight="1"/>
    <row r="1402" ht="12" customHeight="1"/>
    <row r="1403" ht="12" customHeight="1"/>
    <row r="1404" ht="12" customHeight="1"/>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450:B451"/>
    <mergeCell ref="BU912:BU913"/>
    <mergeCell ref="C24:C25"/>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DC7:DC9"/>
    <mergeCell ref="BU406:BU407"/>
    <mergeCell ref="BU511:BU512"/>
    <mergeCell ref="DE7:DE9"/>
    <mergeCell ref="BU462:BU463"/>
    <mergeCell ref="BK883:BK884"/>
    <mergeCell ref="BU704:BU705"/>
    <mergeCell ref="BK603:BK604"/>
    <mergeCell ref="C711:C712"/>
    <mergeCell ref="C425:C426"/>
    <mergeCell ref="C723:C724"/>
    <mergeCell ref="BK649:BK650"/>
    <mergeCell ref="C490:C491"/>
    <mergeCell ref="BK133:BK134"/>
    <mergeCell ref="B787:B788"/>
    <mergeCell ref="B914:B915"/>
    <mergeCell ref="B26:B27"/>
    <mergeCell ref="B743:B744"/>
    <mergeCell ref="B159:B160"/>
    <mergeCell ref="B153:B154"/>
    <mergeCell ref="C14:C15"/>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U119:BU120"/>
    <mergeCell ref="BK420:BK421"/>
    <mergeCell ref="BK298:BK299"/>
    <mergeCell ref="B471:B472"/>
    <mergeCell ref="C139:C140"/>
    <mergeCell ref="C503:C504"/>
    <mergeCell ref="B143:B144"/>
    <mergeCell ref="BK854:BK855"/>
    <mergeCell ref="C40:C41"/>
    <mergeCell ref="C605:C606"/>
    <mergeCell ref="BK64:BK65"/>
    <mergeCell ref="B408:B409"/>
    <mergeCell ref="BU288:BU289"/>
    <mergeCell ref="C153:C154"/>
    <mergeCell ref="BU127:BU128"/>
    <mergeCell ref="BU692:BU693"/>
    <mergeCell ref="C607:C608"/>
    <mergeCell ref="AW7:AW9"/>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C22:C23"/>
    <mergeCell ref="BU933:BU934"/>
    <mergeCell ref="B161:B162"/>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20:B21"/>
    <mergeCell ref="BK797:BK798"/>
    <mergeCell ref="B462:B463"/>
    <mergeCell ref="C743:C744"/>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B109:B110"/>
    <mergeCell ref="B935:B936"/>
    <mergeCell ref="C141:C142"/>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DK7:DK9"/>
    <mergeCell ref="BK83:BK84"/>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741:BK742"/>
    <mergeCell ref="BK157:BK158"/>
    <mergeCell ref="BK912:BK913"/>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O7:BO9"/>
    <mergeCell ref="B16:B17"/>
    <mergeCell ref="C515:C516"/>
    <mergeCell ref="BK478:BK479"/>
    <mergeCell ref="B725:B726"/>
    <mergeCell ref="C813:C814"/>
    <mergeCell ref="BK776:BK777"/>
    <mergeCell ref="BU836:BU837"/>
    <mergeCell ref="BU81:BU82"/>
    <mergeCell ref="C294:C295"/>
    <mergeCell ref="B420:B421"/>
    <mergeCell ref="C828:C829"/>
    <mergeCell ref="C579:C580"/>
    <mergeCell ref="B18:B19"/>
    <mergeCell ref="BU460:BU461"/>
    <mergeCell ref="BM7:BM9"/>
    <mergeCell ref="B881:B882"/>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623:BK624"/>
    <mergeCell ref="C768:C769"/>
    <mergeCell ref="BK927:BK928"/>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K410:BK411"/>
    <mergeCell ref="BU458:BU459"/>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739:B740"/>
    <mergeCell ref="C121:C122"/>
    <mergeCell ref="BU623:BU624"/>
    <mergeCell ref="BK288:BK289"/>
    <mergeCell ref="C10:C11"/>
    <mergeCell ref="B810:B811"/>
    <mergeCell ref="BU856:BU857"/>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U294:BU295"/>
    <mergeCell ref="BK595:BK596"/>
    <mergeCell ref="BU521:BU522"/>
    <mergeCell ref="BK495:BK496"/>
    <mergeCell ref="C507:C508"/>
    <mergeCell ref="C447:C448"/>
    <mergeCell ref="BK793:BK794"/>
    <mergeCell ref="C634:C635"/>
    <mergeCell ref="C50:C51"/>
    <mergeCell ref="BU828:BU829"/>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C157:C158"/>
    <mergeCell ref="B832:B833"/>
    <mergeCell ref="C729:C730"/>
    <mergeCell ref="BK310:BK311"/>
    <mergeCell ref="BU503:BU504"/>
    <mergeCell ref="B296:B297"/>
    <mergeCell ref="BK503:BK504"/>
    <mergeCell ref="BU774:BU775"/>
    <mergeCell ref="B125:B126"/>
    <mergeCell ref="BU46:BU47"/>
    <mergeCell ref="B646:B647"/>
    <mergeCell ref="C495:C496"/>
    <mergeCell ref="C737:C738"/>
    <mergeCell ref="Y7:Y9"/>
    <mergeCell ref="AA7:AA9"/>
    <mergeCell ref="BK341:BK342"/>
    <mergeCell ref="BK26:BK27"/>
    <mergeCell ref="BK906:BK907"/>
    <mergeCell ref="C861:C862"/>
    <mergeCell ref="DG7:DG9"/>
    <mergeCell ref="C795:C796"/>
    <mergeCell ref="B856:B857"/>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U593:BU594"/>
    <mergeCell ref="BK471:BK472"/>
    <mergeCell ref="BU422:BU423"/>
    <mergeCell ref="BU360:BU361"/>
    <mergeCell ref="BK300:BK301"/>
    <mergeCell ref="BU816:BU817"/>
    <mergeCell ref="C414:C415"/>
    <mergeCell ref="BK511:BK512"/>
    <mergeCell ref="BU139:BU140"/>
    <mergeCell ref="C81:C82"/>
    <mergeCell ref="X7:X9"/>
    <mergeCell ref="Z7:Z9"/>
    <mergeCell ref="C450:C451"/>
    <mergeCell ref="BK669:BK670"/>
    <mergeCell ref="B649:B650"/>
    <mergeCell ref="B478:B479"/>
    <mergeCell ref="BU595:BU596"/>
    <mergeCell ref="B776:B777"/>
    <mergeCell ref="C808:C809"/>
    <mergeCell ref="C935:C936"/>
    <mergeCell ref="BK832:BK833"/>
    <mergeCell ref="C145:C146"/>
    <mergeCell ref="B113:B114"/>
    <mergeCell ref="BK733:BK734"/>
    <mergeCell ref="B713:B714"/>
    <mergeCell ref="B507:B508"/>
    <mergeCell ref="B50:B51"/>
    <mergeCell ref="B115:B116"/>
    <mergeCell ref="C147:C148"/>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U310:BU311"/>
    <mergeCell ref="B497:B498"/>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F7:AF9"/>
    <mergeCell ref="BK935:BK936"/>
    <mergeCell ref="BK818:BK819"/>
    <mergeCell ref="AH7:AH9"/>
    <mergeCell ref="AP7:AP9"/>
    <mergeCell ref="BK482:BK483"/>
    <mergeCell ref="BK416:BK417"/>
    <mergeCell ref="BU669:BU670"/>
    <mergeCell ref="BK774:BK775"/>
    <mergeCell ref="BK117:BK118"/>
    <mergeCell ref="C474:C475"/>
    <mergeCell ref="BK111:BK112"/>
    <mergeCell ref="BK820:BK821"/>
    <mergeCell ref="BU304:BU305"/>
    <mergeCell ref="C832:C833"/>
    <mergeCell ref="BK651:BK652"/>
    <mergeCell ref="BK480:BK481"/>
    <mergeCell ref="C517:C518"/>
    <mergeCell ref="C759:C760"/>
    <mergeCell ref="C492:C493"/>
    <mergeCell ref="BK638:BK639"/>
    <mergeCell ref="BU83:BU84"/>
    <mergeCell ref="BU143:BU144"/>
    <mergeCell ref="B447:B448"/>
    <mergeCell ref="C467:C468"/>
    <mergeCell ref="C296:C297"/>
    <mergeCell ref="BU64:BU65"/>
    <mergeCell ref="BR7:BR9"/>
    <mergeCell ref="C774:C775"/>
    <mergeCell ref="B422:B423"/>
    <mergeCell ref="BT7:BT9"/>
    <mergeCell ref="C690:C691"/>
    <mergeCell ref="C519:C520"/>
    <mergeCell ref="B658:B659"/>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137:B138"/>
    <mergeCell ref="BK770:BK771"/>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BU109:BU110"/>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09" t="inlineStr">
        <is>
          <t>ÍNDICE</t>
        </is>
      </c>
      <c r="C2" s="29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14" t="inlineStr">
        <is>
          <t>GLOSARIO PROGRAMA MONITOREO AGUA</t>
        </is>
      </c>
      <c r="C10" s="308"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07" t="inlineStr">
        <is>
          <t>Puntos de monitoreo nuevos que reemplazan punto comprometidos</t>
        </is>
      </c>
      <c r="C28" s="308" t="n"/>
      <c r="D28" s="308" t="n"/>
    </row>
    <row r="29">
      <c r="B29" s="58" t="inlineStr">
        <is>
          <t>Punto Anexo 6-A</t>
        </is>
      </c>
      <c r="C29" s="310" t="inlineStr">
        <is>
          <t>Status</t>
        </is>
      </c>
      <c r="D29" s="298" t="n"/>
    </row>
    <row r="30">
      <c r="B30" s="59" t="inlineStr">
        <is>
          <t>ARR-01</t>
        </is>
      </c>
      <c r="C30" s="306" t="inlineStr">
        <is>
          <t>Nuevo/Reemplaza PDR-82</t>
        </is>
      </c>
      <c r="D30" s="298" t="n"/>
    </row>
    <row r="31">
      <c r="B31" s="59" t="inlineStr">
        <is>
          <t>Dique Huinquintipa</t>
        </is>
      </c>
      <c r="C31" s="306" t="inlineStr">
        <is>
          <t>Nuevo/Reemplaza QDH-01C, QDH-1E, QDH-01D</t>
        </is>
      </c>
      <c r="D31" s="298" t="n"/>
    </row>
    <row r="32">
      <c r="B32" s="59" t="inlineStr">
        <is>
          <t>Dique San Daniel</t>
        </is>
      </c>
      <c r="C32" s="306" t="inlineStr">
        <is>
          <t>Nuevo/Reemplaza QSD-01</t>
        </is>
      </c>
      <c r="D32" s="298" t="n"/>
    </row>
    <row r="33">
      <c r="B33" s="59" t="inlineStr">
        <is>
          <t>NP-6 (reemplaza al P-6)</t>
        </is>
      </c>
      <c r="C33" s="306" t="inlineStr">
        <is>
          <t>Nuevo/Reemplaza P-6</t>
        </is>
      </c>
      <c r="D33" s="298" t="n"/>
    </row>
    <row r="34">
      <c r="B34" s="59" t="inlineStr">
        <is>
          <t>Pozo 10</t>
        </is>
      </c>
      <c r="C34" s="306" t="inlineStr">
        <is>
          <t xml:space="preserve">Nuevo/Reemplaza M-12, MPZ-10A, MPZ-10B, MAU-12 y MAU-13 </t>
        </is>
      </c>
      <c r="D34" s="298" t="n"/>
    </row>
    <row r="35">
      <c r="B35" s="59" t="inlineStr">
        <is>
          <t>Pozo 11</t>
        </is>
      </c>
      <c r="C35" s="306" t="inlineStr">
        <is>
          <t>Nuevo/Reemplaza PEM-05, PMI-07, PMI-08 y MA-01</t>
        </is>
      </c>
      <c r="D35" s="298" t="n"/>
    </row>
    <row r="36">
      <c r="B36" s="59" t="inlineStr">
        <is>
          <t>Pozo 12</t>
        </is>
      </c>
      <c r="C36" s="306" t="inlineStr">
        <is>
          <t>Nuevo/Reemplaza PEM-05, PMI-07, PMI-08 y MA-01</t>
        </is>
      </c>
      <c r="D36" s="298" t="n"/>
    </row>
    <row r="37">
      <c r="B37" s="59" t="inlineStr">
        <is>
          <t>Pozo 6</t>
        </is>
      </c>
      <c r="C37" s="306" t="inlineStr">
        <is>
          <t xml:space="preserve">Nuevo/Reemplaza M-12, MPZ-10A, MPZ-10B, MAU-12 y MAU-13 </t>
        </is>
      </c>
      <c r="D37" s="298" t="n"/>
    </row>
    <row r="38">
      <c r="B38" s="59" t="inlineStr">
        <is>
          <t>Pozo 7</t>
        </is>
      </c>
      <c r="C38" s="306" t="inlineStr">
        <is>
          <t xml:space="preserve">Nuevo/Reemplaza M-12, MPZ-10A, MPZ-10B, MAU-12 y MAU-13 </t>
        </is>
      </c>
      <c r="D38" s="298" t="n"/>
    </row>
    <row r="39">
      <c r="B39" s="59" t="inlineStr">
        <is>
          <t>Pozo 8</t>
        </is>
      </c>
      <c r="C39" s="306" t="inlineStr">
        <is>
          <t xml:space="preserve">Nuevo/Reemplaza M-12, MPZ-10A, MPZ-10B, MAU-12 y MAU-13 </t>
        </is>
      </c>
      <c r="D39" s="298" t="n"/>
    </row>
    <row r="40">
      <c r="B40" s="59" t="inlineStr">
        <is>
          <t>Pozo 9</t>
        </is>
      </c>
      <c r="C40" s="306" t="inlineStr">
        <is>
          <t xml:space="preserve">Nuevo/Reemplaza M-12, MPZ-10A, MPZ-10B, MAU-12 y MAU-13 </t>
        </is>
      </c>
      <c r="D40" s="298" t="n"/>
    </row>
    <row r="41">
      <c r="B41" s="59" t="inlineStr">
        <is>
          <t>Pozo bombeo (reemplaza RPW-04)</t>
        </is>
      </c>
      <c r="C41" s="306" t="inlineStr">
        <is>
          <t>Nuevo / Monitoreo DGA / Reemplaza RPW-04</t>
        </is>
      </c>
      <c r="D41" s="298" t="n"/>
    </row>
    <row r="43">
      <c r="B43" s="315" t="inlineStr">
        <is>
          <t>Otros</t>
        </is>
      </c>
      <c r="C43" s="297" t="n"/>
      <c r="D43" s="298" t="n"/>
    </row>
    <row r="44" ht="14.25" customHeight="1">
      <c r="B44" s="311" t="inlineStr">
        <is>
          <t>·         Se eliminan y reemplazan por puntos comprometidos: se eliminan 5 puntos de monitoreo (MAU-04, M-22, MAU-03, MAU-06 y MAU-11) y serán reemplazados por 3 puntos de monitoreo ya comprometidos (MAU-03B, MAU-11B y MAU-15)</t>
        </is>
      </c>
      <c r="C44" s="312" t="n"/>
      <c r="D44" s="313" t="n"/>
    </row>
    <row r="45">
      <c r="B45" s="252" t="n"/>
      <c r="C45" s="308" t="n"/>
      <c r="D45" s="286"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17"/>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260" t="inlineStr">
        <is>
          <t>(Varios elementos)</t>
        </is>
      </c>
      <c r="D3" s="8" t="inlineStr">
        <is>
          <t>COMPROMISO FINAL</t>
        </is>
      </c>
      <c r="E3" s="260" t="inlineStr">
        <is>
          <t>(Varios elementos)</t>
        </is>
      </c>
      <c r="G3" s="8" t="inlineStr">
        <is>
          <t>COMPROMISO FINAL</t>
        </is>
      </c>
      <c r="H3" s="260" t="inlineStr">
        <is>
          <t>(Varios elementos)</t>
        </is>
      </c>
      <c r="J3" s="8" t="inlineStr">
        <is>
          <t>COMPROMISO FINAL</t>
        </is>
      </c>
      <c r="K3" s="260" t="inlineStr">
        <is>
          <t>(Varios elementos)</t>
        </is>
      </c>
    </row>
    <row r="4" ht="27" customHeight="1">
      <c r="A4" s="8" t="inlineStr">
        <is>
          <t>NIVEL FREÁTICO TERRENO</t>
        </is>
      </c>
      <c r="B4" s="260" t="inlineStr">
        <is>
          <t>(Todas)</t>
        </is>
      </c>
      <c r="D4" s="8" t="inlineStr">
        <is>
          <t>CAUDAL DE BOMBEO TERRENO</t>
        </is>
      </c>
      <c r="E4" s="260" t="inlineStr">
        <is>
          <t>SI</t>
        </is>
      </c>
      <c r="G4" s="8" t="inlineStr">
        <is>
          <t>CAUDAL VOLUMÉTRICO
TERRENO</t>
        </is>
      </c>
      <c r="H4" s="260" t="inlineStr">
        <is>
          <t>SI</t>
        </is>
      </c>
      <c r="J4" s="8" t="inlineStr">
        <is>
          <t>CALIDAD DE AGUA
TERRENO</t>
        </is>
      </c>
      <c r="K4" s="260" t="inlineStr">
        <is>
          <t>SI</t>
        </is>
      </c>
      <c r="N4" s="8" t="inlineStr">
        <is>
          <t>COMPROMISO FINAL</t>
        </is>
      </c>
      <c r="O4" s="260"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260" t="inlineStr">
        <is>
          <t>2_98-15</t>
        </is>
      </c>
      <c r="B7" s="260" t="inlineStr">
        <is>
          <t>Bimestral</t>
        </is>
      </c>
      <c r="D7" s="260"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260" t="inlineStr">
        <is>
          <t>Semestral</t>
        </is>
      </c>
      <c r="P7" s="10" t="inlineStr">
        <is>
          <t>Ensayos Geoquímicos</t>
        </is>
      </c>
    </row>
    <row r="8">
      <c r="A8" s="260" t="inlineStr">
        <is>
          <t>2_98-16</t>
        </is>
      </c>
      <c r="B8" s="260" t="inlineStr">
        <is>
          <t>Trimestral</t>
        </is>
      </c>
      <c r="D8" s="260" t="inlineStr">
        <is>
          <t>CWP-14</t>
        </is>
      </c>
      <c r="E8" s="10" t="inlineStr">
        <is>
          <t>Mensual</t>
        </is>
      </c>
      <c r="G8" s="10" t="inlineStr">
        <is>
          <t>AFO-MP1</t>
        </is>
      </c>
      <c r="H8" s="10" t="inlineStr">
        <is>
          <t>Mensual</t>
        </is>
      </c>
      <c r="J8" s="260" t="inlineStr">
        <is>
          <t>ADTR</t>
        </is>
      </c>
      <c r="K8" s="10" t="inlineStr">
        <is>
          <t>Mensual</t>
        </is>
      </c>
      <c r="N8" s="260" t="inlineStr">
        <is>
          <t>JCC-04</t>
        </is>
      </c>
      <c r="O8" s="260" t="inlineStr">
        <is>
          <t>Continuo</t>
        </is>
      </c>
      <c r="P8" s="260" t="inlineStr">
        <is>
          <t>Perfiles verticales de Tº, CE y pH.</t>
        </is>
      </c>
    </row>
    <row r="9">
      <c r="A9" s="260" t="inlineStr">
        <is>
          <t>2_98-17</t>
        </is>
      </c>
      <c r="B9" s="260" t="inlineStr">
        <is>
          <t>Trimestral</t>
        </is>
      </c>
      <c r="D9" s="260" t="inlineStr">
        <is>
          <t>Extracciones del Rajo Rosario</t>
        </is>
      </c>
      <c r="E9" s="10" t="inlineStr">
        <is>
          <t>Continuo</t>
        </is>
      </c>
      <c r="G9" s="10" t="inlineStr">
        <is>
          <t>AFO-OV2</t>
        </is>
      </c>
      <c r="H9" s="10" t="inlineStr">
        <is>
          <t>Mensual</t>
        </is>
      </c>
      <c r="J9" s="260" t="inlineStr">
        <is>
          <t>ARR-01</t>
        </is>
      </c>
      <c r="K9" s="10" t="inlineStr">
        <is>
          <t>Trimestral</t>
        </is>
      </c>
      <c r="N9" s="260" t="inlineStr">
        <is>
          <t>JCC-05</t>
        </is>
      </c>
      <c r="O9" s="260" t="inlineStr">
        <is>
          <t>Continuo</t>
        </is>
      </c>
      <c r="P9" s="260" t="inlineStr">
        <is>
          <t>Perfiles verticales de Tº, CE y pH.</t>
        </is>
      </c>
    </row>
    <row r="10" ht="34.5" customHeight="1">
      <c r="A10" s="260" t="inlineStr">
        <is>
          <t>2_98-19</t>
        </is>
      </c>
      <c r="B10" s="260" t="inlineStr">
        <is>
          <t>Trimestral</t>
        </is>
      </c>
      <c r="D10" s="260" t="inlineStr">
        <is>
          <t>MTP-09</t>
        </is>
      </c>
      <c r="E10" s="10" t="inlineStr">
        <is>
          <t>Mensual</t>
        </is>
      </c>
      <c r="G10" s="10" t="inlineStr">
        <is>
          <t>AFO-RF1</t>
        </is>
      </c>
      <c r="H10" s="10" t="inlineStr">
        <is>
          <t>Mensual</t>
        </is>
      </c>
      <c r="J10" s="260" t="inlineStr">
        <is>
          <t>BCC</t>
        </is>
      </c>
      <c r="K10" s="10" t="inlineStr">
        <is>
          <t>Mensual (Se realiza quincenal) - Diario</t>
        </is>
      </c>
      <c r="N10" s="260"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260" t="inlineStr">
        <is>
          <t>2_98-21</t>
        </is>
      </c>
      <c r="B11" s="260" t="inlineStr">
        <is>
          <t>Trimestral</t>
        </is>
      </c>
      <c r="D11" s="260" t="inlineStr">
        <is>
          <t>MTP-11</t>
        </is>
      </c>
      <c r="E11" s="10" t="inlineStr">
        <is>
          <t>Mensual</t>
        </is>
      </c>
      <c r="G11" s="10" t="inlineStr">
        <is>
          <t>AFO-SA1</t>
        </is>
      </c>
      <c r="H11" s="10" t="inlineStr">
        <is>
          <t>Mensual</t>
        </is>
      </c>
      <c r="J11" s="260" t="inlineStr">
        <is>
          <t>BCON</t>
        </is>
      </c>
      <c r="K11" s="10" t="inlineStr">
        <is>
          <t>Mensual (Se realiza quincenal) - Diario</t>
        </is>
      </c>
      <c r="N11" s="260" t="inlineStr">
        <is>
          <t>LM</t>
        </is>
      </c>
      <c r="O11" s="10" t="inlineStr">
        <is>
          <t>Pluviometría y evaporación: diario
Nivel y superficie: Continuo
Mapas de Iso-CE, iso-temperatura, Iso pH 3D: Trimestral</t>
        </is>
      </c>
      <c r="P11" s="260" t="inlineStr">
        <is>
          <t>Pluviometría y evaporación
Nivel y superficie
Mapas de Iso-CE, iso-temperatura, Iso pH 3D</t>
        </is>
      </c>
    </row>
    <row r="12">
      <c r="A12" s="260" t="inlineStr">
        <is>
          <t>A-01</t>
        </is>
      </c>
      <c r="B12" s="260" t="inlineStr">
        <is>
          <t>Trimestral</t>
        </is>
      </c>
      <c r="D12" s="260" t="inlineStr">
        <is>
          <t>MTP-12</t>
        </is>
      </c>
      <c r="E12" s="10" t="inlineStr">
        <is>
          <t>Mensual</t>
        </is>
      </c>
      <c r="G12" s="10" t="inlineStr">
        <is>
          <t>AFO-SD2</t>
        </is>
      </c>
      <c r="H12" s="10" t="inlineStr">
        <is>
          <t>Mensual</t>
        </is>
      </c>
      <c r="J12" s="260" t="inlineStr">
        <is>
          <t>BGSO</t>
        </is>
      </c>
      <c r="K12" s="10" t="inlineStr">
        <is>
          <t>Mensual (Se realiza quincenal) - Diario</t>
        </is>
      </c>
    </row>
    <row r="13">
      <c r="A13" s="260" t="inlineStr">
        <is>
          <t>A-02</t>
        </is>
      </c>
      <c r="B13" s="260" t="inlineStr">
        <is>
          <t>Trimestral</t>
        </is>
      </c>
      <c r="D13" s="260" t="inlineStr">
        <is>
          <t>MTP-13</t>
        </is>
      </c>
      <c r="E13" s="10" t="inlineStr">
        <is>
          <t>Mensual</t>
        </is>
      </c>
      <c r="G13" s="10" t="inlineStr">
        <is>
          <t>AFO-SN1</t>
        </is>
      </c>
      <c r="H13" s="10" t="inlineStr">
        <is>
          <t>Mensual</t>
        </is>
      </c>
      <c r="J13" s="260" t="inlineStr">
        <is>
          <t>BOR</t>
        </is>
      </c>
      <c r="K13" s="10" t="inlineStr">
        <is>
          <t>Mensual (Se realiza quincenal) - Diario</t>
        </is>
      </c>
    </row>
    <row r="14">
      <c r="A14" s="260" t="inlineStr">
        <is>
          <t>A-03</t>
        </is>
      </c>
      <c r="B14" s="260" t="inlineStr">
        <is>
          <t>Trimestral</t>
        </is>
      </c>
      <c r="D14" s="260" t="inlineStr">
        <is>
          <t>MTP-14</t>
        </is>
      </c>
      <c r="E14" s="10" t="inlineStr">
        <is>
          <t>Mensual</t>
        </is>
      </c>
      <c r="G14" s="10" t="inlineStr">
        <is>
          <t>AFO-ZE1</t>
        </is>
      </c>
      <c r="H14" s="10" t="inlineStr">
        <is>
          <t>Mensual</t>
        </is>
      </c>
      <c r="J14" s="260" t="inlineStr">
        <is>
          <t>Botadero Sur</t>
        </is>
      </c>
      <c r="K14" s="10" t="inlineStr">
        <is>
          <t>Trimestral</t>
        </is>
      </c>
    </row>
    <row r="15">
      <c r="A15" s="260" t="inlineStr">
        <is>
          <t>A-05</t>
        </is>
      </c>
      <c r="B15" s="260" t="inlineStr">
        <is>
          <t>Trimestral</t>
        </is>
      </c>
      <c r="D15" s="260" t="inlineStr">
        <is>
          <t>MTP-16</t>
        </is>
      </c>
      <c r="E15" s="10" t="inlineStr">
        <is>
          <t>Mensual</t>
        </is>
      </c>
      <c r="G15" s="10" t="inlineStr">
        <is>
          <t>CSW-02</t>
        </is>
      </c>
      <c r="H15" s="10" t="inlineStr">
        <is>
          <t>Continuo (actual 4 veces por semana)</t>
        </is>
      </c>
      <c r="J15" s="260" t="inlineStr">
        <is>
          <t>BPCR</t>
        </is>
      </c>
      <c r="K15" s="10" t="inlineStr">
        <is>
          <t>Mensual (Se realiza quincenal) - Diario</t>
        </is>
      </c>
    </row>
    <row r="16">
      <c r="A16" s="260" t="inlineStr">
        <is>
          <t>A-06</t>
        </is>
      </c>
      <c r="B16" s="260" t="inlineStr">
        <is>
          <t>Trimestral</t>
        </is>
      </c>
      <c r="D16" s="260" t="inlineStr">
        <is>
          <t>NP-6
(reemplaza al P-6)</t>
        </is>
      </c>
      <c r="E16" s="10" t="inlineStr">
        <is>
          <t>Continuo</t>
        </is>
      </c>
      <c r="G16" s="10" t="inlineStr">
        <is>
          <t>CSW-05</t>
        </is>
      </c>
      <c r="H16" s="10" t="inlineStr">
        <is>
          <t>Mensual</t>
        </is>
      </c>
      <c r="J16" s="260" t="inlineStr">
        <is>
          <t>C-1000</t>
        </is>
      </c>
      <c r="K16" s="10" t="inlineStr">
        <is>
          <t>Mensual (Se realiza quincenal) - Diario</t>
        </is>
      </c>
    </row>
    <row r="17">
      <c r="A17" s="260" t="inlineStr">
        <is>
          <t>A-07</t>
        </is>
      </c>
      <c r="B17" s="260" t="inlineStr">
        <is>
          <t>Trimestral</t>
        </is>
      </c>
      <c r="D17" s="260" t="inlineStr">
        <is>
          <t>P-6</t>
        </is>
      </c>
      <c r="E17" s="10" t="inlineStr">
        <is>
          <t>Mensual</t>
        </is>
      </c>
      <c r="G17" s="10" t="inlineStr">
        <is>
          <t>Estación 1</t>
        </is>
      </c>
      <c r="H17" s="10" t="inlineStr">
        <is>
          <t>Mensual</t>
        </is>
      </c>
      <c r="J17" s="260" t="inlineStr">
        <is>
          <t>C-460</t>
        </is>
      </c>
      <c r="K17" s="10" t="inlineStr">
        <is>
          <t>Mensual (Se realiza quincenal) - Diario</t>
        </is>
      </c>
    </row>
    <row r="18">
      <c r="A18" s="260" t="inlineStr">
        <is>
          <t>A-08</t>
        </is>
      </c>
      <c r="B18" s="260" t="inlineStr">
        <is>
          <t>Trimestral</t>
        </is>
      </c>
      <c r="D18" s="260" t="inlineStr">
        <is>
          <t>PEP-01</t>
        </is>
      </c>
      <c r="E18" s="10" t="inlineStr">
        <is>
          <t>Mensual</t>
        </is>
      </c>
      <c r="G18" s="10" t="inlineStr">
        <is>
          <t>Estación 2</t>
        </is>
      </c>
      <c r="H18" s="10" t="inlineStr">
        <is>
          <t>Mensual</t>
        </is>
      </c>
      <c r="J18" s="260" t="inlineStr">
        <is>
          <t>Canaleta DR</t>
        </is>
      </c>
      <c r="K18" s="10" t="inlineStr">
        <is>
          <t>Semestral</t>
        </is>
      </c>
    </row>
    <row r="19">
      <c r="A19" s="260" t="inlineStr">
        <is>
          <t>A-10</t>
        </is>
      </c>
      <c r="B19" s="260" t="inlineStr">
        <is>
          <t>Trimestral</t>
        </is>
      </c>
      <c r="D19" s="260" t="inlineStr">
        <is>
          <t>PEP-03</t>
        </is>
      </c>
      <c r="E19" s="10" t="inlineStr">
        <is>
          <t>Mensual</t>
        </is>
      </c>
      <c r="G19" s="10" t="inlineStr">
        <is>
          <t>Estación 3</t>
        </is>
      </c>
      <c r="H19" s="10" t="inlineStr">
        <is>
          <t>Mensual</t>
        </is>
      </c>
      <c r="J19" s="260" t="inlineStr">
        <is>
          <t>Captación Agua de mar</t>
        </is>
      </c>
      <c r="K19" s="10" t="inlineStr">
        <is>
          <t>Anual</t>
        </is>
      </c>
    </row>
    <row r="20">
      <c r="A20" s="260" t="inlineStr">
        <is>
          <t>A-14</t>
        </is>
      </c>
      <c r="B20" s="260" t="inlineStr">
        <is>
          <t>Trimestral</t>
        </is>
      </c>
      <c r="D20" s="260" t="inlineStr">
        <is>
          <t>PEP-04</t>
        </is>
      </c>
      <c r="E20" s="10" t="inlineStr">
        <is>
          <t>Mensual</t>
        </is>
      </c>
      <c r="G20" s="10" t="inlineStr">
        <is>
          <t>MPDR</t>
        </is>
      </c>
      <c r="H20" s="10" t="inlineStr">
        <is>
          <t>Dos veces a la semana</t>
        </is>
      </c>
      <c r="J20" s="260" t="inlineStr">
        <is>
          <t>CCD</t>
        </is>
      </c>
      <c r="K20" s="10" t="inlineStr">
        <is>
          <t>Mensual (Se realiza quincenal) - Diario</t>
        </is>
      </c>
    </row>
    <row r="21">
      <c r="A21" s="260" t="inlineStr">
        <is>
          <t>AA-01</t>
        </is>
      </c>
      <c r="B21" s="260" t="inlineStr">
        <is>
          <t>Trimestral</t>
        </is>
      </c>
      <c r="D21" s="260" t="inlineStr">
        <is>
          <t>PMI-01</t>
        </is>
      </c>
      <c r="E21" s="10" t="inlineStr">
        <is>
          <t>Mensual</t>
        </is>
      </c>
      <c r="G21" s="10" t="inlineStr">
        <is>
          <t>MSW-03</t>
        </is>
      </c>
      <c r="H21" s="10" t="inlineStr">
        <is>
          <t>Mensual</t>
        </is>
      </c>
      <c r="J21" s="260" t="inlineStr">
        <is>
          <t>CGP</t>
        </is>
      </c>
      <c r="K21" s="10" t="inlineStr">
        <is>
          <t>Mensual (Se realiza quincenal)</t>
        </is>
      </c>
    </row>
    <row r="22">
      <c r="A22" s="260" t="inlineStr">
        <is>
          <t>AA-02</t>
        </is>
      </c>
      <c r="B22" s="260" t="inlineStr">
        <is>
          <t>Trimestral</t>
        </is>
      </c>
      <c r="D22" s="260" t="inlineStr">
        <is>
          <t>Pozo bombeo (reemplaza RPW-04)</t>
        </is>
      </c>
      <c r="E22" s="10" t="inlineStr">
        <is>
          <t>Continuo</t>
        </is>
      </c>
      <c r="G22" s="10" t="inlineStr">
        <is>
          <t>QDC-01</t>
        </is>
      </c>
      <c r="H22" s="10" t="inlineStr">
        <is>
          <t>Mensual</t>
        </is>
      </c>
      <c r="J22" s="260" t="inlineStr">
        <is>
          <t>CMA-01A</t>
        </is>
      </c>
      <c r="K22" s="10" t="inlineStr">
        <is>
          <t>Trimestral</t>
        </is>
      </c>
    </row>
    <row r="23">
      <c r="A23" s="260" t="inlineStr">
        <is>
          <t>AA-03</t>
        </is>
      </c>
      <c r="B23" s="260" t="inlineStr">
        <is>
          <t>Trimestral</t>
        </is>
      </c>
      <c r="D23" s="260" t="inlineStr">
        <is>
          <t>PPC-02</t>
        </is>
      </c>
      <c r="E23" s="10" t="inlineStr">
        <is>
          <t>Mensual</t>
        </is>
      </c>
      <c r="G23" s="10" t="inlineStr">
        <is>
          <t>QDC-02</t>
        </is>
      </c>
      <c r="H23" s="10" t="inlineStr">
        <is>
          <t>Mensual</t>
        </is>
      </c>
      <c r="J23" s="260" t="inlineStr">
        <is>
          <t>CMA-01B</t>
        </is>
      </c>
      <c r="K23" s="10" t="inlineStr">
        <is>
          <t>Trimestral</t>
        </is>
      </c>
    </row>
    <row r="24">
      <c r="A24" s="260" t="inlineStr">
        <is>
          <t>AA-04</t>
        </is>
      </c>
      <c r="B24" s="260" t="inlineStr">
        <is>
          <t>Trimestral</t>
        </is>
      </c>
      <c r="D24" s="260" t="inlineStr">
        <is>
          <t>PPC-03</t>
        </is>
      </c>
      <c r="E24" s="10" t="inlineStr">
        <is>
          <t>Mensual</t>
        </is>
      </c>
      <c r="G24" s="10" t="inlineStr">
        <is>
          <t>QDH-02</t>
        </is>
      </c>
      <c r="H24" s="10" t="inlineStr">
        <is>
          <t>Día por medio</t>
        </is>
      </c>
      <c r="J24" s="260" t="inlineStr">
        <is>
          <t>CMA-02</t>
        </is>
      </c>
      <c r="K24" s="10" t="inlineStr">
        <is>
          <t>Trimestral</t>
        </is>
      </c>
    </row>
    <row r="25">
      <c r="A25" s="260" t="inlineStr">
        <is>
          <t>AA-05</t>
        </is>
      </c>
      <c r="B25" s="260" t="inlineStr">
        <is>
          <t>Trimestral</t>
        </is>
      </c>
      <c r="D25" s="260" t="inlineStr">
        <is>
          <t>PPC-07</t>
        </is>
      </c>
      <c r="E25" s="10" t="inlineStr">
        <is>
          <t>Mensual</t>
        </is>
      </c>
      <c r="G25" s="10" t="inlineStr">
        <is>
          <t>QDH-1E Piscina</t>
        </is>
      </c>
      <c r="H25" s="10" t="inlineStr">
        <is>
          <t>Quincenal</t>
        </is>
      </c>
      <c r="J25" s="260" t="inlineStr">
        <is>
          <t>CMA-03</t>
        </is>
      </c>
      <c r="K25" s="10" t="inlineStr">
        <is>
          <t>Trimestral</t>
        </is>
      </c>
    </row>
    <row r="26">
      <c r="A26" s="260" t="inlineStr">
        <is>
          <t>AA-06</t>
        </is>
      </c>
      <c r="B26" s="260" t="inlineStr">
        <is>
          <t>Trimestral</t>
        </is>
      </c>
      <c r="D26" s="260" t="inlineStr">
        <is>
          <t>PPC-09</t>
        </is>
      </c>
      <c r="E26" s="10" t="inlineStr">
        <is>
          <t>Mensual</t>
        </is>
      </c>
      <c r="G26" s="10" t="inlineStr">
        <is>
          <t>QSD-1 Piscina</t>
        </is>
      </c>
      <c r="H26" s="10" t="inlineStr">
        <is>
          <t>Quincenal</t>
        </is>
      </c>
      <c r="J26" s="260" t="inlineStr">
        <is>
          <t>CMA-04</t>
        </is>
      </c>
      <c r="K26" s="10" t="inlineStr">
        <is>
          <t>Trimestral</t>
        </is>
      </c>
    </row>
    <row r="27">
      <c r="A27" s="260" t="inlineStr">
        <is>
          <t>AA-07</t>
        </is>
      </c>
      <c r="B27" s="260" t="inlineStr">
        <is>
          <t>Trimestral</t>
        </is>
      </c>
      <c r="D27" s="260" t="inlineStr">
        <is>
          <t>PPC-10</t>
        </is>
      </c>
      <c r="E27" s="10" t="inlineStr">
        <is>
          <t>Mensual</t>
        </is>
      </c>
      <c r="G27" s="10" t="inlineStr">
        <is>
          <t>QSN-01</t>
        </is>
      </c>
      <c r="H27" s="10" t="inlineStr">
        <is>
          <t>Dos veces a la semana</t>
        </is>
      </c>
      <c r="J27" s="260" t="inlineStr">
        <is>
          <t>CMA-05</t>
        </is>
      </c>
      <c r="K27" s="10" t="inlineStr">
        <is>
          <t>Trimestral</t>
        </is>
      </c>
    </row>
    <row r="28">
      <c r="A28" s="260" t="inlineStr">
        <is>
          <t>AA-08</t>
        </is>
      </c>
      <c r="B28" s="260" t="inlineStr">
        <is>
          <t>Trimestral</t>
        </is>
      </c>
      <c r="D28" s="260" t="inlineStr">
        <is>
          <t>PPC-14</t>
        </is>
      </c>
      <c r="E28" s="10" t="inlineStr">
        <is>
          <t>Mensual</t>
        </is>
      </c>
      <c r="G28" s="10" t="inlineStr">
        <is>
          <t>QYA</t>
        </is>
      </c>
      <c r="H28" s="10" t="inlineStr">
        <is>
          <t>Mensual</t>
        </is>
      </c>
      <c r="J28" s="260" t="inlineStr">
        <is>
          <t>CMA-06</t>
        </is>
      </c>
      <c r="K28" s="10" t="inlineStr">
        <is>
          <t>Trimestral</t>
        </is>
      </c>
    </row>
    <row r="29" ht="69" customHeight="1">
      <c r="A29" s="260" t="inlineStr">
        <is>
          <t>AA-09</t>
        </is>
      </c>
      <c r="B29" s="260" t="inlineStr">
        <is>
          <t>Trimestral</t>
        </is>
      </c>
      <c r="D29" s="260"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260" t="inlineStr">
        <is>
          <t>CMA-07</t>
        </is>
      </c>
      <c r="K29" s="10" t="inlineStr">
        <is>
          <t>Trimestral</t>
        </is>
      </c>
    </row>
    <row r="30">
      <c r="A30" s="260" t="inlineStr">
        <is>
          <t>AA-10</t>
        </is>
      </c>
      <c r="B30" s="260" t="inlineStr">
        <is>
          <t>Trimestral</t>
        </is>
      </c>
      <c r="D30" s="260" t="inlineStr">
        <is>
          <t>PPC-18</t>
        </is>
      </c>
      <c r="E30" s="10" t="inlineStr">
        <is>
          <t>Mensual</t>
        </is>
      </c>
      <c r="J30" s="260" t="inlineStr">
        <is>
          <t>CMA-08</t>
        </is>
      </c>
      <c r="K30" s="10" t="inlineStr">
        <is>
          <t>Trimestral</t>
        </is>
      </c>
    </row>
    <row r="31">
      <c r="A31" s="260" t="inlineStr">
        <is>
          <t>AA-11</t>
        </is>
      </c>
      <c r="B31" s="260" t="inlineStr">
        <is>
          <t>Trimestral</t>
        </is>
      </c>
      <c r="D31" s="260" t="inlineStr">
        <is>
          <t>PPC-20</t>
        </is>
      </c>
      <c r="E31" s="10" t="inlineStr">
        <is>
          <t>Mensual</t>
        </is>
      </c>
      <c r="J31" s="260" t="inlineStr">
        <is>
          <t>CMA-09</t>
        </is>
      </c>
      <c r="K31" s="10" t="inlineStr">
        <is>
          <t>Trimestral</t>
        </is>
      </c>
    </row>
    <row r="32">
      <c r="A32" s="260" t="inlineStr">
        <is>
          <t>AA-12</t>
        </is>
      </c>
      <c r="B32" s="260" t="inlineStr">
        <is>
          <t>Trimestral</t>
        </is>
      </c>
      <c r="D32" s="260" t="inlineStr">
        <is>
          <t>PPC-21</t>
        </is>
      </c>
      <c r="E32" s="10" t="inlineStr">
        <is>
          <t>Mensual</t>
        </is>
      </c>
      <c r="J32" s="260" t="inlineStr">
        <is>
          <t>CMA-10</t>
        </is>
      </c>
      <c r="K32" s="10" t="inlineStr">
        <is>
          <t>Trimestral</t>
        </is>
      </c>
    </row>
    <row r="33">
      <c r="A33" s="260" t="inlineStr">
        <is>
          <t>AB-01</t>
        </is>
      </c>
      <c r="B33" s="260" t="inlineStr">
        <is>
          <t>Trimestral</t>
        </is>
      </c>
      <c r="D33" s="260" t="inlineStr">
        <is>
          <t>PPC-23</t>
        </is>
      </c>
      <c r="E33" s="10" t="inlineStr">
        <is>
          <t>Mensual</t>
        </is>
      </c>
      <c r="J33" s="260" t="inlineStr">
        <is>
          <t>CMA-11</t>
        </is>
      </c>
      <c r="K33" s="10" t="inlineStr">
        <is>
          <t>Trimestral</t>
        </is>
      </c>
    </row>
    <row r="34">
      <c r="A34" s="260" t="inlineStr">
        <is>
          <t>AB-03</t>
        </is>
      </c>
      <c r="B34" s="260" t="inlineStr">
        <is>
          <t>Trimestral</t>
        </is>
      </c>
      <c r="D34" s="260" t="inlineStr">
        <is>
          <t>PPC-27</t>
        </is>
      </c>
      <c r="E34" s="10" t="inlineStr">
        <is>
          <t>Mensual</t>
        </is>
      </c>
      <c r="J34" s="260" t="inlineStr">
        <is>
          <t>CMA-12</t>
        </is>
      </c>
      <c r="K34" s="10" t="inlineStr">
        <is>
          <t>Trimestral</t>
        </is>
      </c>
    </row>
    <row r="35">
      <c r="A35" s="260" t="inlineStr">
        <is>
          <t>AB-04</t>
        </is>
      </c>
      <c r="B35" s="260" t="inlineStr">
        <is>
          <t>Trimestral</t>
        </is>
      </c>
      <c r="D35" s="260" t="inlineStr">
        <is>
          <t>PPC-28</t>
        </is>
      </c>
      <c r="E35" s="10" t="inlineStr">
        <is>
          <t>Mensual</t>
        </is>
      </c>
      <c r="J35" s="260" t="inlineStr">
        <is>
          <t>CMA-13</t>
        </is>
      </c>
      <c r="K35" s="10" t="inlineStr">
        <is>
          <t>Trimestral</t>
        </is>
      </c>
    </row>
    <row r="36">
      <c r="A36" s="260" t="inlineStr">
        <is>
          <t>AB-05</t>
        </is>
      </c>
      <c r="B36" s="260" t="inlineStr">
        <is>
          <t>Trimestral</t>
        </is>
      </c>
      <c r="D36" s="260" t="inlineStr">
        <is>
          <t>RPEC-02A</t>
        </is>
      </c>
      <c r="E36" s="10" t="inlineStr">
        <is>
          <t>Mensual</t>
        </is>
      </c>
      <c r="J36" s="260" t="inlineStr">
        <is>
          <t>CMA-14</t>
        </is>
      </c>
      <c r="K36" s="10" t="inlineStr">
        <is>
          <t>Trimestral</t>
        </is>
      </c>
    </row>
    <row r="37">
      <c r="A37" s="260" t="inlineStr">
        <is>
          <t>ACTR</t>
        </is>
      </c>
      <c r="B37" s="260" t="inlineStr">
        <is>
          <t>-</t>
        </is>
      </c>
      <c r="D37" s="260" t="inlineStr">
        <is>
          <t>RPW-01</t>
        </is>
      </c>
      <c r="E37" s="10" t="inlineStr">
        <is>
          <t>Mensual</t>
        </is>
      </c>
      <c r="J37" s="260" t="inlineStr">
        <is>
          <t>CMA-15</t>
        </is>
      </c>
      <c r="K37" s="10" t="inlineStr">
        <is>
          <t>Trimestral</t>
        </is>
      </c>
    </row>
    <row r="38">
      <c r="A38" s="260" t="inlineStr">
        <is>
          <t>ADTR</t>
        </is>
      </c>
      <c r="B38" s="260" t="inlineStr">
        <is>
          <t>-</t>
        </is>
      </c>
      <c r="D38" s="260" t="inlineStr">
        <is>
          <t>RPW-03</t>
        </is>
      </c>
      <c r="E38" s="10" t="inlineStr">
        <is>
          <t>Mensual</t>
        </is>
      </c>
      <c r="J38" s="260" t="inlineStr">
        <is>
          <t>CMA-16</t>
        </is>
      </c>
      <c r="K38" s="10" t="inlineStr">
        <is>
          <t>Trimestral</t>
        </is>
      </c>
    </row>
    <row r="39">
      <c r="A39" s="260" t="inlineStr">
        <is>
          <t>AFO-JU1</t>
        </is>
      </c>
      <c r="B39" s="260" t="inlineStr">
        <is>
          <t>-</t>
        </is>
      </c>
      <c r="D39" s="260" t="inlineStr">
        <is>
          <t>RPW-04</t>
        </is>
      </c>
      <c r="E39" s="10" t="inlineStr">
        <is>
          <t>Mensual</t>
        </is>
      </c>
      <c r="J39" s="260" t="inlineStr">
        <is>
          <t>CMA-17</t>
        </is>
      </c>
      <c r="K39" s="10" t="inlineStr">
        <is>
          <t>Trimestral</t>
        </is>
      </c>
    </row>
    <row r="40">
      <c r="A40" s="260" t="inlineStr">
        <is>
          <t>AFO-MP1</t>
        </is>
      </c>
      <c r="B40" s="260" t="inlineStr">
        <is>
          <t>-</t>
        </is>
      </c>
      <c r="D40" s="260" t="inlineStr">
        <is>
          <t>P-4B</t>
        </is>
      </c>
      <c r="E40" s="10" t="inlineStr">
        <is>
          <t>Mensual</t>
        </is>
      </c>
      <c r="J40" s="260" t="inlineStr">
        <is>
          <t>CMA-18</t>
        </is>
      </c>
      <c r="K40" s="10" t="inlineStr">
        <is>
          <t>Trimestral</t>
        </is>
      </c>
    </row>
    <row r="41">
      <c r="A41" s="260" t="inlineStr">
        <is>
          <t>AFO-OV2</t>
        </is>
      </c>
      <c r="B41" s="260" t="inlineStr">
        <is>
          <t>-</t>
        </is>
      </c>
      <c r="J41" s="260" t="inlineStr">
        <is>
          <t>CMA-19</t>
        </is>
      </c>
      <c r="K41" s="10" t="inlineStr">
        <is>
          <t>Trimestral</t>
        </is>
      </c>
    </row>
    <row r="42">
      <c r="A42" s="260" t="inlineStr">
        <is>
          <t>AFO-RF1</t>
        </is>
      </c>
      <c r="B42" s="260" t="inlineStr">
        <is>
          <t>-</t>
        </is>
      </c>
      <c r="J42" s="260" t="inlineStr">
        <is>
          <t>CMA-20</t>
        </is>
      </c>
      <c r="K42" s="10" t="inlineStr">
        <is>
          <t>Trimestral</t>
        </is>
      </c>
    </row>
    <row r="43">
      <c r="A43" s="260" t="inlineStr">
        <is>
          <t>AFO-SA1</t>
        </is>
      </c>
      <c r="B43" s="260" t="inlineStr">
        <is>
          <t>-</t>
        </is>
      </c>
      <c r="J43" s="260" t="inlineStr">
        <is>
          <t>CMA-21</t>
        </is>
      </c>
      <c r="K43" s="10" t="inlineStr">
        <is>
          <t>Trimestral</t>
        </is>
      </c>
    </row>
    <row r="44">
      <c r="A44" s="260" t="inlineStr">
        <is>
          <t>AFO-SD2</t>
        </is>
      </c>
      <c r="B44" s="260" t="inlineStr">
        <is>
          <t>-</t>
        </is>
      </c>
      <c r="J44" s="260" t="inlineStr">
        <is>
          <t>CMA-22</t>
        </is>
      </c>
      <c r="K44" s="10" t="inlineStr">
        <is>
          <t>Trimestral</t>
        </is>
      </c>
    </row>
    <row r="45">
      <c r="A45" s="260" t="inlineStr">
        <is>
          <t>AFO-SN1</t>
        </is>
      </c>
      <c r="B45" s="260" t="inlineStr">
        <is>
          <t>-</t>
        </is>
      </c>
      <c r="J45" s="260" t="inlineStr">
        <is>
          <t>CMA-23</t>
        </is>
      </c>
      <c r="K45" s="10" t="inlineStr">
        <is>
          <t>Trimestral</t>
        </is>
      </c>
    </row>
    <row r="46">
      <c r="A46" s="260" t="inlineStr">
        <is>
          <t>AFO-ZE1</t>
        </is>
      </c>
      <c r="B46" s="260" t="inlineStr">
        <is>
          <t>-</t>
        </is>
      </c>
      <c r="J46" s="260" t="inlineStr">
        <is>
          <t>CMA-24</t>
        </is>
      </c>
      <c r="K46" s="10" t="inlineStr">
        <is>
          <t>Trimestral</t>
        </is>
      </c>
    </row>
    <row r="47">
      <c r="A47" s="260" t="inlineStr">
        <is>
          <t>AR-256</t>
        </is>
      </c>
      <c r="B47" s="260" t="inlineStr">
        <is>
          <t>Bimestral</t>
        </is>
      </c>
      <c r="J47" s="260" t="inlineStr">
        <is>
          <t>CMA-25</t>
        </is>
      </c>
      <c r="K47" s="10" t="inlineStr">
        <is>
          <t>Trimestral</t>
        </is>
      </c>
    </row>
    <row r="48">
      <c r="A48" s="260" t="inlineStr">
        <is>
          <t>ARR-01</t>
        </is>
      </c>
      <c r="B48" s="260" t="inlineStr">
        <is>
          <t>-</t>
        </is>
      </c>
      <c r="J48" s="260" t="inlineStr">
        <is>
          <t>CMA-26</t>
        </is>
      </c>
      <c r="K48" s="10" t="inlineStr">
        <is>
          <t>Trimestral</t>
        </is>
      </c>
    </row>
    <row r="49">
      <c r="A49" s="260" t="inlineStr">
        <is>
          <t>AU-02</t>
        </is>
      </c>
      <c r="B49" s="260" t="inlineStr">
        <is>
          <t>Mensual</t>
        </is>
      </c>
      <c r="J49" s="260" t="inlineStr">
        <is>
          <t>CMA-27</t>
        </is>
      </c>
      <c r="K49" s="10" t="inlineStr">
        <is>
          <t>Trimestral</t>
        </is>
      </c>
    </row>
    <row r="50">
      <c r="A50" s="260" t="inlineStr">
        <is>
          <t>AU-02A</t>
        </is>
      </c>
      <c r="B50" s="260" t="inlineStr">
        <is>
          <t>Mensual</t>
        </is>
      </c>
      <c r="J50" s="260" t="inlineStr">
        <is>
          <t>CMA-28</t>
        </is>
      </c>
      <c r="K50" s="10" t="inlineStr">
        <is>
          <t>Trimestral</t>
        </is>
      </c>
    </row>
    <row r="51">
      <c r="A51" s="260" t="inlineStr">
        <is>
          <t>AU-05</t>
        </is>
      </c>
      <c r="B51" s="260" t="inlineStr">
        <is>
          <t>Mensual</t>
        </is>
      </c>
      <c r="J51" s="260" t="inlineStr">
        <is>
          <t>CP-02-C</t>
        </is>
      </c>
      <c r="K51" s="10" t="inlineStr">
        <is>
          <t>Semestral</t>
        </is>
      </c>
    </row>
    <row r="52">
      <c r="A52" s="260" t="inlineStr">
        <is>
          <t>BCC</t>
        </is>
      </c>
      <c r="B52" s="260" t="inlineStr">
        <is>
          <t>-</t>
        </is>
      </c>
      <c r="J52" s="260" t="inlineStr">
        <is>
          <t>CP-10-B</t>
        </is>
      </c>
      <c r="K52" s="10" t="inlineStr">
        <is>
          <t>Semestral</t>
        </is>
      </c>
    </row>
    <row r="53">
      <c r="A53" s="260" t="inlineStr">
        <is>
          <t>BCON</t>
        </is>
      </c>
      <c r="B53" s="260" t="inlineStr">
        <is>
          <t>-</t>
        </is>
      </c>
      <c r="J53" s="260" t="inlineStr">
        <is>
          <t>CP-13-A</t>
        </is>
      </c>
      <c r="K53" s="10" t="inlineStr">
        <is>
          <t>Semestral</t>
        </is>
      </c>
    </row>
    <row r="54">
      <c r="A54" s="260" t="inlineStr">
        <is>
          <t>BGSO</t>
        </is>
      </c>
      <c r="B54" s="260" t="inlineStr">
        <is>
          <t>-</t>
        </is>
      </c>
      <c r="J54" s="260" t="inlineStr">
        <is>
          <t>CPC</t>
        </is>
      </c>
      <c r="K54" s="10" t="inlineStr">
        <is>
          <t>Mensual (Se realiza quincenal) - Diario</t>
        </is>
      </c>
    </row>
    <row r="55">
      <c r="A55" s="260" t="inlineStr">
        <is>
          <t>BOR</t>
        </is>
      </c>
      <c r="B55" s="260" t="inlineStr">
        <is>
          <t>-</t>
        </is>
      </c>
      <c r="J55" s="260" t="inlineStr">
        <is>
          <t>CPMA-01</t>
        </is>
      </c>
      <c r="K55" s="10" t="inlineStr">
        <is>
          <t>Mensual</t>
        </is>
      </c>
    </row>
    <row r="56">
      <c r="A56" s="260" t="inlineStr">
        <is>
          <t>Botadero Sur</t>
        </is>
      </c>
      <c r="B56" s="260" t="inlineStr">
        <is>
          <t>-</t>
        </is>
      </c>
      <c r="J56" s="260" t="inlineStr">
        <is>
          <t>CPMA-02</t>
        </is>
      </c>
      <c r="K56" s="10" t="inlineStr">
        <is>
          <t>Mensual</t>
        </is>
      </c>
    </row>
    <row r="57">
      <c r="A57" s="260" t="inlineStr">
        <is>
          <t>BPCR</t>
        </is>
      </c>
      <c r="B57" s="260" t="inlineStr">
        <is>
          <t>-</t>
        </is>
      </c>
      <c r="J57" s="260" t="inlineStr">
        <is>
          <t>CPPCHE</t>
        </is>
      </c>
      <c r="K57" s="10" t="inlineStr">
        <is>
          <t>Mensual (Se realiza quincenal)</t>
        </is>
      </c>
    </row>
    <row r="58">
      <c r="A58" s="260" t="inlineStr">
        <is>
          <t>C-1000</t>
        </is>
      </c>
      <c r="B58" s="260" t="inlineStr">
        <is>
          <t>-</t>
        </is>
      </c>
      <c r="J58" s="260" t="inlineStr">
        <is>
          <t>CSW-02</t>
        </is>
      </c>
      <c r="K58" s="10" t="inlineStr">
        <is>
          <t>Mensual</t>
        </is>
      </c>
    </row>
    <row r="59">
      <c r="A59" s="260" t="inlineStr">
        <is>
          <t>C-263</t>
        </is>
      </c>
      <c r="B59" s="260" t="inlineStr">
        <is>
          <t>Mensual</t>
        </is>
      </c>
      <c r="J59" s="260" t="inlineStr">
        <is>
          <t>CSW-05</t>
        </is>
      </c>
      <c r="K59" s="10" t="inlineStr">
        <is>
          <t>Mensual</t>
        </is>
      </c>
    </row>
    <row r="60">
      <c r="A60" s="260" t="inlineStr">
        <is>
          <t>C-460</t>
        </is>
      </c>
      <c r="B60" s="260" t="inlineStr">
        <is>
          <t>-</t>
        </is>
      </c>
      <c r="J60" s="260" t="inlineStr">
        <is>
          <t>CWE-01</t>
        </is>
      </c>
      <c r="K60" s="10" t="inlineStr">
        <is>
          <t>Trimestral</t>
        </is>
      </c>
    </row>
    <row r="61">
      <c r="A61" s="260" t="inlineStr">
        <is>
          <t>Canaleta DR</t>
        </is>
      </c>
      <c r="B61" s="260" t="inlineStr">
        <is>
          <t>-</t>
        </is>
      </c>
      <c r="J61" s="260" t="inlineStr">
        <is>
          <t>CWE-02A</t>
        </is>
      </c>
      <c r="K61" s="10" t="inlineStr">
        <is>
          <t>Trimestral</t>
        </is>
      </c>
    </row>
    <row r="62">
      <c r="A62" s="260" t="inlineStr">
        <is>
          <t>Captación Agua de mar</t>
        </is>
      </c>
      <c r="B62" s="260" t="inlineStr">
        <is>
          <t>-</t>
        </is>
      </c>
      <c r="J62" s="260" t="inlineStr">
        <is>
          <t>CWE-06</t>
        </is>
      </c>
      <c r="K62" s="10" t="inlineStr">
        <is>
          <t>Trimestral</t>
        </is>
      </c>
    </row>
    <row r="63">
      <c r="A63" s="260" t="inlineStr">
        <is>
          <t>CCD</t>
        </is>
      </c>
      <c r="B63" s="260" t="inlineStr">
        <is>
          <t>-</t>
        </is>
      </c>
      <c r="J63" s="260" t="inlineStr">
        <is>
          <t>CWE-07</t>
        </is>
      </c>
      <c r="K63" s="10" t="inlineStr">
        <is>
          <t>Trimestral</t>
        </is>
      </c>
    </row>
    <row r="64">
      <c r="A64" s="260" t="inlineStr">
        <is>
          <t>Ceusis</t>
        </is>
      </c>
      <c r="B64" s="260" t="inlineStr">
        <is>
          <t>-</t>
        </is>
      </c>
      <c r="J64" s="260" t="inlineStr">
        <is>
          <t>CWE-08</t>
        </is>
      </c>
      <c r="K64" s="10" t="inlineStr">
        <is>
          <t>Trimestral</t>
        </is>
      </c>
    </row>
    <row r="65">
      <c r="A65" s="260" t="inlineStr">
        <is>
          <t>CGP</t>
        </is>
      </c>
      <c r="B65" s="260" t="inlineStr">
        <is>
          <t>-</t>
        </is>
      </c>
      <c r="J65" s="260" t="inlineStr">
        <is>
          <t>CWE-09B</t>
        </is>
      </c>
      <c r="K65" s="10" t="inlineStr">
        <is>
          <t>Trimestral</t>
        </is>
      </c>
    </row>
    <row r="66">
      <c r="A66" s="260" t="inlineStr">
        <is>
          <t>Chiclla</t>
        </is>
      </c>
      <c r="B66" s="260" t="inlineStr">
        <is>
          <t>-</t>
        </is>
      </c>
      <c r="J66" s="260" t="inlineStr">
        <is>
          <t>CWE-12</t>
        </is>
      </c>
      <c r="K66" s="10" t="inlineStr">
        <is>
          <t>Trimestral</t>
        </is>
      </c>
    </row>
    <row r="67">
      <c r="A67" s="260" t="inlineStr">
        <is>
          <t>CMA-01A</t>
        </is>
      </c>
      <c r="B67" s="260" t="inlineStr">
        <is>
          <t>Mensual</t>
        </is>
      </c>
      <c r="J67" s="260" t="inlineStr">
        <is>
          <t>CWE-19</t>
        </is>
      </c>
      <c r="K67" s="10" t="inlineStr">
        <is>
          <t>Trimestral</t>
        </is>
      </c>
    </row>
    <row r="68">
      <c r="A68" s="260" t="inlineStr">
        <is>
          <t>CMA-01B</t>
        </is>
      </c>
      <c r="B68" s="260" t="inlineStr">
        <is>
          <t>Mensual</t>
        </is>
      </c>
      <c r="J68" s="260" t="inlineStr">
        <is>
          <t>CWE-34</t>
        </is>
      </c>
      <c r="K68" s="10" t="inlineStr">
        <is>
          <t>Trimestral</t>
        </is>
      </c>
    </row>
    <row r="69">
      <c r="A69" s="260" t="inlineStr">
        <is>
          <t>CMA-02</t>
        </is>
      </c>
      <c r="B69" s="260" t="inlineStr">
        <is>
          <t>Mensual</t>
        </is>
      </c>
      <c r="J69" s="260" t="inlineStr">
        <is>
          <t>CWE-35</t>
        </is>
      </c>
      <c r="K69" s="10" t="inlineStr">
        <is>
          <t>Trimestral</t>
        </is>
      </c>
    </row>
    <row r="70">
      <c r="A70" s="260" t="inlineStr">
        <is>
          <t>CMA-03</t>
        </is>
      </c>
      <c r="B70" s="260" t="inlineStr">
        <is>
          <t>Mensual</t>
        </is>
      </c>
      <c r="J70" s="260" t="inlineStr">
        <is>
          <t>CWE-38</t>
        </is>
      </c>
      <c r="K70" s="10" t="inlineStr">
        <is>
          <t>Trimestral</t>
        </is>
      </c>
    </row>
    <row r="71">
      <c r="A71" s="260" t="inlineStr">
        <is>
          <t>CMA-04</t>
        </is>
      </c>
      <c r="B71" s="260" t="inlineStr">
        <is>
          <t>Mensual</t>
        </is>
      </c>
      <c r="J71" s="260" t="inlineStr">
        <is>
          <t>CWP-14</t>
        </is>
      </c>
      <c r="K71" s="10" t="inlineStr">
        <is>
          <t>Trimestral</t>
        </is>
      </c>
    </row>
    <row r="72">
      <c r="A72" s="260" t="inlineStr">
        <is>
          <t>CMA-05</t>
        </is>
      </c>
      <c r="B72" s="260" t="inlineStr">
        <is>
          <t>Mensual</t>
        </is>
      </c>
      <c r="J72" s="260" t="inlineStr">
        <is>
          <t>Dique Huinquintipa</t>
        </is>
      </c>
      <c r="K72" s="10" t="inlineStr">
        <is>
          <t>Semanal</t>
        </is>
      </c>
    </row>
    <row r="73">
      <c r="A73" s="260" t="inlineStr">
        <is>
          <t>CMA-06</t>
        </is>
      </c>
      <c r="B73" s="260" t="inlineStr">
        <is>
          <t>Mensual</t>
        </is>
      </c>
      <c r="J73" s="260" t="inlineStr">
        <is>
          <t>Dique San Daniel</t>
        </is>
      </c>
      <c r="K73" s="10" t="inlineStr">
        <is>
          <t>Semanal</t>
        </is>
      </c>
    </row>
    <row r="74">
      <c r="A74" s="260" t="inlineStr">
        <is>
          <t>CMA-07</t>
        </is>
      </c>
      <c r="B74" s="260" t="inlineStr">
        <is>
          <t>Mensual</t>
        </is>
      </c>
      <c r="J74" s="260" t="inlineStr">
        <is>
          <t>DU-01</t>
        </is>
      </c>
      <c r="K74" s="10" t="inlineStr">
        <is>
          <t>Trimestral</t>
        </is>
      </c>
    </row>
    <row r="75">
      <c r="A75" s="260" t="inlineStr">
        <is>
          <t>CMA-08</t>
        </is>
      </c>
      <c r="B75" s="260" t="inlineStr">
        <is>
          <t>Mensual</t>
        </is>
      </c>
      <c r="J75" s="260" t="inlineStr">
        <is>
          <t>Efluente desaladora</t>
        </is>
      </c>
      <c r="K75" s="10" t="inlineStr">
        <is>
          <t>Semanal</t>
        </is>
      </c>
    </row>
    <row r="76">
      <c r="A76" s="260" t="inlineStr">
        <is>
          <t>CMA-09</t>
        </is>
      </c>
      <c r="B76" s="260" t="inlineStr">
        <is>
          <t>Mensual</t>
        </is>
      </c>
      <c r="J76" s="260" t="inlineStr">
        <is>
          <t>Estación 1</t>
        </is>
      </c>
      <c r="K76" s="10" t="inlineStr">
        <is>
          <t>Mensual</t>
        </is>
      </c>
    </row>
    <row r="77">
      <c r="A77" s="260" t="inlineStr">
        <is>
          <t>CMA-10</t>
        </is>
      </c>
      <c r="B77" s="260" t="inlineStr">
        <is>
          <t>Mensual</t>
        </is>
      </c>
      <c r="J77" s="260" t="inlineStr">
        <is>
          <t>Estación 2</t>
        </is>
      </c>
      <c r="K77" s="10" t="inlineStr">
        <is>
          <t>Mensual</t>
        </is>
      </c>
    </row>
    <row r="78">
      <c r="A78" s="260" t="inlineStr">
        <is>
          <t>CMA-11</t>
        </is>
      </c>
      <c r="B78" s="260" t="inlineStr">
        <is>
          <t>Mensual</t>
        </is>
      </c>
      <c r="J78" s="260" t="inlineStr">
        <is>
          <t>Estación 3</t>
        </is>
      </c>
      <c r="K78" s="10" t="inlineStr">
        <is>
          <t>Trimestral</t>
        </is>
      </c>
    </row>
    <row r="79">
      <c r="A79" s="260" t="inlineStr">
        <is>
          <t>CMA-12</t>
        </is>
      </c>
      <c r="B79" s="260" t="inlineStr">
        <is>
          <t>Mensual</t>
        </is>
      </c>
      <c r="J79" s="260" t="inlineStr">
        <is>
          <t>Estanque recolección abastecimiento medida reposición MM1</t>
        </is>
      </c>
      <c r="K79" s="10" t="inlineStr">
        <is>
          <t>Mensual</t>
        </is>
      </c>
    </row>
    <row r="80">
      <c r="A80" s="260" t="inlineStr">
        <is>
          <t>CMA-13</t>
        </is>
      </c>
      <c r="B80" s="260" t="inlineStr">
        <is>
          <t>Mensual</t>
        </is>
      </c>
      <c r="J80" s="260" t="inlineStr">
        <is>
          <t>FAD</t>
        </is>
      </c>
      <c r="K80" s="10" t="inlineStr">
        <is>
          <t>Mensual</t>
        </is>
      </c>
    </row>
    <row r="81">
      <c r="A81" s="260" t="inlineStr">
        <is>
          <t>CMA-14</t>
        </is>
      </c>
      <c r="B81" s="260" t="inlineStr">
        <is>
          <t>Mensual</t>
        </is>
      </c>
      <c r="J81" s="260" t="inlineStr">
        <is>
          <t>HTC-1</t>
        </is>
      </c>
      <c r="K81" s="10" t="inlineStr">
        <is>
          <t>Trimestral</t>
        </is>
      </c>
    </row>
    <row r="82">
      <c r="A82" s="260" t="inlineStr">
        <is>
          <t>CMA-15</t>
        </is>
      </c>
      <c r="B82" s="260" t="inlineStr">
        <is>
          <t>Mensual</t>
        </is>
      </c>
      <c r="J82" s="260" t="inlineStr">
        <is>
          <t>HTC-3</t>
        </is>
      </c>
      <c r="K82" s="10" t="inlineStr">
        <is>
          <t>Trimestral</t>
        </is>
      </c>
    </row>
    <row r="83">
      <c r="A83" s="260" t="inlineStr">
        <is>
          <t>CMA-16</t>
        </is>
      </c>
      <c r="B83" s="260" t="inlineStr">
        <is>
          <t>Mensual</t>
        </is>
      </c>
      <c r="J83" s="260" t="inlineStr">
        <is>
          <t>HTC-4A</t>
        </is>
      </c>
      <c r="K83" s="10" t="inlineStr">
        <is>
          <t>Trimestral</t>
        </is>
      </c>
    </row>
    <row r="84">
      <c r="A84" s="260" t="inlineStr">
        <is>
          <t>CMA-17</t>
        </is>
      </c>
      <c r="B84" s="260" t="inlineStr">
        <is>
          <t>Mensual</t>
        </is>
      </c>
      <c r="J84" s="260" t="inlineStr">
        <is>
          <t>JCC-04</t>
        </is>
      </c>
      <c r="K84" s="10" t="inlineStr">
        <is>
          <t>Mensual</t>
        </is>
      </c>
    </row>
    <row r="85">
      <c r="A85" s="260" t="inlineStr">
        <is>
          <t>CMA-18</t>
        </is>
      </c>
      <c r="B85" s="260" t="inlineStr">
        <is>
          <t>Mensual</t>
        </is>
      </c>
      <c r="J85" s="260" t="inlineStr">
        <is>
          <t>JCC-05</t>
        </is>
      </c>
      <c r="K85" s="10" t="inlineStr">
        <is>
          <t>Mensual</t>
        </is>
      </c>
    </row>
    <row r="86">
      <c r="A86" s="260" t="inlineStr">
        <is>
          <t>CMA-19</t>
        </is>
      </c>
      <c r="B86" s="260" t="inlineStr">
        <is>
          <t>Mensual</t>
        </is>
      </c>
      <c r="J86" s="260" t="inlineStr">
        <is>
          <t>LPDC-01</t>
        </is>
      </c>
      <c r="K86" s="10" t="inlineStr">
        <is>
          <t>Mensual</t>
        </is>
      </c>
    </row>
    <row r="87">
      <c r="A87" s="260" t="inlineStr">
        <is>
          <t>CMA-20</t>
        </is>
      </c>
      <c r="B87" s="260" t="inlineStr">
        <is>
          <t>Mensual</t>
        </is>
      </c>
      <c r="J87" s="260" t="inlineStr">
        <is>
          <t>LPDC-02</t>
        </is>
      </c>
      <c r="K87" s="10" t="inlineStr">
        <is>
          <t>Mensual</t>
        </is>
      </c>
    </row>
    <row r="88">
      <c r="A88" s="260" t="inlineStr">
        <is>
          <t>CMA-21</t>
        </is>
      </c>
      <c r="B88" s="260" t="inlineStr">
        <is>
          <t>Mensual</t>
        </is>
      </c>
      <c r="J88" s="260" t="inlineStr">
        <is>
          <t>LPDC-03</t>
        </is>
      </c>
      <c r="K88" s="10" t="inlineStr">
        <is>
          <t>Mensual</t>
        </is>
      </c>
    </row>
    <row r="89">
      <c r="A89" s="260" t="inlineStr">
        <is>
          <t>CMA-22</t>
        </is>
      </c>
      <c r="B89" s="260" t="inlineStr">
        <is>
          <t>Mensual</t>
        </is>
      </c>
      <c r="J89" s="260" t="inlineStr">
        <is>
          <t>LPDC-04</t>
        </is>
      </c>
      <c r="K89" s="10" t="inlineStr">
        <is>
          <t>Mensual</t>
        </is>
      </c>
    </row>
    <row r="90">
      <c r="A90" s="260" t="inlineStr">
        <is>
          <t>CMA-23</t>
        </is>
      </c>
      <c r="B90" s="260" t="inlineStr">
        <is>
          <t>Mensual</t>
        </is>
      </c>
      <c r="J90" s="260" t="inlineStr">
        <is>
          <t>LPDC-05</t>
        </is>
      </c>
      <c r="K90" s="10" t="inlineStr">
        <is>
          <t>Mensual</t>
        </is>
      </c>
    </row>
    <row r="91">
      <c r="A91" s="260" t="inlineStr">
        <is>
          <t>CMA-24</t>
        </is>
      </c>
      <c r="B91" s="260" t="inlineStr">
        <is>
          <t>Mensual</t>
        </is>
      </c>
      <c r="J91" s="260" t="inlineStr">
        <is>
          <t>LPDC-06</t>
        </is>
      </c>
      <c r="K91" s="10" t="inlineStr">
        <is>
          <t>Mensual</t>
        </is>
      </c>
    </row>
    <row r="92">
      <c r="A92" s="260" t="inlineStr">
        <is>
          <t>CMA-25</t>
        </is>
      </c>
      <c r="B92" s="260" t="inlineStr">
        <is>
          <t>Mensual</t>
        </is>
      </c>
      <c r="J92" s="260" t="inlineStr">
        <is>
          <t>LPDC-07</t>
        </is>
      </c>
      <c r="K92" s="10" t="inlineStr">
        <is>
          <t>Mensual</t>
        </is>
      </c>
    </row>
    <row r="93">
      <c r="A93" s="260" t="inlineStr">
        <is>
          <t>CMA-26</t>
        </is>
      </c>
      <c r="B93" s="260" t="inlineStr">
        <is>
          <t>Mensual</t>
        </is>
      </c>
      <c r="J93" s="260" t="inlineStr">
        <is>
          <t>LPDC-08</t>
        </is>
      </c>
      <c r="K93" s="10" t="inlineStr">
        <is>
          <t>Mensual</t>
        </is>
      </c>
    </row>
    <row r="94">
      <c r="A94" s="260" t="inlineStr">
        <is>
          <t>CMA-27</t>
        </is>
      </c>
      <c r="B94" s="260" t="inlineStr">
        <is>
          <t>Mensual</t>
        </is>
      </c>
      <c r="J94" s="260" t="inlineStr">
        <is>
          <t>LPDC-09</t>
        </is>
      </c>
      <c r="K94" s="10" t="inlineStr">
        <is>
          <t>Mensual</t>
        </is>
      </c>
    </row>
    <row r="95">
      <c r="A95" s="260" t="inlineStr">
        <is>
          <t>CMA-28</t>
        </is>
      </c>
      <c r="B95" s="260" t="inlineStr">
        <is>
          <t>Mensual</t>
        </is>
      </c>
      <c r="J95" s="260" t="inlineStr">
        <is>
          <t>LPDC-10</t>
        </is>
      </c>
      <c r="K95" s="10" t="inlineStr">
        <is>
          <t>Mensual</t>
        </is>
      </c>
    </row>
    <row r="96">
      <c r="A96" s="260" t="inlineStr">
        <is>
          <t>CMW-01</t>
        </is>
      </c>
      <c r="B96" s="260" t="inlineStr">
        <is>
          <t>Mensual</t>
        </is>
      </c>
      <c r="J96" s="260" t="inlineStr">
        <is>
          <t>LPDC-11</t>
        </is>
      </c>
      <c r="K96" s="10" t="inlineStr">
        <is>
          <t>Mensual</t>
        </is>
      </c>
    </row>
    <row r="97">
      <c r="A97" s="260" t="inlineStr">
        <is>
          <t>CMW-02</t>
        </is>
      </c>
      <c r="B97" s="260" t="inlineStr">
        <is>
          <t>Mensual</t>
        </is>
      </c>
      <c r="J97" s="260" t="inlineStr">
        <is>
          <t>M-04C</t>
        </is>
      </c>
      <c r="K97" s="10" t="inlineStr">
        <is>
          <t>Mensual</t>
        </is>
      </c>
    </row>
    <row r="98">
      <c r="A98" s="260" t="inlineStr">
        <is>
          <t>CMW-03</t>
        </is>
      </c>
      <c r="B98" s="260" t="inlineStr">
        <is>
          <t>Mensual</t>
        </is>
      </c>
      <c r="J98" s="260" t="inlineStr">
        <is>
          <t>M-05</t>
        </is>
      </c>
      <c r="K98" s="10" t="inlineStr">
        <is>
          <t>Mensual</t>
        </is>
      </c>
    </row>
    <row r="99">
      <c r="A99" s="260" t="inlineStr">
        <is>
          <t>CMW-04</t>
        </is>
      </c>
      <c r="B99" s="260" t="inlineStr">
        <is>
          <t>Mensual</t>
        </is>
      </c>
      <c r="J99" s="260" t="inlineStr">
        <is>
          <t>M-12</t>
        </is>
      </c>
      <c r="K99" s="10" t="inlineStr">
        <is>
          <t>Trimestral</t>
        </is>
      </c>
    </row>
    <row r="100">
      <c r="A100" s="260" t="inlineStr">
        <is>
          <t>CMW-05B</t>
        </is>
      </c>
      <c r="B100" s="260" t="inlineStr">
        <is>
          <t>Mensual</t>
        </is>
      </c>
      <c r="J100" s="260" t="inlineStr">
        <is>
          <t>M-13</t>
        </is>
      </c>
      <c r="K100" s="10" t="inlineStr">
        <is>
          <t>Mensual</t>
        </is>
      </c>
    </row>
    <row r="101">
      <c r="A101" s="260" t="inlineStr">
        <is>
          <t>CMW-06</t>
        </is>
      </c>
      <c r="B101" s="260" t="inlineStr">
        <is>
          <t>Bimestral</t>
        </is>
      </c>
      <c r="J101" s="260" t="inlineStr">
        <is>
          <t>M-16</t>
        </is>
      </c>
      <c r="K101" s="10" t="inlineStr">
        <is>
          <t>Trimestral</t>
        </is>
      </c>
    </row>
    <row r="102">
      <c r="A102" s="260" t="inlineStr">
        <is>
          <t>CMW-07</t>
        </is>
      </c>
      <c r="B102" s="260" t="inlineStr">
        <is>
          <t>Mensual</t>
        </is>
      </c>
      <c r="J102" s="260" t="inlineStr">
        <is>
          <t>M-17</t>
        </is>
      </c>
      <c r="K102" s="10" t="inlineStr">
        <is>
          <t>Trimestral</t>
        </is>
      </c>
    </row>
    <row r="103">
      <c r="A103" s="260" t="inlineStr">
        <is>
          <t>CMW-08</t>
        </is>
      </c>
      <c r="B103" s="260" t="inlineStr">
        <is>
          <t>Mensual</t>
        </is>
      </c>
      <c r="J103" s="260" t="inlineStr">
        <is>
          <t>M-18</t>
        </is>
      </c>
      <c r="K103" s="10" t="inlineStr">
        <is>
          <t>Mensual</t>
        </is>
      </c>
    </row>
    <row r="104">
      <c r="A104" s="260" t="inlineStr">
        <is>
          <t>CMW-09</t>
        </is>
      </c>
      <c r="B104" s="260" t="inlineStr">
        <is>
          <t>Mensual</t>
        </is>
      </c>
      <c r="J104" s="260" t="inlineStr">
        <is>
          <t>M-27</t>
        </is>
      </c>
      <c r="K104" s="10" t="inlineStr">
        <is>
          <t>Mensual</t>
        </is>
      </c>
    </row>
    <row r="105">
      <c r="A105" s="260" t="inlineStr">
        <is>
          <t>CMW-10</t>
        </is>
      </c>
      <c r="B105" s="260" t="inlineStr">
        <is>
          <t>Mensual</t>
        </is>
      </c>
      <c r="J105" s="260" t="inlineStr">
        <is>
          <t>MA-01</t>
        </is>
      </c>
      <c r="K105" s="10" t="inlineStr">
        <is>
          <t>Trimestral</t>
        </is>
      </c>
    </row>
    <row r="106">
      <c r="A106" s="260" t="inlineStr">
        <is>
          <t>CMW-11</t>
        </is>
      </c>
      <c r="B106" s="260" t="inlineStr">
        <is>
          <t>Mensual</t>
        </is>
      </c>
      <c r="J106" s="260" t="inlineStr">
        <is>
          <t>MA-02C</t>
        </is>
      </c>
      <c r="K106" s="10" t="inlineStr">
        <is>
          <t>Bimestral - Trimestral</t>
        </is>
      </c>
    </row>
    <row r="107">
      <c r="A107" s="260" t="inlineStr">
        <is>
          <t>CMW-12</t>
        </is>
      </c>
      <c r="B107" s="260" t="inlineStr">
        <is>
          <t>Mensual</t>
        </is>
      </c>
      <c r="J107" s="260" t="inlineStr">
        <is>
          <t>MA-03A</t>
        </is>
      </c>
      <c r="K107" s="10" t="inlineStr">
        <is>
          <t>Trimestral</t>
        </is>
      </c>
    </row>
    <row r="108">
      <c r="A108" s="260" t="inlineStr">
        <is>
          <t>CMW-13</t>
        </is>
      </c>
      <c r="B108" s="260" t="inlineStr">
        <is>
          <t>Mensual</t>
        </is>
      </c>
      <c r="J108" s="260" t="inlineStr">
        <is>
          <t>MA-08</t>
        </is>
      </c>
      <c r="K108" s="10" t="inlineStr">
        <is>
          <t>Trimestral</t>
        </is>
      </c>
    </row>
    <row r="109">
      <c r="A109" s="260" t="inlineStr">
        <is>
          <t>CMW-13B</t>
        </is>
      </c>
      <c r="B109" s="260" t="inlineStr">
        <is>
          <t>Bimestral</t>
        </is>
      </c>
      <c r="J109" s="260" t="inlineStr">
        <is>
          <t>MA-09B</t>
        </is>
      </c>
      <c r="K109" s="10" t="inlineStr">
        <is>
          <t>Trimestral</t>
        </is>
      </c>
    </row>
    <row r="110">
      <c r="A110" s="260" t="inlineStr">
        <is>
          <t>CMW-14</t>
        </is>
      </c>
      <c r="B110" s="260" t="inlineStr">
        <is>
          <t>Mensual</t>
        </is>
      </c>
      <c r="J110" s="260" t="inlineStr">
        <is>
          <t>MAH-01</t>
        </is>
      </c>
      <c r="K110" s="10" t="inlineStr">
        <is>
          <t>Trimestral</t>
        </is>
      </c>
    </row>
    <row r="111">
      <c r="A111" s="260" t="inlineStr">
        <is>
          <t>CMW-15</t>
        </is>
      </c>
      <c r="B111" s="260" t="inlineStr">
        <is>
          <t>Mensual</t>
        </is>
      </c>
      <c r="J111" s="260" t="inlineStr">
        <is>
          <t>MAU-01B</t>
        </is>
      </c>
      <c r="K111" s="10" t="inlineStr">
        <is>
          <t>Trimestral</t>
        </is>
      </c>
    </row>
    <row r="112">
      <c r="A112" s="260" t="inlineStr">
        <is>
          <t>CMW-16</t>
        </is>
      </c>
      <c r="B112" s="260" t="inlineStr">
        <is>
          <t>Mensual</t>
        </is>
      </c>
      <c r="J112" s="260" t="inlineStr">
        <is>
          <t>MAU-02</t>
        </is>
      </c>
      <c r="K112" s="10" t="inlineStr">
        <is>
          <t>Trimestral</t>
        </is>
      </c>
    </row>
    <row r="113">
      <c r="A113" s="260" t="inlineStr">
        <is>
          <t>CMW-17B</t>
        </is>
      </c>
      <c r="B113" s="260" t="inlineStr">
        <is>
          <t>Mensual</t>
        </is>
      </c>
      <c r="J113" s="260" t="inlineStr">
        <is>
          <t>MAU-03B</t>
        </is>
      </c>
      <c r="K113" s="10" t="inlineStr">
        <is>
          <t>Mensual</t>
        </is>
      </c>
    </row>
    <row r="114">
      <c r="A114" s="260" t="inlineStr">
        <is>
          <t>CMW-18</t>
        </is>
      </c>
      <c r="B114" s="260" t="inlineStr">
        <is>
          <t>Mensual</t>
        </is>
      </c>
      <c r="J114" s="260" t="inlineStr">
        <is>
          <t>MAU-05B</t>
        </is>
      </c>
      <c r="K114" s="10" t="inlineStr">
        <is>
          <t>Mensual</t>
        </is>
      </c>
    </row>
    <row r="115">
      <c r="A115" s="260" t="inlineStr">
        <is>
          <t>CMW-19</t>
        </is>
      </c>
      <c r="B115" s="260" t="inlineStr">
        <is>
          <t>Mensual</t>
        </is>
      </c>
      <c r="J115" s="260" t="inlineStr">
        <is>
          <t>MAU-07B</t>
        </is>
      </c>
      <c r="K115" s="10" t="inlineStr">
        <is>
          <t>Mensual</t>
        </is>
      </c>
    </row>
    <row r="116">
      <c r="A116" s="260" t="inlineStr">
        <is>
          <t>CMW-20</t>
        </is>
      </c>
      <c r="B116" s="260" t="inlineStr">
        <is>
          <t>Mensual</t>
        </is>
      </c>
      <c r="J116" s="260" t="inlineStr">
        <is>
          <t>MAU-08B</t>
        </is>
      </c>
      <c r="K116" s="10" t="inlineStr">
        <is>
          <t>Mensual</t>
        </is>
      </c>
    </row>
    <row r="117">
      <c r="A117" s="260" t="inlineStr">
        <is>
          <t>CMW-21</t>
        </is>
      </c>
      <c r="B117" s="260" t="inlineStr">
        <is>
          <t>Mensual</t>
        </is>
      </c>
      <c r="J117" s="260" t="inlineStr">
        <is>
          <t>MAU-10</t>
        </is>
      </c>
      <c r="K117" s="10" t="inlineStr">
        <is>
          <t>Mensual</t>
        </is>
      </c>
    </row>
    <row r="118">
      <c r="A118" s="260" t="inlineStr">
        <is>
          <t>CMW-22</t>
        </is>
      </c>
      <c r="B118" s="260" t="inlineStr">
        <is>
          <t>Mensual</t>
        </is>
      </c>
      <c r="J118" s="260" t="inlineStr">
        <is>
          <t>MAU-11B</t>
        </is>
      </c>
      <c r="K118" s="10" t="inlineStr">
        <is>
          <t>Mensual</t>
        </is>
      </c>
    </row>
    <row r="119">
      <c r="A119" s="260" t="inlineStr">
        <is>
          <t>CMW-23</t>
        </is>
      </c>
      <c r="B119" s="260" t="inlineStr">
        <is>
          <t>Mensual</t>
        </is>
      </c>
      <c r="J119" s="260" t="inlineStr">
        <is>
          <t>MAU-12</t>
        </is>
      </c>
      <c r="K119" s="10" t="inlineStr">
        <is>
          <t>Mensual</t>
        </is>
      </c>
    </row>
    <row r="120">
      <c r="A120" s="260" t="inlineStr">
        <is>
          <t>CMW-24</t>
        </is>
      </c>
      <c r="B120" s="260" t="inlineStr">
        <is>
          <t>Mensual</t>
        </is>
      </c>
      <c r="J120" s="260" t="inlineStr">
        <is>
          <t>MAU-13</t>
        </is>
      </c>
      <c r="K120" s="10" t="inlineStr">
        <is>
          <t>Mensual</t>
        </is>
      </c>
    </row>
    <row r="121">
      <c r="A121" s="260" t="inlineStr">
        <is>
          <t>CMW-25</t>
        </is>
      </c>
      <c r="B121" s="260" t="inlineStr">
        <is>
          <t>Mensual</t>
        </is>
      </c>
      <c r="J121" s="260" t="inlineStr">
        <is>
          <t>MAU-14</t>
        </is>
      </c>
      <c r="K121" s="10" t="inlineStr">
        <is>
          <t>Mensual</t>
        </is>
      </c>
    </row>
    <row r="122">
      <c r="A122" s="260" t="inlineStr">
        <is>
          <t>CMW-26</t>
        </is>
      </c>
      <c r="B122" s="260" t="inlineStr">
        <is>
          <t>Mensual</t>
        </is>
      </c>
      <c r="J122" s="260" t="inlineStr">
        <is>
          <t>MAU-15</t>
        </is>
      </c>
      <c r="K122" s="10" t="inlineStr">
        <is>
          <t>Mensual</t>
        </is>
      </c>
    </row>
    <row r="123">
      <c r="A123" s="260" t="inlineStr">
        <is>
          <t>CMW-27</t>
        </is>
      </c>
      <c r="B123" s="260" t="inlineStr">
        <is>
          <t>Mensual</t>
        </is>
      </c>
      <c r="J123" s="260" t="inlineStr">
        <is>
          <t>MAU-16</t>
        </is>
      </c>
      <c r="K123" s="10" t="inlineStr">
        <is>
          <t>Mensual</t>
        </is>
      </c>
    </row>
    <row r="124">
      <c r="A124" s="260" t="inlineStr">
        <is>
          <t>CMW-28B</t>
        </is>
      </c>
      <c r="B124" s="260" t="inlineStr">
        <is>
          <t>Mensual</t>
        </is>
      </c>
      <c r="J124" s="260" t="inlineStr">
        <is>
          <t>MIT-01B</t>
        </is>
      </c>
      <c r="K124" s="10" t="inlineStr">
        <is>
          <t>Mensual</t>
        </is>
      </c>
    </row>
    <row r="125">
      <c r="A125" s="260" t="inlineStr">
        <is>
          <t>CMW-29B</t>
        </is>
      </c>
      <c r="B125" s="260" t="inlineStr">
        <is>
          <t>Bimestral</t>
        </is>
      </c>
      <c r="J125" s="260" t="inlineStr">
        <is>
          <t>MIT-02B</t>
        </is>
      </c>
      <c r="K125" s="10" t="inlineStr">
        <is>
          <t>Mensual</t>
        </is>
      </c>
    </row>
    <row r="126">
      <c r="A126" s="260" t="inlineStr">
        <is>
          <t>CMW-30</t>
        </is>
      </c>
      <c r="B126" s="260" t="inlineStr">
        <is>
          <t>Mensual</t>
        </is>
      </c>
      <c r="J126" s="260" t="inlineStr">
        <is>
          <t>MIT-03</t>
        </is>
      </c>
      <c r="K126" s="10" t="inlineStr">
        <is>
          <t>Mensual</t>
        </is>
      </c>
    </row>
    <row r="127">
      <c r="A127" s="260" t="inlineStr">
        <is>
          <t>CMW-31</t>
        </is>
      </c>
      <c r="B127" s="260" t="inlineStr">
        <is>
          <t>Mensual</t>
        </is>
      </c>
      <c r="J127" s="260" t="inlineStr">
        <is>
          <t>MMA-01</t>
        </is>
      </c>
      <c r="K127" s="10" t="inlineStr">
        <is>
          <t>Mensual</t>
        </is>
      </c>
    </row>
    <row r="128">
      <c r="A128" s="260" t="inlineStr">
        <is>
          <t>CMW-32</t>
        </is>
      </c>
      <c r="B128" s="260" t="inlineStr">
        <is>
          <t>Bimestral</t>
        </is>
      </c>
      <c r="J128" s="260" t="inlineStr">
        <is>
          <t>MMA-02</t>
        </is>
      </c>
      <c r="K128" s="10" t="inlineStr">
        <is>
          <t>Mensual</t>
        </is>
      </c>
    </row>
    <row r="129">
      <c r="A129" s="260" t="inlineStr">
        <is>
          <t>CMW-33</t>
        </is>
      </c>
      <c r="B129" s="260" t="inlineStr">
        <is>
          <t>Bimestral</t>
        </is>
      </c>
      <c r="J129" s="260" t="inlineStr">
        <is>
          <t>MMA-03</t>
        </is>
      </c>
      <c r="K129" s="10" t="inlineStr">
        <is>
          <t>Mensual</t>
        </is>
      </c>
    </row>
    <row r="130">
      <c r="A130" s="260" t="inlineStr">
        <is>
          <t>CMW-34</t>
        </is>
      </c>
      <c r="B130" s="260" t="inlineStr">
        <is>
          <t>Mensual</t>
        </is>
      </c>
      <c r="J130" s="260" t="inlineStr">
        <is>
          <t>MMA-04</t>
        </is>
      </c>
      <c r="K130" s="10" t="inlineStr">
        <is>
          <t>Mensual</t>
        </is>
      </c>
    </row>
    <row r="131">
      <c r="A131" s="260" t="inlineStr">
        <is>
          <t>CMW-36</t>
        </is>
      </c>
      <c r="B131" s="260" t="inlineStr">
        <is>
          <t>Mensual</t>
        </is>
      </c>
      <c r="J131" s="260" t="inlineStr">
        <is>
          <t>MMA-05</t>
        </is>
      </c>
      <c r="K131" s="10" t="inlineStr">
        <is>
          <t>Mensual</t>
        </is>
      </c>
    </row>
    <row r="132">
      <c r="A132" s="260" t="inlineStr">
        <is>
          <t>CP-01-I</t>
        </is>
      </c>
      <c r="B132" s="260" t="inlineStr">
        <is>
          <t>Mensual</t>
        </is>
      </c>
      <c r="J132" s="260" t="inlineStr">
        <is>
          <t>MMA-06</t>
        </is>
      </c>
      <c r="K132" s="10" t="inlineStr">
        <is>
          <t>Mensual</t>
        </is>
      </c>
    </row>
    <row r="133">
      <c r="A133" s="260" t="inlineStr">
        <is>
          <t>CP-02-C</t>
        </is>
      </c>
      <c r="B133" s="260" t="inlineStr">
        <is>
          <t>Mensual</t>
        </is>
      </c>
      <c r="J133" s="260" t="inlineStr">
        <is>
          <t>MMA-07</t>
        </is>
      </c>
      <c r="K133" s="10" t="inlineStr">
        <is>
          <t>Mensual</t>
        </is>
      </c>
    </row>
    <row r="134">
      <c r="A134" s="260" t="inlineStr">
        <is>
          <t>CP-03-M</t>
        </is>
      </c>
      <c r="B134" s="260" t="inlineStr">
        <is>
          <t>Mensual</t>
        </is>
      </c>
      <c r="J134" s="260" t="inlineStr">
        <is>
          <t>MMA-08</t>
        </is>
      </c>
      <c r="K134" s="10" t="inlineStr">
        <is>
          <t>Mensual</t>
        </is>
      </c>
    </row>
    <row r="135">
      <c r="A135" s="260" t="inlineStr">
        <is>
          <t>CP-04-L</t>
        </is>
      </c>
      <c r="B135" s="260" t="inlineStr">
        <is>
          <t>Mensual</t>
        </is>
      </c>
      <c r="J135" s="260" t="inlineStr">
        <is>
          <t>MMA-09</t>
        </is>
      </c>
      <c r="K135" s="10" t="inlineStr">
        <is>
          <t>Mensual</t>
        </is>
      </c>
    </row>
    <row r="136">
      <c r="A136" s="260" t="inlineStr">
        <is>
          <t>CP-05-H</t>
        </is>
      </c>
      <c r="B136" s="260" t="inlineStr">
        <is>
          <t>Mensual</t>
        </is>
      </c>
      <c r="J136" s="260" t="inlineStr">
        <is>
          <t>MMA-10</t>
        </is>
      </c>
      <c r="K136" s="10" t="inlineStr">
        <is>
          <t>Mensual</t>
        </is>
      </c>
    </row>
    <row r="137">
      <c r="A137" s="260" t="inlineStr">
        <is>
          <t>CP-06-J</t>
        </is>
      </c>
      <c r="B137" s="260" t="inlineStr">
        <is>
          <t>Mensual</t>
        </is>
      </c>
      <c r="J137" s="260" t="inlineStr">
        <is>
          <t>MMA-11</t>
        </is>
      </c>
      <c r="K137" s="10" t="inlineStr">
        <is>
          <t>Mensual</t>
        </is>
      </c>
    </row>
    <row r="138">
      <c r="A138" s="260" t="inlineStr">
        <is>
          <t>CP-07-F</t>
        </is>
      </c>
      <c r="B138" s="260" t="inlineStr">
        <is>
          <t>Mensual</t>
        </is>
      </c>
      <c r="J138" s="260" t="inlineStr">
        <is>
          <t>MMA-12</t>
        </is>
      </c>
      <c r="K138" s="10" t="inlineStr">
        <is>
          <t>Mensual</t>
        </is>
      </c>
    </row>
    <row r="139">
      <c r="A139" s="260" t="inlineStr">
        <is>
          <t>CP-08-D</t>
        </is>
      </c>
      <c r="B139" s="260" t="inlineStr">
        <is>
          <t>Mensual</t>
        </is>
      </c>
      <c r="J139" s="260" t="inlineStr">
        <is>
          <t>MMA-13</t>
        </is>
      </c>
      <c r="K139" s="10" t="inlineStr">
        <is>
          <t>Mensual</t>
        </is>
      </c>
    </row>
    <row r="140">
      <c r="A140" s="260" t="inlineStr">
        <is>
          <t>CP-09-G</t>
        </is>
      </c>
      <c r="B140" s="260" t="inlineStr">
        <is>
          <t>Mensual</t>
        </is>
      </c>
      <c r="J140" s="260" t="inlineStr">
        <is>
          <t>MMA-14</t>
        </is>
      </c>
      <c r="K140" s="10" t="inlineStr">
        <is>
          <t>Mensual</t>
        </is>
      </c>
    </row>
    <row r="141">
      <c r="A141" s="260" t="inlineStr">
        <is>
          <t>CP-10-B</t>
        </is>
      </c>
      <c r="B141" s="260" t="inlineStr">
        <is>
          <t>Mensual</t>
        </is>
      </c>
      <c r="J141" s="260" t="inlineStr">
        <is>
          <t>MP-01</t>
        </is>
      </c>
      <c r="K141" s="10" t="inlineStr">
        <is>
          <t>Trimestral</t>
        </is>
      </c>
    </row>
    <row r="142">
      <c r="A142" s="260" t="inlineStr">
        <is>
          <t>CP-11-E</t>
        </is>
      </c>
      <c r="B142" s="260" t="inlineStr">
        <is>
          <t>Mensual</t>
        </is>
      </c>
      <c r="J142" s="260" t="inlineStr">
        <is>
          <t>MP-02</t>
        </is>
      </c>
      <c r="K142" s="10" t="inlineStr">
        <is>
          <t>Trimestral</t>
        </is>
      </c>
    </row>
    <row r="143">
      <c r="A143" s="260" t="inlineStr">
        <is>
          <t>CP-12-K</t>
        </is>
      </c>
      <c r="B143" s="260" t="inlineStr">
        <is>
          <t>Mensual</t>
        </is>
      </c>
      <c r="J143" s="260" t="inlineStr">
        <is>
          <t>MP-03</t>
        </is>
      </c>
      <c r="K143" s="10" t="inlineStr">
        <is>
          <t>Trimestral</t>
        </is>
      </c>
    </row>
    <row r="144">
      <c r="A144" s="260" t="inlineStr">
        <is>
          <t>CP-13-A</t>
        </is>
      </c>
      <c r="B144" s="260" t="inlineStr">
        <is>
          <t>Mensual</t>
        </is>
      </c>
      <c r="J144" s="260" t="inlineStr">
        <is>
          <t>MP-04</t>
        </is>
      </c>
      <c r="K144" s="10" t="inlineStr">
        <is>
          <t>Trimestral</t>
        </is>
      </c>
    </row>
    <row r="145">
      <c r="A145" s="260" t="inlineStr">
        <is>
          <t>CPC</t>
        </is>
      </c>
      <c r="B145" s="260" t="inlineStr">
        <is>
          <t>-</t>
        </is>
      </c>
      <c r="J145" s="260" t="inlineStr">
        <is>
          <t>MP-05</t>
        </is>
      </c>
      <c r="K145" s="10" t="inlineStr">
        <is>
          <t>Trimestral</t>
        </is>
      </c>
    </row>
    <row r="146">
      <c r="A146" s="260" t="inlineStr">
        <is>
          <t>CPMA-01</t>
        </is>
      </c>
      <c r="B146" s="260" t="inlineStr">
        <is>
          <t>Mensual</t>
        </is>
      </c>
      <c r="J146" s="260" t="inlineStr">
        <is>
          <t>MP-06</t>
        </is>
      </c>
      <c r="K146" s="10" t="inlineStr">
        <is>
          <t>Trimestral</t>
        </is>
      </c>
    </row>
    <row r="147">
      <c r="A147" s="260" t="inlineStr">
        <is>
          <t>CPMA-02</t>
        </is>
      </c>
      <c r="B147" s="260" t="inlineStr">
        <is>
          <t>Mensual</t>
        </is>
      </c>
      <c r="J147" s="260" t="inlineStr">
        <is>
          <t>MP-07</t>
        </is>
      </c>
      <c r="K147" s="10" t="inlineStr">
        <is>
          <t>Trimestral</t>
        </is>
      </c>
    </row>
    <row r="148">
      <c r="A148" s="260" t="inlineStr">
        <is>
          <t>CPPCHE</t>
        </is>
      </c>
      <c r="B148" s="260" t="inlineStr">
        <is>
          <t>-</t>
        </is>
      </c>
      <c r="J148" s="260" t="inlineStr">
        <is>
          <t>MP-08</t>
        </is>
      </c>
      <c r="K148" s="10" t="inlineStr">
        <is>
          <t>Trimestral</t>
        </is>
      </c>
    </row>
    <row r="149">
      <c r="A149" s="260" t="inlineStr">
        <is>
          <t>CPS-01</t>
        </is>
      </c>
      <c r="B149" s="260" t="inlineStr">
        <is>
          <t>Mensual</t>
        </is>
      </c>
      <c r="J149" s="260" t="inlineStr">
        <is>
          <t>MP-09</t>
        </is>
      </c>
      <c r="K149" s="10" t="inlineStr">
        <is>
          <t>Trimestral</t>
        </is>
      </c>
    </row>
    <row r="150">
      <c r="A150" s="260" t="inlineStr">
        <is>
          <t>CPS-02</t>
        </is>
      </c>
      <c r="B150" s="260" t="inlineStr">
        <is>
          <t>Mensual</t>
        </is>
      </c>
      <c r="J150" s="260" t="inlineStr">
        <is>
          <t>MP-10</t>
        </is>
      </c>
      <c r="K150" s="10" t="inlineStr">
        <is>
          <t>Bimestral</t>
        </is>
      </c>
    </row>
    <row r="151">
      <c r="A151" s="260" t="inlineStr">
        <is>
          <t>CPS-03</t>
        </is>
      </c>
      <c r="B151" s="260" t="inlineStr">
        <is>
          <t>Mensual</t>
        </is>
      </c>
      <c r="J151" s="260" t="inlineStr">
        <is>
          <t>MP-11</t>
        </is>
      </c>
      <c r="K151" s="10" t="inlineStr">
        <is>
          <t>Bimestral</t>
        </is>
      </c>
    </row>
    <row r="152">
      <c r="A152" s="260" t="inlineStr">
        <is>
          <t>CPS-04</t>
        </is>
      </c>
      <c r="B152" s="260" t="inlineStr">
        <is>
          <t>Mensual</t>
        </is>
      </c>
      <c r="J152" s="260" t="inlineStr">
        <is>
          <t>MP-12</t>
        </is>
      </c>
      <c r="K152" s="10" t="inlineStr">
        <is>
          <t>Bimestral</t>
        </is>
      </c>
    </row>
    <row r="153">
      <c r="A153" s="260" t="inlineStr">
        <is>
          <t>CPS-05</t>
        </is>
      </c>
      <c r="B153" s="260" t="inlineStr">
        <is>
          <t>Mensual</t>
        </is>
      </c>
      <c r="J153" s="260" t="inlineStr">
        <is>
          <t>MP-13</t>
        </is>
      </c>
      <c r="K153" s="10" t="inlineStr">
        <is>
          <t>Bimestral</t>
        </is>
      </c>
    </row>
    <row r="154">
      <c r="A154" s="260" t="inlineStr">
        <is>
          <t>CPS-06</t>
        </is>
      </c>
      <c r="B154" s="260" t="inlineStr">
        <is>
          <t>Mensual</t>
        </is>
      </c>
      <c r="J154" s="260" t="inlineStr">
        <is>
          <t>MP-14</t>
        </is>
      </c>
      <c r="K154" s="10" t="inlineStr">
        <is>
          <t>Bimestral</t>
        </is>
      </c>
    </row>
    <row r="155">
      <c r="A155" s="260" t="inlineStr">
        <is>
          <t>CPS-07</t>
        </is>
      </c>
      <c r="B155" s="260" t="inlineStr">
        <is>
          <t>Mensual</t>
        </is>
      </c>
      <c r="J155" s="260" t="inlineStr">
        <is>
          <t>MP-15</t>
        </is>
      </c>
      <c r="K155" s="10" t="inlineStr">
        <is>
          <t>Bimestral</t>
        </is>
      </c>
    </row>
    <row r="156">
      <c r="A156" s="260" t="inlineStr">
        <is>
          <t>CPS-09</t>
        </is>
      </c>
      <c r="B156" s="260" t="inlineStr">
        <is>
          <t>Mensual</t>
        </is>
      </c>
      <c r="J156" s="260" t="inlineStr">
        <is>
          <t>MP-17</t>
        </is>
      </c>
      <c r="K156" s="10" t="inlineStr">
        <is>
          <t>Bimestral</t>
        </is>
      </c>
    </row>
    <row r="157">
      <c r="A157" s="260" t="inlineStr">
        <is>
          <t>CPS-10</t>
        </is>
      </c>
      <c r="B157" s="260" t="inlineStr">
        <is>
          <t>Mensual</t>
        </is>
      </c>
      <c r="J157" s="260" t="inlineStr">
        <is>
          <t>MP-18</t>
        </is>
      </c>
      <c r="K157" s="10" t="inlineStr">
        <is>
          <t>Bimestral</t>
        </is>
      </c>
    </row>
    <row r="158">
      <c r="A158" s="260" t="inlineStr">
        <is>
          <t>CPS-11</t>
        </is>
      </c>
      <c r="B158" s="260" t="inlineStr">
        <is>
          <t>Mensual</t>
        </is>
      </c>
      <c r="J158" s="260" t="inlineStr">
        <is>
          <t>MPZ-09</t>
        </is>
      </c>
      <c r="K158" s="10" t="inlineStr">
        <is>
          <t>Trimestral</t>
        </is>
      </c>
    </row>
    <row r="159">
      <c r="A159" s="260" t="inlineStr">
        <is>
          <t>CPS-12</t>
        </is>
      </c>
      <c r="B159" s="260" t="inlineStr">
        <is>
          <t>Mensual</t>
        </is>
      </c>
      <c r="J159" s="260" t="inlineStr">
        <is>
          <t>MPZ-10A</t>
        </is>
      </c>
      <c r="K159" s="10" t="inlineStr">
        <is>
          <t>Mensual</t>
        </is>
      </c>
    </row>
    <row r="160">
      <c r="A160" s="260" t="inlineStr">
        <is>
          <t>CPS-13</t>
        </is>
      </c>
      <c r="B160" s="260" t="inlineStr">
        <is>
          <t>Mensual</t>
        </is>
      </c>
      <c r="J160" s="260" t="inlineStr">
        <is>
          <t>MPZ-10B</t>
        </is>
      </c>
      <c r="K160" s="10" t="inlineStr">
        <is>
          <t>Mensual</t>
        </is>
      </c>
    </row>
    <row r="161">
      <c r="A161" s="260" t="inlineStr">
        <is>
          <t>CPS-14</t>
        </is>
      </c>
      <c r="B161" s="260" t="inlineStr">
        <is>
          <t>Mensual</t>
        </is>
      </c>
      <c r="J161" s="260" t="inlineStr">
        <is>
          <t>MPZ-11B</t>
        </is>
      </c>
      <c r="K161" s="10" t="inlineStr">
        <is>
          <t>Trimestral</t>
        </is>
      </c>
    </row>
    <row r="162">
      <c r="A162" s="260" t="inlineStr">
        <is>
          <t>CPS-15</t>
        </is>
      </c>
      <c r="B162" s="260" t="inlineStr">
        <is>
          <t>Mensual</t>
        </is>
      </c>
      <c r="J162" s="260" t="inlineStr">
        <is>
          <t>MPZ-12A</t>
        </is>
      </c>
      <c r="K162" s="10" t="inlineStr">
        <is>
          <t>Trimestral</t>
        </is>
      </c>
    </row>
    <row r="163">
      <c r="A163" s="260" t="inlineStr">
        <is>
          <t>CPS-16</t>
        </is>
      </c>
      <c r="B163" s="260" t="inlineStr">
        <is>
          <t>Mensual</t>
        </is>
      </c>
      <c r="J163" s="260" t="inlineStr">
        <is>
          <t>MPZ-8A2</t>
        </is>
      </c>
      <c r="K163" s="10" t="inlineStr">
        <is>
          <t>Mensual</t>
        </is>
      </c>
    </row>
    <row r="164">
      <c r="A164" s="260" t="inlineStr">
        <is>
          <t>CPS-17</t>
        </is>
      </c>
      <c r="B164" s="260" t="inlineStr">
        <is>
          <t>Mensual</t>
        </is>
      </c>
      <c r="J164" s="260" t="inlineStr">
        <is>
          <t>MSW-02</t>
        </is>
      </c>
      <c r="K164" s="10" t="inlineStr">
        <is>
          <t>Trimestral</t>
        </is>
      </c>
    </row>
    <row r="165">
      <c r="A165" s="260" t="inlineStr">
        <is>
          <t>CPS-18</t>
        </is>
      </c>
      <c r="B165" s="260" t="inlineStr">
        <is>
          <t>Mensual</t>
        </is>
      </c>
      <c r="J165" s="260" t="inlineStr">
        <is>
          <t>MSW-03</t>
        </is>
      </c>
      <c r="K165" s="10" t="inlineStr">
        <is>
          <t>Mensual</t>
        </is>
      </c>
    </row>
    <row r="166">
      <c r="A166" s="260" t="inlineStr">
        <is>
          <t>CPS-19</t>
        </is>
      </c>
      <c r="B166" s="260" t="inlineStr">
        <is>
          <t>Mensual</t>
        </is>
      </c>
      <c r="J166" s="260" t="inlineStr">
        <is>
          <t>MSW-1A</t>
        </is>
      </c>
      <c r="K166" s="10" t="inlineStr">
        <is>
          <t>Trimestral</t>
        </is>
      </c>
    </row>
    <row r="167">
      <c r="A167" s="260" t="inlineStr">
        <is>
          <t>CPS-20</t>
        </is>
      </c>
      <c r="B167" s="260" t="inlineStr">
        <is>
          <t>Mensual</t>
        </is>
      </c>
      <c r="J167" s="260" t="inlineStr">
        <is>
          <t>MTP-09</t>
        </is>
      </c>
      <c r="K167" s="10" t="inlineStr">
        <is>
          <t>Trimestral</t>
        </is>
      </c>
    </row>
    <row r="168">
      <c r="A168" s="260" t="inlineStr">
        <is>
          <t>CPS-21</t>
        </is>
      </c>
      <c r="B168" s="260" t="inlineStr">
        <is>
          <t>Mensual</t>
        </is>
      </c>
      <c r="J168" s="260" t="inlineStr">
        <is>
          <t>MTP-11</t>
        </is>
      </c>
      <c r="K168" s="10" t="inlineStr">
        <is>
          <t>Trimestral</t>
        </is>
      </c>
    </row>
    <row r="169">
      <c r="A169" s="260" t="inlineStr">
        <is>
          <t>CPS-22</t>
        </is>
      </c>
      <c r="B169" s="260" t="inlineStr">
        <is>
          <t>Mensual</t>
        </is>
      </c>
      <c r="J169" s="260" t="inlineStr">
        <is>
          <t>MTP-12</t>
        </is>
      </c>
      <c r="K169" s="10" t="inlineStr">
        <is>
          <t>Trimestral</t>
        </is>
      </c>
    </row>
    <row r="170">
      <c r="A170" s="260" t="inlineStr">
        <is>
          <t>CPS-23</t>
        </is>
      </c>
      <c r="B170" s="260" t="inlineStr">
        <is>
          <t>Mensual</t>
        </is>
      </c>
      <c r="J170" s="260" t="inlineStr">
        <is>
          <t>MTP-13</t>
        </is>
      </c>
      <c r="K170" s="10" t="inlineStr">
        <is>
          <t>Trimestral</t>
        </is>
      </c>
    </row>
    <row r="171">
      <c r="A171" s="260" t="inlineStr">
        <is>
          <t>CPS-24</t>
        </is>
      </c>
      <c r="B171" s="260" t="inlineStr">
        <is>
          <t>Mensual</t>
        </is>
      </c>
      <c r="J171" s="260" t="inlineStr">
        <is>
          <t>MTP-14</t>
        </is>
      </c>
      <c r="K171" s="10" t="inlineStr">
        <is>
          <t>Trimestral</t>
        </is>
      </c>
    </row>
    <row r="172">
      <c r="A172" s="260" t="inlineStr">
        <is>
          <t>CPS-25</t>
        </is>
      </c>
      <c r="B172" s="260" t="inlineStr">
        <is>
          <t>Mensual</t>
        </is>
      </c>
      <c r="J172" s="260" t="inlineStr">
        <is>
          <t>MTP-16</t>
        </is>
      </c>
      <c r="K172" s="10" t="inlineStr">
        <is>
          <t>Trimestral</t>
        </is>
      </c>
    </row>
    <row r="173">
      <c r="A173" s="260" t="inlineStr">
        <is>
          <t>CPS-26</t>
        </is>
      </c>
      <c r="B173" s="260" t="inlineStr">
        <is>
          <t>Mensual</t>
        </is>
      </c>
      <c r="J173" s="260" t="inlineStr">
        <is>
          <t>NP-6
(reemplaza al P-6)</t>
        </is>
      </c>
      <c r="K173" s="10" t="inlineStr">
        <is>
          <t>Trimestral</t>
        </is>
      </c>
    </row>
    <row r="174">
      <c r="A174" s="260" t="inlineStr">
        <is>
          <t>CPS-27</t>
        </is>
      </c>
      <c r="B174" s="260" t="inlineStr">
        <is>
          <t>Mensual</t>
        </is>
      </c>
      <c r="J174" s="260" t="inlineStr">
        <is>
          <t>NS</t>
        </is>
      </c>
      <c r="K174" s="10" t="inlineStr">
        <is>
          <t>Bimestral</t>
        </is>
      </c>
    </row>
    <row r="175">
      <c r="A175" s="260" t="inlineStr">
        <is>
          <t>CPS-28</t>
        </is>
      </c>
      <c r="B175" s="260" t="inlineStr">
        <is>
          <t>Mensual</t>
        </is>
      </c>
      <c r="J175" s="260" t="inlineStr">
        <is>
          <t>P-6</t>
        </is>
      </c>
      <c r="K175" s="10" t="inlineStr">
        <is>
          <t>Trimestral</t>
        </is>
      </c>
    </row>
    <row r="176">
      <c r="A176" s="260" t="inlineStr">
        <is>
          <t>CPS-30</t>
        </is>
      </c>
      <c r="B176" s="260" t="inlineStr">
        <is>
          <t>Mensual</t>
        </is>
      </c>
      <c r="J176" s="260" t="inlineStr">
        <is>
          <t>PAR</t>
        </is>
      </c>
      <c r="K176" s="10" t="inlineStr">
        <is>
          <t>Trimestral</t>
        </is>
      </c>
    </row>
    <row r="177">
      <c r="A177" s="260" t="inlineStr">
        <is>
          <t>CPS-33</t>
        </is>
      </c>
      <c r="B177" s="260" t="inlineStr">
        <is>
          <t>Mensual</t>
        </is>
      </c>
      <c r="J177" s="260" t="inlineStr">
        <is>
          <t>PCA-07</t>
        </is>
      </c>
      <c r="K177" s="10" t="inlineStr">
        <is>
          <t>Trimestral</t>
        </is>
      </c>
    </row>
    <row r="178">
      <c r="A178" s="260" t="inlineStr">
        <is>
          <t>CPS-34</t>
        </is>
      </c>
      <c r="B178" s="260" t="inlineStr">
        <is>
          <t>Mensual</t>
        </is>
      </c>
      <c r="J178" s="260" t="inlineStr">
        <is>
          <t>PCA-08</t>
        </is>
      </c>
      <c r="K178" s="10" t="inlineStr">
        <is>
          <t>Trimestral</t>
        </is>
      </c>
    </row>
    <row r="179">
      <c r="A179" s="260" t="inlineStr">
        <is>
          <t>CPS-35</t>
        </is>
      </c>
      <c r="B179" s="260" t="inlineStr">
        <is>
          <t>Mensual</t>
        </is>
      </c>
      <c r="J179" s="260" t="inlineStr">
        <is>
          <t>PD-03</t>
        </is>
      </c>
      <c r="K179" s="10" t="inlineStr">
        <is>
          <t>Trimestral</t>
        </is>
      </c>
    </row>
    <row r="180">
      <c r="A180" s="260" t="inlineStr">
        <is>
          <t>CPS-36</t>
        </is>
      </c>
      <c r="B180" s="260" t="inlineStr">
        <is>
          <t>Mensual</t>
        </is>
      </c>
      <c r="J180" s="260" t="inlineStr">
        <is>
          <t>PDR-107</t>
        </is>
      </c>
      <c r="K180" s="10" t="inlineStr">
        <is>
          <t>Mensual</t>
        </is>
      </c>
    </row>
    <row r="181">
      <c r="A181" s="260" t="inlineStr">
        <is>
          <t>CPS-37</t>
        </is>
      </c>
      <c r="B181" s="260" t="inlineStr">
        <is>
          <t>Mensual</t>
        </is>
      </c>
      <c r="J181" s="260" t="inlineStr">
        <is>
          <t>PDR-93</t>
        </is>
      </c>
      <c r="K181" s="10" t="inlineStr">
        <is>
          <t>Trimestral</t>
        </is>
      </c>
    </row>
    <row r="182">
      <c r="A182" s="260" t="inlineStr">
        <is>
          <t>CPS-38</t>
        </is>
      </c>
      <c r="B182" s="260" t="inlineStr">
        <is>
          <t>Mensual</t>
        </is>
      </c>
      <c r="J182" s="260" t="inlineStr">
        <is>
          <t>PEM-02</t>
        </is>
      </c>
      <c r="K182" s="10" t="inlineStr">
        <is>
          <t>Mensual</t>
        </is>
      </c>
    </row>
    <row r="183">
      <c r="A183" s="260" t="inlineStr">
        <is>
          <t>CPS-40</t>
        </is>
      </c>
      <c r="B183" s="260" t="inlineStr">
        <is>
          <t>Mensual</t>
        </is>
      </c>
      <c r="J183" s="260" t="inlineStr">
        <is>
          <t>PEM-05</t>
        </is>
      </c>
      <c r="K183" s="10" t="inlineStr">
        <is>
          <t>Trimestral</t>
        </is>
      </c>
    </row>
    <row r="184">
      <c r="A184" s="260" t="inlineStr">
        <is>
          <t>CPS-41</t>
        </is>
      </c>
      <c r="B184" s="260" t="inlineStr">
        <is>
          <t>Mensual</t>
        </is>
      </c>
      <c r="J184" s="260" t="inlineStr">
        <is>
          <t>PEM-06</t>
        </is>
      </c>
      <c r="K184" s="10" t="inlineStr">
        <is>
          <t>Trimestral</t>
        </is>
      </c>
    </row>
    <row r="185">
      <c r="A185" s="260" t="inlineStr">
        <is>
          <t>CPS-43</t>
        </is>
      </c>
      <c r="B185" s="260" t="inlineStr">
        <is>
          <t>Mensual</t>
        </is>
      </c>
      <c r="J185" s="260" t="inlineStr">
        <is>
          <t>PEP-01</t>
        </is>
      </c>
      <c r="K185" s="10" t="inlineStr">
        <is>
          <t>Mensual</t>
        </is>
      </c>
    </row>
    <row r="186">
      <c r="A186" s="260" t="inlineStr">
        <is>
          <t>CPS-44</t>
        </is>
      </c>
      <c r="B186" s="260" t="inlineStr">
        <is>
          <t>Mensual</t>
        </is>
      </c>
      <c r="J186" s="260" t="inlineStr">
        <is>
          <t>PEP-03</t>
        </is>
      </c>
      <c r="K186" s="10" t="inlineStr">
        <is>
          <t>Mensual</t>
        </is>
      </c>
    </row>
    <row r="187">
      <c r="A187" s="260" t="inlineStr">
        <is>
          <t>CPS-45</t>
        </is>
      </c>
      <c r="B187" s="260" t="inlineStr">
        <is>
          <t>Mensual</t>
        </is>
      </c>
      <c r="J187" s="260" t="inlineStr">
        <is>
          <t>PEP-04</t>
        </is>
      </c>
      <c r="K187" s="10" t="inlineStr">
        <is>
          <t>Mensual</t>
        </is>
      </c>
    </row>
    <row r="188">
      <c r="A188" s="260" t="inlineStr">
        <is>
          <t>CPS-46</t>
        </is>
      </c>
      <c r="B188" s="260" t="inlineStr">
        <is>
          <t>Mensual</t>
        </is>
      </c>
      <c r="J188" s="260" t="inlineStr">
        <is>
          <t>PEV-01 (PES-01)</t>
        </is>
      </c>
      <c r="K188" s="10" t="inlineStr">
        <is>
          <t>Mensual</t>
        </is>
      </c>
    </row>
    <row r="189">
      <c r="A189" s="260" t="inlineStr">
        <is>
          <t>CPS-47</t>
        </is>
      </c>
      <c r="B189" s="260" t="inlineStr">
        <is>
          <t>Mensual</t>
        </is>
      </c>
      <c r="J189" s="260" t="inlineStr">
        <is>
          <t>Piscina Agua Desalada</t>
        </is>
      </c>
      <c r="K189" s="10" t="inlineStr">
        <is>
          <t>Trimestral</t>
        </is>
      </c>
    </row>
    <row r="190">
      <c r="A190" s="260" t="inlineStr">
        <is>
          <t>CPS-48</t>
        </is>
      </c>
      <c r="B190" s="260" t="inlineStr">
        <is>
          <t>Mensual</t>
        </is>
      </c>
      <c r="J190" s="260" t="inlineStr">
        <is>
          <t>PLIX-01A</t>
        </is>
      </c>
      <c r="K190" s="10" t="inlineStr">
        <is>
          <t>Mensual</t>
        </is>
      </c>
    </row>
    <row r="191">
      <c r="A191" s="260" t="inlineStr">
        <is>
          <t>CPS-49</t>
        </is>
      </c>
      <c r="B191" s="260" t="inlineStr">
        <is>
          <t>Mensual</t>
        </is>
      </c>
      <c r="J191" s="260" t="inlineStr">
        <is>
          <t>PLIX-01B</t>
        </is>
      </c>
      <c r="K191" s="10" t="inlineStr">
        <is>
          <t>Mensual</t>
        </is>
      </c>
    </row>
    <row r="192">
      <c r="A192" s="260" t="inlineStr">
        <is>
          <t>CPS-50</t>
        </is>
      </c>
      <c r="B192" s="260" t="inlineStr">
        <is>
          <t>Mensual</t>
        </is>
      </c>
      <c r="J192" s="260" t="inlineStr">
        <is>
          <t>PLIX-02A</t>
        </is>
      </c>
      <c r="K192" s="10" t="inlineStr">
        <is>
          <t>Mensual</t>
        </is>
      </c>
    </row>
    <row r="193">
      <c r="A193" s="260" t="inlineStr">
        <is>
          <t>CPS-54</t>
        </is>
      </c>
      <c r="B193" s="260" t="inlineStr">
        <is>
          <t>Mensual</t>
        </is>
      </c>
      <c r="J193" s="260" t="inlineStr">
        <is>
          <t>PLIX-02B</t>
        </is>
      </c>
      <c r="K193" s="10" t="inlineStr">
        <is>
          <t>Mensual</t>
        </is>
      </c>
    </row>
    <row r="194">
      <c r="A194" s="260" t="inlineStr">
        <is>
          <t>CPS-55</t>
        </is>
      </c>
      <c r="B194" s="260" t="inlineStr">
        <is>
          <t>Mensual</t>
        </is>
      </c>
      <c r="J194" s="260" t="inlineStr">
        <is>
          <t>PLIX-03A</t>
        </is>
      </c>
      <c r="K194" s="10" t="inlineStr">
        <is>
          <t>Mensual</t>
        </is>
      </c>
    </row>
    <row r="195">
      <c r="A195" s="260" t="inlineStr">
        <is>
          <t>CPZ-01</t>
        </is>
      </c>
      <c r="B195" s="260" t="inlineStr">
        <is>
          <t>Mensual</t>
        </is>
      </c>
      <c r="J195" s="260" t="inlineStr">
        <is>
          <t>PLIX-03B</t>
        </is>
      </c>
      <c r="K195" s="10" t="inlineStr">
        <is>
          <t>Mensual</t>
        </is>
      </c>
    </row>
    <row r="196">
      <c r="A196" s="260" t="inlineStr">
        <is>
          <t>CPZ-03A</t>
        </is>
      </c>
      <c r="B196" s="260" t="inlineStr">
        <is>
          <t>Mensual</t>
        </is>
      </c>
      <c r="J196" s="260" t="inlineStr">
        <is>
          <t>PLIX-04</t>
        </is>
      </c>
      <c r="K196" s="10" t="inlineStr">
        <is>
          <t>Mensual</t>
        </is>
      </c>
    </row>
    <row r="197">
      <c r="A197" s="260" t="inlineStr">
        <is>
          <t>CPZ-03B1</t>
        </is>
      </c>
      <c r="B197" s="260" t="inlineStr">
        <is>
          <t>Mensual</t>
        </is>
      </c>
      <c r="J197" s="260" t="inlineStr">
        <is>
          <t>PLIX-05A</t>
        </is>
      </c>
      <c r="K197" s="10" t="inlineStr">
        <is>
          <t>Mensual</t>
        </is>
      </c>
    </row>
    <row r="198">
      <c r="A198" s="260" t="inlineStr">
        <is>
          <t>CPZ-04A</t>
        </is>
      </c>
      <c r="B198" s="260" t="inlineStr">
        <is>
          <t>Mensual</t>
        </is>
      </c>
      <c r="J198" s="260" t="inlineStr">
        <is>
          <t>PLIX-05B</t>
        </is>
      </c>
      <c r="K198" s="10" t="inlineStr">
        <is>
          <t>Mensual</t>
        </is>
      </c>
    </row>
    <row r="199">
      <c r="A199" s="260" t="inlineStr">
        <is>
          <t>CPZ-04B</t>
        </is>
      </c>
      <c r="B199" s="260" t="inlineStr">
        <is>
          <t>Mensual</t>
        </is>
      </c>
      <c r="J199" s="260" t="inlineStr">
        <is>
          <t>PLIX-06</t>
        </is>
      </c>
      <c r="K199" s="10" t="inlineStr">
        <is>
          <t>Mensual</t>
        </is>
      </c>
    </row>
    <row r="200">
      <c r="A200" s="260" t="inlineStr">
        <is>
          <t>CPZ-05A</t>
        </is>
      </c>
      <c r="B200" s="260" t="inlineStr">
        <is>
          <t>Mensual</t>
        </is>
      </c>
      <c r="J200" s="260" t="inlineStr">
        <is>
          <t>PLIX-07A</t>
        </is>
      </c>
      <c r="K200" s="10" t="inlineStr">
        <is>
          <t>Mensual</t>
        </is>
      </c>
    </row>
    <row r="201">
      <c r="A201" s="260" t="inlineStr">
        <is>
          <t>CPZ-05B</t>
        </is>
      </c>
      <c r="B201" s="260" t="inlineStr">
        <is>
          <t>Mensual</t>
        </is>
      </c>
      <c r="J201" s="260" t="inlineStr">
        <is>
          <t>PLIX-07B</t>
        </is>
      </c>
      <c r="K201" s="10" t="inlineStr">
        <is>
          <t>Mensual</t>
        </is>
      </c>
    </row>
    <row r="202">
      <c r="A202" s="260" t="inlineStr">
        <is>
          <t>CPZ-06A</t>
        </is>
      </c>
      <c r="B202" s="260" t="inlineStr">
        <is>
          <t>Mensual</t>
        </is>
      </c>
      <c r="J202" s="260" t="inlineStr">
        <is>
          <t>PLIX-08A</t>
        </is>
      </c>
      <c r="K202" s="10" t="inlineStr">
        <is>
          <t>Mensual</t>
        </is>
      </c>
    </row>
    <row r="203">
      <c r="A203" s="260" t="inlineStr">
        <is>
          <t>CPZ-06B</t>
        </is>
      </c>
      <c r="B203" s="260" t="inlineStr">
        <is>
          <t>Mensual</t>
        </is>
      </c>
      <c r="J203" s="260" t="inlineStr">
        <is>
          <t>PLIX-08B</t>
        </is>
      </c>
      <c r="K203" s="10" t="inlineStr">
        <is>
          <t>Mensual</t>
        </is>
      </c>
    </row>
    <row r="204">
      <c r="A204" s="260" t="inlineStr">
        <is>
          <t>CPZ-07A</t>
        </is>
      </c>
      <c r="B204" s="260" t="inlineStr">
        <is>
          <t>Mensual</t>
        </is>
      </c>
      <c r="J204" s="260" t="inlineStr">
        <is>
          <t>PLIX-09</t>
        </is>
      </c>
      <c r="K204" s="10" t="inlineStr">
        <is>
          <t>Mensual</t>
        </is>
      </c>
    </row>
    <row r="205">
      <c r="A205" s="260" t="inlineStr">
        <is>
          <t>CPZ-07B</t>
        </is>
      </c>
      <c r="B205" s="260" t="inlineStr">
        <is>
          <t>Mensual</t>
        </is>
      </c>
      <c r="J205" s="260" t="inlineStr">
        <is>
          <t>PLIX-10A</t>
        </is>
      </c>
      <c r="K205" s="10" t="inlineStr">
        <is>
          <t>Mensual</t>
        </is>
      </c>
    </row>
    <row r="206">
      <c r="A206" s="260" t="inlineStr">
        <is>
          <t>CPZ-07C</t>
        </is>
      </c>
      <c r="B206" s="260" t="inlineStr">
        <is>
          <t>Mensual</t>
        </is>
      </c>
      <c r="J206" s="260" t="inlineStr">
        <is>
          <t>PLIX-10B</t>
        </is>
      </c>
      <c r="K206" s="10" t="inlineStr">
        <is>
          <t>Mensual</t>
        </is>
      </c>
    </row>
    <row r="207">
      <c r="A207" s="260" t="inlineStr">
        <is>
          <t>CPZ-08A</t>
        </is>
      </c>
      <c r="B207" s="260" t="inlineStr">
        <is>
          <t>Mensual</t>
        </is>
      </c>
      <c r="J207" s="260" t="inlineStr">
        <is>
          <t>PLIX-11A</t>
        </is>
      </c>
      <c r="K207" s="10" t="inlineStr">
        <is>
          <t>Mensual</t>
        </is>
      </c>
    </row>
    <row r="208">
      <c r="A208" s="260" t="inlineStr">
        <is>
          <t>CPZ-08B</t>
        </is>
      </c>
      <c r="B208" s="260" t="inlineStr">
        <is>
          <t>Mensual</t>
        </is>
      </c>
      <c r="J208" s="260" t="inlineStr">
        <is>
          <t>PLIX-11B</t>
        </is>
      </c>
      <c r="K208" s="10" t="inlineStr">
        <is>
          <t>Mensual</t>
        </is>
      </c>
    </row>
    <row r="209">
      <c r="A209" s="260" t="inlineStr">
        <is>
          <t>CPZ-08C</t>
        </is>
      </c>
      <c r="B209" s="260" t="inlineStr">
        <is>
          <t>Mensual</t>
        </is>
      </c>
      <c r="J209" s="260" t="inlineStr">
        <is>
          <t>PLIX-12</t>
        </is>
      </c>
      <c r="K209" s="10" t="inlineStr">
        <is>
          <t>Mensual</t>
        </is>
      </c>
    </row>
    <row r="210">
      <c r="A210" s="260" t="inlineStr">
        <is>
          <t>CPZ-10</t>
        </is>
      </c>
      <c r="B210" s="260" t="inlineStr">
        <is>
          <t>Mensual</t>
        </is>
      </c>
      <c r="J210" s="260" t="inlineStr">
        <is>
          <t>PLIX-13A</t>
        </is>
      </c>
      <c r="K210" s="10" t="inlineStr">
        <is>
          <t>Mensual</t>
        </is>
      </c>
    </row>
    <row r="211">
      <c r="A211" s="260" t="inlineStr">
        <is>
          <t>CPZ-16A</t>
        </is>
      </c>
      <c r="B211" s="260" t="inlineStr">
        <is>
          <t>Mensual</t>
        </is>
      </c>
      <c r="J211" s="260" t="inlineStr">
        <is>
          <t>PLIX-13B</t>
        </is>
      </c>
      <c r="K211" s="10" t="inlineStr">
        <is>
          <t>Mensual</t>
        </is>
      </c>
    </row>
    <row r="212">
      <c r="A212" s="260" t="inlineStr">
        <is>
          <t>CPZ-16B</t>
        </is>
      </c>
      <c r="B212" s="260" t="inlineStr">
        <is>
          <t>Mensual</t>
        </is>
      </c>
      <c r="J212" s="260" t="inlineStr">
        <is>
          <t>PLIX-14</t>
        </is>
      </c>
      <c r="K212" s="10" t="inlineStr">
        <is>
          <t>Mensual</t>
        </is>
      </c>
    </row>
    <row r="213">
      <c r="A213" s="260" t="inlineStr">
        <is>
          <t>CPZ-16C</t>
        </is>
      </c>
      <c r="B213" s="260" t="inlineStr">
        <is>
          <t>Mensual</t>
        </is>
      </c>
      <c r="J213" s="260" t="inlineStr">
        <is>
          <t>PMA-03</t>
        </is>
      </c>
      <c r="K213" s="10" t="inlineStr">
        <is>
          <t>Mensual</t>
        </is>
      </c>
    </row>
    <row r="214">
      <c r="A214" s="260" t="inlineStr">
        <is>
          <t>CSW-02</t>
        </is>
      </c>
      <c r="B214" s="260" t="inlineStr">
        <is>
          <t>-</t>
        </is>
      </c>
      <c r="J214" s="260" t="inlineStr">
        <is>
          <t>PMA-04</t>
        </is>
      </c>
      <c r="K214" s="10" t="inlineStr">
        <is>
          <t>Mensual</t>
        </is>
      </c>
    </row>
    <row r="215">
      <c r="A215" s="260" t="inlineStr">
        <is>
          <t>CSW-05</t>
        </is>
      </c>
      <c r="B215" s="260" t="inlineStr">
        <is>
          <t>-</t>
        </is>
      </c>
      <c r="J215" s="260" t="inlineStr">
        <is>
          <t>PMA-07</t>
        </is>
      </c>
      <c r="K215" s="10" t="inlineStr">
        <is>
          <t>Mensual</t>
        </is>
      </c>
    </row>
    <row r="216">
      <c r="A216" s="260" t="inlineStr">
        <is>
          <t>CTP-01</t>
        </is>
      </c>
      <c r="B216" s="260" t="inlineStr">
        <is>
          <t>Mensual</t>
        </is>
      </c>
      <c r="J216" s="260" t="inlineStr">
        <is>
          <t>PMA-08</t>
        </is>
      </c>
      <c r="K216" s="10" t="inlineStr">
        <is>
          <t>Mensual</t>
        </is>
      </c>
    </row>
    <row r="217">
      <c r="A217" s="260" t="inlineStr">
        <is>
          <t>CTP-03</t>
        </is>
      </c>
      <c r="B217" s="260" t="inlineStr">
        <is>
          <t>Mensual</t>
        </is>
      </c>
      <c r="J217" s="260" t="inlineStr">
        <is>
          <t>PMI-01</t>
        </is>
      </c>
      <c r="K217" s="10" t="inlineStr">
        <is>
          <t>Trimestral</t>
        </is>
      </c>
    </row>
    <row r="218">
      <c r="A218" s="260" t="inlineStr">
        <is>
          <t>CWE-01</t>
        </is>
      </c>
      <c r="B218" s="260" t="inlineStr">
        <is>
          <t>Trimestral</t>
        </is>
      </c>
      <c r="J218" s="260" t="inlineStr">
        <is>
          <t>PMI-06</t>
        </is>
      </c>
      <c r="K218" s="10" t="inlineStr">
        <is>
          <t>Trimestral</t>
        </is>
      </c>
    </row>
    <row r="219">
      <c r="A219" s="260" t="inlineStr">
        <is>
          <t>CWE-02A</t>
        </is>
      </c>
      <c r="B219" s="260" t="inlineStr">
        <is>
          <t>Trimestral</t>
        </is>
      </c>
      <c r="J219" s="260" t="inlineStr">
        <is>
          <t>PMI-07</t>
        </is>
      </c>
      <c r="K219" s="10" t="inlineStr">
        <is>
          <t>Trimestral</t>
        </is>
      </c>
    </row>
    <row r="220">
      <c r="A220" s="260" t="inlineStr">
        <is>
          <t>CWE-03</t>
        </is>
      </c>
      <c r="B220" s="260" t="inlineStr">
        <is>
          <t>Mensual</t>
        </is>
      </c>
      <c r="J220" s="260" t="inlineStr">
        <is>
          <t>PMI-08</t>
        </is>
      </c>
      <c r="K220" s="10" t="inlineStr">
        <is>
          <t>Trimestral</t>
        </is>
      </c>
    </row>
    <row r="221">
      <c r="A221" s="260" t="inlineStr">
        <is>
          <t>CWE-04</t>
        </is>
      </c>
      <c r="B221" s="260" t="inlineStr">
        <is>
          <t>Trimestral</t>
        </is>
      </c>
      <c r="J221" s="260" t="inlineStr">
        <is>
          <t>PMI-09A</t>
        </is>
      </c>
      <c r="K221" s="10" t="inlineStr">
        <is>
          <t>Bimestral - Trimestral</t>
        </is>
      </c>
    </row>
    <row r="222">
      <c r="A222" s="260" t="inlineStr">
        <is>
          <t>CWE-05</t>
        </is>
      </c>
      <c r="B222" s="260" t="inlineStr">
        <is>
          <t>Mensual</t>
        </is>
      </c>
      <c r="J222" s="260" t="inlineStr">
        <is>
          <t>PMI-09B</t>
        </is>
      </c>
      <c r="K222" s="10" t="inlineStr">
        <is>
          <t>Trimestral</t>
        </is>
      </c>
    </row>
    <row r="223">
      <c r="A223" s="260" t="inlineStr">
        <is>
          <t>CWE-06</t>
        </is>
      </c>
      <c r="B223" s="260" t="inlineStr">
        <is>
          <t>Trimestral</t>
        </is>
      </c>
      <c r="J223" s="260" t="inlineStr">
        <is>
          <t>Pozo 1</t>
        </is>
      </c>
      <c r="K223" s="10" t="inlineStr">
        <is>
          <t>Trimestral</t>
        </is>
      </c>
    </row>
    <row r="224">
      <c r="A224" s="260" t="inlineStr">
        <is>
          <t>CWE-07</t>
        </is>
      </c>
      <c r="B224" s="260" t="inlineStr">
        <is>
          <t>Mensual</t>
        </is>
      </c>
      <c r="J224" s="260" t="inlineStr">
        <is>
          <t>Pozo 10</t>
        </is>
      </c>
      <c r="K224" s="10" t="inlineStr">
        <is>
          <t>Trimestral</t>
        </is>
      </c>
    </row>
    <row r="225">
      <c r="A225" s="260" t="inlineStr">
        <is>
          <t>CWE-08</t>
        </is>
      </c>
      <c r="B225" s="260" t="inlineStr">
        <is>
          <t>Mensual</t>
        </is>
      </c>
      <c r="J225" s="260" t="inlineStr">
        <is>
          <t>Pozo 11</t>
        </is>
      </c>
      <c r="K225" s="10" t="inlineStr">
        <is>
          <t>Trimestral</t>
        </is>
      </c>
    </row>
    <row r="226">
      <c r="A226" s="260" t="inlineStr">
        <is>
          <t>CWE-09B</t>
        </is>
      </c>
      <c r="B226" s="260" t="inlineStr">
        <is>
          <t>Mensual</t>
        </is>
      </c>
      <c r="J226" s="260" t="inlineStr">
        <is>
          <t>Pozo 12</t>
        </is>
      </c>
      <c r="K226" s="10" t="inlineStr">
        <is>
          <t>Trimestral</t>
        </is>
      </c>
    </row>
    <row r="227">
      <c r="A227" s="260" t="inlineStr">
        <is>
          <t>CWE-10A</t>
        </is>
      </c>
      <c r="B227" s="260" t="inlineStr">
        <is>
          <t>Mensual</t>
        </is>
      </c>
      <c r="J227" s="260" t="inlineStr">
        <is>
          <t>Pozo 13</t>
        </is>
      </c>
      <c r="K227" s="10" t="inlineStr">
        <is>
          <t>Trimestral</t>
        </is>
      </c>
    </row>
    <row r="228">
      <c r="A228" s="260" t="inlineStr">
        <is>
          <t>CWE-10B</t>
        </is>
      </c>
      <c r="B228" s="260" t="inlineStr">
        <is>
          <t>Mensual</t>
        </is>
      </c>
      <c r="J228" s="260" t="inlineStr">
        <is>
          <t>Pozo 14</t>
        </is>
      </c>
      <c r="K228" s="10" t="inlineStr">
        <is>
          <t>Trimestral</t>
        </is>
      </c>
    </row>
    <row r="229">
      <c r="A229" s="260" t="inlineStr">
        <is>
          <t>CWE-12</t>
        </is>
      </c>
      <c r="B229" s="260" t="inlineStr">
        <is>
          <t>Trimestral</t>
        </is>
      </c>
      <c r="J229" s="260" t="inlineStr">
        <is>
          <t>Pozo 15</t>
        </is>
      </c>
      <c r="K229" s="10" t="inlineStr">
        <is>
          <t>Trimestral</t>
        </is>
      </c>
    </row>
    <row r="230">
      <c r="A230" s="260" t="inlineStr">
        <is>
          <t>CWE-15</t>
        </is>
      </c>
      <c r="B230" s="260" t="inlineStr">
        <is>
          <t>Mensual</t>
        </is>
      </c>
      <c r="J230" s="260" t="inlineStr">
        <is>
          <t>Pozo 2</t>
        </is>
      </c>
      <c r="K230" s="10" t="inlineStr">
        <is>
          <t>Trimestral</t>
        </is>
      </c>
    </row>
    <row r="231">
      <c r="A231" s="260" t="inlineStr">
        <is>
          <t>CWE-16</t>
        </is>
      </c>
      <c r="B231" s="260" t="inlineStr">
        <is>
          <t>Mensual</t>
        </is>
      </c>
      <c r="J231" s="260" t="inlineStr">
        <is>
          <t>Pozo 3</t>
        </is>
      </c>
      <c r="K231" s="10" t="inlineStr">
        <is>
          <t>Trimestral</t>
        </is>
      </c>
    </row>
    <row r="232">
      <c r="A232" s="260" t="inlineStr">
        <is>
          <t>CWE-18 (1)</t>
        </is>
      </c>
      <c r="B232" s="260" t="inlineStr">
        <is>
          <t>Trimestral</t>
        </is>
      </c>
      <c r="J232" s="260" t="inlineStr">
        <is>
          <t>Pozo 4</t>
        </is>
      </c>
      <c r="K232" s="10" t="inlineStr">
        <is>
          <t>Trimestral</t>
        </is>
      </c>
    </row>
    <row r="233">
      <c r="A233" s="260" t="inlineStr">
        <is>
          <t>CWE-18 (2)</t>
        </is>
      </c>
      <c r="B233" s="260" t="inlineStr">
        <is>
          <t>Trimestral</t>
        </is>
      </c>
      <c r="J233" s="260" t="inlineStr">
        <is>
          <t>Pozo 5</t>
        </is>
      </c>
      <c r="K233" s="10" t="inlineStr">
        <is>
          <t>Trimestral</t>
        </is>
      </c>
    </row>
    <row r="234">
      <c r="A234" s="260" t="inlineStr">
        <is>
          <t>CWE-19</t>
        </is>
      </c>
      <c r="B234" s="260" t="inlineStr">
        <is>
          <t>Mensual</t>
        </is>
      </c>
      <c r="J234" s="260" t="inlineStr">
        <is>
          <t>Pozo 6</t>
        </is>
      </c>
      <c r="K234" s="10" t="inlineStr">
        <is>
          <t>Mensual</t>
        </is>
      </c>
    </row>
    <row r="235">
      <c r="A235" s="260" t="inlineStr">
        <is>
          <t>CWE-20</t>
        </is>
      </c>
      <c r="B235" s="260" t="inlineStr">
        <is>
          <t>Mensual</t>
        </is>
      </c>
      <c r="J235" s="260" t="inlineStr">
        <is>
          <t>Pozo 7</t>
        </is>
      </c>
      <c r="K235" s="10" t="inlineStr">
        <is>
          <t>Trimestral</t>
        </is>
      </c>
    </row>
    <row r="236">
      <c r="A236" s="260" t="inlineStr">
        <is>
          <t>CWE-21</t>
        </is>
      </c>
      <c r="B236" s="260" t="inlineStr">
        <is>
          <t>Mensual</t>
        </is>
      </c>
      <c r="J236" s="260" t="inlineStr">
        <is>
          <t>Pozo 8</t>
        </is>
      </c>
      <c r="K236" s="10" t="inlineStr">
        <is>
          <t>Mensual</t>
        </is>
      </c>
    </row>
    <row r="237">
      <c r="A237" s="260" t="inlineStr">
        <is>
          <t>CWE-22 (1)</t>
        </is>
      </c>
      <c r="B237" s="260" t="inlineStr">
        <is>
          <t>Mensual</t>
        </is>
      </c>
      <c r="J237" s="260" t="inlineStr">
        <is>
          <t>Pozo 9</t>
        </is>
      </c>
      <c r="K237" s="10" t="inlineStr">
        <is>
          <t>Mensual</t>
        </is>
      </c>
    </row>
    <row r="238">
      <c r="A238" s="260" t="inlineStr">
        <is>
          <t>CWE-22 (2)</t>
        </is>
      </c>
      <c r="B238" s="260" t="inlineStr">
        <is>
          <t>Mensual</t>
        </is>
      </c>
      <c r="J238" s="260" t="inlineStr">
        <is>
          <t>Pozo bombeo (reemplaza RPW-04)</t>
        </is>
      </c>
      <c r="K238" s="10" t="inlineStr">
        <is>
          <t>Trimestral</t>
        </is>
      </c>
    </row>
    <row r="239">
      <c r="A239" s="260" t="inlineStr">
        <is>
          <t>CWE-22 (3)</t>
        </is>
      </c>
      <c r="B239" s="260" t="inlineStr">
        <is>
          <t>Mensual</t>
        </is>
      </c>
      <c r="J239" s="260" t="inlineStr">
        <is>
          <t>PPC-02</t>
        </is>
      </c>
      <c r="K239" s="10" t="inlineStr">
        <is>
          <t>Trimestral</t>
        </is>
      </c>
    </row>
    <row r="240">
      <c r="A240" s="260" t="inlineStr">
        <is>
          <t>CWE-22 (4)</t>
        </is>
      </c>
      <c r="B240" s="260" t="inlineStr">
        <is>
          <t>Mensual</t>
        </is>
      </c>
      <c r="J240" s="260" t="inlineStr">
        <is>
          <t>PPC-03</t>
        </is>
      </c>
      <c r="K240" s="10" t="inlineStr">
        <is>
          <t>Mensual</t>
        </is>
      </c>
    </row>
    <row r="241">
      <c r="A241" s="260" t="inlineStr">
        <is>
          <t>CWE-23 (1)</t>
        </is>
      </c>
      <c r="B241" s="260" t="inlineStr">
        <is>
          <t>Trimestral</t>
        </is>
      </c>
      <c r="J241" s="260" t="inlineStr">
        <is>
          <t>PPC-07</t>
        </is>
      </c>
      <c r="K241" s="10" t="inlineStr">
        <is>
          <t>Trimestral</t>
        </is>
      </c>
    </row>
    <row r="242">
      <c r="A242" s="260" t="inlineStr">
        <is>
          <t>CWE-23 (2)</t>
        </is>
      </c>
      <c r="B242" s="260" t="inlineStr">
        <is>
          <t>Trimestral</t>
        </is>
      </c>
      <c r="J242" s="260" t="inlineStr">
        <is>
          <t>PPC-09</t>
        </is>
      </c>
      <c r="K242" s="10" t="inlineStr">
        <is>
          <t>Trimestral</t>
        </is>
      </c>
    </row>
    <row r="243">
      <c r="A243" s="260" t="inlineStr">
        <is>
          <t>CWE-23 (3)</t>
        </is>
      </c>
      <c r="B243" s="260" t="inlineStr">
        <is>
          <t>Trimestral</t>
        </is>
      </c>
      <c r="J243" s="260" t="inlineStr">
        <is>
          <t>PPC-10</t>
        </is>
      </c>
      <c r="K243" s="10" t="inlineStr">
        <is>
          <t>Trimestral</t>
        </is>
      </c>
    </row>
    <row r="244">
      <c r="A244" s="260" t="inlineStr">
        <is>
          <t>CWE-23 (4)</t>
        </is>
      </c>
      <c r="B244" s="260" t="inlineStr">
        <is>
          <t>Trimestral</t>
        </is>
      </c>
      <c r="J244" s="260" t="inlineStr">
        <is>
          <t>PPC-14</t>
        </is>
      </c>
      <c r="K244" s="10" t="inlineStr">
        <is>
          <t>Trimestral</t>
        </is>
      </c>
    </row>
    <row r="245">
      <c r="A245" s="260" t="inlineStr">
        <is>
          <t>CWE-24 (1)</t>
        </is>
      </c>
      <c r="B245" s="260" t="inlineStr">
        <is>
          <t>Trimestral</t>
        </is>
      </c>
      <c r="J245" s="260" t="inlineStr">
        <is>
          <t>PPC-15</t>
        </is>
      </c>
      <c r="K245" s="10" t="inlineStr">
        <is>
          <t>Trimestral</t>
        </is>
      </c>
    </row>
    <row r="246">
      <c r="A246" s="260" t="inlineStr">
        <is>
          <t>CWE-24 (2)</t>
        </is>
      </c>
      <c r="B246" s="260" t="inlineStr">
        <is>
          <t>Trimestral</t>
        </is>
      </c>
      <c r="J246" s="260" t="inlineStr">
        <is>
          <t>PPC-18</t>
        </is>
      </c>
      <c r="K246" s="10" t="inlineStr">
        <is>
          <t>Mensual</t>
        </is>
      </c>
    </row>
    <row r="247">
      <c r="A247" s="260" t="inlineStr">
        <is>
          <t>CWE-24 (3)</t>
        </is>
      </c>
      <c r="B247" s="260" t="inlineStr">
        <is>
          <t>Trimestral</t>
        </is>
      </c>
      <c r="J247" s="260" t="inlineStr">
        <is>
          <t>PPC-20</t>
        </is>
      </c>
      <c r="K247" s="10" t="inlineStr">
        <is>
          <t>Trimestral</t>
        </is>
      </c>
    </row>
    <row r="248">
      <c r="A248" s="260" t="inlineStr">
        <is>
          <t>CWE-24 (4)</t>
        </is>
      </c>
      <c r="B248" s="260" t="inlineStr">
        <is>
          <t>Trimestral</t>
        </is>
      </c>
      <c r="J248" s="260" t="inlineStr">
        <is>
          <t>PPC-21</t>
        </is>
      </c>
      <c r="K248" s="10" t="inlineStr">
        <is>
          <t>Trimestral</t>
        </is>
      </c>
    </row>
    <row r="249">
      <c r="A249" s="260" t="inlineStr">
        <is>
          <t>CWE-25-1</t>
        </is>
      </c>
      <c r="B249" s="260" t="inlineStr">
        <is>
          <t>Mensual</t>
        </is>
      </c>
      <c r="J249" s="260" t="inlineStr">
        <is>
          <t>PPC-23</t>
        </is>
      </c>
      <c r="K249" s="10" t="inlineStr">
        <is>
          <t>Mensual</t>
        </is>
      </c>
    </row>
    <row r="250">
      <c r="A250" s="260" t="inlineStr">
        <is>
          <t>CWE-25-2</t>
        </is>
      </c>
      <c r="B250" s="260" t="inlineStr">
        <is>
          <t>Mensual</t>
        </is>
      </c>
      <c r="J250" s="260" t="inlineStr">
        <is>
          <t>PPC-27</t>
        </is>
      </c>
      <c r="K250" s="10" t="inlineStr">
        <is>
          <t>Mensual</t>
        </is>
      </c>
    </row>
    <row r="251">
      <c r="A251" s="260" t="inlineStr">
        <is>
          <t>CWE-25-3</t>
        </is>
      </c>
      <c r="B251" s="260" t="inlineStr">
        <is>
          <t>Mensual</t>
        </is>
      </c>
      <c r="J251" s="260" t="inlineStr">
        <is>
          <t>PPC-28</t>
        </is>
      </c>
      <c r="K251" s="10" t="inlineStr">
        <is>
          <t>Mensual</t>
        </is>
      </c>
    </row>
    <row r="252">
      <c r="A252" s="260" t="inlineStr">
        <is>
          <t>CWE-26</t>
        </is>
      </c>
      <c r="B252" s="260" t="inlineStr">
        <is>
          <t>Mensual</t>
        </is>
      </c>
      <c r="J252" s="260" t="inlineStr">
        <is>
          <t>PR</t>
        </is>
      </c>
      <c r="K252" s="260" t="inlineStr">
        <is>
          <t>Mensual</t>
        </is>
      </c>
    </row>
    <row r="253">
      <c r="A253" s="260" t="inlineStr">
        <is>
          <t>CWE-27</t>
        </is>
      </c>
      <c r="B253" s="260" t="inlineStr">
        <is>
          <t>Mensual</t>
        </is>
      </c>
      <c r="J253" s="260" t="inlineStr">
        <is>
          <t>PTAS Instalaciones de Faenas y Campamentos (8 en ductos y 4 en Puerto)</t>
        </is>
      </c>
      <c r="K253" s="10" t="inlineStr">
        <is>
          <t>Mensual</t>
        </is>
      </c>
    </row>
    <row r="254">
      <c r="A254" s="260" t="inlineStr">
        <is>
          <t>CWE-28</t>
        </is>
      </c>
      <c r="B254" s="260" t="inlineStr">
        <is>
          <t>Mensual</t>
        </is>
      </c>
      <c r="J254" s="260" t="inlineStr">
        <is>
          <t>PTAS Puerto Collahuasi</t>
        </is>
      </c>
      <c r="K254" s="10" t="inlineStr">
        <is>
          <t>Semanal</t>
        </is>
      </c>
    </row>
    <row r="255">
      <c r="A255" s="260" t="inlineStr">
        <is>
          <t>CWE-29</t>
        </is>
      </c>
      <c r="B255" s="260" t="inlineStr">
        <is>
          <t>Mensual</t>
        </is>
      </c>
      <c r="J255" s="260" t="inlineStr">
        <is>
          <t>PTAS Ujina y Línea de Impulsión Ujina – Coposa</t>
        </is>
      </c>
      <c r="K255" s="10" t="inlineStr">
        <is>
          <t>Mensual</t>
        </is>
      </c>
    </row>
    <row r="256">
      <c r="A256" s="260" t="inlineStr">
        <is>
          <t>CWE-30</t>
        </is>
      </c>
      <c r="B256" s="260" t="inlineStr">
        <is>
          <t>Mensual</t>
        </is>
      </c>
      <c r="J256" s="260" t="inlineStr">
        <is>
          <t>PTAS-C</t>
        </is>
      </c>
      <c r="K256" s="10" t="inlineStr">
        <is>
          <t>Semanal</t>
        </is>
      </c>
    </row>
    <row r="257">
      <c r="A257" s="260" t="inlineStr">
        <is>
          <t>CWE-31</t>
        </is>
      </c>
      <c r="B257" s="260" t="inlineStr">
        <is>
          <t>Mensual</t>
        </is>
      </c>
      <c r="J257" s="260" t="inlineStr">
        <is>
          <t>PTAS-R</t>
        </is>
      </c>
      <c r="K257" s="10" t="inlineStr">
        <is>
          <t>Mensual</t>
        </is>
      </c>
    </row>
    <row r="258">
      <c r="A258" s="260" t="inlineStr">
        <is>
          <t>CWE-32</t>
        </is>
      </c>
      <c r="B258" s="260" t="inlineStr">
        <is>
          <t>Mensual</t>
        </is>
      </c>
      <c r="J258" s="260" t="inlineStr">
        <is>
          <t>PTAS-U</t>
        </is>
      </c>
      <c r="K258" s="10" t="inlineStr">
        <is>
          <t>Mensual</t>
        </is>
      </c>
    </row>
    <row r="259">
      <c r="A259" s="260" t="inlineStr">
        <is>
          <t>CWE-33</t>
        </is>
      </c>
      <c r="B259" s="260" t="inlineStr">
        <is>
          <t>Mensual</t>
        </is>
      </c>
      <c r="J259" s="260" t="inlineStr">
        <is>
          <t>Puntera 1</t>
        </is>
      </c>
      <c r="K259" s="10" t="inlineStr">
        <is>
          <t>Mensual</t>
        </is>
      </c>
    </row>
    <row r="260">
      <c r="A260" s="260" t="inlineStr">
        <is>
          <t>CWE-34</t>
        </is>
      </c>
      <c r="B260" s="260" t="inlineStr">
        <is>
          <t>Mensual</t>
        </is>
      </c>
      <c r="J260" s="260" t="inlineStr">
        <is>
          <t>Puntera 2</t>
        </is>
      </c>
      <c r="K260" s="10" t="inlineStr">
        <is>
          <t>Mensual</t>
        </is>
      </c>
    </row>
    <row r="261">
      <c r="A261" s="260" t="inlineStr">
        <is>
          <t>CWE-35</t>
        </is>
      </c>
      <c r="B261" s="260" t="inlineStr">
        <is>
          <t>Trimestral</t>
        </is>
      </c>
      <c r="J261" s="260" t="inlineStr">
        <is>
          <t>Puntera 3</t>
        </is>
      </c>
      <c r="K261" s="10" t="inlineStr">
        <is>
          <t>Mensual</t>
        </is>
      </c>
    </row>
    <row r="262">
      <c r="A262" s="260" t="inlineStr">
        <is>
          <t>CWE-38</t>
        </is>
      </c>
      <c r="B262" s="260" t="inlineStr">
        <is>
          <t>Mensual</t>
        </is>
      </c>
      <c r="J262" s="260" t="inlineStr">
        <is>
          <t>Puntera 4</t>
        </is>
      </c>
      <c r="K262" s="10" t="inlineStr">
        <is>
          <t>Mensual</t>
        </is>
      </c>
    </row>
    <row r="263">
      <c r="A263" s="260" t="inlineStr">
        <is>
          <t>CWP-01</t>
        </is>
      </c>
      <c r="B263" s="260" t="inlineStr">
        <is>
          <t>Mensual</t>
        </is>
      </c>
      <c r="J263" s="260" t="inlineStr">
        <is>
          <t>Puntera 5</t>
        </is>
      </c>
      <c r="K263" s="10" t="inlineStr">
        <is>
          <t>Mensual</t>
        </is>
      </c>
    </row>
    <row r="264">
      <c r="A264" s="260" t="inlineStr">
        <is>
          <t>CWP-02</t>
        </is>
      </c>
      <c r="B264" s="260" t="inlineStr">
        <is>
          <t>Mensual</t>
        </is>
      </c>
      <c r="J264" s="260" t="inlineStr">
        <is>
          <t>Punto 1</t>
        </is>
      </c>
      <c r="K264" s="10" t="inlineStr">
        <is>
          <t>Mensual</t>
        </is>
      </c>
    </row>
    <row r="265">
      <c r="A265" s="260" t="inlineStr">
        <is>
          <t>CWP-03</t>
        </is>
      </c>
      <c r="B265" s="260" t="inlineStr">
        <is>
          <t>Mensual</t>
        </is>
      </c>
      <c r="J265" s="260" t="n"/>
      <c r="K265" s="10" t="inlineStr">
        <is>
          <t>Trimestral</t>
        </is>
      </c>
    </row>
    <row r="266">
      <c r="A266" s="260" t="inlineStr">
        <is>
          <t>CWP-04</t>
        </is>
      </c>
      <c r="B266" s="260" t="inlineStr">
        <is>
          <t>Mensual</t>
        </is>
      </c>
      <c r="J266" s="260" t="inlineStr">
        <is>
          <t>Punto 2</t>
        </is>
      </c>
      <c r="K266" s="10" t="inlineStr">
        <is>
          <t>Mensual</t>
        </is>
      </c>
    </row>
    <row r="267">
      <c r="A267" s="260" t="inlineStr">
        <is>
          <t>CWP-05</t>
        </is>
      </c>
      <c r="B267" s="260" t="inlineStr">
        <is>
          <t>Mensual</t>
        </is>
      </c>
      <c r="J267" s="260" t="n"/>
      <c r="K267" s="10" t="inlineStr">
        <is>
          <t>Trimestral</t>
        </is>
      </c>
    </row>
    <row r="268">
      <c r="A268" s="260" t="inlineStr">
        <is>
          <t>CWP-06</t>
        </is>
      </c>
      <c r="B268" s="260" t="inlineStr">
        <is>
          <t>Mensual</t>
        </is>
      </c>
      <c r="J268" s="260" t="inlineStr">
        <is>
          <t>Punto 3</t>
        </is>
      </c>
      <c r="K268" s="10" t="inlineStr">
        <is>
          <t>Trimestral</t>
        </is>
      </c>
    </row>
    <row r="269">
      <c r="A269" s="260" t="inlineStr">
        <is>
          <t>CWP-07A</t>
        </is>
      </c>
      <c r="B269" s="260" t="inlineStr">
        <is>
          <t>Mensual</t>
        </is>
      </c>
      <c r="J269" s="260" t="inlineStr">
        <is>
          <t>Punto 4</t>
        </is>
      </c>
      <c r="K269" s="10" t="inlineStr">
        <is>
          <t>Trimestral</t>
        </is>
      </c>
    </row>
    <row r="270">
      <c r="A270" s="260" t="inlineStr">
        <is>
          <t>CWP-08A</t>
        </is>
      </c>
      <c r="B270" s="260" t="inlineStr">
        <is>
          <t>Mensual</t>
        </is>
      </c>
      <c r="J270" s="260" t="inlineStr">
        <is>
          <t>QDC-01</t>
        </is>
      </c>
      <c r="K270" s="10" t="inlineStr">
        <is>
          <t>Mensual</t>
        </is>
      </c>
    </row>
    <row r="271">
      <c r="A271" s="260" t="inlineStr">
        <is>
          <t>CWP-09</t>
        </is>
      </c>
      <c r="B271" s="260" t="inlineStr">
        <is>
          <t>Mensual</t>
        </is>
      </c>
      <c r="J271" s="260" t="inlineStr">
        <is>
          <t>QDC-02</t>
        </is>
      </c>
      <c r="K271" s="10" t="inlineStr">
        <is>
          <t>Trimestral</t>
        </is>
      </c>
    </row>
    <row r="272">
      <c r="A272" s="260" t="inlineStr">
        <is>
          <t>CWP-10</t>
        </is>
      </c>
      <c r="B272" s="260" t="inlineStr">
        <is>
          <t>Mensual</t>
        </is>
      </c>
      <c r="J272" s="260" t="inlineStr">
        <is>
          <t>QDH-01C</t>
        </is>
      </c>
      <c r="K272" s="10" t="inlineStr">
        <is>
          <t>Trimestral</t>
        </is>
      </c>
    </row>
    <row r="273">
      <c r="A273" s="260" t="inlineStr">
        <is>
          <t>CWP-11</t>
        </is>
      </c>
      <c r="B273" s="260" t="inlineStr">
        <is>
          <t>Mensual</t>
        </is>
      </c>
      <c r="J273" s="260" t="inlineStr">
        <is>
          <t>QDH-01D</t>
        </is>
      </c>
      <c r="K273" s="10" t="inlineStr">
        <is>
          <t>Trimestral</t>
        </is>
      </c>
    </row>
    <row r="274">
      <c r="A274" s="260" t="inlineStr">
        <is>
          <t>CWP-12</t>
        </is>
      </c>
      <c r="B274" s="260" t="inlineStr">
        <is>
          <t>Mensual</t>
        </is>
      </c>
      <c r="J274" s="260" t="inlineStr">
        <is>
          <t>QDH-01E</t>
        </is>
      </c>
      <c r="K274" s="10" t="inlineStr">
        <is>
          <t>Mensual</t>
        </is>
      </c>
    </row>
    <row r="275">
      <c r="A275" s="260" t="inlineStr">
        <is>
          <t>CWP-13</t>
        </is>
      </c>
      <c r="B275" s="260" t="inlineStr">
        <is>
          <t>Mensual</t>
        </is>
      </c>
      <c r="J275" s="260" t="inlineStr">
        <is>
          <t>QDH-01F</t>
        </is>
      </c>
      <c r="K275" s="10" t="inlineStr">
        <is>
          <t>Mensual</t>
        </is>
      </c>
    </row>
    <row r="276">
      <c r="A276" s="260" t="inlineStr">
        <is>
          <t>CWP-14</t>
        </is>
      </c>
      <c r="B276" s="260" t="inlineStr">
        <is>
          <t>Mensual</t>
        </is>
      </c>
      <c r="J276" s="260" t="inlineStr">
        <is>
          <t>QDH-02</t>
        </is>
      </c>
      <c r="K276" s="10" t="inlineStr">
        <is>
          <t>Mensual</t>
        </is>
      </c>
    </row>
    <row r="277">
      <c r="A277" s="260" t="inlineStr">
        <is>
          <t>DCN-02</t>
        </is>
      </c>
      <c r="B277" s="260" t="inlineStr">
        <is>
          <t>Trimestral</t>
        </is>
      </c>
      <c r="J277" s="260" t="inlineStr">
        <is>
          <t>QDH-1E Piscina</t>
        </is>
      </c>
      <c r="K277" s="10" t="inlineStr">
        <is>
          <t>Semanal</t>
        </is>
      </c>
    </row>
    <row r="278">
      <c r="A278" s="260" t="inlineStr">
        <is>
          <t>DDH-62</t>
        </is>
      </c>
      <c r="B278" s="260" t="inlineStr">
        <is>
          <t>Mensual</t>
        </is>
      </c>
      <c r="J278" s="260" t="inlineStr">
        <is>
          <t>QSD-01</t>
        </is>
      </c>
      <c r="K278" s="10" t="inlineStr">
        <is>
          <t>Mensual</t>
        </is>
      </c>
    </row>
    <row r="279">
      <c r="A279" s="260" t="inlineStr">
        <is>
          <t>DDH-R236</t>
        </is>
      </c>
      <c r="B279" s="260" t="inlineStr">
        <is>
          <t>Mensual</t>
        </is>
      </c>
      <c r="J279" s="260" t="inlineStr">
        <is>
          <t>QSD-1 Piscina</t>
        </is>
      </c>
      <c r="K279" s="10" t="inlineStr">
        <is>
          <t>Semanal</t>
        </is>
      </c>
    </row>
    <row r="280">
      <c r="A280" s="260" t="inlineStr">
        <is>
          <t>DEB-02</t>
        </is>
      </c>
      <c r="B280" s="260" t="inlineStr">
        <is>
          <t>Bimestral</t>
        </is>
      </c>
      <c r="J280" s="260" t="inlineStr">
        <is>
          <t>QSN-01</t>
        </is>
      </c>
      <c r="K280" s="10" t="inlineStr">
        <is>
          <t>Quincenal</t>
        </is>
      </c>
    </row>
    <row r="281">
      <c r="A281" s="260" t="inlineStr">
        <is>
          <t>DEB-03</t>
        </is>
      </c>
      <c r="B281" s="260" t="inlineStr">
        <is>
          <t>Bimestral</t>
        </is>
      </c>
      <c r="J281" s="260" t="inlineStr">
        <is>
          <t>QYA</t>
        </is>
      </c>
      <c r="K281" s="10" t="inlineStr">
        <is>
          <t>Trimestral</t>
        </is>
      </c>
    </row>
    <row r="282">
      <c r="A282" s="260" t="inlineStr">
        <is>
          <t>DEB-04</t>
        </is>
      </c>
      <c r="B282" s="260" t="inlineStr">
        <is>
          <t>Bimestral</t>
        </is>
      </c>
      <c r="J282" s="260" t="inlineStr">
        <is>
          <t>RF-1</t>
        </is>
      </c>
      <c r="K282" s="10" t="inlineStr">
        <is>
          <t>Mensual</t>
        </is>
      </c>
    </row>
    <row r="283">
      <c r="A283" s="260" t="inlineStr">
        <is>
          <t>DEB-05</t>
        </is>
      </c>
      <c r="B283" s="260" t="inlineStr">
        <is>
          <t>Bimestral</t>
        </is>
      </c>
      <c r="J283" s="260" t="inlineStr">
        <is>
          <t>RF-2</t>
        </is>
      </c>
      <c r="K283" s="10" t="inlineStr">
        <is>
          <t>Mensual</t>
        </is>
      </c>
    </row>
    <row r="284">
      <c r="A284" s="260" t="inlineStr">
        <is>
          <t>DEB-06</t>
        </is>
      </c>
      <c r="B284" s="260" t="inlineStr">
        <is>
          <t>Bimestral</t>
        </is>
      </c>
      <c r="J284" s="260" t="inlineStr">
        <is>
          <t>RF-3</t>
        </is>
      </c>
      <c r="K284" s="10" t="inlineStr">
        <is>
          <t>Mensual</t>
        </is>
      </c>
    </row>
    <row r="285">
      <c r="A285" s="260" t="inlineStr">
        <is>
          <t>DEB-07</t>
        </is>
      </c>
      <c r="B285" s="260" t="inlineStr">
        <is>
          <t>Bimestral</t>
        </is>
      </c>
      <c r="J285" s="260" t="inlineStr">
        <is>
          <t>RF-4</t>
        </is>
      </c>
      <c r="K285" s="10" t="inlineStr">
        <is>
          <t>Mensual</t>
        </is>
      </c>
    </row>
    <row r="286">
      <c r="A286" s="260" t="inlineStr">
        <is>
          <t>DEB-08</t>
        </is>
      </c>
      <c r="B286" s="260" t="inlineStr">
        <is>
          <t>Bimestral</t>
        </is>
      </c>
      <c r="J286" s="260" t="inlineStr">
        <is>
          <t>RF-5</t>
        </is>
      </c>
      <c r="K286" s="10" t="inlineStr">
        <is>
          <t>Mensual</t>
        </is>
      </c>
    </row>
    <row r="287">
      <c r="A287" s="260" t="inlineStr">
        <is>
          <t>DEB-09</t>
        </is>
      </c>
      <c r="B287" s="260" t="inlineStr">
        <is>
          <t>Bimestral</t>
        </is>
      </c>
      <c r="J287" s="260" t="inlineStr">
        <is>
          <t>RPEC-02A</t>
        </is>
      </c>
      <c r="K287" s="10" t="inlineStr">
        <is>
          <t>Mensual</t>
        </is>
      </c>
    </row>
    <row r="288">
      <c r="A288" s="260" t="inlineStr">
        <is>
          <t>DEC-01</t>
        </is>
      </c>
      <c r="B288" s="260" t="inlineStr">
        <is>
          <t>Mensual</t>
        </is>
      </c>
      <c r="J288" s="260" t="inlineStr">
        <is>
          <t>RPW-01</t>
        </is>
      </c>
      <c r="K288" s="10" t="inlineStr">
        <is>
          <t>Trimestral</t>
        </is>
      </c>
    </row>
    <row r="289">
      <c r="A289" s="260" t="inlineStr">
        <is>
          <t>DEC-02</t>
        </is>
      </c>
      <c r="B289" s="260" t="inlineStr">
        <is>
          <t>Mensual</t>
        </is>
      </c>
      <c r="J289" s="260" t="inlineStr">
        <is>
          <t>RPW-03</t>
        </is>
      </c>
      <c r="K289" s="10" t="inlineStr">
        <is>
          <t>Trimestral</t>
        </is>
      </c>
    </row>
    <row r="290">
      <c r="A290" s="260" t="inlineStr">
        <is>
          <t>DEC-03</t>
        </is>
      </c>
      <c r="B290" s="260" t="inlineStr">
        <is>
          <t>Mensual</t>
        </is>
      </c>
      <c r="J290" s="260" t="inlineStr">
        <is>
          <t>RPW-04</t>
        </is>
      </c>
      <c r="K290" s="10" t="inlineStr">
        <is>
          <t>Trimestral</t>
        </is>
      </c>
    </row>
    <row r="291">
      <c r="A291" s="260" t="inlineStr">
        <is>
          <t>DEC-04B</t>
        </is>
      </c>
      <c r="B291" s="260" t="inlineStr">
        <is>
          <t>Mensual</t>
        </is>
      </c>
      <c r="J291" s="260" t="inlineStr">
        <is>
          <t>SALA DE CAMBIOS</t>
        </is>
      </c>
      <c r="K291" s="10" t="inlineStr">
        <is>
          <t>Mensual (Se realiza quincenal)</t>
        </is>
      </c>
    </row>
    <row r="292">
      <c r="A292" s="260" t="inlineStr">
        <is>
          <t>DEC-05</t>
        </is>
      </c>
      <c r="B292" s="260" t="inlineStr">
        <is>
          <t>Mensual</t>
        </is>
      </c>
      <c r="J292" s="260" t="inlineStr">
        <is>
          <t>SH-01</t>
        </is>
      </c>
      <c r="K292" s="10" t="inlineStr">
        <is>
          <t>Trimestral</t>
        </is>
      </c>
    </row>
    <row r="293">
      <c r="A293" s="260" t="inlineStr">
        <is>
          <t>DEC-06B</t>
        </is>
      </c>
      <c r="B293" s="260" t="inlineStr">
        <is>
          <t>Mensual</t>
        </is>
      </c>
      <c r="J293" s="260" t="inlineStr">
        <is>
          <t>SH-02B</t>
        </is>
      </c>
      <c r="K293" s="10" t="inlineStr">
        <is>
          <t>Trimestral</t>
        </is>
      </c>
    </row>
    <row r="294">
      <c r="A294" s="260" t="inlineStr">
        <is>
          <t>DER-01</t>
        </is>
      </c>
      <c r="B294" s="260" t="inlineStr">
        <is>
          <t>Bimestral</t>
        </is>
      </c>
      <c r="J294" s="260" t="inlineStr">
        <is>
          <t>SH-03</t>
        </is>
      </c>
      <c r="K294" s="10" t="inlineStr">
        <is>
          <t>Trimestral</t>
        </is>
      </c>
    </row>
    <row r="295">
      <c r="A295" s="260" t="inlineStr">
        <is>
          <t>DER-02</t>
        </is>
      </c>
      <c r="B295" s="260" t="inlineStr">
        <is>
          <t>Mensual</t>
        </is>
      </c>
      <c r="J295" s="260" t="inlineStr">
        <is>
          <t>SH-04</t>
        </is>
      </c>
      <c r="K295" s="10" t="inlineStr">
        <is>
          <t>Trimestral</t>
        </is>
      </c>
    </row>
    <row r="296">
      <c r="A296" s="260" t="inlineStr">
        <is>
          <t>DER-03</t>
        </is>
      </c>
      <c r="B296" s="260" t="inlineStr">
        <is>
          <t>Mensual</t>
        </is>
      </c>
      <c r="J296" s="260" t="inlineStr">
        <is>
          <t>SH-05</t>
        </is>
      </c>
      <c r="K296" s="10" t="inlineStr">
        <is>
          <t>Trimestral</t>
        </is>
      </c>
    </row>
    <row r="297">
      <c r="A297" s="260" t="inlineStr">
        <is>
          <t>DER-05</t>
        </is>
      </c>
      <c r="B297" s="260" t="inlineStr">
        <is>
          <t>Mensual</t>
        </is>
      </c>
      <c r="J297" s="260" t="inlineStr">
        <is>
          <t>SH-06</t>
        </is>
      </c>
      <c r="K297" s="10" t="inlineStr">
        <is>
          <t>Trimestral</t>
        </is>
      </c>
    </row>
    <row r="298">
      <c r="A298" s="260" t="inlineStr">
        <is>
          <t>DER-08</t>
        </is>
      </c>
      <c r="B298" s="260" t="inlineStr">
        <is>
          <t>Mensual</t>
        </is>
      </c>
      <c r="J298" s="260" t="inlineStr">
        <is>
          <t>SH-07</t>
        </is>
      </c>
      <c r="K298" s="10" t="inlineStr">
        <is>
          <t>Trimestral</t>
        </is>
      </c>
    </row>
    <row r="299">
      <c r="A299" s="260" t="inlineStr">
        <is>
          <t>DER-12</t>
        </is>
      </c>
      <c r="B299" s="260" t="inlineStr">
        <is>
          <t>Mensual</t>
        </is>
      </c>
      <c r="J299" s="260" t="inlineStr">
        <is>
          <t>SH-08</t>
        </is>
      </c>
      <c r="K299" s="10" t="inlineStr">
        <is>
          <t>Trimestral</t>
        </is>
      </c>
    </row>
    <row r="300">
      <c r="A300" s="260" t="inlineStr">
        <is>
          <t>DER-15</t>
        </is>
      </c>
      <c r="B300" s="260" t="inlineStr">
        <is>
          <t>Mensual</t>
        </is>
      </c>
      <c r="J300" s="260" t="inlineStr">
        <is>
          <t>SH-09</t>
        </is>
      </c>
      <c r="K300" s="10" t="inlineStr">
        <is>
          <t>Trimestral</t>
        </is>
      </c>
    </row>
    <row r="301">
      <c r="A301" s="260" t="inlineStr">
        <is>
          <t>DER-18</t>
        </is>
      </c>
      <c r="B301" s="260" t="inlineStr">
        <is>
          <t>Mensual</t>
        </is>
      </c>
      <c r="J301" s="260" t="inlineStr">
        <is>
          <t>SH-10B</t>
        </is>
      </c>
      <c r="K301" s="10" t="inlineStr">
        <is>
          <t>Trimestral</t>
        </is>
      </c>
    </row>
    <row r="302">
      <c r="A302" s="260" t="inlineStr">
        <is>
          <t>DER-20</t>
        </is>
      </c>
      <c r="B302" s="260" t="inlineStr">
        <is>
          <t>Mensual</t>
        </is>
      </c>
      <c r="J302" s="260" t="inlineStr">
        <is>
          <t>SH-11B</t>
        </is>
      </c>
      <c r="K302" s="10" t="inlineStr">
        <is>
          <t>Trimestral</t>
        </is>
      </c>
    </row>
    <row r="303">
      <c r="A303" s="260" t="inlineStr">
        <is>
          <t>DER-21</t>
        </is>
      </c>
      <c r="B303" s="260" t="inlineStr">
        <is>
          <t>Mensual</t>
        </is>
      </c>
      <c r="J303" s="260" t="inlineStr">
        <is>
          <t>SH-12B</t>
        </is>
      </c>
      <c r="K303" s="10" t="inlineStr">
        <is>
          <t>Trimestral</t>
        </is>
      </c>
    </row>
    <row r="304">
      <c r="A304" s="260" t="inlineStr">
        <is>
          <t>DER-23</t>
        </is>
      </c>
      <c r="B304" s="260" t="inlineStr">
        <is>
          <t>Mensual</t>
        </is>
      </c>
      <c r="J304" s="260" t="inlineStr">
        <is>
          <t>SH-19</t>
        </is>
      </c>
      <c r="K304" s="10" t="inlineStr">
        <is>
          <t>Mensual</t>
        </is>
      </c>
    </row>
    <row r="305">
      <c r="A305" s="260" t="inlineStr">
        <is>
          <t>DER-26</t>
        </is>
      </c>
      <c r="B305" s="260" t="inlineStr">
        <is>
          <t>Bimestral</t>
        </is>
      </c>
      <c r="J305" s="260" t="inlineStr">
        <is>
          <t>SH-20</t>
        </is>
      </c>
      <c r="K305" s="10" t="inlineStr">
        <is>
          <t>Mensual</t>
        </is>
      </c>
    </row>
    <row r="306">
      <c r="A306" s="260" t="inlineStr">
        <is>
          <t>DER-28</t>
        </is>
      </c>
      <c r="B306" s="260" t="inlineStr">
        <is>
          <t>Mensual</t>
        </is>
      </c>
      <c r="J306" s="260" t="inlineStr">
        <is>
          <t>SH-21</t>
        </is>
      </c>
      <c r="K306" s="10" t="inlineStr">
        <is>
          <t>Mensual</t>
        </is>
      </c>
    </row>
    <row r="307">
      <c r="A307" s="260" t="inlineStr">
        <is>
          <t>DER-42</t>
        </is>
      </c>
      <c r="B307" s="260" t="inlineStr">
        <is>
          <t>Mensual</t>
        </is>
      </c>
      <c r="J307" s="260" t="inlineStr">
        <is>
          <t>SH-22</t>
        </is>
      </c>
      <c r="K307" s="10" t="inlineStr">
        <is>
          <t>Mensual</t>
        </is>
      </c>
    </row>
    <row r="308">
      <c r="A308" s="260" t="inlineStr">
        <is>
          <t>Dique Huinquintipa</t>
        </is>
      </c>
      <c r="B308" s="260" t="inlineStr">
        <is>
          <t>-</t>
        </is>
      </c>
      <c r="J308" s="260" t="inlineStr">
        <is>
          <t>SH-23</t>
        </is>
      </c>
      <c r="K308" s="10" t="inlineStr">
        <is>
          <t>Mensual</t>
        </is>
      </c>
    </row>
    <row r="309">
      <c r="A309" s="260" t="inlineStr">
        <is>
          <t>Dique San Daniel</t>
        </is>
      </c>
      <c r="B309" s="260" t="inlineStr">
        <is>
          <t>-</t>
        </is>
      </c>
      <c r="J309" s="260" t="inlineStr">
        <is>
          <t>SWE-02</t>
        </is>
      </c>
      <c r="K309" s="10" t="inlineStr">
        <is>
          <t>Mensual</t>
        </is>
      </c>
    </row>
    <row r="310">
      <c r="A310" s="260" t="inlineStr">
        <is>
          <t>DPEC-04</t>
        </is>
      </c>
      <c r="B310" s="260" t="inlineStr">
        <is>
          <t>Mensual</t>
        </is>
      </c>
      <c r="J310" s="260" t="inlineStr">
        <is>
          <t>TK-002</t>
        </is>
      </c>
      <c r="K310" s="10" t="inlineStr">
        <is>
          <t>Mensual (Se realiza quincenal)</t>
        </is>
      </c>
    </row>
    <row r="311">
      <c r="A311" s="260" t="inlineStr">
        <is>
          <t>DPEC-05</t>
        </is>
      </c>
      <c r="B311" s="260" t="inlineStr">
        <is>
          <t>Mensual</t>
        </is>
      </c>
      <c r="J311" s="260" t="inlineStr">
        <is>
          <t>TK-1004</t>
        </is>
      </c>
      <c r="K311" s="10" t="inlineStr">
        <is>
          <t>Mensual (Se realiza quincenal) - Diario</t>
        </is>
      </c>
    </row>
    <row r="312">
      <c r="A312" s="260" t="inlineStr">
        <is>
          <t>DPEC-06</t>
        </is>
      </c>
      <c r="B312" s="260" t="inlineStr">
        <is>
          <t>Mensual</t>
        </is>
      </c>
      <c r="J312" s="260" t="inlineStr">
        <is>
          <t>TK-505</t>
        </is>
      </c>
      <c r="K312" s="10" t="inlineStr">
        <is>
          <t>Mensual (Se realiza quincenal) - Diario</t>
        </is>
      </c>
    </row>
    <row r="313">
      <c r="A313" s="260" t="inlineStr">
        <is>
          <t>DPEC-07</t>
        </is>
      </c>
      <c r="B313" s="260" t="inlineStr">
        <is>
          <t>Mensual</t>
        </is>
      </c>
      <c r="J313" s="260" t="inlineStr">
        <is>
          <t>TK-517</t>
        </is>
      </c>
      <c r="K313" s="10" t="inlineStr">
        <is>
          <t>Mensual (Se realiza quincenal) - Diario</t>
        </is>
      </c>
    </row>
    <row r="314">
      <c r="A314" s="260" t="inlineStr">
        <is>
          <t>DPEC-08</t>
        </is>
      </c>
      <c r="B314" s="260" t="inlineStr">
        <is>
          <t>Mensual</t>
        </is>
      </c>
      <c r="J314" s="260" t="inlineStr">
        <is>
          <t>UC-602</t>
        </is>
      </c>
      <c r="K314" s="10" t="inlineStr">
        <is>
          <t>Mensual</t>
        </is>
      </c>
    </row>
    <row r="315">
      <c r="A315" s="260" t="inlineStr">
        <is>
          <t>DU-01</t>
        </is>
      </c>
      <c r="B315" s="260" t="inlineStr">
        <is>
          <t>Mensual</t>
        </is>
      </c>
      <c r="J315" s="260" t="inlineStr">
        <is>
          <t>UC-603</t>
        </is>
      </c>
      <c r="K315" s="10" t="inlineStr">
        <is>
          <t>Mensual</t>
        </is>
      </c>
    </row>
    <row r="316">
      <c r="A316" s="260" t="inlineStr">
        <is>
          <t>DU-02A</t>
        </is>
      </c>
      <c r="B316" s="260" t="inlineStr">
        <is>
          <t>Mensual</t>
        </is>
      </c>
      <c r="J316" s="260" t="inlineStr">
        <is>
          <t>Mitigación Jachucoposa (actual)</t>
        </is>
      </c>
      <c r="K316" s="10" t="inlineStr">
        <is>
          <t>Mensual</t>
        </is>
      </c>
    </row>
    <row r="317">
      <c r="A317" s="260" t="inlineStr">
        <is>
          <t>DU-04</t>
        </is>
      </c>
      <c r="B317" s="260" t="inlineStr">
        <is>
          <t>Mensual</t>
        </is>
      </c>
      <c r="J317" s="260" t="inlineStr">
        <is>
          <t>Mitigación Jachucoposa (Nuevo)</t>
        </is>
      </c>
      <c r="K317" s="10" t="inlineStr">
        <is>
          <t>Mensual</t>
        </is>
      </c>
    </row>
    <row r="318">
      <c r="A318" s="260" t="inlineStr">
        <is>
          <t>DU-06</t>
        </is>
      </c>
      <c r="B318" s="260" t="inlineStr">
        <is>
          <t>Mensual</t>
        </is>
      </c>
      <c r="J318" s="260" t="inlineStr">
        <is>
          <t>P-4B</t>
        </is>
      </c>
      <c r="K318" s="10" t="inlineStr">
        <is>
          <t>Trimestral</t>
        </is>
      </c>
    </row>
    <row r="319">
      <c r="A319" s="260" t="inlineStr">
        <is>
          <t>Efluente desaladora</t>
        </is>
      </c>
      <c r="B319" s="260" t="inlineStr">
        <is>
          <t>-</t>
        </is>
      </c>
      <c r="J319" s="260" t="inlineStr">
        <is>
          <t>PTAS-M</t>
        </is>
      </c>
      <c r="K319" s="10" t="inlineStr">
        <is>
          <t>Semanal</t>
        </is>
      </c>
    </row>
    <row r="320">
      <c r="A320" s="260" t="inlineStr">
        <is>
          <t>EPC-01</t>
        </is>
      </c>
      <c r="B320" s="260" t="inlineStr">
        <is>
          <t>Trimestral</t>
        </is>
      </c>
      <c r="J320" s="260" t="inlineStr">
        <is>
          <t>Piscina P2</t>
        </is>
      </c>
      <c r="K320" s="260" t="inlineStr">
        <is>
          <t>Mensual</t>
        </is>
      </c>
    </row>
    <row r="321">
      <c r="A321" s="260" t="inlineStr">
        <is>
          <t>Estación 1</t>
        </is>
      </c>
      <c r="B321" s="260" t="inlineStr">
        <is>
          <t>-</t>
        </is>
      </c>
      <c r="J321" s="260" t="inlineStr">
        <is>
          <t>Piscina P3</t>
        </is>
      </c>
      <c r="K321" s="260" t="inlineStr">
        <is>
          <t>Mensual</t>
        </is>
      </c>
    </row>
    <row r="322">
      <c r="A322" s="260" t="inlineStr">
        <is>
          <t>Estación 2</t>
        </is>
      </c>
      <c r="B322" s="260" t="inlineStr">
        <is>
          <t>-</t>
        </is>
      </c>
    </row>
    <row r="323">
      <c r="A323" s="260" t="inlineStr">
        <is>
          <t>Estación 3</t>
        </is>
      </c>
      <c r="B323" s="260" t="inlineStr">
        <is>
          <t>-</t>
        </is>
      </c>
    </row>
    <row r="324">
      <c r="A324" s="260" t="inlineStr">
        <is>
          <t>Estanque recolección abastecimiento medida reposición MM1</t>
        </is>
      </c>
      <c r="B324" s="260" t="inlineStr">
        <is>
          <t>-</t>
        </is>
      </c>
    </row>
    <row r="325">
      <c r="A325" s="260" t="inlineStr">
        <is>
          <t>Extracciones del Rajo Rosario</t>
        </is>
      </c>
      <c r="B325" s="260" t="inlineStr">
        <is>
          <t>-</t>
        </is>
      </c>
    </row>
    <row r="326">
      <c r="A326" s="260" t="inlineStr">
        <is>
          <t>FAD</t>
        </is>
      </c>
      <c r="B326" s="260" t="inlineStr">
        <is>
          <t>-</t>
        </is>
      </c>
    </row>
    <row r="327">
      <c r="A327" s="260" t="inlineStr">
        <is>
          <t>GB-01</t>
        </is>
      </c>
      <c r="B327" s="260" t="inlineStr">
        <is>
          <t>Trimestral</t>
        </is>
      </c>
    </row>
    <row r="328">
      <c r="A328" s="260" t="inlineStr">
        <is>
          <t>GB-02</t>
        </is>
      </c>
      <c r="B328" s="260" t="inlineStr">
        <is>
          <t>Trimestral</t>
        </is>
      </c>
    </row>
    <row r="329">
      <c r="A329" s="260" t="inlineStr">
        <is>
          <t>GB-03</t>
        </is>
      </c>
      <c r="B329" s="260" t="inlineStr">
        <is>
          <t>Trimestral</t>
        </is>
      </c>
    </row>
    <row r="330">
      <c r="A330" s="260" t="inlineStr">
        <is>
          <t>GB-05</t>
        </is>
      </c>
      <c r="B330" s="260" t="inlineStr">
        <is>
          <t>Trimestral</t>
        </is>
      </c>
    </row>
    <row r="331">
      <c r="A331" s="260" t="inlineStr">
        <is>
          <t>GB-06</t>
        </is>
      </c>
      <c r="B331" s="260" t="inlineStr">
        <is>
          <t>Trimestral</t>
        </is>
      </c>
    </row>
    <row r="332">
      <c r="A332" s="260" t="inlineStr">
        <is>
          <t>HPS-01</t>
        </is>
      </c>
      <c r="B332" s="260" t="inlineStr">
        <is>
          <t>Trimestral</t>
        </is>
      </c>
    </row>
    <row r="333">
      <c r="A333" s="260" t="inlineStr">
        <is>
          <t>HPS-02</t>
        </is>
      </c>
      <c r="B333" s="260" t="inlineStr">
        <is>
          <t>Trimestral</t>
        </is>
      </c>
    </row>
    <row r="334">
      <c r="A334" s="260" t="inlineStr">
        <is>
          <t>HPS-04</t>
        </is>
      </c>
      <c r="B334" s="260" t="inlineStr">
        <is>
          <t>Trimestral</t>
        </is>
      </c>
    </row>
    <row r="335">
      <c r="A335" s="260" t="inlineStr">
        <is>
          <t>HPS-11</t>
        </is>
      </c>
      <c r="B335" s="260" t="inlineStr">
        <is>
          <t>Trimestral</t>
        </is>
      </c>
    </row>
    <row r="336">
      <c r="A336" s="260" t="inlineStr">
        <is>
          <t>HPS-12</t>
        </is>
      </c>
      <c r="B336" s="260" t="inlineStr">
        <is>
          <t>Trimestral</t>
        </is>
      </c>
    </row>
    <row r="337">
      <c r="A337" s="260" t="inlineStr">
        <is>
          <t>HPS-14</t>
        </is>
      </c>
      <c r="B337" s="260" t="inlineStr">
        <is>
          <t>Trimestral</t>
        </is>
      </c>
    </row>
    <row r="338">
      <c r="A338" s="260" t="inlineStr">
        <is>
          <t>HPS-36</t>
        </is>
      </c>
      <c r="B338" s="260" t="inlineStr">
        <is>
          <t>Trimestral</t>
        </is>
      </c>
    </row>
    <row r="339">
      <c r="A339" s="260" t="inlineStr">
        <is>
          <t>HPS-38</t>
        </is>
      </c>
      <c r="B339" s="260" t="inlineStr">
        <is>
          <t>Trimestral</t>
        </is>
      </c>
    </row>
    <row r="340">
      <c r="A340" s="260" t="inlineStr">
        <is>
          <t>HPS-39A</t>
        </is>
      </c>
      <c r="B340" s="260" t="inlineStr">
        <is>
          <t>Trimestral</t>
        </is>
      </c>
    </row>
    <row r="341">
      <c r="A341" s="260" t="inlineStr">
        <is>
          <t>HPS-39B</t>
        </is>
      </c>
      <c r="B341" s="260" t="inlineStr">
        <is>
          <t>Trimestral</t>
        </is>
      </c>
    </row>
    <row r="342">
      <c r="A342" s="260" t="inlineStr">
        <is>
          <t>HPS-40A</t>
        </is>
      </c>
      <c r="B342" s="260" t="inlineStr">
        <is>
          <t>Trimestral</t>
        </is>
      </c>
    </row>
    <row r="343">
      <c r="A343" s="260" t="inlineStr">
        <is>
          <t>HPS-40B</t>
        </is>
      </c>
      <c r="B343" s="260" t="inlineStr">
        <is>
          <t>Trimestral</t>
        </is>
      </c>
    </row>
    <row r="344">
      <c r="A344" s="260" t="inlineStr">
        <is>
          <t>HTC-1</t>
        </is>
      </c>
      <c r="B344" s="260" t="inlineStr">
        <is>
          <t>-</t>
        </is>
      </c>
    </row>
    <row r="345">
      <c r="A345" s="260" t="inlineStr">
        <is>
          <t>HTC-3</t>
        </is>
      </c>
      <c r="B345" s="260" t="inlineStr">
        <is>
          <t>-</t>
        </is>
      </c>
    </row>
    <row r="346">
      <c r="A346" s="260" t="inlineStr">
        <is>
          <t>HTC-4A</t>
        </is>
      </c>
      <c r="B346" s="260" t="inlineStr">
        <is>
          <t>-</t>
        </is>
      </c>
    </row>
    <row r="347">
      <c r="A347" s="260" t="inlineStr">
        <is>
          <t>HUA-P01</t>
        </is>
      </c>
      <c r="B347" s="260" t="inlineStr">
        <is>
          <t>Trimestral</t>
        </is>
      </c>
    </row>
    <row r="348">
      <c r="A348" s="260" t="inlineStr">
        <is>
          <t>Huinquintipa arriba (QDH-02)</t>
        </is>
      </c>
      <c r="B348" s="260" t="inlineStr">
        <is>
          <t>-</t>
        </is>
      </c>
    </row>
    <row r="349">
      <c r="A349" s="260" t="inlineStr">
        <is>
          <t>JCC-04</t>
        </is>
      </c>
      <c r="B349" s="260" t="inlineStr">
        <is>
          <t>-</t>
        </is>
      </c>
    </row>
    <row r="350">
      <c r="A350" s="260" t="inlineStr">
        <is>
          <t>JCC-05</t>
        </is>
      </c>
      <c r="B350" s="260" t="inlineStr">
        <is>
          <t>-</t>
        </is>
      </c>
    </row>
    <row r="351">
      <c r="A351" s="260" t="inlineStr">
        <is>
          <t>L01</t>
        </is>
      </c>
      <c r="B351" s="260" t="inlineStr">
        <is>
          <t>Trimestral</t>
        </is>
      </c>
    </row>
    <row r="352">
      <c r="A352" s="260" t="inlineStr">
        <is>
          <t>L02</t>
        </is>
      </c>
      <c r="B352" s="260" t="inlineStr">
        <is>
          <t>Trimestral</t>
        </is>
      </c>
    </row>
    <row r="353">
      <c r="A353" s="260" t="inlineStr">
        <is>
          <t>LC</t>
        </is>
      </c>
      <c r="B353" s="260" t="inlineStr">
        <is>
          <t>Continuo</t>
        </is>
      </c>
    </row>
    <row r="354">
      <c r="A354" s="260" t="inlineStr">
        <is>
          <t>LM</t>
        </is>
      </c>
      <c r="B354" s="260" t="inlineStr">
        <is>
          <t>Continuo</t>
        </is>
      </c>
    </row>
    <row r="355">
      <c r="A355" s="260" t="inlineStr">
        <is>
          <t>LPDC-01</t>
        </is>
      </c>
      <c r="B355" s="260" t="inlineStr">
        <is>
          <t>Mensual</t>
        </is>
      </c>
    </row>
    <row r="356">
      <c r="A356" s="260" t="inlineStr">
        <is>
          <t>LPDC-02</t>
        </is>
      </c>
      <c r="B356" s="260" t="inlineStr">
        <is>
          <t>Mensual</t>
        </is>
      </c>
    </row>
    <row r="357">
      <c r="A357" s="260" t="inlineStr">
        <is>
          <t>LPDC-03</t>
        </is>
      </c>
      <c r="B357" s="260" t="inlineStr">
        <is>
          <t>Mensual</t>
        </is>
      </c>
    </row>
    <row r="358">
      <c r="A358" s="260" t="inlineStr">
        <is>
          <t>LPDC-04</t>
        </is>
      </c>
      <c r="B358" s="260" t="inlineStr">
        <is>
          <t>Mensual</t>
        </is>
      </c>
    </row>
    <row r="359">
      <c r="A359" s="260" t="inlineStr">
        <is>
          <t>LPDC-05</t>
        </is>
      </c>
      <c r="B359" s="260" t="inlineStr">
        <is>
          <t>Mensual</t>
        </is>
      </c>
    </row>
    <row r="360">
      <c r="A360" s="260" t="inlineStr">
        <is>
          <t>LPDC-06</t>
        </is>
      </c>
      <c r="B360" s="260" t="inlineStr">
        <is>
          <t>Mensual</t>
        </is>
      </c>
    </row>
    <row r="361">
      <c r="A361" s="260" t="inlineStr">
        <is>
          <t>LPDC-07</t>
        </is>
      </c>
      <c r="B361" s="260" t="inlineStr">
        <is>
          <t>Mensual</t>
        </is>
      </c>
    </row>
    <row r="362">
      <c r="A362" s="260" t="inlineStr">
        <is>
          <t>LPDC-08</t>
        </is>
      </c>
      <c r="B362" s="260" t="inlineStr">
        <is>
          <t>Mensual</t>
        </is>
      </c>
    </row>
    <row r="363">
      <c r="A363" s="260" t="inlineStr">
        <is>
          <t>LPDC-09</t>
        </is>
      </c>
      <c r="B363" s="260" t="inlineStr">
        <is>
          <t>Mensual</t>
        </is>
      </c>
    </row>
    <row r="364">
      <c r="A364" s="260" t="inlineStr">
        <is>
          <t>LPDC-10</t>
        </is>
      </c>
      <c r="B364" s="260" t="inlineStr">
        <is>
          <t>Mensual</t>
        </is>
      </c>
    </row>
    <row r="365">
      <c r="A365" s="260" t="inlineStr">
        <is>
          <t>LPDC-11</t>
        </is>
      </c>
      <c r="B365" s="260" t="inlineStr">
        <is>
          <t>Mensual</t>
        </is>
      </c>
    </row>
    <row r="366">
      <c r="A366" s="260" t="inlineStr">
        <is>
          <t>M-04C</t>
        </is>
      </c>
      <c r="B366" s="260" t="inlineStr">
        <is>
          <t>Mensual</t>
        </is>
      </c>
    </row>
    <row r="367">
      <c r="A367" s="260" t="inlineStr">
        <is>
          <t>M-05</t>
        </is>
      </c>
      <c r="B367" s="260" t="inlineStr">
        <is>
          <t>Mensual</t>
        </is>
      </c>
    </row>
    <row r="368">
      <c r="A368" s="260" t="inlineStr">
        <is>
          <t>M-09</t>
        </is>
      </c>
      <c r="B368" s="260" t="inlineStr">
        <is>
          <t>Trimestral</t>
        </is>
      </c>
    </row>
    <row r="369">
      <c r="A369" s="260" t="inlineStr">
        <is>
          <t>M-10</t>
        </is>
      </c>
      <c r="B369" s="260" t="inlineStr">
        <is>
          <t>Mensual</t>
        </is>
      </c>
    </row>
    <row r="370">
      <c r="A370" s="260" t="inlineStr">
        <is>
          <t>M-12</t>
        </is>
      </c>
      <c r="B370" s="260" t="inlineStr">
        <is>
          <t>Mensual</t>
        </is>
      </c>
    </row>
    <row r="371">
      <c r="A371" s="260" t="inlineStr">
        <is>
          <t>M-13</t>
        </is>
      </c>
      <c r="B371" s="260" t="inlineStr">
        <is>
          <t>Mensual</t>
        </is>
      </c>
    </row>
    <row r="372">
      <c r="A372" s="260" t="inlineStr">
        <is>
          <t>M-14</t>
        </is>
      </c>
      <c r="B372" s="260" t="inlineStr">
        <is>
          <t>Mensual</t>
        </is>
      </c>
    </row>
    <row r="373">
      <c r="A373" s="260" t="inlineStr">
        <is>
          <t>M-15</t>
        </is>
      </c>
      <c r="B373" s="260" t="inlineStr">
        <is>
          <t>Mensual</t>
        </is>
      </c>
    </row>
    <row r="374">
      <c r="A374" s="260" t="inlineStr">
        <is>
          <t>M-16</t>
        </is>
      </c>
      <c r="B374" s="260" t="inlineStr">
        <is>
          <t>Trimestral</t>
        </is>
      </c>
    </row>
    <row r="375">
      <c r="A375" s="260" t="inlineStr">
        <is>
          <t>M-17</t>
        </is>
      </c>
      <c r="B375" s="260" t="inlineStr">
        <is>
          <t>Trimestral</t>
        </is>
      </c>
    </row>
    <row r="376">
      <c r="A376" s="260" t="inlineStr">
        <is>
          <t>M-18</t>
        </is>
      </c>
      <c r="B376" s="260" t="inlineStr">
        <is>
          <t>Mensual</t>
        </is>
      </c>
    </row>
    <row r="377">
      <c r="A377" s="260" t="inlineStr">
        <is>
          <t>M-19</t>
        </is>
      </c>
      <c r="B377" s="260" t="inlineStr">
        <is>
          <t>Mensual</t>
        </is>
      </c>
    </row>
    <row r="378">
      <c r="A378" s="260" t="inlineStr">
        <is>
          <t>M-21</t>
        </is>
      </c>
      <c r="B378" s="260" t="inlineStr">
        <is>
          <t>Mensual</t>
        </is>
      </c>
    </row>
    <row r="379">
      <c r="A379" s="260" t="inlineStr">
        <is>
          <t>M-23</t>
        </is>
      </c>
      <c r="B379" s="260" t="inlineStr">
        <is>
          <t>Trimestral</t>
        </is>
      </c>
    </row>
    <row r="380">
      <c r="A380" s="260" t="inlineStr">
        <is>
          <t>M-26A</t>
        </is>
      </c>
      <c r="B380" s="260" t="inlineStr">
        <is>
          <t>Mensual</t>
        </is>
      </c>
    </row>
    <row r="381">
      <c r="A381" s="260" t="inlineStr">
        <is>
          <t>M-27</t>
        </is>
      </c>
      <c r="B381" s="260" t="inlineStr">
        <is>
          <t>Mensual</t>
        </is>
      </c>
    </row>
    <row r="382">
      <c r="A382" s="260" t="inlineStr">
        <is>
          <t>M-28</t>
        </is>
      </c>
      <c r="B382" s="260" t="inlineStr">
        <is>
          <t>Mensual</t>
        </is>
      </c>
    </row>
    <row r="383">
      <c r="A383" s="260" t="inlineStr">
        <is>
          <t>MA-01</t>
        </is>
      </c>
      <c r="B383" s="260" t="inlineStr">
        <is>
          <t>Mensual</t>
        </is>
      </c>
    </row>
    <row r="384">
      <c r="A384" s="260" t="inlineStr">
        <is>
          <t>MA-02C</t>
        </is>
      </c>
      <c r="B384" s="260" t="inlineStr">
        <is>
          <t>Mensual</t>
        </is>
      </c>
    </row>
    <row r="385">
      <c r="A385" s="260" t="inlineStr">
        <is>
          <t>MA-03A</t>
        </is>
      </c>
      <c r="B385" s="260" t="inlineStr">
        <is>
          <t>Mensual</t>
        </is>
      </c>
    </row>
    <row r="386">
      <c r="A386" s="260" t="inlineStr">
        <is>
          <t>MA-08</t>
        </is>
      </c>
      <c r="B386" s="260" t="inlineStr">
        <is>
          <t>Mensual</t>
        </is>
      </c>
    </row>
    <row r="387">
      <c r="A387" s="260" t="inlineStr">
        <is>
          <t>MA-09B</t>
        </is>
      </c>
      <c r="B387" s="260" t="inlineStr">
        <is>
          <t>Trimestral</t>
        </is>
      </c>
    </row>
    <row r="388">
      <c r="A388" s="260" t="inlineStr">
        <is>
          <t>MAH-01</t>
        </is>
      </c>
      <c r="B388" s="260" t="inlineStr">
        <is>
          <t>Mensual</t>
        </is>
      </c>
    </row>
    <row r="389">
      <c r="A389" s="260" t="inlineStr">
        <is>
          <t>Mal Paso</t>
        </is>
      </c>
      <c r="B389" s="260" t="inlineStr">
        <is>
          <t>-</t>
        </is>
      </c>
    </row>
    <row r="390">
      <c r="A390" s="260" t="inlineStr">
        <is>
          <t>MAU-01B</t>
        </is>
      </c>
      <c r="B390" s="260" t="inlineStr">
        <is>
          <t>Trimestral</t>
        </is>
      </c>
    </row>
    <row r="391">
      <c r="A391" s="260" t="inlineStr">
        <is>
          <t>MAU-02</t>
        </is>
      </c>
      <c r="B391" s="260" t="inlineStr">
        <is>
          <t>Mensual</t>
        </is>
      </c>
    </row>
    <row r="392">
      <c r="A392" s="260" t="inlineStr">
        <is>
          <t>MAU-03B</t>
        </is>
      </c>
      <c r="B392" s="260" t="inlineStr">
        <is>
          <t>Mensual</t>
        </is>
      </c>
    </row>
    <row r="393">
      <c r="A393" s="260" t="inlineStr">
        <is>
          <t>MAU-05B</t>
        </is>
      </c>
      <c r="B393" s="260" t="inlineStr">
        <is>
          <t>Mensual</t>
        </is>
      </c>
    </row>
    <row r="394">
      <c r="A394" s="260" t="inlineStr">
        <is>
          <t>MAU-07B</t>
        </is>
      </c>
      <c r="B394" s="260" t="inlineStr">
        <is>
          <t>Mensual</t>
        </is>
      </c>
    </row>
    <row r="395">
      <c r="A395" s="260" t="inlineStr">
        <is>
          <t>MAU-08B</t>
        </is>
      </c>
      <c r="B395" s="260" t="inlineStr">
        <is>
          <t>Mensual</t>
        </is>
      </c>
    </row>
    <row r="396">
      <c r="A396" s="260" t="inlineStr">
        <is>
          <t>MAU-09</t>
        </is>
      </c>
      <c r="B396" s="260" t="inlineStr">
        <is>
          <t>Mensual</t>
        </is>
      </c>
    </row>
    <row r="397">
      <c r="A397" s="260" t="inlineStr">
        <is>
          <t>MAU-10</t>
        </is>
      </c>
      <c r="B397" s="260" t="inlineStr">
        <is>
          <t>Mensual</t>
        </is>
      </c>
    </row>
    <row r="398">
      <c r="A398" s="260" t="inlineStr">
        <is>
          <t>MAU-11B</t>
        </is>
      </c>
      <c r="B398" s="260" t="inlineStr">
        <is>
          <t>Mensual</t>
        </is>
      </c>
    </row>
    <row r="399">
      <c r="A399" s="260" t="inlineStr">
        <is>
          <t>MAU-12</t>
        </is>
      </c>
      <c r="B399" s="260" t="inlineStr">
        <is>
          <t>Mensual</t>
        </is>
      </c>
    </row>
    <row r="400">
      <c r="A400" s="260" t="inlineStr">
        <is>
          <t>MAU-13</t>
        </is>
      </c>
      <c r="B400" s="260" t="inlineStr">
        <is>
          <t>Mensual</t>
        </is>
      </c>
    </row>
    <row r="401">
      <c r="A401" s="260" t="inlineStr">
        <is>
          <t>MAU-14</t>
        </is>
      </c>
      <c r="B401" s="260" t="inlineStr">
        <is>
          <t>Mensual</t>
        </is>
      </c>
    </row>
    <row r="402">
      <c r="A402" s="260" t="inlineStr">
        <is>
          <t>MAU-15</t>
        </is>
      </c>
      <c r="B402" s="260" t="inlineStr">
        <is>
          <t>Mensual</t>
        </is>
      </c>
    </row>
    <row r="403">
      <c r="A403" s="260" t="inlineStr">
        <is>
          <t>MAU-16</t>
        </is>
      </c>
      <c r="B403" s="260" t="inlineStr">
        <is>
          <t>Mensual</t>
        </is>
      </c>
    </row>
    <row r="404">
      <c r="A404" s="260" t="inlineStr">
        <is>
          <t>MIT-01B</t>
        </is>
      </c>
      <c r="B404" s="260" t="inlineStr">
        <is>
          <t>Mensual</t>
        </is>
      </c>
    </row>
    <row r="405">
      <c r="A405" s="260" t="inlineStr">
        <is>
          <t>MIT-02B</t>
        </is>
      </c>
      <c r="B405" s="260" t="inlineStr">
        <is>
          <t>Mensual</t>
        </is>
      </c>
    </row>
    <row r="406">
      <c r="A406" s="260" t="inlineStr">
        <is>
          <t>MIT-03</t>
        </is>
      </c>
      <c r="B406" s="260" t="inlineStr">
        <is>
          <t>Mensual</t>
        </is>
      </c>
    </row>
    <row r="407">
      <c r="A407" s="260" t="inlineStr">
        <is>
          <t>MMA-01</t>
        </is>
      </c>
      <c r="B407" s="260" t="inlineStr">
        <is>
          <t>Trimestral</t>
        </is>
      </c>
    </row>
    <row r="408">
      <c r="A408" s="260" t="inlineStr">
        <is>
          <t>MMA-02</t>
        </is>
      </c>
      <c r="B408" s="260" t="inlineStr">
        <is>
          <t>Trimestral</t>
        </is>
      </c>
    </row>
    <row r="409">
      <c r="A409" s="260" t="inlineStr">
        <is>
          <t>MMA-03</t>
        </is>
      </c>
      <c r="B409" s="260" t="inlineStr">
        <is>
          <t>Trimestral</t>
        </is>
      </c>
    </row>
    <row r="410">
      <c r="A410" s="260" t="inlineStr">
        <is>
          <t>MMA-04</t>
        </is>
      </c>
      <c r="B410" s="260" t="inlineStr">
        <is>
          <t>Mensual</t>
        </is>
      </c>
    </row>
    <row r="411">
      <c r="A411" s="260" t="inlineStr">
        <is>
          <t>MMA-05</t>
        </is>
      </c>
      <c r="B411" s="260" t="inlineStr">
        <is>
          <t>Mensual</t>
        </is>
      </c>
    </row>
    <row r="412">
      <c r="A412" s="260" t="inlineStr">
        <is>
          <t>MMA-06</t>
        </is>
      </c>
      <c r="B412" s="260" t="inlineStr">
        <is>
          <t>Mensual</t>
        </is>
      </c>
    </row>
    <row r="413">
      <c r="A413" s="260" t="inlineStr">
        <is>
          <t>MMA-07</t>
        </is>
      </c>
      <c r="B413" s="260" t="inlineStr">
        <is>
          <t>Mensual</t>
        </is>
      </c>
    </row>
    <row r="414">
      <c r="A414" s="260" t="inlineStr">
        <is>
          <t>MMA-08</t>
        </is>
      </c>
      <c r="B414" s="260" t="inlineStr">
        <is>
          <t>Mensual</t>
        </is>
      </c>
    </row>
    <row r="415">
      <c r="A415" s="260" t="inlineStr">
        <is>
          <t>MMA-09</t>
        </is>
      </c>
      <c r="B415" s="260" t="inlineStr">
        <is>
          <t>Mensual</t>
        </is>
      </c>
    </row>
    <row r="416">
      <c r="A416" s="260" t="inlineStr">
        <is>
          <t>MMA-10</t>
        </is>
      </c>
      <c r="B416" s="260" t="inlineStr">
        <is>
          <t>Mensual</t>
        </is>
      </c>
    </row>
    <row r="417">
      <c r="A417" s="260" t="inlineStr">
        <is>
          <t>MMA-11</t>
        </is>
      </c>
      <c r="B417" s="260" t="inlineStr">
        <is>
          <t>Mensual</t>
        </is>
      </c>
    </row>
    <row r="418">
      <c r="A418" s="260" t="inlineStr">
        <is>
          <t>MMA-12</t>
        </is>
      </c>
      <c r="B418" s="260" t="inlineStr">
        <is>
          <t>Mensual</t>
        </is>
      </c>
    </row>
    <row r="419">
      <c r="A419" s="260" t="inlineStr">
        <is>
          <t>MMA-13</t>
        </is>
      </c>
      <c r="B419" s="260" t="inlineStr">
        <is>
          <t>Mensual</t>
        </is>
      </c>
    </row>
    <row r="420">
      <c r="A420" s="260" t="inlineStr">
        <is>
          <t>MMA-14</t>
        </is>
      </c>
      <c r="B420" s="260" t="inlineStr">
        <is>
          <t>Mensual</t>
        </is>
      </c>
    </row>
    <row r="421">
      <c r="A421" s="260" t="inlineStr">
        <is>
          <t>MP-01</t>
        </is>
      </c>
      <c r="B421" s="260" t="inlineStr">
        <is>
          <t>Mensual</t>
        </is>
      </c>
    </row>
    <row r="422">
      <c r="A422" s="260" t="inlineStr">
        <is>
          <t>MP-02</t>
        </is>
      </c>
      <c r="B422" s="260" t="inlineStr">
        <is>
          <t>Mensual</t>
        </is>
      </c>
    </row>
    <row r="423">
      <c r="A423" s="260" t="inlineStr">
        <is>
          <t>MP-03</t>
        </is>
      </c>
      <c r="B423" s="260" t="inlineStr">
        <is>
          <t>Mensual</t>
        </is>
      </c>
    </row>
    <row r="424">
      <c r="A424" s="260" t="inlineStr">
        <is>
          <t>MP-04</t>
        </is>
      </c>
      <c r="B424" s="260" t="inlineStr">
        <is>
          <t>Mensual</t>
        </is>
      </c>
    </row>
    <row r="425">
      <c r="A425" s="260" t="inlineStr">
        <is>
          <t>MP-05</t>
        </is>
      </c>
      <c r="B425" s="260" t="inlineStr">
        <is>
          <t>Mensual</t>
        </is>
      </c>
    </row>
    <row r="426">
      <c r="A426" s="260" t="inlineStr">
        <is>
          <t>MP-06</t>
        </is>
      </c>
      <c r="B426" s="260" t="inlineStr">
        <is>
          <t>Mensual</t>
        </is>
      </c>
    </row>
    <row r="427">
      <c r="A427" s="260" t="inlineStr">
        <is>
          <t>MP-07</t>
        </is>
      </c>
      <c r="B427" s="260" t="inlineStr">
        <is>
          <t>Mensual</t>
        </is>
      </c>
    </row>
    <row r="428">
      <c r="A428" s="260" t="inlineStr">
        <is>
          <t>MP-08</t>
        </is>
      </c>
      <c r="B428" s="260" t="inlineStr">
        <is>
          <t>Mensual</t>
        </is>
      </c>
    </row>
    <row r="429">
      <c r="A429" s="260" t="inlineStr">
        <is>
          <t>MP-09</t>
        </is>
      </c>
      <c r="B429" s="260" t="inlineStr">
        <is>
          <t>Mensual</t>
        </is>
      </c>
    </row>
    <row r="430">
      <c r="A430" s="260" t="inlineStr">
        <is>
          <t>MP-10</t>
        </is>
      </c>
      <c r="B430" s="260" t="inlineStr">
        <is>
          <t>Mensual</t>
        </is>
      </c>
    </row>
    <row r="431">
      <c r="A431" s="260" t="inlineStr">
        <is>
          <t>MP-11</t>
        </is>
      </c>
      <c r="B431" s="260" t="inlineStr">
        <is>
          <t>Mensual</t>
        </is>
      </c>
    </row>
    <row r="432">
      <c r="A432" s="260" t="inlineStr">
        <is>
          <t>MP-12</t>
        </is>
      </c>
      <c r="B432" s="260" t="inlineStr">
        <is>
          <t>Mensual</t>
        </is>
      </c>
    </row>
    <row r="433">
      <c r="A433" s="260" t="inlineStr">
        <is>
          <t>MP-13</t>
        </is>
      </c>
      <c r="B433" s="260" t="inlineStr">
        <is>
          <t>Mensual</t>
        </is>
      </c>
    </row>
    <row r="434">
      <c r="A434" s="260" t="inlineStr">
        <is>
          <t>MP-14</t>
        </is>
      </c>
      <c r="B434" s="260" t="inlineStr">
        <is>
          <t>Mensual</t>
        </is>
      </c>
    </row>
    <row r="435">
      <c r="A435" s="260" t="inlineStr">
        <is>
          <t>MP-15</t>
        </is>
      </c>
      <c r="B435" s="260" t="inlineStr">
        <is>
          <t>Mensual</t>
        </is>
      </c>
    </row>
    <row r="436">
      <c r="A436" s="260" t="inlineStr">
        <is>
          <t>MP-17</t>
        </is>
      </c>
      <c r="B436" s="260" t="inlineStr">
        <is>
          <t>Mensual</t>
        </is>
      </c>
    </row>
    <row r="437">
      <c r="A437" s="260" t="inlineStr">
        <is>
          <t>MP-18</t>
        </is>
      </c>
      <c r="B437" s="260" t="inlineStr">
        <is>
          <t>Mensual</t>
        </is>
      </c>
    </row>
    <row r="438">
      <c r="A438" s="260" t="inlineStr">
        <is>
          <t>MPDR</t>
        </is>
      </c>
      <c r="B438" s="260" t="inlineStr">
        <is>
          <t>-</t>
        </is>
      </c>
    </row>
    <row r="439">
      <c r="A439" s="260" t="inlineStr">
        <is>
          <t>MPZ-04</t>
        </is>
      </c>
      <c r="B439" s="260" t="inlineStr">
        <is>
          <t>Mensual</t>
        </is>
      </c>
    </row>
    <row r="440">
      <c r="A440" s="260" t="inlineStr">
        <is>
          <t>MPZ-05B</t>
        </is>
      </c>
      <c r="B440" s="260" t="inlineStr">
        <is>
          <t>Mensual</t>
        </is>
      </c>
    </row>
    <row r="441">
      <c r="A441" s="260" t="inlineStr">
        <is>
          <t>MPZ-05B-L2</t>
        </is>
      </c>
      <c r="B441" s="260" t="inlineStr">
        <is>
          <t>Mensual</t>
        </is>
      </c>
    </row>
    <row r="442">
      <c r="A442" s="260" t="inlineStr">
        <is>
          <t>MPZ-08A2-L2</t>
        </is>
      </c>
      <c r="B442" s="260" t="inlineStr">
        <is>
          <t>Mensual</t>
        </is>
      </c>
    </row>
    <row r="443">
      <c r="A443" s="260" t="inlineStr">
        <is>
          <t>MPZ-08B2</t>
        </is>
      </c>
      <c r="B443" s="260" t="inlineStr">
        <is>
          <t>Mensual</t>
        </is>
      </c>
    </row>
    <row r="444">
      <c r="A444" s="260" t="inlineStr">
        <is>
          <t>MPZ-08C</t>
        </is>
      </c>
      <c r="B444" s="260" t="inlineStr">
        <is>
          <t>Mensual</t>
        </is>
      </c>
    </row>
    <row r="445">
      <c r="A445" s="260" t="inlineStr">
        <is>
          <t>MPZ-09</t>
        </is>
      </c>
      <c r="B445" s="260" t="inlineStr">
        <is>
          <t>Mensual</t>
        </is>
      </c>
    </row>
    <row r="446">
      <c r="A446" s="260" t="inlineStr">
        <is>
          <t>MPZ-10A</t>
        </is>
      </c>
      <c r="B446" s="260" t="inlineStr">
        <is>
          <t>Mensual</t>
        </is>
      </c>
    </row>
    <row r="447">
      <c r="A447" s="260" t="inlineStr">
        <is>
          <t>MPZ-10B</t>
        </is>
      </c>
      <c r="B447" s="260" t="inlineStr">
        <is>
          <t>Mensual</t>
        </is>
      </c>
    </row>
    <row r="448">
      <c r="A448" s="260" t="inlineStr">
        <is>
          <t>MPZ-11B</t>
        </is>
      </c>
      <c r="B448" s="260" t="inlineStr">
        <is>
          <t>Mensual</t>
        </is>
      </c>
    </row>
    <row r="449">
      <c r="A449" s="260" t="inlineStr">
        <is>
          <t>MPZ-12</t>
        </is>
      </c>
      <c r="B449" s="260" t="inlineStr">
        <is>
          <t>Mensual</t>
        </is>
      </c>
    </row>
    <row r="450">
      <c r="A450" s="260" t="inlineStr">
        <is>
          <t>MPZ-12A</t>
        </is>
      </c>
      <c r="B450" s="260" t="inlineStr">
        <is>
          <t>Mensual</t>
        </is>
      </c>
    </row>
    <row r="451">
      <c r="A451" s="260" t="inlineStr">
        <is>
          <t>MPZ-12AL2</t>
        </is>
      </c>
      <c r="B451" s="260" t="inlineStr">
        <is>
          <t>Mensual</t>
        </is>
      </c>
    </row>
    <row r="452">
      <c r="A452" s="260" t="inlineStr">
        <is>
          <t>MPZ-12L2</t>
        </is>
      </c>
      <c r="B452" s="260" t="inlineStr">
        <is>
          <t>Mensual</t>
        </is>
      </c>
    </row>
    <row r="453">
      <c r="A453" s="260" t="inlineStr">
        <is>
          <t>MPZ-8A2</t>
        </is>
      </c>
      <c r="B453" s="260" t="inlineStr">
        <is>
          <t>Mensual</t>
        </is>
      </c>
    </row>
    <row r="454">
      <c r="A454" s="260" t="inlineStr">
        <is>
          <t>MSW-02</t>
        </is>
      </c>
      <c r="B454" s="260" t="inlineStr">
        <is>
          <t>-</t>
        </is>
      </c>
    </row>
    <row r="455">
      <c r="A455" s="260" t="inlineStr">
        <is>
          <t>MSW-03</t>
        </is>
      </c>
      <c r="B455" s="260" t="inlineStr">
        <is>
          <t>-</t>
        </is>
      </c>
    </row>
    <row r="456">
      <c r="A456" s="260" t="inlineStr">
        <is>
          <t>MSW-1A</t>
        </is>
      </c>
      <c r="B456" s="260" t="inlineStr">
        <is>
          <t>-</t>
        </is>
      </c>
    </row>
    <row r="457">
      <c r="A457" s="260" t="inlineStr">
        <is>
          <t>MTP-09</t>
        </is>
      </c>
      <c r="B457" s="260" t="inlineStr">
        <is>
          <t>Mensual</t>
        </is>
      </c>
    </row>
    <row r="458">
      <c r="A458" s="260" t="inlineStr">
        <is>
          <t>MTP-11</t>
        </is>
      </c>
      <c r="B458" s="260" t="inlineStr">
        <is>
          <t>Mensual</t>
        </is>
      </c>
    </row>
    <row r="459">
      <c r="A459" s="260" t="inlineStr">
        <is>
          <t>MTP-12</t>
        </is>
      </c>
      <c r="B459" s="260" t="inlineStr">
        <is>
          <t>Mensual</t>
        </is>
      </c>
    </row>
    <row r="460">
      <c r="A460" s="260" t="inlineStr">
        <is>
          <t>MTP-13</t>
        </is>
      </c>
      <c r="B460" s="260" t="inlineStr">
        <is>
          <t>Mensual</t>
        </is>
      </c>
    </row>
    <row r="461">
      <c r="A461" s="260" t="inlineStr">
        <is>
          <t>MTP-14</t>
        </is>
      </c>
      <c r="B461" s="260" t="inlineStr">
        <is>
          <t>Mensual</t>
        </is>
      </c>
    </row>
    <row r="462">
      <c r="A462" s="260" t="inlineStr">
        <is>
          <t>MTP-15</t>
        </is>
      </c>
      <c r="B462" s="260" t="inlineStr">
        <is>
          <t>Mensual</t>
        </is>
      </c>
    </row>
    <row r="463">
      <c r="A463" s="260" t="inlineStr">
        <is>
          <t>MTP-16</t>
        </is>
      </c>
      <c r="B463" s="260" t="inlineStr">
        <is>
          <t>Mensual</t>
        </is>
      </c>
    </row>
    <row r="464">
      <c r="A464" s="260" t="inlineStr">
        <is>
          <t>MTP-20</t>
        </is>
      </c>
      <c r="B464" s="260" t="inlineStr">
        <is>
          <t>Mensual</t>
        </is>
      </c>
    </row>
    <row r="465">
      <c r="A465" s="260" t="inlineStr">
        <is>
          <t>NN1</t>
        </is>
      </c>
      <c r="B465" s="260" t="inlineStr">
        <is>
          <t>Trimestral</t>
        </is>
      </c>
    </row>
    <row r="466">
      <c r="A466" s="260" t="inlineStr">
        <is>
          <t>NN2</t>
        </is>
      </c>
      <c r="B466" s="260" t="inlineStr">
        <is>
          <t>Trimestral</t>
        </is>
      </c>
    </row>
    <row r="467">
      <c r="A467" s="260" t="inlineStr">
        <is>
          <t>NP-6
(reemplaza al P-6)</t>
        </is>
      </c>
      <c r="B467" s="260" t="inlineStr">
        <is>
          <t>Trimestral</t>
        </is>
      </c>
    </row>
    <row r="468">
      <c r="A468" s="260" t="inlineStr">
        <is>
          <t>NS</t>
        </is>
      </c>
      <c r="B468" s="260" t="inlineStr">
        <is>
          <t>Mensual</t>
        </is>
      </c>
    </row>
    <row r="469">
      <c r="A469" s="260" t="inlineStr">
        <is>
          <t>P-6</t>
        </is>
      </c>
      <c r="B469" s="260" t="inlineStr">
        <is>
          <t>Mensual</t>
        </is>
      </c>
    </row>
    <row r="470">
      <c r="A470" s="260" t="inlineStr">
        <is>
          <t>PAR</t>
        </is>
      </c>
      <c r="B470" s="260" t="inlineStr">
        <is>
          <t>Trimestral</t>
        </is>
      </c>
    </row>
    <row r="471">
      <c r="A471" s="260" t="inlineStr">
        <is>
          <t>PC-01</t>
        </is>
      </c>
      <c r="B471" s="260" t="inlineStr">
        <is>
          <t>Mensual</t>
        </is>
      </c>
    </row>
    <row r="472">
      <c r="A472" s="260" t="inlineStr">
        <is>
          <t>PC-02</t>
        </is>
      </c>
      <c r="B472" s="260" t="inlineStr">
        <is>
          <t>Mensual</t>
        </is>
      </c>
    </row>
    <row r="473">
      <c r="A473" s="260" t="inlineStr">
        <is>
          <t>PC-03</t>
        </is>
      </c>
      <c r="B473" s="260" t="inlineStr">
        <is>
          <t>Mensual</t>
        </is>
      </c>
    </row>
    <row r="474">
      <c r="A474" s="260" t="inlineStr">
        <is>
          <t>PC-04</t>
        </is>
      </c>
      <c r="B474" s="260" t="inlineStr">
        <is>
          <t>Mensual</t>
        </is>
      </c>
    </row>
    <row r="475">
      <c r="A475" s="260" t="inlineStr">
        <is>
          <t>PC-05</t>
        </is>
      </c>
      <c r="B475" s="260" t="inlineStr">
        <is>
          <t>Mensual</t>
        </is>
      </c>
    </row>
    <row r="476">
      <c r="A476" s="260" t="inlineStr">
        <is>
          <t>PC-06</t>
        </is>
      </c>
      <c r="B476" s="260" t="inlineStr">
        <is>
          <t>Mensual</t>
        </is>
      </c>
    </row>
    <row r="477">
      <c r="A477" s="260" t="inlineStr">
        <is>
          <t>PC-2</t>
        </is>
      </c>
      <c r="B477" s="260" t="inlineStr">
        <is>
          <t>Trimestral</t>
        </is>
      </c>
    </row>
    <row r="478">
      <c r="A478" s="260" t="inlineStr">
        <is>
          <t>PC-3</t>
        </is>
      </c>
      <c r="B478" s="260" t="inlineStr">
        <is>
          <t>Trimestral</t>
        </is>
      </c>
    </row>
    <row r="479">
      <c r="A479" s="260" t="inlineStr">
        <is>
          <t>PCA-01</t>
        </is>
      </c>
      <c r="B479" s="260" t="inlineStr">
        <is>
          <t>Bimestral</t>
        </is>
      </c>
    </row>
    <row r="480">
      <c r="A480" s="260" t="inlineStr">
        <is>
          <t>PCA-02B</t>
        </is>
      </c>
      <c r="B480" s="260" t="inlineStr">
        <is>
          <t>Mensual</t>
        </is>
      </c>
    </row>
    <row r="481">
      <c r="A481" s="260" t="inlineStr">
        <is>
          <t>PCA-03</t>
        </is>
      </c>
      <c r="B481" s="260" t="inlineStr">
        <is>
          <t>Mensual</t>
        </is>
      </c>
    </row>
    <row r="482">
      <c r="A482" s="260" t="inlineStr">
        <is>
          <t>PCA-05</t>
        </is>
      </c>
      <c r="B482" s="260" t="inlineStr">
        <is>
          <t>Mensual</t>
        </is>
      </c>
    </row>
    <row r="483">
      <c r="A483" s="260" t="inlineStr">
        <is>
          <t>PCA-07</t>
        </is>
      </c>
      <c r="B483" s="260" t="inlineStr">
        <is>
          <t>Trimestral</t>
        </is>
      </c>
    </row>
    <row r="484">
      <c r="A484" s="260" t="inlineStr">
        <is>
          <t>PCA-08</t>
        </is>
      </c>
      <c r="B484" s="260" t="inlineStr">
        <is>
          <t>Trimestral</t>
        </is>
      </c>
    </row>
    <row r="485">
      <c r="A485" s="260" t="inlineStr">
        <is>
          <t>PCA-09</t>
        </is>
      </c>
      <c r="B485" s="260" t="inlineStr">
        <is>
          <t>Mensual</t>
        </is>
      </c>
    </row>
    <row r="486">
      <c r="A486" s="260" t="inlineStr">
        <is>
          <t>PCH-01</t>
        </is>
      </c>
      <c r="B486" s="260" t="inlineStr">
        <is>
          <t>Bimestral</t>
        </is>
      </c>
    </row>
    <row r="487">
      <c r="A487" s="260" t="inlineStr">
        <is>
          <t>PCH-02</t>
        </is>
      </c>
      <c r="B487" s="260" t="inlineStr">
        <is>
          <t>Bimestral</t>
        </is>
      </c>
    </row>
    <row r="488">
      <c r="A488" s="260" t="inlineStr">
        <is>
          <t>PCH-03</t>
        </is>
      </c>
      <c r="B488" s="260" t="inlineStr">
        <is>
          <t>Bimestral</t>
        </is>
      </c>
    </row>
    <row r="489">
      <c r="A489" s="260" t="inlineStr">
        <is>
          <t>PCH-04</t>
        </is>
      </c>
      <c r="B489" s="260" t="inlineStr">
        <is>
          <t>Bimestral</t>
        </is>
      </c>
    </row>
    <row r="490">
      <c r="A490" s="260" t="inlineStr">
        <is>
          <t>PCH-05</t>
        </is>
      </c>
      <c r="B490" s="260" t="inlineStr">
        <is>
          <t>Bimestral</t>
        </is>
      </c>
    </row>
    <row r="491">
      <c r="A491" s="260" t="inlineStr">
        <is>
          <t>PCH-06</t>
        </is>
      </c>
      <c r="B491" s="260" t="inlineStr">
        <is>
          <t>Bimestral</t>
        </is>
      </c>
    </row>
    <row r="492">
      <c r="A492" s="260" t="inlineStr">
        <is>
          <t>PCN-02</t>
        </is>
      </c>
      <c r="B492" s="260" t="inlineStr">
        <is>
          <t>Trimestral</t>
        </is>
      </c>
    </row>
    <row r="493">
      <c r="A493" s="260" t="inlineStr">
        <is>
          <t>PD-03</t>
        </is>
      </c>
      <c r="B493" s="260" t="inlineStr">
        <is>
          <t>-</t>
        </is>
      </c>
    </row>
    <row r="494">
      <c r="A494" s="260" t="inlineStr">
        <is>
          <t>PDB-01</t>
        </is>
      </c>
      <c r="B494" s="260" t="inlineStr">
        <is>
          <t>Bimestral</t>
        </is>
      </c>
    </row>
    <row r="495">
      <c r="A495" s="260" t="inlineStr">
        <is>
          <t>PDC-01</t>
        </is>
      </c>
      <c r="B495" s="260" t="inlineStr">
        <is>
          <t>Mensual</t>
        </is>
      </c>
    </row>
    <row r="496">
      <c r="A496" s="260" t="inlineStr">
        <is>
          <t>PDR-107</t>
        </is>
      </c>
      <c r="B496" s="260" t="inlineStr">
        <is>
          <t>Mensual</t>
        </is>
      </c>
    </row>
    <row r="497">
      <c r="A497" s="260" t="inlineStr">
        <is>
          <t>PDR-93</t>
        </is>
      </c>
      <c r="B497" s="260" t="inlineStr">
        <is>
          <t>Mensual</t>
        </is>
      </c>
    </row>
    <row r="498">
      <c r="A498" s="260" t="inlineStr">
        <is>
          <t>PDS-01</t>
        </is>
      </c>
      <c r="B498" s="260" t="inlineStr">
        <is>
          <t>Mensual</t>
        </is>
      </c>
    </row>
    <row r="499">
      <c r="A499" s="260" t="inlineStr">
        <is>
          <t>PDU-03</t>
        </is>
      </c>
      <c r="B499" s="260" t="inlineStr">
        <is>
          <t>Bimestral</t>
        </is>
      </c>
    </row>
    <row r="500">
      <c r="A500" s="260" t="inlineStr">
        <is>
          <t>PDU-14</t>
        </is>
      </c>
      <c r="B500" s="260" t="inlineStr">
        <is>
          <t>Mensual</t>
        </is>
      </c>
    </row>
    <row r="501">
      <c r="A501" s="260" t="inlineStr">
        <is>
          <t>PDU-16</t>
        </is>
      </c>
      <c r="B501" s="260" t="inlineStr">
        <is>
          <t>Mensual</t>
        </is>
      </c>
    </row>
    <row r="502">
      <c r="A502" s="260" t="inlineStr">
        <is>
          <t>PDU-18</t>
        </is>
      </c>
      <c r="B502" s="260" t="inlineStr">
        <is>
          <t>Mensual</t>
        </is>
      </c>
    </row>
    <row r="503">
      <c r="A503" s="260" t="inlineStr">
        <is>
          <t>PDU-19</t>
        </is>
      </c>
      <c r="B503" s="260" t="inlineStr">
        <is>
          <t>Mensual</t>
        </is>
      </c>
    </row>
    <row r="504">
      <c r="A504" s="260" t="inlineStr">
        <is>
          <t>PDU-22</t>
        </is>
      </c>
      <c r="B504" s="260" t="inlineStr">
        <is>
          <t>Mensual</t>
        </is>
      </c>
    </row>
    <row r="505">
      <c r="A505" s="260" t="inlineStr">
        <is>
          <t>PDU-23</t>
        </is>
      </c>
      <c r="B505" s="260" t="inlineStr">
        <is>
          <t>Mensual</t>
        </is>
      </c>
    </row>
    <row r="506">
      <c r="A506" s="260" t="inlineStr">
        <is>
          <t>PDU-24</t>
        </is>
      </c>
      <c r="B506" s="260" t="inlineStr">
        <is>
          <t>Mensual</t>
        </is>
      </c>
    </row>
    <row r="507">
      <c r="A507" s="260" t="inlineStr">
        <is>
          <t>PDU-26</t>
        </is>
      </c>
      <c r="B507" s="260" t="inlineStr">
        <is>
          <t>Mensual</t>
        </is>
      </c>
    </row>
    <row r="508">
      <c r="A508" s="260" t="inlineStr">
        <is>
          <t>PDU-27</t>
        </is>
      </c>
      <c r="B508" s="260" t="inlineStr">
        <is>
          <t>Mensual</t>
        </is>
      </c>
    </row>
    <row r="509">
      <c r="A509" s="260" t="inlineStr">
        <is>
          <t>PDU-28</t>
        </is>
      </c>
      <c r="B509" s="260" t="inlineStr">
        <is>
          <t>Mensual</t>
        </is>
      </c>
    </row>
    <row r="510">
      <c r="A510" s="260" t="inlineStr">
        <is>
          <t>PDU-29</t>
        </is>
      </c>
      <c r="B510" s="260" t="inlineStr">
        <is>
          <t>Mensual</t>
        </is>
      </c>
    </row>
    <row r="511">
      <c r="A511" s="260" t="inlineStr">
        <is>
          <t>PDU-30</t>
        </is>
      </c>
      <c r="B511" s="260" t="inlineStr">
        <is>
          <t>Mensual</t>
        </is>
      </c>
    </row>
    <row r="512">
      <c r="A512" s="260" t="inlineStr">
        <is>
          <t>PDU-31</t>
        </is>
      </c>
      <c r="B512" s="260" t="inlineStr">
        <is>
          <t>Mensual</t>
        </is>
      </c>
    </row>
    <row r="513">
      <c r="A513" s="260" t="inlineStr">
        <is>
          <t>PEA-01</t>
        </is>
      </c>
      <c r="B513" s="260" t="inlineStr">
        <is>
          <t>Trimestral</t>
        </is>
      </c>
    </row>
    <row r="514">
      <c r="A514" s="260" t="inlineStr">
        <is>
          <t>PEA-02A</t>
        </is>
      </c>
      <c r="B514" s="260" t="inlineStr">
        <is>
          <t>Trimestral</t>
        </is>
      </c>
    </row>
    <row r="515">
      <c r="A515" s="260" t="inlineStr">
        <is>
          <t>PEB-01</t>
        </is>
      </c>
      <c r="B515" s="260" t="inlineStr">
        <is>
          <t>Mensual</t>
        </is>
      </c>
    </row>
    <row r="516">
      <c r="A516" s="260" t="inlineStr">
        <is>
          <t>PEB-02</t>
        </is>
      </c>
      <c r="B516" s="260" t="inlineStr">
        <is>
          <t>Bimestral</t>
        </is>
      </c>
    </row>
    <row r="517">
      <c r="A517" s="260" t="inlineStr">
        <is>
          <t>PEC-01</t>
        </is>
      </c>
      <c r="B517" s="260" t="inlineStr">
        <is>
          <t>Mensual</t>
        </is>
      </c>
    </row>
    <row r="518">
      <c r="A518" s="260" t="inlineStr">
        <is>
          <t>PEC-02</t>
        </is>
      </c>
      <c r="B518" s="260" t="inlineStr">
        <is>
          <t>Mensual</t>
        </is>
      </c>
    </row>
    <row r="519">
      <c r="A519" s="260" t="inlineStr">
        <is>
          <t>PEC-06</t>
        </is>
      </c>
      <c r="B519" s="260" t="inlineStr">
        <is>
          <t>Mensual</t>
        </is>
      </c>
    </row>
    <row r="520">
      <c r="A520" s="260" t="inlineStr">
        <is>
          <t>PEM-01</t>
        </is>
      </c>
      <c r="B520" s="260" t="inlineStr">
        <is>
          <t>Mensual</t>
        </is>
      </c>
    </row>
    <row r="521">
      <c r="A521" s="260" t="inlineStr">
        <is>
          <t>PEM-02</t>
        </is>
      </c>
      <c r="B521" s="260" t="inlineStr">
        <is>
          <t>Mensual</t>
        </is>
      </c>
    </row>
    <row r="522">
      <c r="A522" s="260" t="inlineStr">
        <is>
          <t>PEM-05</t>
        </is>
      </c>
      <c r="B522" s="260" t="inlineStr">
        <is>
          <t>Mensual</t>
        </is>
      </c>
    </row>
    <row r="523">
      <c r="A523" s="260" t="inlineStr">
        <is>
          <t>PEM-06</t>
        </is>
      </c>
      <c r="B523" s="260" t="inlineStr">
        <is>
          <t>Mensual</t>
        </is>
      </c>
    </row>
    <row r="524">
      <c r="A524" s="260" t="inlineStr">
        <is>
          <t>PEM-07</t>
        </is>
      </c>
      <c r="B524" s="260" t="inlineStr">
        <is>
          <t>Bimestral</t>
        </is>
      </c>
    </row>
    <row r="525">
      <c r="A525" s="260" t="inlineStr">
        <is>
          <t>PEM-07B</t>
        </is>
      </c>
      <c r="B525" s="260" t="inlineStr">
        <is>
          <t>Bimestral</t>
        </is>
      </c>
    </row>
    <row r="526">
      <c r="A526" s="260" t="inlineStr">
        <is>
          <t>PEM-09</t>
        </is>
      </c>
      <c r="B526" s="260" t="inlineStr">
        <is>
          <t>Mensual</t>
        </is>
      </c>
    </row>
    <row r="527">
      <c r="A527" s="260" t="inlineStr">
        <is>
          <t>PEM-10</t>
        </is>
      </c>
      <c r="B527" s="260" t="inlineStr">
        <is>
          <t>Bimestral</t>
        </is>
      </c>
    </row>
    <row r="528">
      <c r="A528" s="260" t="inlineStr">
        <is>
          <t>PEP-01</t>
        </is>
      </c>
      <c r="B528" s="260" t="inlineStr">
        <is>
          <t>Mensual</t>
        </is>
      </c>
    </row>
    <row r="529">
      <c r="A529" s="260" t="inlineStr">
        <is>
          <t>PEP-02</t>
        </is>
      </c>
      <c r="B529" s="260" t="inlineStr">
        <is>
          <t>Mensual</t>
        </is>
      </c>
    </row>
    <row r="530">
      <c r="A530" s="260" t="inlineStr">
        <is>
          <t>PEP-03</t>
        </is>
      </c>
      <c r="B530" s="260" t="inlineStr">
        <is>
          <t>Mensual</t>
        </is>
      </c>
    </row>
    <row r="531">
      <c r="A531" s="260" t="inlineStr">
        <is>
          <t>PEP-04</t>
        </is>
      </c>
      <c r="B531" s="260" t="inlineStr">
        <is>
          <t>Mensual</t>
        </is>
      </c>
    </row>
    <row r="532">
      <c r="A532" s="260" t="inlineStr">
        <is>
          <t>PER-12</t>
        </is>
      </c>
      <c r="B532" s="260" t="inlineStr">
        <is>
          <t>Bimestral</t>
        </is>
      </c>
    </row>
    <row r="533">
      <c r="A533" s="260" t="inlineStr">
        <is>
          <t>PEU-01</t>
        </is>
      </c>
      <c r="B533" s="260" t="inlineStr">
        <is>
          <t>Mensual</t>
        </is>
      </c>
    </row>
    <row r="534">
      <c r="A534" s="260" t="inlineStr">
        <is>
          <t>PEU-2B</t>
        </is>
      </c>
      <c r="B534" s="260" t="inlineStr">
        <is>
          <t>Mensual</t>
        </is>
      </c>
    </row>
    <row r="535">
      <c r="A535" s="260" t="inlineStr">
        <is>
          <t>PEV-01 (PES-01)</t>
        </is>
      </c>
      <c r="B535" s="260" t="inlineStr">
        <is>
          <t>-</t>
        </is>
      </c>
    </row>
    <row r="536">
      <c r="A536" s="260" t="inlineStr">
        <is>
          <t>PIEZ-11</t>
        </is>
      </c>
      <c r="B536" s="260" t="inlineStr">
        <is>
          <t>Mensual</t>
        </is>
      </c>
    </row>
    <row r="537">
      <c r="A537" s="260" t="inlineStr">
        <is>
          <t>PIEZ-19</t>
        </is>
      </c>
      <c r="B537" s="260" t="inlineStr">
        <is>
          <t>Mensual</t>
        </is>
      </c>
    </row>
    <row r="538">
      <c r="A538" s="260" t="inlineStr">
        <is>
          <t>PIEZ-20</t>
        </is>
      </c>
      <c r="B538" s="260" t="inlineStr">
        <is>
          <t>Mensual</t>
        </is>
      </c>
    </row>
    <row r="539">
      <c r="A539" s="260" t="inlineStr">
        <is>
          <t>PIEZ-21</t>
        </is>
      </c>
      <c r="B539" s="260" t="inlineStr">
        <is>
          <t>Mensual</t>
        </is>
      </c>
    </row>
    <row r="540">
      <c r="A540" s="260" t="inlineStr">
        <is>
          <t>PIEZ-22</t>
        </is>
      </c>
      <c r="B540" s="260" t="inlineStr">
        <is>
          <t>Mensual</t>
        </is>
      </c>
    </row>
    <row r="541">
      <c r="A541" s="260" t="inlineStr">
        <is>
          <t>PIEZ-23</t>
        </is>
      </c>
      <c r="B541" s="260" t="inlineStr">
        <is>
          <t>Mensual</t>
        </is>
      </c>
    </row>
    <row r="542">
      <c r="A542" s="260" t="inlineStr">
        <is>
          <t>PIEZ-25</t>
        </is>
      </c>
      <c r="B542" s="260" t="inlineStr">
        <is>
          <t>Mensual</t>
        </is>
      </c>
    </row>
    <row r="543">
      <c r="A543" s="260" t="inlineStr">
        <is>
          <t>PIEZ-26</t>
        </is>
      </c>
      <c r="B543" s="260" t="inlineStr">
        <is>
          <t>Mensual</t>
        </is>
      </c>
    </row>
    <row r="544">
      <c r="A544" s="260" t="inlineStr">
        <is>
          <t>PIEZ-27</t>
        </is>
      </c>
      <c r="B544" s="260" t="inlineStr">
        <is>
          <t>Mensual</t>
        </is>
      </c>
    </row>
    <row r="545">
      <c r="A545" s="260" t="inlineStr">
        <is>
          <t>PIEZ-28</t>
        </is>
      </c>
      <c r="B545" s="260" t="inlineStr">
        <is>
          <t>Mensual</t>
        </is>
      </c>
    </row>
    <row r="546">
      <c r="A546" s="260" t="inlineStr">
        <is>
          <t>Piscina Agua Desalada</t>
        </is>
      </c>
      <c r="B546" s="260" t="inlineStr">
        <is>
          <t>-</t>
        </is>
      </c>
    </row>
    <row r="547">
      <c r="A547" s="260" t="inlineStr">
        <is>
          <t>PIU-02</t>
        </is>
      </c>
      <c r="B547" s="260" t="inlineStr">
        <is>
          <t>Mensual</t>
        </is>
      </c>
    </row>
    <row r="548">
      <c r="A548" s="260" t="inlineStr">
        <is>
          <t>PIU-04</t>
        </is>
      </c>
      <c r="B548" s="260" t="inlineStr">
        <is>
          <t>Mensual</t>
        </is>
      </c>
    </row>
    <row r="549">
      <c r="A549" s="260" t="inlineStr">
        <is>
          <t>PLIX-01A</t>
        </is>
      </c>
      <c r="B549" s="260" t="inlineStr">
        <is>
          <t>Mensual</t>
        </is>
      </c>
    </row>
    <row r="550">
      <c r="A550" s="260" t="inlineStr">
        <is>
          <t>PLIX-01B</t>
        </is>
      </c>
      <c r="B550" s="260" t="inlineStr">
        <is>
          <t>Mensual</t>
        </is>
      </c>
    </row>
    <row r="551">
      <c r="A551" s="260" t="inlineStr">
        <is>
          <t>PLIX-02A</t>
        </is>
      </c>
      <c r="B551" s="260" t="inlineStr">
        <is>
          <t>Mensual</t>
        </is>
      </c>
    </row>
    <row r="552">
      <c r="A552" s="260" t="inlineStr">
        <is>
          <t>PLIX-02B</t>
        </is>
      </c>
      <c r="B552" s="260" t="inlineStr">
        <is>
          <t>Mensual</t>
        </is>
      </c>
    </row>
    <row r="553">
      <c r="A553" s="260" t="inlineStr">
        <is>
          <t>PLIX-03A</t>
        </is>
      </c>
      <c r="B553" s="260" t="inlineStr">
        <is>
          <t>Mensual</t>
        </is>
      </c>
    </row>
    <row r="554">
      <c r="A554" s="260" t="inlineStr">
        <is>
          <t>PLIX-03B</t>
        </is>
      </c>
      <c r="B554" s="260" t="inlineStr">
        <is>
          <t>Mensual</t>
        </is>
      </c>
    </row>
    <row r="555">
      <c r="A555" s="260" t="inlineStr">
        <is>
          <t>PLIX-04</t>
        </is>
      </c>
      <c r="B555" s="260" t="inlineStr">
        <is>
          <t>Mensual</t>
        </is>
      </c>
    </row>
    <row r="556">
      <c r="A556" s="260" t="inlineStr">
        <is>
          <t>PLIX-05A</t>
        </is>
      </c>
      <c r="B556" s="260" t="inlineStr">
        <is>
          <t>Mensual</t>
        </is>
      </c>
    </row>
    <row r="557">
      <c r="A557" s="260" t="inlineStr">
        <is>
          <t>PLIX-05B</t>
        </is>
      </c>
      <c r="B557" s="260" t="inlineStr">
        <is>
          <t>Mensual</t>
        </is>
      </c>
    </row>
    <row r="558">
      <c r="A558" s="260" t="inlineStr">
        <is>
          <t>PLIX-06</t>
        </is>
      </c>
      <c r="B558" s="260" t="inlineStr">
        <is>
          <t>Mensual</t>
        </is>
      </c>
    </row>
    <row r="559">
      <c r="A559" s="260" t="inlineStr">
        <is>
          <t>PLIX-07A</t>
        </is>
      </c>
      <c r="B559" s="260" t="inlineStr">
        <is>
          <t>Mensual</t>
        </is>
      </c>
    </row>
    <row r="560">
      <c r="A560" s="260" t="inlineStr">
        <is>
          <t>PLIX-07B</t>
        </is>
      </c>
      <c r="B560" s="260" t="inlineStr">
        <is>
          <t>Mensual</t>
        </is>
      </c>
    </row>
    <row r="561">
      <c r="A561" s="260" t="inlineStr">
        <is>
          <t>PLIX-08A</t>
        </is>
      </c>
      <c r="B561" s="260" t="inlineStr">
        <is>
          <t>Mensual</t>
        </is>
      </c>
    </row>
    <row r="562">
      <c r="A562" s="260" t="inlineStr">
        <is>
          <t>PLIX-08B</t>
        </is>
      </c>
      <c r="B562" s="260" t="inlineStr">
        <is>
          <t>Mensual</t>
        </is>
      </c>
    </row>
    <row r="563">
      <c r="A563" s="260" t="inlineStr">
        <is>
          <t>PLIX-09</t>
        </is>
      </c>
      <c r="B563" s="260" t="inlineStr">
        <is>
          <t>Mensual</t>
        </is>
      </c>
    </row>
    <row r="564">
      <c r="A564" s="260" t="inlineStr">
        <is>
          <t>PLIX-10A</t>
        </is>
      </c>
      <c r="B564" s="260" t="inlineStr">
        <is>
          <t>Mensual</t>
        </is>
      </c>
    </row>
    <row r="565">
      <c r="A565" s="260" t="inlineStr">
        <is>
          <t>PLIX-10B</t>
        </is>
      </c>
      <c r="B565" s="260" t="inlineStr">
        <is>
          <t>Mensual</t>
        </is>
      </c>
    </row>
    <row r="566">
      <c r="A566" s="260" t="inlineStr">
        <is>
          <t>PLIX-11A</t>
        </is>
      </c>
      <c r="B566" s="260" t="inlineStr">
        <is>
          <t>Mensual</t>
        </is>
      </c>
    </row>
    <row r="567">
      <c r="A567" s="260" t="inlineStr">
        <is>
          <t>PLIX-11B</t>
        </is>
      </c>
      <c r="B567" s="260" t="inlineStr">
        <is>
          <t>Mensual</t>
        </is>
      </c>
    </row>
    <row r="568">
      <c r="A568" s="260" t="inlineStr">
        <is>
          <t>PLIX-12</t>
        </is>
      </c>
      <c r="B568" s="260" t="inlineStr">
        <is>
          <t>Mensual</t>
        </is>
      </c>
    </row>
    <row r="569">
      <c r="A569" s="260" t="inlineStr">
        <is>
          <t>PLIX-13A</t>
        </is>
      </c>
      <c r="B569" s="260" t="inlineStr">
        <is>
          <t>Mensual</t>
        </is>
      </c>
    </row>
    <row r="570">
      <c r="A570" s="260" t="inlineStr">
        <is>
          <t>PLIX-13B</t>
        </is>
      </c>
      <c r="B570" s="260" t="inlineStr">
        <is>
          <t>Mensual</t>
        </is>
      </c>
    </row>
    <row r="571">
      <c r="A571" s="260" t="inlineStr">
        <is>
          <t>PLIX-14</t>
        </is>
      </c>
      <c r="B571" s="260" t="inlineStr">
        <is>
          <t>Mensual</t>
        </is>
      </c>
    </row>
    <row r="572">
      <c r="A572" s="260" t="inlineStr">
        <is>
          <t>PMA-01</t>
        </is>
      </c>
      <c r="B572" s="260" t="inlineStr">
        <is>
          <t>Mensual</t>
        </is>
      </c>
    </row>
    <row r="573">
      <c r="A573" s="260" t="inlineStr">
        <is>
          <t>PMA-02</t>
        </is>
      </c>
      <c r="B573" s="260" t="inlineStr">
        <is>
          <t>Mensual</t>
        </is>
      </c>
    </row>
    <row r="574">
      <c r="A574" s="260" t="inlineStr">
        <is>
          <t>PMA-03</t>
        </is>
      </c>
      <c r="B574" s="260" t="inlineStr">
        <is>
          <t>Mensual</t>
        </is>
      </c>
    </row>
    <row r="575">
      <c r="A575" s="260" t="inlineStr">
        <is>
          <t>PMA-04</t>
        </is>
      </c>
      <c r="B575" s="260" t="inlineStr">
        <is>
          <t>Mensual</t>
        </is>
      </c>
    </row>
    <row r="576">
      <c r="A576" s="260" t="inlineStr">
        <is>
          <t>PMA-05</t>
        </is>
      </c>
      <c r="B576" s="260" t="inlineStr">
        <is>
          <t>Trimestral</t>
        </is>
      </c>
    </row>
    <row r="577">
      <c r="A577" s="260" t="inlineStr">
        <is>
          <t>PMA-06</t>
        </is>
      </c>
      <c r="B577" s="260" t="inlineStr">
        <is>
          <t>Bimestral</t>
        </is>
      </c>
    </row>
    <row r="578">
      <c r="A578" s="260" t="inlineStr">
        <is>
          <t>PMA-07</t>
        </is>
      </c>
      <c r="B578" s="260" t="inlineStr">
        <is>
          <t>Mensual</t>
        </is>
      </c>
    </row>
    <row r="579">
      <c r="A579" s="260" t="inlineStr">
        <is>
          <t>PMA-08</t>
        </is>
      </c>
      <c r="B579" s="260" t="inlineStr">
        <is>
          <t>Mensual</t>
        </is>
      </c>
    </row>
    <row r="580">
      <c r="A580" s="260" t="inlineStr">
        <is>
          <t>PMA-09</t>
        </is>
      </c>
      <c r="B580" s="260" t="inlineStr">
        <is>
          <t>Bimestral</t>
        </is>
      </c>
    </row>
    <row r="581">
      <c r="A581" s="260" t="inlineStr">
        <is>
          <t>PMA-10</t>
        </is>
      </c>
      <c r="B581" s="260" t="inlineStr">
        <is>
          <t>Bimestral</t>
        </is>
      </c>
    </row>
    <row r="582">
      <c r="A582" s="260" t="inlineStr">
        <is>
          <t>PMA-11</t>
        </is>
      </c>
      <c r="B582" s="260" t="inlineStr">
        <is>
          <t>Bimestral</t>
        </is>
      </c>
    </row>
    <row r="583">
      <c r="A583" s="260" t="inlineStr">
        <is>
          <t>PMA-12</t>
        </is>
      </c>
      <c r="B583" s="260" t="inlineStr">
        <is>
          <t>Bimestral</t>
        </is>
      </c>
    </row>
    <row r="584">
      <c r="A584" s="260" t="inlineStr">
        <is>
          <t>PMA-13</t>
        </is>
      </c>
      <c r="B584" s="260" t="inlineStr">
        <is>
          <t>Bimestral</t>
        </is>
      </c>
    </row>
    <row r="585">
      <c r="A585" s="260" t="inlineStr">
        <is>
          <t>PMA-14</t>
        </is>
      </c>
      <c r="B585" s="260" t="inlineStr">
        <is>
          <t>Bimestral</t>
        </is>
      </c>
    </row>
    <row r="586">
      <c r="A586" s="260" t="inlineStr">
        <is>
          <t>PMA-15</t>
        </is>
      </c>
      <c r="B586" s="260" t="inlineStr">
        <is>
          <t>Bimestral</t>
        </is>
      </c>
    </row>
    <row r="587">
      <c r="A587" s="260" t="inlineStr">
        <is>
          <t>PMA-16</t>
        </is>
      </c>
      <c r="B587" s="260" t="inlineStr">
        <is>
          <t>Bimestral</t>
        </is>
      </c>
    </row>
    <row r="588">
      <c r="A588" s="260" t="inlineStr">
        <is>
          <t>PMA-17</t>
        </is>
      </c>
      <c r="B588" s="260" t="inlineStr">
        <is>
          <t>Bimestral</t>
        </is>
      </c>
    </row>
    <row r="589">
      <c r="A589" s="260" t="inlineStr">
        <is>
          <t>PMI-01</t>
        </is>
      </c>
      <c r="B589" s="260" t="inlineStr">
        <is>
          <t>Mensual</t>
        </is>
      </c>
    </row>
    <row r="590">
      <c r="A590" s="260" t="inlineStr">
        <is>
          <t>PMI-03</t>
        </is>
      </c>
      <c r="B590" s="260" t="inlineStr">
        <is>
          <t>Bimestral</t>
        </is>
      </c>
    </row>
    <row r="591">
      <c r="A591" s="260" t="inlineStr">
        <is>
          <t>PMI-04</t>
        </is>
      </c>
      <c r="B591" s="260" t="inlineStr">
        <is>
          <t>Bimestral</t>
        </is>
      </c>
    </row>
    <row r="592">
      <c r="A592" s="260" t="inlineStr">
        <is>
          <t>PMI-05</t>
        </is>
      </c>
      <c r="B592" s="260" t="inlineStr">
        <is>
          <t>Bimestral</t>
        </is>
      </c>
    </row>
    <row r="593">
      <c r="A593" s="260" t="inlineStr">
        <is>
          <t>PMI-06</t>
        </is>
      </c>
      <c r="B593" s="260" t="inlineStr">
        <is>
          <t>Mensual</t>
        </is>
      </c>
    </row>
    <row r="594">
      <c r="A594" s="260" t="inlineStr">
        <is>
          <t>PMI-07</t>
        </is>
      </c>
      <c r="B594" s="260" t="inlineStr">
        <is>
          <t>Mensual</t>
        </is>
      </c>
    </row>
    <row r="595">
      <c r="A595" s="260" t="inlineStr">
        <is>
          <t>PMI-08</t>
        </is>
      </c>
      <c r="B595" s="260" t="inlineStr">
        <is>
          <t>Mensual</t>
        </is>
      </c>
    </row>
    <row r="596">
      <c r="A596" s="260" t="inlineStr">
        <is>
          <t>PMI-09A</t>
        </is>
      </c>
      <c r="B596" s="260" t="inlineStr">
        <is>
          <t>Mensual</t>
        </is>
      </c>
    </row>
    <row r="597">
      <c r="A597" s="260" t="inlineStr">
        <is>
          <t>PMI-09B</t>
        </is>
      </c>
      <c r="B597" s="260" t="inlineStr">
        <is>
          <t>Mensual</t>
        </is>
      </c>
    </row>
    <row r="598">
      <c r="A598" s="260" t="inlineStr">
        <is>
          <t>POP-02</t>
        </is>
      </c>
      <c r="B598" s="260" t="inlineStr">
        <is>
          <t>Mensual</t>
        </is>
      </c>
    </row>
    <row r="599">
      <c r="A599" s="260" t="inlineStr">
        <is>
          <t>POPC-01</t>
        </is>
      </c>
      <c r="B599" s="260" t="inlineStr">
        <is>
          <t>Mensual</t>
        </is>
      </c>
    </row>
    <row r="600">
      <c r="A600" s="260" t="inlineStr">
        <is>
          <t>POPC-02</t>
        </is>
      </c>
      <c r="B600" s="260" t="inlineStr">
        <is>
          <t>Mensual</t>
        </is>
      </c>
    </row>
    <row r="601">
      <c r="A601" s="260" t="inlineStr">
        <is>
          <t>POS-01</t>
        </is>
      </c>
      <c r="B601" s="260" t="inlineStr">
        <is>
          <t>Mensual</t>
        </is>
      </c>
    </row>
    <row r="602">
      <c r="A602" s="260" t="inlineStr">
        <is>
          <t>POS-02</t>
        </is>
      </c>
      <c r="B602" s="260" t="inlineStr">
        <is>
          <t>Mensual</t>
        </is>
      </c>
    </row>
    <row r="603">
      <c r="A603" s="260" t="inlineStr">
        <is>
          <t>POS-03</t>
        </is>
      </c>
      <c r="B603" s="260" t="inlineStr">
        <is>
          <t>Mensual</t>
        </is>
      </c>
    </row>
    <row r="604">
      <c r="A604" s="260" t="inlineStr">
        <is>
          <t>Pozo 1</t>
        </is>
      </c>
      <c r="B604" s="260" t="inlineStr">
        <is>
          <t>Mensual</t>
        </is>
      </c>
    </row>
    <row r="605">
      <c r="A605" s="260" t="inlineStr">
        <is>
          <t>Pozo 10</t>
        </is>
      </c>
      <c r="B605" s="260" t="inlineStr">
        <is>
          <t>Mensual</t>
        </is>
      </c>
    </row>
    <row r="606">
      <c r="A606" s="260" t="inlineStr">
        <is>
          <t>Pozo 11</t>
        </is>
      </c>
      <c r="B606" s="260" t="inlineStr">
        <is>
          <t>Mensual</t>
        </is>
      </c>
    </row>
    <row r="607">
      <c r="A607" s="260" t="inlineStr">
        <is>
          <t>Pozo 12</t>
        </is>
      </c>
      <c r="B607" s="260" t="inlineStr">
        <is>
          <t>Mensual</t>
        </is>
      </c>
    </row>
    <row r="608">
      <c r="A608" s="260" t="inlineStr">
        <is>
          <t>Pozo 13</t>
        </is>
      </c>
      <c r="B608" s="260" t="inlineStr">
        <is>
          <t>Mensual</t>
        </is>
      </c>
    </row>
    <row r="609">
      <c r="A609" s="260" t="inlineStr">
        <is>
          <t>Pozo 14</t>
        </is>
      </c>
      <c r="B609" s="260" t="inlineStr">
        <is>
          <t>Mensual</t>
        </is>
      </c>
    </row>
    <row r="610">
      <c r="A610" s="260" t="inlineStr">
        <is>
          <t>Pozo 15</t>
        </is>
      </c>
      <c r="B610" s="260" t="inlineStr">
        <is>
          <t>Mensual</t>
        </is>
      </c>
    </row>
    <row r="611">
      <c r="A611" s="260" t="inlineStr">
        <is>
          <t>Pozo 2</t>
        </is>
      </c>
      <c r="B611" s="260" t="inlineStr">
        <is>
          <t>Mensual</t>
        </is>
      </c>
    </row>
    <row r="612">
      <c r="A612" s="260" t="inlineStr">
        <is>
          <t>Pozo 3</t>
        </is>
      </c>
      <c r="B612" s="260" t="inlineStr">
        <is>
          <t>Mensual</t>
        </is>
      </c>
    </row>
    <row r="613">
      <c r="A613" s="260" t="inlineStr">
        <is>
          <t>Pozo 4</t>
        </is>
      </c>
      <c r="B613" s="260" t="inlineStr">
        <is>
          <t>Mensual</t>
        </is>
      </c>
    </row>
    <row r="614">
      <c r="A614" s="260" t="inlineStr">
        <is>
          <t>Pozo 5</t>
        </is>
      </c>
      <c r="B614" s="260" t="inlineStr">
        <is>
          <t>Mensual</t>
        </is>
      </c>
    </row>
    <row r="615">
      <c r="A615" s="260" t="inlineStr">
        <is>
          <t>Pozo 6</t>
        </is>
      </c>
      <c r="B615" s="260" t="inlineStr">
        <is>
          <t>Mensual</t>
        </is>
      </c>
    </row>
    <row r="616">
      <c r="A616" s="260" t="inlineStr">
        <is>
          <t>Pozo 7</t>
        </is>
      </c>
      <c r="B616" s="260" t="inlineStr">
        <is>
          <t>Mensual</t>
        </is>
      </c>
    </row>
    <row r="617">
      <c r="A617" s="260" t="inlineStr">
        <is>
          <t>Pozo 8</t>
        </is>
      </c>
      <c r="B617" s="260" t="inlineStr">
        <is>
          <t>Mensual</t>
        </is>
      </c>
    </row>
    <row r="618">
      <c r="A618" s="260" t="inlineStr">
        <is>
          <t>Pozo 9</t>
        </is>
      </c>
      <c r="B618" s="260" t="inlineStr">
        <is>
          <t>Mensual</t>
        </is>
      </c>
    </row>
    <row r="619">
      <c r="A619" s="260" t="inlineStr">
        <is>
          <t>Pozo bombeo (reemplaza RPW-04)</t>
        </is>
      </c>
      <c r="B619" s="260" t="inlineStr">
        <is>
          <t>Mensual</t>
        </is>
      </c>
    </row>
    <row r="620">
      <c r="A620" s="260" t="inlineStr">
        <is>
          <t>Pozo Monitoreo 1</t>
        </is>
      </c>
      <c r="B620" s="260" t="inlineStr">
        <is>
          <t>Mensual</t>
        </is>
      </c>
    </row>
    <row r="621">
      <c r="A621" s="260" t="inlineStr">
        <is>
          <t>PPC-01A</t>
        </is>
      </c>
      <c r="B621" s="260" t="inlineStr">
        <is>
          <t>Mensual</t>
        </is>
      </c>
    </row>
    <row r="622">
      <c r="A622" s="260" t="inlineStr">
        <is>
          <t>PPC-02</t>
        </is>
      </c>
      <c r="B622" s="260" t="inlineStr">
        <is>
          <t>Mensual</t>
        </is>
      </c>
    </row>
    <row r="623">
      <c r="A623" s="260" t="inlineStr">
        <is>
          <t>PPC-03</t>
        </is>
      </c>
      <c r="B623" s="260" t="inlineStr">
        <is>
          <t>Mensual</t>
        </is>
      </c>
    </row>
    <row r="624">
      <c r="A624" s="260" t="inlineStr">
        <is>
          <t>PPC-04</t>
        </is>
      </c>
      <c r="B624" s="260" t="inlineStr">
        <is>
          <t>Mensual</t>
        </is>
      </c>
    </row>
    <row r="625">
      <c r="A625" s="260" t="inlineStr">
        <is>
          <t>PPC-07</t>
        </is>
      </c>
      <c r="B625" s="260" t="inlineStr">
        <is>
          <t>Mensual</t>
        </is>
      </c>
    </row>
    <row r="626">
      <c r="A626" s="260" t="inlineStr">
        <is>
          <t>PPC-08</t>
        </is>
      </c>
      <c r="B626" s="260" t="inlineStr">
        <is>
          <t>Mensual</t>
        </is>
      </c>
    </row>
    <row r="627">
      <c r="A627" s="260" t="inlineStr">
        <is>
          <t>PPC-09</t>
        </is>
      </c>
      <c r="B627" s="260" t="inlineStr">
        <is>
          <t>Mensual</t>
        </is>
      </c>
    </row>
    <row r="628">
      <c r="A628" s="260" t="inlineStr">
        <is>
          <t>PPC-10</t>
        </is>
      </c>
      <c r="B628" s="260" t="inlineStr">
        <is>
          <t>Mensual</t>
        </is>
      </c>
    </row>
    <row r="629">
      <c r="A629" s="260" t="inlineStr">
        <is>
          <t>PPC-14</t>
        </is>
      </c>
      <c r="B629" s="260" t="inlineStr">
        <is>
          <t>Mensual</t>
        </is>
      </c>
    </row>
    <row r="630">
      <c r="A630" s="260" t="inlineStr">
        <is>
          <t>PPC-15</t>
        </is>
      </c>
      <c r="B630" s="260" t="inlineStr">
        <is>
          <t>Mensual</t>
        </is>
      </c>
    </row>
    <row r="631">
      <c r="A631" s="260" t="inlineStr">
        <is>
          <t>PPC-16</t>
        </is>
      </c>
      <c r="B631" s="260" t="inlineStr">
        <is>
          <t>Mensual</t>
        </is>
      </c>
    </row>
    <row r="632">
      <c r="A632" s="260" t="inlineStr">
        <is>
          <t>PPC-18</t>
        </is>
      </c>
      <c r="B632" s="260" t="inlineStr">
        <is>
          <t>Mensual</t>
        </is>
      </c>
    </row>
    <row r="633">
      <c r="A633" s="260" t="inlineStr">
        <is>
          <t>PPC-19</t>
        </is>
      </c>
      <c r="B633" s="260" t="inlineStr">
        <is>
          <t>Mensual</t>
        </is>
      </c>
    </row>
    <row r="634">
      <c r="A634" s="260" t="inlineStr">
        <is>
          <t>PPC-20</t>
        </is>
      </c>
      <c r="B634" s="260" t="inlineStr">
        <is>
          <t>Mensual</t>
        </is>
      </c>
    </row>
    <row r="635">
      <c r="A635" s="260" t="inlineStr">
        <is>
          <t>PPC-21</t>
        </is>
      </c>
      <c r="B635" s="260" t="inlineStr">
        <is>
          <t>Mensual</t>
        </is>
      </c>
    </row>
    <row r="636">
      <c r="A636" s="260" t="inlineStr">
        <is>
          <t>PPC-23</t>
        </is>
      </c>
      <c r="B636" s="260" t="inlineStr">
        <is>
          <t>Mensual</t>
        </is>
      </c>
    </row>
    <row r="637">
      <c r="A637" s="260" t="inlineStr">
        <is>
          <t>PPC-27</t>
        </is>
      </c>
      <c r="B637" s="260" t="inlineStr">
        <is>
          <t>Mensual</t>
        </is>
      </c>
    </row>
    <row r="638">
      <c r="A638" s="260" t="inlineStr">
        <is>
          <t>PPC-28</t>
        </is>
      </c>
      <c r="B638" s="260" t="inlineStr">
        <is>
          <t>Mensual</t>
        </is>
      </c>
    </row>
    <row r="639">
      <c r="A639" s="260" t="inlineStr">
        <is>
          <t>PPC-29</t>
        </is>
      </c>
      <c r="B639" s="260" t="inlineStr">
        <is>
          <t>Mensual</t>
        </is>
      </c>
    </row>
    <row r="640">
      <c r="A640" s="260" t="inlineStr">
        <is>
          <t>PPC-30</t>
        </is>
      </c>
      <c r="B640" s="260" t="inlineStr">
        <is>
          <t>Mensual</t>
        </is>
      </c>
    </row>
    <row r="641">
      <c r="A641" s="260" t="inlineStr">
        <is>
          <t>PPC-31</t>
        </is>
      </c>
      <c r="B641" s="260" t="inlineStr">
        <is>
          <t>Mensual</t>
        </is>
      </c>
    </row>
    <row r="642">
      <c r="A642" s="260" t="inlineStr">
        <is>
          <t>PPC-32</t>
        </is>
      </c>
      <c r="B642" s="260" t="inlineStr">
        <is>
          <t>Mensual</t>
        </is>
      </c>
    </row>
    <row r="643">
      <c r="A643" s="260" t="inlineStr">
        <is>
          <t>PPC-33</t>
        </is>
      </c>
      <c r="B643" s="260" t="inlineStr">
        <is>
          <t>Mensual</t>
        </is>
      </c>
    </row>
    <row r="644">
      <c r="A644" s="260" t="inlineStr">
        <is>
          <t>PPS-01</t>
        </is>
      </c>
      <c r="B644" s="260" t="inlineStr">
        <is>
          <t>Mensual</t>
        </is>
      </c>
    </row>
    <row r="645">
      <c r="A645" s="260" t="inlineStr">
        <is>
          <t>PPS-02B</t>
        </is>
      </c>
      <c r="B645" s="260" t="inlineStr">
        <is>
          <t>Mensual</t>
        </is>
      </c>
    </row>
    <row r="646">
      <c r="A646" s="260" t="inlineStr">
        <is>
          <t>PQC-B</t>
        </is>
      </c>
      <c r="B646" s="260" t="inlineStr">
        <is>
          <t>Trimestral</t>
        </is>
      </c>
    </row>
    <row r="647">
      <c r="A647" s="260" t="inlineStr">
        <is>
          <t>PQC-C1</t>
        </is>
      </c>
      <c r="B647" s="260" t="inlineStr">
        <is>
          <t>Trimestral</t>
        </is>
      </c>
    </row>
    <row r="648">
      <c r="A648" s="260" t="inlineStr">
        <is>
          <t>PQY-02</t>
        </is>
      </c>
      <c r="B648" s="260" t="inlineStr">
        <is>
          <t>Trimestral</t>
        </is>
      </c>
    </row>
    <row r="649">
      <c r="A649" s="260" t="inlineStr">
        <is>
          <t>PQY-03</t>
        </is>
      </c>
      <c r="B649" s="260" t="inlineStr">
        <is>
          <t>Bimestral</t>
        </is>
      </c>
    </row>
    <row r="650">
      <c r="A650" s="260" t="inlineStr">
        <is>
          <t>PR</t>
        </is>
      </c>
      <c r="B650" s="260" t="inlineStr">
        <is>
          <t>-</t>
        </is>
      </c>
    </row>
    <row r="651">
      <c r="A651" s="260" t="inlineStr">
        <is>
          <t>PTAS Instalaciones de Faenas y Campamentos (8 en ductos y 4 en Puerto)</t>
        </is>
      </c>
      <c r="B651" s="260" t="inlineStr">
        <is>
          <t>-</t>
        </is>
      </c>
    </row>
    <row r="652">
      <c r="A652" s="260" t="inlineStr">
        <is>
          <t>PTAS Puerto Collahuasi</t>
        </is>
      </c>
      <c r="B652" s="260" t="inlineStr">
        <is>
          <t>-</t>
        </is>
      </c>
    </row>
    <row r="653">
      <c r="A653" s="260" t="inlineStr">
        <is>
          <t>PTAS Ujina y Línea de Impulsión Ujina – Coposa</t>
        </is>
      </c>
      <c r="B653" s="260" t="inlineStr">
        <is>
          <t>-</t>
        </is>
      </c>
    </row>
    <row r="654">
      <c r="A654" s="260" t="inlineStr">
        <is>
          <t>PTAS-C</t>
        </is>
      </c>
      <c r="B654" s="260" t="inlineStr">
        <is>
          <t>-</t>
        </is>
      </c>
    </row>
    <row r="655">
      <c r="A655" s="260" t="inlineStr">
        <is>
          <t>PTAS-R</t>
        </is>
      </c>
      <c r="B655" s="260" t="inlineStr">
        <is>
          <t>-</t>
        </is>
      </c>
    </row>
    <row r="656">
      <c r="A656" s="260" t="inlineStr">
        <is>
          <t>PTAS-U</t>
        </is>
      </c>
      <c r="B656" s="260" t="inlineStr">
        <is>
          <t>-</t>
        </is>
      </c>
    </row>
    <row r="657">
      <c r="A657" s="260" t="inlineStr">
        <is>
          <t>Puntera 1</t>
        </is>
      </c>
      <c r="B657" s="260" t="inlineStr">
        <is>
          <t>Mensual</t>
        </is>
      </c>
    </row>
    <row r="658">
      <c r="A658" s="260" t="inlineStr">
        <is>
          <t>Puntera 2</t>
        </is>
      </c>
      <c r="B658" s="260" t="inlineStr">
        <is>
          <t>Mensual</t>
        </is>
      </c>
    </row>
    <row r="659">
      <c r="A659" s="260" t="inlineStr">
        <is>
          <t>Puntera 3</t>
        </is>
      </c>
      <c r="B659" s="260" t="inlineStr">
        <is>
          <t>Mensual</t>
        </is>
      </c>
    </row>
    <row r="660">
      <c r="A660" s="260" t="inlineStr">
        <is>
          <t>Puntera 4</t>
        </is>
      </c>
      <c r="B660" s="260" t="inlineStr">
        <is>
          <t>Mensual</t>
        </is>
      </c>
    </row>
    <row r="661">
      <c r="A661" s="260" t="inlineStr">
        <is>
          <t>Puntera 5</t>
        </is>
      </c>
      <c r="B661" s="260" t="inlineStr">
        <is>
          <t>Mensual</t>
        </is>
      </c>
    </row>
    <row r="662">
      <c r="A662" s="260" t="inlineStr">
        <is>
          <t>Puntera JAC-01</t>
        </is>
      </c>
      <c r="B662" s="260" t="inlineStr">
        <is>
          <t>Mensual</t>
        </is>
      </c>
    </row>
    <row r="663">
      <c r="A663" s="260" t="inlineStr">
        <is>
          <t>Puntera JAC-02</t>
        </is>
      </c>
      <c r="B663" s="260" t="inlineStr">
        <is>
          <t>Mensual</t>
        </is>
      </c>
    </row>
    <row r="664">
      <c r="A664" s="260" t="inlineStr">
        <is>
          <t>Punto 1</t>
        </is>
      </c>
      <c r="B664" s="260" t="inlineStr">
        <is>
          <t>-</t>
        </is>
      </c>
    </row>
    <row r="665">
      <c r="A665" s="260" t="n"/>
      <c r="B665" s="260" t="inlineStr">
        <is>
          <t>Mensual</t>
        </is>
      </c>
    </row>
    <row r="666">
      <c r="A666" s="260" t="inlineStr">
        <is>
          <t>Punto 2</t>
        </is>
      </c>
      <c r="B666" s="260" t="inlineStr">
        <is>
          <t>-</t>
        </is>
      </c>
    </row>
    <row r="667">
      <c r="A667" s="260" t="n"/>
      <c r="B667" s="260" t="inlineStr">
        <is>
          <t>Mensual</t>
        </is>
      </c>
    </row>
    <row r="668">
      <c r="A668" s="260" t="inlineStr">
        <is>
          <t>Punto 3</t>
        </is>
      </c>
      <c r="B668" s="260" t="inlineStr">
        <is>
          <t>Mensual</t>
        </is>
      </c>
    </row>
    <row r="669">
      <c r="A669" s="260" t="inlineStr">
        <is>
          <t>Punto 4</t>
        </is>
      </c>
      <c r="B669" s="260" t="inlineStr">
        <is>
          <t>Mensual</t>
        </is>
      </c>
    </row>
    <row r="670">
      <c r="A670" s="260" t="inlineStr">
        <is>
          <t>QBE-2</t>
        </is>
      </c>
      <c r="B670" s="260" t="inlineStr">
        <is>
          <t>Bimestral</t>
        </is>
      </c>
    </row>
    <row r="671">
      <c r="A671" s="260" t="inlineStr">
        <is>
          <t>QBE-4A</t>
        </is>
      </c>
      <c r="B671" s="260" t="inlineStr">
        <is>
          <t>Bimestral</t>
        </is>
      </c>
    </row>
    <row r="672">
      <c r="A672" s="260" t="inlineStr">
        <is>
          <t>QBE-4B</t>
        </is>
      </c>
      <c r="B672" s="260" t="inlineStr">
        <is>
          <t>Mensual</t>
        </is>
      </c>
    </row>
    <row r="673">
      <c r="A673" s="260" t="inlineStr">
        <is>
          <t>QCA-01</t>
        </is>
      </c>
      <c r="B673" s="260" t="inlineStr">
        <is>
          <t>Trimestral</t>
        </is>
      </c>
    </row>
    <row r="674">
      <c r="A674" s="260" t="inlineStr">
        <is>
          <t>QCA-02</t>
        </is>
      </c>
      <c r="B674" s="260" t="inlineStr">
        <is>
          <t>Trimestral</t>
        </is>
      </c>
    </row>
    <row r="675">
      <c r="A675" s="260" t="inlineStr">
        <is>
          <t>QCA-03</t>
        </is>
      </c>
      <c r="B675" s="260" t="inlineStr">
        <is>
          <t>Trimestral</t>
        </is>
      </c>
    </row>
    <row r="676">
      <c r="A676" s="260" t="inlineStr">
        <is>
          <t>QDC-01</t>
        </is>
      </c>
      <c r="B676" s="260" t="inlineStr">
        <is>
          <t>-</t>
        </is>
      </c>
    </row>
    <row r="677">
      <c r="A677" s="260" t="inlineStr">
        <is>
          <t>QDC-02</t>
        </is>
      </c>
      <c r="B677" s="260" t="inlineStr">
        <is>
          <t>-</t>
        </is>
      </c>
    </row>
    <row r="678">
      <c r="A678" s="260" t="inlineStr">
        <is>
          <t>QDH-01C</t>
        </is>
      </c>
      <c r="B678" s="260" t="inlineStr">
        <is>
          <t>-</t>
        </is>
      </c>
    </row>
    <row r="679">
      <c r="A679" s="260" t="inlineStr">
        <is>
          <t>QDH-01D</t>
        </is>
      </c>
      <c r="B679" s="260" t="inlineStr">
        <is>
          <t>-</t>
        </is>
      </c>
    </row>
    <row r="680">
      <c r="A680" s="260" t="inlineStr">
        <is>
          <t>QDH-01E</t>
        </is>
      </c>
      <c r="B680" s="260" t="inlineStr">
        <is>
          <t>-</t>
        </is>
      </c>
    </row>
    <row r="681">
      <c r="A681" s="260" t="inlineStr">
        <is>
          <t>QDH-01F</t>
        </is>
      </c>
      <c r="B681" s="260" t="inlineStr">
        <is>
          <t>-</t>
        </is>
      </c>
    </row>
    <row r="682">
      <c r="A682" s="260" t="inlineStr">
        <is>
          <t>QDH-02</t>
        </is>
      </c>
      <c r="B682" s="260" t="inlineStr">
        <is>
          <t>-</t>
        </is>
      </c>
    </row>
    <row r="683">
      <c r="A683" s="260" t="inlineStr">
        <is>
          <t>QDH-1E Piscina</t>
        </is>
      </c>
      <c r="B683" s="260" t="inlineStr">
        <is>
          <t>-</t>
        </is>
      </c>
    </row>
    <row r="684">
      <c r="A684" s="260" t="inlineStr">
        <is>
          <t>QSD-01</t>
        </is>
      </c>
      <c r="B684" s="260" t="inlineStr">
        <is>
          <t>-</t>
        </is>
      </c>
    </row>
    <row r="685">
      <c r="A685" s="260" t="inlineStr">
        <is>
          <t>QSD-1 Piscina</t>
        </is>
      </c>
      <c r="B685" s="260" t="inlineStr">
        <is>
          <t>-</t>
        </is>
      </c>
    </row>
    <row r="686">
      <c r="A686" s="260" t="inlineStr">
        <is>
          <t>QSN-01</t>
        </is>
      </c>
      <c r="B686" s="260" t="inlineStr">
        <is>
          <t>-</t>
        </is>
      </c>
    </row>
    <row r="687">
      <c r="A687" s="260" t="inlineStr">
        <is>
          <t>QYA</t>
        </is>
      </c>
      <c r="B687" s="260" t="inlineStr">
        <is>
          <t>-</t>
        </is>
      </c>
    </row>
    <row r="688">
      <c r="A688" s="260" t="inlineStr">
        <is>
          <t>R-A-1</t>
        </is>
      </c>
      <c r="B688" s="260" t="inlineStr">
        <is>
          <t>Mensual</t>
        </is>
      </c>
    </row>
    <row r="689">
      <c r="A689" s="260" t="inlineStr">
        <is>
          <t>R-B-1</t>
        </is>
      </c>
      <c r="B689" s="260" t="inlineStr">
        <is>
          <t>Mensual</t>
        </is>
      </c>
    </row>
    <row r="690">
      <c r="A690" s="260" t="inlineStr">
        <is>
          <t>R-B-2</t>
        </is>
      </c>
      <c r="B690" s="260" t="inlineStr">
        <is>
          <t>Mensual</t>
        </is>
      </c>
    </row>
    <row r="691">
      <c r="A691" s="260" t="inlineStr">
        <is>
          <t>R-C-1</t>
        </is>
      </c>
      <c r="B691" s="260" t="inlineStr">
        <is>
          <t>Mensual</t>
        </is>
      </c>
    </row>
    <row r="692">
      <c r="A692" s="260" t="inlineStr">
        <is>
          <t>RC12</t>
        </is>
      </c>
      <c r="B692" s="260" t="inlineStr">
        <is>
          <t>Trimestral</t>
        </is>
      </c>
    </row>
    <row r="693">
      <c r="A693" s="260" t="inlineStr">
        <is>
          <t>R-C-2</t>
        </is>
      </c>
      <c r="B693" s="260" t="inlineStr">
        <is>
          <t>Mensual</t>
        </is>
      </c>
    </row>
    <row r="694">
      <c r="A694" s="260" t="inlineStr">
        <is>
          <t>R-C-3</t>
        </is>
      </c>
      <c r="B694" s="260" t="inlineStr">
        <is>
          <t>Mensual</t>
        </is>
      </c>
    </row>
    <row r="695">
      <c r="A695" s="260" t="inlineStr">
        <is>
          <t>R-D-1</t>
        </is>
      </c>
      <c r="B695" s="260" t="inlineStr">
        <is>
          <t>Mensual</t>
        </is>
      </c>
    </row>
    <row r="696">
      <c r="A696" s="260" t="inlineStr">
        <is>
          <t>R-D-2</t>
        </is>
      </c>
      <c r="B696" s="260" t="inlineStr">
        <is>
          <t>Mensual</t>
        </is>
      </c>
    </row>
    <row r="697">
      <c r="A697" s="260" t="inlineStr">
        <is>
          <t>REC-01</t>
        </is>
      </c>
      <c r="B697" s="260" t="inlineStr">
        <is>
          <t>Mensual</t>
        </is>
      </c>
    </row>
    <row r="698">
      <c r="A698" s="260" t="inlineStr">
        <is>
          <t>Represa</t>
        </is>
      </c>
      <c r="B698" s="260" t="inlineStr">
        <is>
          <t>-</t>
        </is>
      </c>
    </row>
    <row r="699">
      <c r="A699" s="260" t="inlineStr">
        <is>
          <t>RF-1</t>
        </is>
      </c>
      <c r="B699" s="260" t="inlineStr">
        <is>
          <t>Mensual</t>
        </is>
      </c>
    </row>
    <row r="700">
      <c r="A700" s="260" t="inlineStr">
        <is>
          <t>RF-2</t>
        </is>
      </c>
      <c r="B700" s="260" t="inlineStr">
        <is>
          <t>Mensual</t>
        </is>
      </c>
    </row>
    <row r="701">
      <c r="A701" s="260" t="inlineStr">
        <is>
          <t>RF-3</t>
        </is>
      </c>
      <c r="B701" s="260" t="inlineStr">
        <is>
          <t>Mensual</t>
        </is>
      </c>
    </row>
    <row r="702">
      <c r="A702" s="260" t="inlineStr">
        <is>
          <t>RF-4</t>
        </is>
      </c>
      <c r="B702" s="260" t="inlineStr">
        <is>
          <t>Mensual</t>
        </is>
      </c>
    </row>
    <row r="703">
      <c r="A703" s="260" t="inlineStr">
        <is>
          <t>RF-5</t>
        </is>
      </c>
      <c r="B703" s="260" t="inlineStr">
        <is>
          <t>Mensual</t>
        </is>
      </c>
    </row>
    <row r="704">
      <c r="A704" s="260" t="inlineStr">
        <is>
          <t>RMA01</t>
        </is>
      </c>
      <c r="B704" s="260" t="inlineStr">
        <is>
          <t>Bimestral</t>
        </is>
      </c>
    </row>
    <row r="705">
      <c r="A705" s="260" t="inlineStr">
        <is>
          <t>RPEC-02A</t>
        </is>
      </c>
      <c r="B705" s="260" t="inlineStr">
        <is>
          <t>Mensual</t>
        </is>
      </c>
    </row>
    <row r="706">
      <c r="A706" s="260" t="inlineStr">
        <is>
          <t>R-Port-1</t>
        </is>
      </c>
      <c r="B706" s="260" t="inlineStr">
        <is>
          <t>Mensual</t>
        </is>
      </c>
    </row>
    <row r="707">
      <c r="A707" s="260" t="inlineStr">
        <is>
          <t>RPW-01</t>
        </is>
      </c>
      <c r="B707" s="260" t="inlineStr">
        <is>
          <t>Mensual</t>
        </is>
      </c>
    </row>
    <row r="708">
      <c r="A708" s="260" t="inlineStr">
        <is>
          <t>RPW-03</t>
        </is>
      </c>
      <c r="B708" s="260" t="inlineStr">
        <is>
          <t>Mensual</t>
        </is>
      </c>
    </row>
    <row r="709">
      <c r="A709" s="260" t="inlineStr">
        <is>
          <t>RPW-04</t>
        </is>
      </c>
      <c r="B709" s="260" t="inlineStr">
        <is>
          <t>Mensual</t>
        </is>
      </c>
    </row>
    <row r="710">
      <c r="A710" s="260" t="inlineStr">
        <is>
          <t>RW-1</t>
        </is>
      </c>
      <c r="B710" s="260" t="inlineStr">
        <is>
          <t>Mensual</t>
        </is>
      </c>
    </row>
    <row r="711">
      <c r="A711" s="260" t="inlineStr">
        <is>
          <t>RW-2</t>
        </is>
      </c>
      <c r="B711" s="260" t="inlineStr">
        <is>
          <t>Mensual</t>
        </is>
      </c>
    </row>
    <row r="712">
      <c r="A712" s="260" t="inlineStr">
        <is>
          <t>RW-3</t>
        </is>
      </c>
      <c r="B712" s="260" t="inlineStr">
        <is>
          <t>Mensual</t>
        </is>
      </c>
    </row>
    <row r="713">
      <c r="A713" s="260" t="inlineStr">
        <is>
          <t>RW-4</t>
        </is>
      </c>
      <c r="B713" s="260" t="inlineStr">
        <is>
          <t>Mensual</t>
        </is>
      </c>
    </row>
    <row r="714">
      <c r="A714" s="260" t="inlineStr">
        <is>
          <t>RW-5</t>
        </is>
      </c>
      <c r="B714" s="260" t="inlineStr">
        <is>
          <t>Mensual</t>
        </is>
      </c>
    </row>
    <row r="715">
      <c r="A715" s="260" t="inlineStr">
        <is>
          <t>SALA DE CAMBIOS</t>
        </is>
      </c>
      <c r="B715" s="260" t="inlineStr">
        <is>
          <t>-</t>
        </is>
      </c>
    </row>
    <row r="716">
      <c r="A716" s="260" t="inlineStr">
        <is>
          <t>Sallihuinca</t>
        </is>
      </c>
      <c r="B716" s="260" t="inlineStr">
        <is>
          <t>-</t>
        </is>
      </c>
    </row>
    <row r="717">
      <c r="A717" s="260" t="inlineStr">
        <is>
          <t>San Daniel</t>
        </is>
      </c>
      <c r="B717" s="260" t="inlineStr">
        <is>
          <t>-</t>
        </is>
      </c>
    </row>
    <row r="718">
      <c r="A718" s="260" t="inlineStr">
        <is>
          <t>San Nicolás 1</t>
        </is>
      </c>
      <c r="B718" s="260" t="inlineStr">
        <is>
          <t>-</t>
        </is>
      </c>
    </row>
    <row r="719">
      <c r="A719" s="260" t="inlineStr">
        <is>
          <t>San Nicolás 2</t>
        </is>
      </c>
      <c r="B719" s="260" t="inlineStr">
        <is>
          <t>-</t>
        </is>
      </c>
    </row>
    <row r="720">
      <c r="A720" s="260" t="inlineStr">
        <is>
          <t>SCE-01</t>
        </is>
      </c>
      <c r="B720" s="260" t="inlineStr">
        <is>
          <t>Mensual</t>
        </is>
      </c>
    </row>
    <row r="721">
      <c r="A721" s="260" t="inlineStr">
        <is>
          <t>SCE-02</t>
        </is>
      </c>
      <c r="B721" s="260" t="inlineStr">
        <is>
          <t>Mensual</t>
        </is>
      </c>
    </row>
    <row r="722">
      <c r="A722" s="260" t="inlineStr">
        <is>
          <t>SCE-03</t>
        </is>
      </c>
      <c r="B722" s="260" t="inlineStr">
        <is>
          <t>Mensual</t>
        </is>
      </c>
    </row>
    <row r="723">
      <c r="A723" s="260" t="inlineStr">
        <is>
          <t>SCE-04</t>
        </is>
      </c>
      <c r="B723" s="260" t="inlineStr">
        <is>
          <t>Mensual</t>
        </is>
      </c>
    </row>
    <row r="724">
      <c r="A724" s="260" t="inlineStr">
        <is>
          <t>SH-01</t>
        </is>
      </c>
      <c r="B724" s="260" t="inlineStr">
        <is>
          <t>Mensual</t>
        </is>
      </c>
    </row>
    <row r="725">
      <c r="A725" s="260" t="inlineStr">
        <is>
          <t>SH-02B</t>
        </is>
      </c>
      <c r="B725" s="260" t="inlineStr">
        <is>
          <t>Semanal</t>
        </is>
      </c>
    </row>
    <row r="726">
      <c r="A726" s="260" t="inlineStr">
        <is>
          <t>SH-03</t>
        </is>
      </c>
      <c r="B726" s="260" t="inlineStr">
        <is>
          <t>Mensual</t>
        </is>
      </c>
    </row>
    <row r="727">
      <c r="A727" s="260" t="inlineStr">
        <is>
          <t>SH-04</t>
        </is>
      </c>
      <c r="B727" s="260" t="inlineStr">
        <is>
          <t>Mensual</t>
        </is>
      </c>
    </row>
    <row r="728">
      <c r="A728" s="260" t="inlineStr">
        <is>
          <t>SH-05</t>
        </is>
      </c>
      <c r="B728" s="260" t="inlineStr">
        <is>
          <t>Mensual</t>
        </is>
      </c>
    </row>
    <row r="729">
      <c r="A729" s="260" t="inlineStr">
        <is>
          <t>SH-06</t>
        </is>
      </c>
      <c r="B729" s="260" t="inlineStr">
        <is>
          <t>Semanal</t>
        </is>
      </c>
    </row>
    <row r="730">
      <c r="A730" s="260" t="inlineStr">
        <is>
          <t>SH-07</t>
        </is>
      </c>
      <c r="B730" s="260" t="inlineStr">
        <is>
          <t>Semanal</t>
        </is>
      </c>
    </row>
    <row r="731">
      <c r="A731" s="260" t="inlineStr">
        <is>
          <t>SH-08</t>
        </is>
      </c>
      <c r="B731" s="260" t="inlineStr">
        <is>
          <t>Semanal</t>
        </is>
      </c>
    </row>
    <row r="732">
      <c r="A732" s="260" t="inlineStr">
        <is>
          <t>SH-09</t>
        </is>
      </c>
      <c r="B732" s="260" t="inlineStr">
        <is>
          <t>Mensual</t>
        </is>
      </c>
    </row>
    <row r="733">
      <c r="A733" s="260" t="inlineStr">
        <is>
          <t>SH-10B</t>
        </is>
      </c>
      <c r="B733" s="260" t="inlineStr">
        <is>
          <t>Trimestral</t>
        </is>
      </c>
    </row>
    <row r="734">
      <c r="A734" s="260" t="inlineStr">
        <is>
          <t>SH-11B</t>
        </is>
      </c>
      <c r="B734" s="260" t="inlineStr">
        <is>
          <t>Trimestral</t>
        </is>
      </c>
    </row>
    <row r="735">
      <c r="A735" s="260" t="inlineStr">
        <is>
          <t>SH-12B</t>
        </is>
      </c>
      <c r="B735" s="260" t="inlineStr">
        <is>
          <t>Mensual</t>
        </is>
      </c>
    </row>
    <row r="736">
      <c r="A736" s="260" t="inlineStr">
        <is>
          <t>SH-19</t>
        </is>
      </c>
      <c r="B736" s="260" t="inlineStr">
        <is>
          <t>Semanal</t>
        </is>
      </c>
    </row>
    <row r="737">
      <c r="A737" s="260" t="inlineStr">
        <is>
          <t>SH-20</t>
        </is>
      </c>
      <c r="B737" s="260" t="inlineStr">
        <is>
          <t>Mensual</t>
        </is>
      </c>
    </row>
    <row r="738">
      <c r="A738" s="260" t="inlineStr">
        <is>
          <t>SH-21</t>
        </is>
      </c>
      <c r="B738" s="260" t="inlineStr">
        <is>
          <t>Mensual</t>
        </is>
      </c>
    </row>
    <row r="739">
      <c r="A739" s="260" t="inlineStr">
        <is>
          <t>SH-22</t>
        </is>
      </c>
      <c r="B739" s="260" t="inlineStr">
        <is>
          <t>Mensual</t>
        </is>
      </c>
    </row>
    <row r="740">
      <c r="A740" s="260" t="inlineStr">
        <is>
          <t>SH-23</t>
        </is>
      </c>
      <c r="B740" s="260" t="inlineStr">
        <is>
          <t>Mensual</t>
        </is>
      </c>
    </row>
    <row r="741">
      <c r="A741" s="260" t="inlineStr">
        <is>
          <t>SHA-E01</t>
        </is>
      </c>
      <c r="B741" s="260" t="inlineStr">
        <is>
          <t>Trimestral</t>
        </is>
      </c>
    </row>
    <row r="742">
      <c r="A742" s="260" t="inlineStr">
        <is>
          <t>SHA-E02</t>
        </is>
      </c>
      <c r="B742" s="260" t="inlineStr">
        <is>
          <t>Trimestral</t>
        </is>
      </c>
    </row>
    <row r="743">
      <c r="A743" s="260" t="inlineStr">
        <is>
          <t>SHA-E03</t>
        </is>
      </c>
      <c r="B743" s="260" t="inlineStr">
        <is>
          <t>Trimestral</t>
        </is>
      </c>
    </row>
    <row r="744">
      <c r="A744" s="260" t="inlineStr">
        <is>
          <t>SHA-E04</t>
        </is>
      </c>
      <c r="B744" s="260" t="inlineStr">
        <is>
          <t>Trimestral</t>
        </is>
      </c>
    </row>
    <row r="745">
      <c r="A745" s="260" t="inlineStr">
        <is>
          <t>SHA-E05</t>
        </is>
      </c>
      <c r="B745" s="260" t="inlineStr">
        <is>
          <t>Trimestral</t>
        </is>
      </c>
    </row>
    <row r="746">
      <c r="A746" s="260" t="inlineStr">
        <is>
          <t>SHA-E06</t>
        </is>
      </c>
      <c r="B746" s="260" t="inlineStr">
        <is>
          <t>Trimestral</t>
        </is>
      </c>
    </row>
    <row r="747">
      <c r="A747" s="260" t="inlineStr">
        <is>
          <t>SHA-E07</t>
        </is>
      </c>
      <c r="B747" s="260" t="inlineStr">
        <is>
          <t>Trimestral</t>
        </is>
      </c>
    </row>
    <row r="748">
      <c r="A748" s="260" t="inlineStr">
        <is>
          <t>SHA-E08</t>
        </is>
      </c>
      <c r="B748" s="260" t="inlineStr">
        <is>
          <t>Trimestral</t>
        </is>
      </c>
    </row>
    <row r="749">
      <c r="A749" s="260" t="inlineStr">
        <is>
          <t>SHA-E09</t>
        </is>
      </c>
      <c r="B749" s="260" t="inlineStr">
        <is>
          <t>Trimestral</t>
        </is>
      </c>
    </row>
    <row r="750">
      <c r="A750" s="260" t="inlineStr">
        <is>
          <t>SHA-E10</t>
        </is>
      </c>
      <c r="B750" s="260" t="inlineStr">
        <is>
          <t>Trimestral</t>
        </is>
      </c>
    </row>
    <row r="751">
      <c r="A751" s="260" t="inlineStr">
        <is>
          <t>SHA-E11</t>
        </is>
      </c>
      <c r="B751" s="260" t="inlineStr">
        <is>
          <t>Trimestral</t>
        </is>
      </c>
    </row>
    <row r="752">
      <c r="A752" s="260" t="inlineStr">
        <is>
          <t>SHA-E12</t>
        </is>
      </c>
      <c r="B752" s="260" t="inlineStr">
        <is>
          <t>Trimestral</t>
        </is>
      </c>
    </row>
    <row r="753">
      <c r="A753" s="260" t="inlineStr">
        <is>
          <t>SHA-E13</t>
        </is>
      </c>
      <c r="B753" s="260" t="inlineStr">
        <is>
          <t>Trimestral</t>
        </is>
      </c>
    </row>
    <row r="754">
      <c r="A754" s="260" t="inlineStr">
        <is>
          <t>SHA-E14</t>
        </is>
      </c>
      <c r="B754" s="260" t="inlineStr">
        <is>
          <t>Trimestral</t>
        </is>
      </c>
    </row>
    <row r="755">
      <c r="A755" s="260" t="inlineStr">
        <is>
          <t>SHA-E15</t>
        </is>
      </c>
      <c r="B755" s="260" t="inlineStr">
        <is>
          <t>Trimestral</t>
        </is>
      </c>
    </row>
    <row r="756">
      <c r="A756" s="260" t="inlineStr">
        <is>
          <t>SHA-E16</t>
        </is>
      </c>
      <c r="B756" s="260" t="inlineStr">
        <is>
          <t>Trimestral</t>
        </is>
      </c>
    </row>
    <row r="757">
      <c r="A757" s="260" t="inlineStr">
        <is>
          <t>SHA-E17</t>
        </is>
      </c>
      <c r="B757" s="260" t="inlineStr">
        <is>
          <t>Trimestral</t>
        </is>
      </c>
    </row>
    <row r="758">
      <c r="A758" s="260" t="inlineStr">
        <is>
          <t>SHA-E18</t>
        </is>
      </c>
      <c r="B758" s="260" t="inlineStr">
        <is>
          <t>Trimestral</t>
        </is>
      </c>
    </row>
    <row r="759">
      <c r="A759" s="260" t="inlineStr">
        <is>
          <t>SHA-E19</t>
        </is>
      </c>
      <c r="B759" s="260" t="inlineStr">
        <is>
          <t>Trimestral</t>
        </is>
      </c>
    </row>
    <row r="760">
      <c r="A760" s="260" t="inlineStr">
        <is>
          <t>SHA-E20</t>
        </is>
      </c>
      <c r="B760" s="260" t="inlineStr">
        <is>
          <t>Trimestral</t>
        </is>
      </c>
    </row>
    <row r="761">
      <c r="A761" s="260" t="inlineStr">
        <is>
          <t>SHA-E22</t>
        </is>
      </c>
      <c r="B761" s="260" t="inlineStr">
        <is>
          <t>Trimestral</t>
        </is>
      </c>
    </row>
    <row r="762">
      <c r="A762" s="260" t="inlineStr">
        <is>
          <t>SHA-E23</t>
        </is>
      </c>
      <c r="B762" s="260" t="inlineStr">
        <is>
          <t>Trimestral</t>
        </is>
      </c>
    </row>
    <row r="763">
      <c r="A763" s="260" t="inlineStr">
        <is>
          <t>SHA-E24</t>
        </is>
      </c>
      <c r="B763" s="260" t="inlineStr">
        <is>
          <t>Trimestral</t>
        </is>
      </c>
    </row>
    <row r="764">
      <c r="A764" s="260" t="inlineStr">
        <is>
          <t>SHA-E27</t>
        </is>
      </c>
      <c r="B764" s="260" t="inlineStr">
        <is>
          <t>Trimestral</t>
        </is>
      </c>
    </row>
    <row r="765">
      <c r="A765" s="260" t="inlineStr">
        <is>
          <t>SHA-E30</t>
        </is>
      </c>
      <c r="B765" s="260" t="inlineStr">
        <is>
          <t>Trimestral</t>
        </is>
      </c>
    </row>
    <row r="766">
      <c r="A766" s="260" t="inlineStr">
        <is>
          <t>SHA-E34</t>
        </is>
      </c>
      <c r="B766" s="260" t="inlineStr">
        <is>
          <t>Trimestral</t>
        </is>
      </c>
    </row>
    <row r="767">
      <c r="A767" s="260" t="inlineStr">
        <is>
          <t>SHA-P01</t>
        </is>
      </c>
      <c r="B767" s="260" t="inlineStr">
        <is>
          <t>Trimestral</t>
        </is>
      </c>
    </row>
    <row r="768">
      <c r="A768" s="260" t="inlineStr">
        <is>
          <t>SHA-P02</t>
        </is>
      </c>
      <c r="B768" s="260" t="inlineStr">
        <is>
          <t>Trimestral</t>
        </is>
      </c>
    </row>
    <row r="769">
      <c r="A769" s="260" t="inlineStr">
        <is>
          <t>SHA-P03</t>
        </is>
      </c>
      <c r="B769" s="260" t="inlineStr">
        <is>
          <t>Trimestral</t>
        </is>
      </c>
    </row>
    <row r="770">
      <c r="A770" s="260" t="inlineStr">
        <is>
          <t>SHA-P04</t>
        </is>
      </c>
      <c r="B770" s="260" t="inlineStr">
        <is>
          <t>Trimestral</t>
        </is>
      </c>
    </row>
    <row r="771">
      <c r="A771" s="260" t="inlineStr">
        <is>
          <t>SHA-P05</t>
        </is>
      </c>
      <c r="B771" s="260" t="inlineStr">
        <is>
          <t>Trimestral</t>
        </is>
      </c>
    </row>
    <row r="772">
      <c r="A772" s="260" t="inlineStr">
        <is>
          <t>SHA-P06</t>
        </is>
      </c>
      <c r="B772" s="260" t="inlineStr">
        <is>
          <t>Trimestral</t>
        </is>
      </c>
    </row>
    <row r="773">
      <c r="A773" s="260" t="inlineStr">
        <is>
          <t>SHA-P07</t>
        </is>
      </c>
      <c r="B773" s="260" t="inlineStr">
        <is>
          <t>Trimestral</t>
        </is>
      </c>
    </row>
    <row r="774">
      <c r="A774" s="260" t="inlineStr">
        <is>
          <t>SHA-P08</t>
        </is>
      </c>
      <c r="B774" s="260" t="inlineStr">
        <is>
          <t>Trimestral</t>
        </is>
      </c>
    </row>
    <row r="775">
      <c r="A775" s="260" t="inlineStr">
        <is>
          <t>SHA-P08A</t>
        </is>
      </c>
      <c r="B775" s="260" t="inlineStr">
        <is>
          <t>Trimestral</t>
        </is>
      </c>
    </row>
    <row r="776">
      <c r="A776" s="260" t="inlineStr">
        <is>
          <t>SHA-P09</t>
        </is>
      </c>
      <c r="B776" s="260" t="inlineStr">
        <is>
          <t>Trimestral</t>
        </is>
      </c>
    </row>
    <row r="777">
      <c r="A777" s="260" t="inlineStr">
        <is>
          <t>SHA-P10</t>
        </is>
      </c>
      <c r="B777" s="260" t="inlineStr">
        <is>
          <t>Trimestral</t>
        </is>
      </c>
    </row>
    <row r="778">
      <c r="A778" s="260" t="inlineStr">
        <is>
          <t>SHA-P11</t>
        </is>
      </c>
      <c r="B778" s="260" t="inlineStr">
        <is>
          <t>Trimestral</t>
        </is>
      </c>
    </row>
    <row r="779">
      <c r="A779" s="260" t="inlineStr">
        <is>
          <t>SHA-P12</t>
        </is>
      </c>
      <c r="B779" s="260" t="inlineStr">
        <is>
          <t>Trimestral</t>
        </is>
      </c>
    </row>
    <row r="780">
      <c r="A780" s="260" t="inlineStr">
        <is>
          <t>SHA-P13</t>
        </is>
      </c>
      <c r="B780" s="260" t="inlineStr">
        <is>
          <t>Trimestral</t>
        </is>
      </c>
    </row>
    <row r="781">
      <c r="A781" s="260" t="inlineStr">
        <is>
          <t>SHA-P14</t>
        </is>
      </c>
      <c r="B781" s="260" t="inlineStr">
        <is>
          <t>Trimestral</t>
        </is>
      </c>
    </row>
    <row r="782">
      <c r="A782" s="260" t="inlineStr">
        <is>
          <t>SME-01</t>
        </is>
      </c>
      <c r="B782" s="260" t="inlineStr">
        <is>
          <t>Mensual</t>
        </is>
      </c>
    </row>
    <row r="783">
      <c r="A783" s="260" t="inlineStr">
        <is>
          <t>SN-B</t>
        </is>
      </c>
      <c r="B783" s="260" t="inlineStr">
        <is>
          <t>Mensual</t>
        </is>
      </c>
    </row>
    <row r="784">
      <c r="A784" s="260" t="inlineStr">
        <is>
          <t>SWE-02</t>
        </is>
      </c>
      <c r="B784" s="260" t="inlineStr">
        <is>
          <t>-</t>
        </is>
      </c>
    </row>
    <row r="785">
      <c r="A785" s="260" t="inlineStr">
        <is>
          <t>TK-002</t>
        </is>
      </c>
      <c r="B785" s="260" t="inlineStr">
        <is>
          <t>-</t>
        </is>
      </c>
    </row>
    <row r="786">
      <c r="A786" s="260" t="inlineStr">
        <is>
          <t>TK-1004</t>
        </is>
      </c>
      <c r="B786" s="260" t="inlineStr">
        <is>
          <t>-</t>
        </is>
      </c>
    </row>
    <row r="787">
      <c r="A787" s="260" t="inlineStr">
        <is>
          <t>TK-505</t>
        </is>
      </c>
      <c r="B787" s="260" t="inlineStr">
        <is>
          <t>-</t>
        </is>
      </c>
    </row>
    <row r="788">
      <c r="A788" s="260" t="inlineStr">
        <is>
          <t>TK-517</t>
        </is>
      </c>
      <c r="B788" s="260" t="inlineStr">
        <is>
          <t>-</t>
        </is>
      </c>
    </row>
    <row r="789">
      <c r="A789" s="260" t="inlineStr">
        <is>
          <t>UC-602</t>
        </is>
      </c>
      <c r="B789" s="260" t="inlineStr">
        <is>
          <t>Mensual</t>
        </is>
      </c>
    </row>
    <row r="790">
      <c r="A790" s="260" t="inlineStr">
        <is>
          <t>UC-603</t>
        </is>
      </c>
      <c r="B790" s="260" t="inlineStr">
        <is>
          <t>Mensual</t>
        </is>
      </c>
    </row>
    <row r="791">
      <c r="A791" s="260" t="inlineStr">
        <is>
          <t>UC-604</t>
        </is>
      </c>
      <c r="B791" s="260" t="inlineStr">
        <is>
          <t>Mensual</t>
        </is>
      </c>
    </row>
    <row r="792">
      <c r="A792" s="260" t="inlineStr">
        <is>
          <t>UC-634</t>
        </is>
      </c>
      <c r="B792" s="260" t="inlineStr">
        <is>
          <t>Bimestral</t>
        </is>
      </c>
    </row>
    <row r="793">
      <c r="A793" s="260" t="inlineStr">
        <is>
          <t>X-1</t>
        </is>
      </c>
      <c r="B793" s="260" t="inlineStr">
        <is>
          <t>Mensual</t>
        </is>
      </c>
    </row>
    <row r="794">
      <c r="A794" s="260" t="inlineStr">
        <is>
          <t>X-2</t>
        </is>
      </c>
      <c r="B794" s="260" t="inlineStr">
        <is>
          <t>Mensual</t>
        </is>
      </c>
    </row>
    <row r="795">
      <c r="A795" s="260" t="inlineStr">
        <is>
          <t>Yabricollita 1</t>
        </is>
      </c>
      <c r="B795" s="260" t="inlineStr">
        <is>
          <t>-</t>
        </is>
      </c>
    </row>
    <row r="796">
      <c r="A796" s="260" t="inlineStr">
        <is>
          <t>Yabricollita 2</t>
        </is>
      </c>
      <c r="B796" s="260" t="inlineStr">
        <is>
          <t>-</t>
        </is>
      </c>
    </row>
    <row r="797">
      <c r="A797" s="260" t="inlineStr">
        <is>
          <t>Yabricollita 3</t>
        </is>
      </c>
      <c r="B797" s="260" t="inlineStr">
        <is>
          <t>-</t>
        </is>
      </c>
    </row>
    <row r="798">
      <c r="A798" s="260" t="inlineStr">
        <is>
          <t>Yabricollita 4</t>
        </is>
      </c>
      <c r="B798" s="260" t="inlineStr">
        <is>
          <t>-</t>
        </is>
      </c>
    </row>
    <row r="799">
      <c r="A799" s="260" t="inlineStr">
        <is>
          <t>Mitigación Jachucoposa (actual)</t>
        </is>
      </c>
      <c r="B799" s="260" t="inlineStr">
        <is>
          <t>-</t>
        </is>
      </c>
    </row>
    <row r="800">
      <c r="A800" s="260" t="inlineStr">
        <is>
          <t>Mitigación Jachucoposa (Nuevo)</t>
        </is>
      </c>
      <c r="B800" s="260" t="inlineStr">
        <is>
          <t>-</t>
        </is>
      </c>
    </row>
    <row r="801">
      <c r="A801" s="260" t="inlineStr">
        <is>
          <t>P-4B</t>
        </is>
      </c>
      <c r="B801" s="260" t="inlineStr">
        <is>
          <t>Mensual</t>
        </is>
      </c>
    </row>
    <row r="802">
      <c r="A802" s="260" t="inlineStr">
        <is>
          <t>PTAS-M</t>
        </is>
      </c>
      <c r="B802" s="260" t="inlineStr">
        <is>
          <t>-</t>
        </is>
      </c>
    </row>
    <row r="803">
      <c r="A803" s="260" t="inlineStr">
        <is>
          <t>DPA-02</t>
        </is>
      </c>
      <c r="B803" s="260" t="inlineStr">
        <is>
          <t>Trimestral</t>
        </is>
      </c>
    </row>
    <row r="804">
      <c r="A804" s="260" t="inlineStr">
        <is>
          <t>DU-05</t>
        </is>
      </c>
      <c r="B804" s="260" t="inlineStr">
        <is>
          <t>Mensual</t>
        </is>
      </c>
    </row>
    <row r="805">
      <c r="A805" s="260" t="inlineStr">
        <is>
          <t>M-003</t>
        </is>
      </c>
      <c r="B805" s="260" t="inlineStr">
        <is>
          <t>Mensual</t>
        </is>
      </c>
    </row>
    <row r="806">
      <c r="A806" s="260" t="inlineStr">
        <is>
          <t>Piscina P2</t>
        </is>
      </c>
      <c r="B806" s="260" t="inlineStr">
        <is>
          <t>-</t>
        </is>
      </c>
    </row>
    <row r="807">
      <c r="A807" s="260" t="inlineStr">
        <is>
          <t>Piscina P3</t>
        </is>
      </c>
      <c r="B807" s="260" t="inlineStr">
        <is>
          <t>-</t>
        </is>
      </c>
    </row>
    <row r="808">
      <c r="A808" s="260" t="inlineStr">
        <is>
          <t>PMI-02</t>
        </is>
      </c>
      <c r="B808" s="260" t="inlineStr">
        <is>
          <t>Trimestral</t>
        </is>
      </c>
    </row>
    <row r="809">
      <c r="A809" s="260" t="inlineStr">
        <is>
          <t>SH-13</t>
        </is>
      </c>
      <c r="B809" s="260" t="inlineStr">
        <is>
          <t>Trimestral</t>
        </is>
      </c>
    </row>
    <row r="810">
      <c r="A810" s="260" t="inlineStr">
        <is>
          <t>SH-14</t>
        </is>
      </c>
      <c r="B810" s="260" t="inlineStr">
        <is>
          <t>Trimestral</t>
        </is>
      </c>
    </row>
    <row r="811">
      <c r="A811" s="260" t="inlineStr">
        <is>
          <t>SH-15</t>
        </is>
      </c>
      <c r="B811" s="260" t="inlineStr">
        <is>
          <t>Trimestral</t>
        </is>
      </c>
    </row>
    <row r="812">
      <c r="A812" s="260" t="inlineStr">
        <is>
          <t>SH-16</t>
        </is>
      </c>
      <c r="B812" s="260" t="inlineStr">
        <is>
          <t>Trimestral</t>
        </is>
      </c>
    </row>
    <row r="813">
      <c r="A813" s="260" t="inlineStr">
        <is>
          <t>SH-17A</t>
        </is>
      </c>
      <c r="B813" s="260" t="inlineStr">
        <is>
          <t>Trimestral</t>
        </is>
      </c>
    </row>
    <row r="814">
      <c r="A814" s="260" t="inlineStr">
        <is>
          <t>SH-17B</t>
        </is>
      </c>
      <c r="B814" s="260" t="inlineStr">
        <is>
          <t>Trimestral</t>
        </is>
      </c>
    </row>
    <row r="815">
      <c r="A815" s="260" t="inlineStr">
        <is>
          <t>SH-18</t>
        </is>
      </c>
      <c r="B815" s="260" t="inlineStr">
        <is>
          <t>Trimestral</t>
        </is>
      </c>
    </row>
    <row r="816">
      <c r="A816" s="260" t="inlineStr">
        <is>
          <t>APOYO QB</t>
        </is>
      </c>
      <c r="B816" s="260" t="inlineStr">
        <is>
          <t>Mensual</t>
        </is>
      </c>
    </row>
    <row r="817">
      <c r="A817" s="260" t="inlineStr">
        <is>
          <t>Total general</t>
        </is>
      </c>
      <c r="B817" s="260" t="n"/>
    </row>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316" t="inlineStr">
        <is>
          <t>Puntos sector HITO 54 Coposa Norte</t>
        </is>
      </c>
      <c r="K4" s="297" t="n"/>
      <c r="L4" s="298" t="n"/>
    </row>
    <row r="5" ht="20.15" customHeight="1">
      <c r="C5" s="200" t="inlineStr">
        <is>
          <t>Piscina P3</t>
        </is>
      </c>
      <c r="D5" s="200" t="inlineStr">
        <is>
          <t>ASUP</t>
        </is>
      </c>
      <c r="E5" s="200" t="inlineStr">
        <is>
          <t>Rosario</t>
        </is>
      </c>
      <c r="F5" s="200" t="inlineStr">
        <is>
          <t>GTAM</t>
        </is>
      </c>
      <c r="G5" s="201" t="n">
        <v>46117</v>
      </c>
      <c r="J5" s="316" t="inlineStr">
        <is>
          <t>Pozo</t>
        </is>
      </c>
      <c r="K5" s="316" t="inlineStr">
        <is>
          <t>Fecha Programada</t>
        </is>
      </c>
      <c r="L5" s="316"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61" t="inlineStr">
        <is>
          <t>AU-02</t>
        </is>
      </c>
      <c r="G43" s="125" t="inlineStr">
        <is>
          <t>NF</t>
        </is>
      </c>
      <c r="H43" s="106" t="inlineStr">
        <is>
          <t>Ujina</t>
        </is>
      </c>
      <c r="I43" s="194" t="inlineStr">
        <is>
          <t>MINA</t>
        </is>
      </c>
      <c r="J43" s="195" t="n">
        <v>45851</v>
      </c>
    </row>
    <row r="44">
      <c r="F44" s="261" t="inlineStr">
        <is>
          <t>AU-05</t>
        </is>
      </c>
      <c r="G44" s="125" t="inlineStr">
        <is>
          <t>NF</t>
        </is>
      </c>
      <c r="H44" s="106" t="inlineStr">
        <is>
          <t>Ujina</t>
        </is>
      </c>
      <c r="I44" s="194" t="inlineStr">
        <is>
          <t>MINA</t>
        </is>
      </c>
      <c r="J44" s="195" t="n">
        <v>45851</v>
      </c>
    </row>
    <row r="45">
      <c r="F45" s="261" t="inlineStr">
        <is>
          <t>DU-02A</t>
        </is>
      </c>
      <c r="G45" s="125" t="inlineStr">
        <is>
          <t>NF</t>
        </is>
      </c>
      <c r="H45" s="106" t="inlineStr">
        <is>
          <t>Ujina</t>
        </is>
      </c>
      <c r="I45" s="194" t="inlineStr">
        <is>
          <t>MINA</t>
        </is>
      </c>
      <c r="J45" s="195" t="n">
        <v>45851</v>
      </c>
    </row>
    <row r="46">
      <c r="F46" s="261" t="inlineStr">
        <is>
          <t>DU-04</t>
        </is>
      </c>
      <c r="G46" s="125" t="inlineStr">
        <is>
          <t>NF</t>
        </is>
      </c>
      <c r="H46" s="106" t="inlineStr">
        <is>
          <t>Ujina</t>
        </is>
      </c>
      <c r="I46" s="194" t="inlineStr">
        <is>
          <t>MINA</t>
        </is>
      </c>
      <c r="J46" s="195" t="n">
        <v>45851</v>
      </c>
    </row>
    <row r="47">
      <c r="F47" s="261" t="inlineStr">
        <is>
          <t>DU-05</t>
        </is>
      </c>
      <c r="G47" s="125" t="inlineStr">
        <is>
          <t>NF</t>
        </is>
      </c>
      <c r="H47" s="106" t="inlineStr">
        <is>
          <t>Ujina</t>
        </is>
      </c>
      <c r="I47" s="194" t="inlineStr">
        <is>
          <t>MINA</t>
        </is>
      </c>
      <c r="J47" s="195" t="n">
        <v>45851</v>
      </c>
    </row>
    <row r="48">
      <c r="F48" s="261" t="inlineStr">
        <is>
          <t>DU-06</t>
        </is>
      </c>
      <c r="G48" s="125" t="inlineStr">
        <is>
          <t>NF</t>
        </is>
      </c>
      <c r="H48" s="106" t="inlineStr">
        <is>
          <t>Ujina</t>
        </is>
      </c>
      <c r="I48" s="194" t="inlineStr">
        <is>
          <t>MINA</t>
        </is>
      </c>
      <c r="J48" s="195" t="n">
        <v>45851</v>
      </c>
    </row>
    <row r="49">
      <c r="F49" s="261" t="inlineStr">
        <is>
          <t>PIEZ-11</t>
        </is>
      </c>
      <c r="G49" s="125" t="inlineStr">
        <is>
          <t>NF</t>
        </is>
      </c>
      <c r="H49" s="106" t="inlineStr">
        <is>
          <t>Ujina</t>
        </is>
      </c>
      <c r="I49" s="194" t="inlineStr">
        <is>
          <t>MINA</t>
        </is>
      </c>
      <c r="J49" s="195" t="n">
        <v>45851</v>
      </c>
    </row>
    <row r="50">
      <c r="F50" s="261" t="inlineStr">
        <is>
          <t>PD-03</t>
        </is>
      </c>
      <c r="G50" s="125" t="inlineStr">
        <is>
          <t>ASUP</t>
        </is>
      </c>
      <c r="H50" s="106" t="inlineStr">
        <is>
          <t>Ujina</t>
        </is>
      </c>
      <c r="I50" s="194" t="inlineStr">
        <is>
          <t>MINA</t>
        </is>
      </c>
      <c r="J50" s="195" t="n">
        <v>45851</v>
      </c>
    </row>
    <row r="51">
      <c r="F51" s="261" t="inlineStr">
        <is>
          <t>Piscina P3</t>
        </is>
      </c>
      <c r="G51" s="125" t="inlineStr">
        <is>
          <t>ASUP</t>
        </is>
      </c>
      <c r="H51" s="106" t="inlineStr">
        <is>
          <t>Rosario</t>
        </is>
      </c>
      <c r="I51" s="194" t="inlineStr">
        <is>
          <t>GTAM</t>
        </is>
      </c>
      <c r="J51" s="195" t="n">
        <v>45844</v>
      </c>
    </row>
    <row r="52">
      <c r="F52" s="261"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266"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23" t="inlineStr">
        <is>
          <t>AL</t>
        </is>
      </c>
      <c r="D7" s="323" t="inlineStr">
        <is>
          <t>AS</t>
        </is>
      </c>
      <c r="E7" s="323" t="inlineStr">
        <is>
          <t>BA</t>
        </is>
      </c>
      <c r="F7" s="323" t="inlineStr">
        <is>
          <t>BE</t>
        </is>
      </c>
      <c r="G7" s="323" t="inlineStr">
        <is>
          <t>B</t>
        </is>
      </c>
      <c r="H7" s="323" t="inlineStr">
        <is>
          <t>CD</t>
        </is>
      </c>
      <c r="I7" s="323" t="inlineStr">
        <is>
          <t>CN-</t>
        </is>
      </c>
      <c r="J7" s="323" t="inlineStr">
        <is>
          <t>CL-</t>
        </is>
      </c>
      <c r="K7" s="323" t="inlineStr">
        <is>
          <t>CO</t>
        </is>
      </c>
      <c r="L7" s="323" t="inlineStr">
        <is>
          <t>CU</t>
        </is>
      </c>
      <c r="M7" s="323" t="inlineStr">
        <is>
          <t>CR</t>
        </is>
      </c>
      <c r="N7" s="323" t="inlineStr">
        <is>
          <t>F-</t>
        </is>
      </c>
      <c r="O7" s="323" t="inlineStr">
        <is>
          <t>FE</t>
        </is>
      </c>
      <c r="P7" s="323" t="inlineStr">
        <is>
          <t>LI</t>
        </is>
      </c>
      <c r="Q7" s="254" t="n"/>
      <c r="R7" s="323" t="inlineStr">
        <is>
          <t>MN</t>
        </is>
      </c>
      <c r="S7" s="323" t="inlineStr">
        <is>
          <t>HG</t>
        </is>
      </c>
      <c r="T7" s="266" t="inlineStr">
        <is>
          <t>MO</t>
        </is>
      </c>
      <c r="U7" s="323" t="inlineStr">
        <is>
          <t>NI</t>
        </is>
      </c>
      <c r="V7" s="323" t="inlineStr">
        <is>
          <t>AG</t>
        </is>
      </c>
      <c r="W7" s="323" t="inlineStr">
        <is>
          <t>PB</t>
        </is>
      </c>
      <c r="X7" s="323" t="inlineStr">
        <is>
          <t>SE</t>
        </is>
      </c>
      <c r="Y7" s="323" t="inlineStr">
        <is>
          <t>NA</t>
        </is>
      </c>
      <c r="Z7" s="323" t="inlineStr">
        <is>
          <t>SO4=</t>
        </is>
      </c>
      <c r="AA7" s="323" t="inlineStr">
        <is>
          <t>V</t>
        </is>
      </c>
      <c r="AB7" s="323" t="inlineStr">
        <is>
          <t>ZN</t>
        </is>
      </c>
      <c r="AC7" s="323" t="inlineStr">
        <is>
          <t>CE</t>
        </is>
      </c>
      <c r="AD7" s="266" t="inlineStr">
        <is>
          <t>PH</t>
        </is>
      </c>
      <c r="AE7" s="254" t="n"/>
      <c r="AF7" s="254" t="n"/>
      <c r="AG7" s="254" t="n"/>
      <c r="AH7" s="254" t="n"/>
      <c r="AI7" s="254" t="n"/>
      <c r="AJ7" s="254" t="n"/>
      <c r="AK7" s="254" t="n"/>
      <c r="AL7" s="43" t="inlineStr">
        <is>
          <t>Bicarbonato</t>
        </is>
      </c>
      <c r="AM7" s="43" t="inlineStr">
        <is>
          <t>Carbonato</t>
        </is>
      </c>
      <c r="AN7" s="7" t="n"/>
      <c r="AO7" s="7" t="n"/>
      <c r="AP7" s="323" t="inlineStr">
        <is>
          <t>Nitrogeno de Nitritos</t>
        </is>
      </c>
      <c r="AQ7" s="323" t="inlineStr">
        <is>
          <t>Solidos Disueltos</t>
        </is>
      </c>
      <c r="AR7" s="260" t="n"/>
      <c r="AS7" s="323" t="inlineStr">
        <is>
          <t>CA</t>
        </is>
      </c>
      <c r="AT7" s="323" t="inlineStr">
        <is>
          <t xml:space="preserve">CU DISUELTO </t>
        </is>
      </c>
      <c r="AU7" s="323" t="inlineStr">
        <is>
          <t>Magnesio</t>
        </is>
      </c>
      <c r="AV7" s="323" t="inlineStr">
        <is>
          <t>Nitrogeno Amoniacal</t>
        </is>
      </c>
      <c r="AW7" s="323" t="inlineStr">
        <is>
          <t>K</t>
        </is>
      </c>
      <c r="AX7" s="323"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266"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23" t="inlineStr">
        <is>
          <t>Metales Disueltos Según Nch 1333 y Nch 409</t>
        </is>
      </c>
      <c r="D9" s="297" t="n"/>
      <c r="E9" s="297" t="n"/>
      <c r="F9" s="297" t="n"/>
      <c r="G9" s="297" t="n"/>
      <c r="H9" s="297" t="n"/>
      <c r="I9" s="297" t="n"/>
      <c r="J9" s="297" t="n"/>
      <c r="K9" s="297" t="n"/>
      <c r="L9" s="297" t="n"/>
      <c r="M9" s="297" t="n"/>
      <c r="N9" s="297" t="n"/>
      <c r="O9" s="297" t="n"/>
      <c r="P9" s="297" t="n"/>
      <c r="Q9" s="297" t="n"/>
      <c r="R9" s="297" t="n"/>
      <c r="S9" s="297" t="n"/>
      <c r="T9" s="297" t="n"/>
      <c r="U9" s="297" t="n"/>
      <c r="V9" s="297" t="n"/>
      <c r="W9" s="297" t="n"/>
      <c r="X9" s="297" t="n"/>
      <c r="Y9" s="297" t="n"/>
      <c r="Z9" s="297" t="n"/>
      <c r="AA9" s="297" t="n"/>
      <c r="AB9" s="297" t="n"/>
      <c r="AC9" s="297" t="n"/>
      <c r="AD9" s="297" t="n"/>
      <c r="AE9" s="297" t="n"/>
      <c r="AF9" s="297" t="n"/>
      <c r="AG9" s="297" t="n"/>
      <c r="AH9" s="297" t="n"/>
      <c r="AI9" s="297" t="n"/>
      <c r="AJ9" s="297" t="n"/>
      <c r="AK9" s="297" t="n"/>
      <c r="AL9" s="297" t="n"/>
      <c r="AM9" s="297" t="n"/>
      <c r="AN9" s="297" t="n"/>
      <c r="AO9" s="297" t="n"/>
      <c r="AP9" s="297" t="n"/>
      <c r="AQ9" s="297" t="n"/>
      <c r="AR9" s="29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23"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23" t="inlineStr">
        <is>
          <t>LI</t>
        </is>
      </c>
      <c r="Q13" s="7" t="n"/>
      <c r="R13" s="10" t="inlineStr">
        <is>
          <t>MN</t>
        </is>
      </c>
      <c r="S13" s="7" t="n"/>
      <c r="T13" s="266" t="inlineStr">
        <is>
          <t>MO</t>
        </is>
      </c>
      <c r="U13" s="323" t="inlineStr">
        <is>
          <t>NI</t>
        </is>
      </c>
      <c r="V13" s="10" t="inlineStr">
        <is>
          <t>AG</t>
        </is>
      </c>
      <c r="W13" s="323"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23" t="inlineStr">
        <is>
          <t>Carbonato</t>
        </is>
      </c>
      <c r="AN13" s="7" t="n"/>
      <c r="AO13" s="7" t="n"/>
      <c r="AP13" s="7" t="n"/>
      <c r="AQ13" s="323" t="inlineStr">
        <is>
          <t>Solidos disueltos totales</t>
        </is>
      </c>
      <c r="AR13" s="7" t="inlineStr">
        <is>
          <t>Nitrato</t>
        </is>
      </c>
      <c r="AS13" s="7" t="inlineStr">
        <is>
          <t>CA</t>
        </is>
      </c>
      <c r="AT13" s="7" t="n"/>
      <c r="AU13" s="323"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23"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23" t="inlineStr">
        <is>
          <t>Solidos disueltos totales</t>
        </is>
      </c>
      <c r="AR14" s="7" t="n"/>
      <c r="AS14" s="7" t="n"/>
      <c r="AT14" s="7" t="n"/>
      <c r="AU14" s="7" t="n"/>
      <c r="AV14" s="7" t="n"/>
      <c r="AW14" s="7" t="n"/>
      <c r="AX14" s="323"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23"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23"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21" t="inlineStr">
        <is>
          <t>PLAN BACTER ARSÉNICO</t>
        </is>
      </c>
      <c r="E23" s="297" t="n"/>
      <c r="F23" s="297" t="n"/>
      <c r="G23" s="297" t="n"/>
      <c r="H23" s="297" t="n"/>
      <c r="I23" s="297" t="n"/>
      <c r="J23" s="297" t="n"/>
      <c r="K23" s="297" t="n"/>
      <c r="L23" s="297" t="n"/>
      <c r="M23" s="297" t="n"/>
      <c r="N23" s="297" t="n"/>
      <c r="O23" s="297" t="n"/>
      <c r="P23" s="297" t="n"/>
      <c r="Q23" s="298" t="n"/>
      <c r="S23" s="317" t="inlineStr">
        <is>
          <t>PLAN NCh 1333 / IONICO RIEGO / SALINIDAD /BACTER TURB</t>
        </is>
      </c>
      <c r="T23" s="297" t="n"/>
      <c r="U23" s="297" t="n"/>
      <c r="V23" s="297" t="n"/>
      <c r="W23" s="297" t="n"/>
      <c r="X23" s="297" t="n"/>
      <c r="Y23" s="297" t="n"/>
      <c r="Z23" s="297" t="n"/>
      <c r="AA23" s="297" t="n"/>
      <c r="AB23" s="297" t="n"/>
      <c r="AC23" s="297" t="n"/>
      <c r="AD23" s="297" t="n"/>
      <c r="AE23" s="297" t="n"/>
      <c r="AF23" s="298" t="n"/>
      <c r="AI23" s="317" t="inlineStr">
        <is>
          <t>PLAN PTAS PUERTO</t>
        </is>
      </c>
      <c r="AJ23" s="297" t="n"/>
      <c r="AK23" s="297" t="n"/>
      <c r="AL23" s="297" t="n"/>
      <c r="AM23" s="297" t="n"/>
      <c r="AN23" s="297" t="n"/>
      <c r="AO23" s="297" t="n"/>
      <c r="AP23" s="297" t="n"/>
      <c r="AQ23" s="297" t="n"/>
      <c r="AR23" s="297" t="n"/>
      <c r="AS23" s="297" t="n"/>
      <c r="AT23" s="297" t="n"/>
      <c r="AU23" s="297" t="n"/>
      <c r="AV23" s="298" t="n"/>
    </row>
    <row r="24" ht="13" customHeight="1">
      <c r="D24" s="317" t="inlineStr">
        <is>
          <t>Análisis</t>
        </is>
      </c>
      <c r="E24" s="297" t="n"/>
      <c r="F24" s="297" t="n"/>
      <c r="G24" s="297" t="n"/>
      <c r="H24" s="297" t="n"/>
      <c r="I24" s="297" t="n"/>
      <c r="J24" s="297" t="n"/>
      <c r="K24" s="297" t="n"/>
      <c r="L24" s="297" t="n"/>
      <c r="M24" s="297" t="n"/>
      <c r="N24" s="297" t="n"/>
      <c r="O24" s="297" t="n"/>
      <c r="P24" s="297" t="n"/>
      <c r="Q24" s="298" t="n"/>
      <c r="S24" s="317" t="inlineStr">
        <is>
          <t>Análisis</t>
        </is>
      </c>
      <c r="T24" s="297" t="n"/>
      <c r="U24" s="297" t="n"/>
      <c r="V24" s="297" t="n"/>
      <c r="W24" s="297" t="n"/>
      <c r="X24" s="297" t="n"/>
      <c r="Y24" s="297" t="n"/>
      <c r="Z24" s="297" t="n"/>
      <c r="AA24" s="297" t="n"/>
      <c r="AB24" s="297" t="n"/>
      <c r="AC24" s="297" t="n"/>
      <c r="AD24" s="297" t="n"/>
      <c r="AE24" s="297" t="n"/>
      <c r="AF24" s="298" t="n"/>
      <c r="AI24" s="317" t="inlineStr">
        <is>
          <t>Análisis</t>
        </is>
      </c>
      <c r="AJ24" s="297" t="n"/>
      <c r="AK24" s="297" t="n"/>
      <c r="AL24" s="297" t="n"/>
      <c r="AM24" s="297" t="n"/>
      <c r="AN24" s="297" t="n"/>
      <c r="AO24" s="297" t="n"/>
      <c r="AP24" s="297" t="n"/>
      <c r="AQ24" s="297" t="n"/>
      <c r="AR24" s="297" t="n"/>
      <c r="AS24" s="297" t="n"/>
      <c r="AT24" s="297" t="n"/>
      <c r="AU24" s="297" t="n"/>
      <c r="AV24" s="298" t="n"/>
    </row>
    <row r="25" ht="27" customHeight="1">
      <c r="D25" s="318" t="inlineStr">
        <is>
          <t xml:space="preserve"> Coliformes Totales, Escherichia coli, TurbiedadArsenico Total</t>
        </is>
      </c>
      <c r="E25" s="297" t="n"/>
      <c r="F25" s="297" t="n"/>
      <c r="G25" s="297" t="n"/>
      <c r="H25" s="297" t="n"/>
      <c r="I25" s="297" t="n"/>
      <c r="J25" s="297" t="n"/>
      <c r="K25" s="297" t="n"/>
      <c r="L25" s="297" t="n"/>
      <c r="M25" s="297" t="n"/>
      <c r="N25" s="297" t="n"/>
      <c r="O25" s="297" t="n"/>
      <c r="P25" s="297" t="n"/>
      <c r="Q25" s="298" t="n"/>
      <c r="S25" s="318" t="inlineStr">
        <is>
          <t>Conductividad, pH, carbonato, bicarbonato, sólidos disueltos, sulfatos, N-Nitrato, cloruros, Fluoruros</t>
        </is>
      </c>
      <c r="T25" s="297" t="n"/>
      <c r="U25" s="297" t="n"/>
      <c r="V25" s="297" t="n"/>
      <c r="W25" s="297" t="n"/>
      <c r="X25" s="297" t="n"/>
      <c r="Y25" s="297" t="n"/>
      <c r="Z25" s="297" t="n"/>
      <c r="AA25" s="297" t="n"/>
      <c r="AB25" s="297" t="n"/>
      <c r="AC25" s="297" t="n"/>
      <c r="AD25" s="297" t="n"/>
      <c r="AE25" s="297" t="n"/>
      <c r="AF25" s="298" t="n"/>
      <c r="AI25" s="318" t="inlineStr">
        <is>
          <t>pH</t>
        </is>
      </c>
      <c r="AJ25" s="297" t="n"/>
      <c r="AK25" s="297" t="n"/>
      <c r="AL25" s="297" t="n"/>
      <c r="AM25" s="297" t="n"/>
      <c r="AN25" s="297" t="n"/>
      <c r="AO25" s="297" t="n"/>
      <c r="AP25" s="297" t="n"/>
      <c r="AQ25" s="297" t="n"/>
      <c r="AR25" s="297" t="n"/>
      <c r="AS25" s="297" t="n"/>
      <c r="AT25" s="297" t="n"/>
      <c r="AU25" s="297" t="n"/>
      <c r="AV25" s="298" t="n"/>
    </row>
    <row r="26" ht="27" customHeight="1">
      <c r="D26" s="32" t="n"/>
      <c r="S26" s="318" t="inlineStr">
        <is>
          <t>Al, As, B, Ba, Be, Cd, Ca, Zn, Cu, Co, Cr, Fe, Li, Mg, Mn, Mo, Ni, Ag, Pb, K, Se, Na, Na %, V,</t>
        </is>
      </c>
      <c r="T26" s="297" t="n"/>
      <c r="U26" s="297" t="n"/>
      <c r="V26" s="297" t="n"/>
      <c r="W26" s="297" t="n"/>
      <c r="X26" s="297" t="n"/>
      <c r="Y26" s="297" t="n"/>
      <c r="Z26" s="297" t="n"/>
      <c r="AA26" s="297" t="n"/>
      <c r="AB26" s="297" t="n"/>
      <c r="AC26" s="297" t="n"/>
      <c r="AD26" s="297" t="n"/>
      <c r="AE26" s="297" t="n"/>
      <c r="AF26" s="298" t="n"/>
      <c r="AI26" s="318" t="inlineStr">
        <is>
          <t>Conductividad Eléctrica</t>
        </is>
      </c>
      <c r="AJ26" s="297" t="n"/>
      <c r="AK26" s="297" t="n"/>
      <c r="AL26" s="297" t="n"/>
      <c r="AM26" s="297" t="n"/>
      <c r="AN26" s="297" t="n"/>
      <c r="AO26" s="297" t="n"/>
      <c r="AP26" s="297" t="n"/>
      <c r="AQ26" s="297" t="n"/>
      <c r="AR26" s="297" t="n"/>
      <c r="AS26" s="297" t="n"/>
      <c r="AT26" s="297" t="n"/>
      <c r="AU26" s="297" t="n"/>
      <c r="AV26" s="298" t="n"/>
    </row>
    <row r="27" ht="12.5" customHeight="1">
      <c r="S27" s="318" t="inlineStr">
        <is>
          <t>Mercurio</t>
        </is>
      </c>
      <c r="T27" s="297" t="n"/>
      <c r="U27" s="297" t="n"/>
      <c r="V27" s="297" t="n"/>
      <c r="W27" s="297" t="n"/>
      <c r="X27" s="297" t="n"/>
      <c r="Y27" s="297" t="n"/>
      <c r="Z27" s="297" t="n"/>
      <c r="AA27" s="297" t="n"/>
      <c r="AB27" s="297" t="n"/>
      <c r="AC27" s="297" t="n"/>
      <c r="AD27" s="297" t="n"/>
      <c r="AE27" s="297" t="n"/>
      <c r="AF27" s="298" t="n"/>
      <c r="AI27" s="318" t="inlineStr">
        <is>
          <t>Solidos Disueltos Totales</t>
        </is>
      </c>
      <c r="AJ27" s="297" t="n"/>
      <c r="AK27" s="297" t="n"/>
      <c r="AL27" s="297" t="n"/>
      <c r="AM27" s="297" t="n"/>
      <c r="AN27" s="297" t="n"/>
      <c r="AO27" s="297" t="n"/>
      <c r="AP27" s="297" t="n"/>
      <c r="AQ27" s="297" t="n"/>
      <c r="AR27" s="297" t="n"/>
      <c r="AS27" s="297" t="n"/>
      <c r="AT27" s="297" t="n"/>
      <c r="AU27" s="297" t="n"/>
      <c r="AV27" s="298" t="n"/>
    </row>
    <row r="28" ht="13" customHeight="1">
      <c r="D28" s="321" t="inlineStr">
        <is>
          <t>PLAN ARSENICO</t>
        </is>
      </c>
      <c r="E28" s="297" t="n"/>
      <c r="F28" s="297" t="n"/>
      <c r="G28" s="297" t="n"/>
      <c r="H28" s="297" t="n"/>
      <c r="I28" s="297" t="n"/>
      <c r="J28" s="297" t="n"/>
      <c r="K28" s="297" t="n"/>
      <c r="L28" s="297" t="n"/>
      <c r="M28" s="297" t="n"/>
      <c r="N28" s="297" t="n"/>
      <c r="O28" s="297" t="n"/>
      <c r="P28" s="297" t="n"/>
      <c r="Q28" s="298" t="n"/>
      <c r="S28" s="318" t="inlineStr">
        <is>
          <t>Cianuro.</t>
        </is>
      </c>
      <c r="T28" s="297" t="n"/>
      <c r="U28" s="297" t="n"/>
      <c r="V28" s="297" t="n"/>
      <c r="W28" s="297" t="n"/>
      <c r="X28" s="297" t="n"/>
      <c r="Y28" s="297" t="n"/>
      <c r="Z28" s="297" t="n"/>
      <c r="AA28" s="297" t="n"/>
      <c r="AB28" s="297" t="n"/>
      <c r="AC28" s="297" t="n"/>
      <c r="AD28" s="297" t="n"/>
      <c r="AE28" s="297" t="n"/>
      <c r="AF28" s="298" t="n"/>
      <c r="AI28" s="318" t="inlineStr">
        <is>
          <t>Coliformes Fecales</t>
        </is>
      </c>
      <c r="AJ28" s="297" t="n"/>
      <c r="AK28" s="297" t="n"/>
      <c r="AL28" s="297" t="n"/>
      <c r="AM28" s="297" t="n"/>
      <c r="AN28" s="297" t="n"/>
      <c r="AO28" s="297" t="n"/>
      <c r="AP28" s="297" t="n"/>
      <c r="AQ28" s="297" t="n"/>
      <c r="AR28" s="297" t="n"/>
      <c r="AS28" s="297" t="n"/>
      <c r="AT28" s="297" t="n"/>
      <c r="AU28" s="297" t="n"/>
      <c r="AV28" s="298" t="n"/>
    </row>
    <row r="29" ht="13" customHeight="1">
      <c r="D29" s="317" t="inlineStr">
        <is>
          <t>Análisis</t>
        </is>
      </c>
      <c r="E29" s="297" t="n"/>
      <c r="F29" s="297" t="n"/>
      <c r="G29" s="297" t="n"/>
      <c r="H29" s="297" t="n"/>
      <c r="I29" s="297" t="n"/>
      <c r="J29" s="297" t="n"/>
      <c r="K29" s="297" t="n"/>
      <c r="L29" s="297" t="n"/>
      <c r="M29" s="297" t="n"/>
      <c r="N29" s="297" t="n"/>
      <c r="O29" s="297" t="n"/>
      <c r="P29" s="297" t="n"/>
      <c r="Q29" s="298" t="n"/>
      <c r="S29" s="318" t="inlineStr">
        <is>
          <t>Salinidad</t>
        </is>
      </c>
      <c r="T29" s="297" t="n"/>
      <c r="U29" s="297" t="n"/>
      <c r="V29" s="297" t="n"/>
      <c r="W29" s="297" t="n"/>
      <c r="X29" s="297" t="n"/>
      <c r="Y29" s="297" t="n"/>
      <c r="Z29" s="297" t="n"/>
      <c r="AA29" s="297" t="n"/>
      <c r="AB29" s="297" t="n"/>
      <c r="AC29" s="297" t="n"/>
      <c r="AD29" s="297" t="n"/>
      <c r="AE29" s="297" t="n"/>
      <c r="AF29" s="298" t="n"/>
      <c r="AI29" s="318" t="inlineStr">
        <is>
          <t>Coliformes Totales</t>
        </is>
      </c>
      <c r="AJ29" s="297" t="n"/>
      <c r="AK29" s="297" t="n"/>
      <c r="AL29" s="297" t="n"/>
      <c r="AM29" s="297" t="n"/>
      <c r="AN29" s="297" t="n"/>
      <c r="AO29" s="297" t="n"/>
      <c r="AP29" s="297" t="n"/>
      <c r="AQ29" s="297" t="n"/>
      <c r="AR29" s="297" t="n"/>
      <c r="AS29" s="297" t="n"/>
      <c r="AT29" s="297" t="n"/>
      <c r="AU29" s="297" t="n"/>
      <c r="AV29" s="298" t="n"/>
    </row>
    <row r="30" ht="12.5" customHeight="1">
      <c r="D30" s="318" t="inlineStr">
        <is>
          <t>Arsenico Total, Arsénico Especiado, Fosfato Silice</t>
        </is>
      </c>
      <c r="E30" s="297" t="n"/>
      <c r="F30" s="297" t="n"/>
      <c r="G30" s="297" t="n"/>
      <c r="H30" s="297" t="n"/>
      <c r="I30" s="297" t="n"/>
      <c r="J30" s="297" t="n"/>
      <c r="K30" s="297" t="n"/>
      <c r="L30" s="297" t="n"/>
      <c r="M30" s="297" t="n"/>
      <c r="N30" s="297" t="n"/>
      <c r="O30" s="297" t="n"/>
      <c r="P30" s="297" t="n"/>
      <c r="Q30" s="298" t="n"/>
      <c r="S30" s="318" t="inlineStr">
        <is>
          <t xml:space="preserve"> Coliformes Totales, Escherichia coli, Turbiedad</t>
        </is>
      </c>
      <c r="T30" s="297" t="n"/>
      <c r="U30" s="297" t="n"/>
      <c r="V30" s="297" t="n"/>
      <c r="W30" s="297" t="n"/>
      <c r="X30" s="297" t="n"/>
      <c r="Y30" s="297" t="n"/>
      <c r="Z30" s="297" t="n"/>
      <c r="AA30" s="297" t="n"/>
      <c r="AB30" s="297" t="n"/>
      <c r="AC30" s="297" t="n"/>
      <c r="AD30" s="297" t="n"/>
      <c r="AE30" s="297" t="n"/>
      <c r="AF30" s="298" t="n"/>
    </row>
    <row r="32" ht="13" customHeight="1">
      <c r="D32" s="321" t="inlineStr">
        <is>
          <t>PLAN BACTER</t>
        </is>
      </c>
      <c r="E32" s="297" t="n"/>
      <c r="F32" s="297" t="n"/>
      <c r="G32" s="297" t="n"/>
      <c r="H32" s="297" t="n"/>
      <c r="I32" s="297" t="n"/>
      <c r="J32" s="297" t="n"/>
      <c r="K32" s="297" t="n"/>
      <c r="L32" s="297" t="n"/>
      <c r="M32" s="297" t="n"/>
      <c r="N32" s="297" t="n"/>
      <c r="O32" s="297" t="n"/>
      <c r="P32" s="297" t="n"/>
      <c r="Q32" s="298" t="n"/>
      <c r="S32" s="321" t="inlineStr">
        <is>
          <t>PLAN SALAR</t>
        </is>
      </c>
      <c r="T32" s="297" t="n"/>
      <c r="U32" s="297" t="n"/>
      <c r="V32" s="297" t="n"/>
      <c r="W32" s="297" t="n"/>
      <c r="X32" s="297" t="n"/>
      <c r="Y32" s="297" t="n"/>
      <c r="Z32" s="297" t="n"/>
      <c r="AA32" s="297" t="n"/>
      <c r="AB32" s="297" t="n"/>
      <c r="AC32" s="297" t="n"/>
      <c r="AD32" s="297" t="n"/>
      <c r="AE32" s="297" t="n"/>
      <c r="AF32" s="298" t="n"/>
      <c r="AI32" s="317" t="inlineStr">
        <is>
          <t>PLAN BACTER PUERTO</t>
        </is>
      </c>
      <c r="AJ32" s="297" t="n"/>
      <c r="AK32" s="297" t="n"/>
      <c r="AL32" s="297" t="n"/>
      <c r="AM32" s="297" t="n"/>
      <c r="AN32" s="297" t="n"/>
      <c r="AO32" s="297" t="n"/>
      <c r="AP32" s="297" t="n"/>
      <c r="AQ32" s="297" t="n"/>
      <c r="AR32" s="297" t="n"/>
      <c r="AS32" s="297" t="n"/>
      <c r="AT32" s="297" t="n"/>
      <c r="AU32" s="297" t="n"/>
      <c r="AV32" s="298" t="n"/>
    </row>
    <row r="33" ht="13" customHeight="1">
      <c r="D33" s="317" t="inlineStr">
        <is>
          <t>Análisis</t>
        </is>
      </c>
      <c r="E33" s="297" t="n"/>
      <c r="F33" s="297" t="n"/>
      <c r="G33" s="297" t="n"/>
      <c r="H33" s="297" t="n"/>
      <c r="I33" s="297" t="n"/>
      <c r="J33" s="297" t="n"/>
      <c r="K33" s="297" t="n"/>
      <c r="L33" s="297" t="n"/>
      <c r="M33" s="297" t="n"/>
      <c r="N33" s="297" t="n"/>
      <c r="O33" s="297" t="n"/>
      <c r="P33" s="297" t="n"/>
      <c r="Q33" s="298" t="n"/>
      <c r="S33" s="321" t="inlineStr">
        <is>
          <t>Análisis</t>
        </is>
      </c>
      <c r="T33" s="297" t="n"/>
      <c r="U33" s="297" t="n"/>
      <c r="V33" s="297" t="n"/>
      <c r="W33" s="297" t="n"/>
      <c r="X33" s="297" t="n"/>
      <c r="Y33" s="297" t="n"/>
      <c r="Z33" s="297" t="n"/>
      <c r="AA33" s="297" t="n"/>
      <c r="AB33" s="297" t="n"/>
      <c r="AC33" s="297" t="n"/>
      <c r="AD33" s="297" t="n"/>
      <c r="AE33" s="297" t="n"/>
      <c r="AF33" s="298" t="n"/>
      <c r="AI33" s="317" t="inlineStr">
        <is>
          <t>Análisis</t>
        </is>
      </c>
      <c r="AJ33" s="297" t="n"/>
      <c r="AK33" s="297" t="n"/>
      <c r="AL33" s="297" t="n"/>
      <c r="AM33" s="297" t="n"/>
      <c r="AN33" s="297" t="n"/>
      <c r="AO33" s="297" t="n"/>
      <c r="AP33" s="297" t="n"/>
      <c r="AQ33" s="297" t="n"/>
      <c r="AR33" s="297" t="n"/>
      <c r="AS33" s="297" t="n"/>
      <c r="AT33" s="297" t="n"/>
      <c r="AU33" s="297" t="n"/>
      <c r="AV33" s="298" t="n"/>
    </row>
    <row r="34" ht="12.5" customHeight="1">
      <c r="D34" s="318" t="inlineStr">
        <is>
          <t>Coliformes Totales, Escherichia coli, Turbiedad</t>
        </is>
      </c>
      <c r="E34" s="297" t="n"/>
      <c r="F34" s="297" t="n"/>
      <c r="G34" s="297" t="n"/>
      <c r="H34" s="297" t="n"/>
      <c r="I34" s="297" t="n"/>
      <c r="J34" s="297" t="n"/>
      <c r="K34" s="297" t="n"/>
      <c r="L34" s="297" t="n"/>
      <c r="M34" s="297" t="n"/>
      <c r="N34" s="297" t="n"/>
      <c r="O34" s="297" t="n"/>
      <c r="P34" s="297" t="n"/>
      <c r="Q34" s="298" t="n"/>
      <c r="S34" s="318" t="inlineStr">
        <is>
          <t>Conductividad, pH, carbonato, bicarbonato, Fluoruros, sulfatos, cloruros, Nitrógeno de  Nitratos</t>
        </is>
      </c>
      <c r="T34" s="297" t="n"/>
      <c r="U34" s="297" t="n"/>
      <c r="V34" s="297" t="n"/>
      <c r="W34" s="297" t="n"/>
      <c r="X34" s="297" t="n"/>
      <c r="Y34" s="297" t="n"/>
      <c r="Z34" s="297" t="n"/>
      <c r="AA34" s="297" t="n"/>
      <c r="AB34" s="297" t="n"/>
      <c r="AC34" s="297" t="n"/>
      <c r="AD34" s="297" t="n"/>
      <c r="AE34" s="297" t="n"/>
      <c r="AF34" s="298" t="n"/>
      <c r="AI34" s="318" t="inlineStr">
        <is>
          <t xml:space="preserve"> Coliformes Totales, Escherichia coli, Turbiedad</t>
        </is>
      </c>
      <c r="AJ34" s="297" t="n"/>
      <c r="AK34" s="297" t="n"/>
      <c r="AL34" s="297" t="n"/>
      <c r="AM34" s="297" t="n"/>
      <c r="AN34" s="297" t="n"/>
      <c r="AO34" s="297" t="n"/>
      <c r="AP34" s="297" t="n"/>
      <c r="AQ34" s="297" t="n"/>
      <c r="AR34" s="297" t="n"/>
      <c r="AS34" s="297" t="n"/>
      <c r="AT34" s="297" t="n"/>
      <c r="AU34" s="297" t="n"/>
      <c r="AV34" s="298" t="n"/>
    </row>
    <row r="35" ht="12.5" customHeight="1">
      <c r="S35" s="318" t="inlineStr">
        <is>
          <t>B, Ca, Mn total, Na, K, Balance Iónico</t>
        </is>
      </c>
      <c r="T35" s="297" t="n"/>
      <c r="U35" s="297" t="n"/>
      <c r="V35" s="297" t="n"/>
      <c r="W35" s="297" t="n"/>
      <c r="X35" s="297" t="n"/>
      <c r="Y35" s="297" t="n"/>
      <c r="Z35" s="297" t="n"/>
      <c r="AA35" s="297" t="n"/>
      <c r="AB35" s="297" t="n"/>
      <c r="AC35" s="297" t="n"/>
      <c r="AD35" s="297" t="n"/>
      <c r="AE35" s="297" t="n"/>
      <c r="AF35" s="298" t="n"/>
      <c r="AI35" s="318" t="inlineStr">
        <is>
          <t>Hierro Total</t>
        </is>
      </c>
      <c r="AJ35" s="297" t="n"/>
      <c r="AK35" s="297" t="n"/>
      <c r="AL35" s="297" t="n"/>
      <c r="AM35" s="297" t="n"/>
      <c r="AN35" s="297" t="n"/>
      <c r="AO35" s="297" t="n"/>
      <c r="AP35" s="297" t="n"/>
      <c r="AQ35" s="297" t="n"/>
      <c r="AR35" s="297" t="n"/>
      <c r="AS35" s="297" t="n"/>
      <c r="AT35" s="297" t="n"/>
      <c r="AU35" s="297" t="n"/>
      <c r="AV35" s="298" t="n"/>
    </row>
    <row r="36" ht="13" customHeight="1">
      <c r="D36" s="321" t="inlineStr">
        <is>
          <t>PLAN NCh 1333 IONICO RIEGO</t>
        </is>
      </c>
      <c r="E36" s="297" t="n"/>
      <c r="F36" s="297" t="n"/>
      <c r="G36" s="297" t="n"/>
      <c r="H36" s="297" t="n"/>
      <c r="I36" s="297" t="n"/>
      <c r="J36" s="297" t="n"/>
      <c r="K36" s="297" t="n"/>
      <c r="L36" s="297" t="n"/>
      <c r="M36" s="297" t="n"/>
      <c r="N36" s="297" t="n"/>
      <c r="O36" s="297" t="n"/>
      <c r="P36" s="297" t="n"/>
      <c r="Q36" s="298" t="n"/>
      <c r="AI36" s="318" t="inlineStr">
        <is>
          <t>Cloruro</t>
        </is>
      </c>
      <c r="AJ36" s="297" t="n"/>
      <c r="AK36" s="297" t="n"/>
      <c r="AL36" s="297" t="n"/>
      <c r="AM36" s="297" t="n"/>
      <c r="AN36" s="297" t="n"/>
      <c r="AO36" s="297" t="n"/>
      <c r="AP36" s="297" t="n"/>
      <c r="AQ36" s="297" t="n"/>
      <c r="AR36" s="297" t="n"/>
      <c r="AS36" s="297" t="n"/>
      <c r="AT36" s="297" t="n"/>
      <c r="AU36" s="297" t="n"/>
      <c r="AV36" s="298" t="n"/>
    </row>
    <row r="37" ht="13" customHeight="1">
      <c r="D37" s="320" t="inlineStr">
        <is>
          <t>Análisis</t>
        </is>
      </c>
      <c r="E37" s="312" t="n"/>
      <c r="F37" s="312" t="n"/>
      <c r="G37" s="312" t="n"/>
      <c r="H37" s="312" t="n"/>
      <c r="I37" s="312" t="n"/>
      <c r="J37" s="312" t="n"/>
      <c r="K37" s="312" t="n"/>
      <c r="L37" s="312" t="n"/>
      <c r="M37" s="312" t="n"/>
      <c r="N37" s="312" t="n"/>
      <c r="O37" s="312" t="n"/>
      <c r="P37" s="312" t="n"/>
      <c r="Q37" s="312" t="n"/>
      <c r="S37" s="320" t="inlineStr">
        <is>
          <t>PLAN VERTEDERO</t>
        </is>
      </c>
      <c r="T37" s="312" t="n"/>
      <c r="U37" s="312" t="n"/>
      <c r="V37" s="312" t="n"/>
      <c r="W37" s="312" t="n"/>
      <c r="X37" s="312" t="n"/>
      <c r="Y37" s="312" t="n"/>
      <c r="Z37" s="312" t="n"/>
      <c r="AA37" s="312" t="n"/>
      <c r="AB37" s="312" t="n"/>
      <c r="AC37" s="312" t="n"/>
      <c r="AD37" s="312" t="n"/>
      <c r="AE37" s="312" t="n"/>
      <c r="AF37" s="312" t="n"/>
      <c r="AI37" s="318" t="inlineStr">
        <is>
          <t>pH</t>
        </is>
      </c>
      <c r="AJ37" s="297" t="n"/>
      <c r="AK37" s="297" t="n"/>
      <c r="AL37" s="297" t="n"/>
      <c r="AM37" s="297" t="n"/>
      <c r="AN37" s="297" t="n"/>
      <c r="AO37" s="297" t="n"/>
      <c r="AP37" s="297" t="n"/>
      <c r="AQ37" s="297" t="n"/>
      <c r="AR37" s="297" t="n"/>
      <c r="AS37" s="297" t="n"/>
      <c r="AT37" s="297" t="n"/>
      <c r="AU37" s="297" t="n"/>
      <c r="AV37" s="298" t="n"/>
    </row>
    <row r="38" ht="34.5" customHeight="1">
      <c r="D38" s="322" t="inlineStr">
        <is>
          <t>Conductividad, pH, carbonato, bicarbonato, sólidos disueltos, sulfatos, N-Nitrato, cloruros, Fluoruros</t>
        </is>
      </c>
      <c r="E38" s="308" t="n"/>
      <c r="F38" s="308" t="n"/>
      <c r="G38" s="308" t="n"/>
      <c r="H38" s="308" t="n"/>
      <c r="I38" s="308" t="n"/>
      <c r="J38" s="308" t="n"/>
      <c r="K38" s="308" t="n"/>
      <c r="L38" s="308" t="n"/>
      <c r="M38" s="308" t="n"/>
      <c r="N38" s="308" t="n"/>
      <c r="O38" s="308" t="n"/>
      <c r="P38" s="308" t="n"/>
      <c r="Q38" s="308" t="n"/>
      <c r="S38" s="319" t="inlineStr">
        <is>
          <t>Análisis</t>
        </is>
      </c>
      <c r="T38" s="308" t="n"/>
      <c r="U38" s="308" t="n"/>
      <c r="V38" s="308" t="n"/>
      <c r="W38" s="308" t="n"/>
      <c r="X38" s="308" t="n"/>
      <c r="Y38" s="308" t="n"/>
      <c r="Z38" s="308" t="n"/>
      <c r="AA38" s="308" t="n"/>
      <c r="AB38" s="308" t="n"/>
      <c r="AC38" s="308" t="n"/>
      <c r="AD38" s="308" t="n"/>
      <c r="AE38" s="308" t="n"/>
      <c r="AF38" s="308" t="n"/>
    </row>
    <row r="39" ht="34.5" customHeight="1">
      <c r="D39" s="318" t="inlineStr">
        <is>
          <t>Al, As, B, Ba, Be, Cd, Ca, Zn, Cu, Co, Cr, Fe, Li, Mg, Mn, Mo, Ni, Ag, Pb, K, Se, Na, Na %, V,</t>
        </is>
      </c>
      <c r="E39" s="297" t="n"/>
      <c r="F39" s="297" t="n"/>
      <c r="G39" s="297" t="n"/>
      <c r="H39" s="297" t="n"/>
      <c r="I39" s="297" t="n"/>
      <c r="J39" s="297" t="n"/>
      <c r="K39" s="297" t="n"/>
      <c r="L39" s="297" t="n"/>
      <c r="M39" s="297" t="n"/>
      <c r="N39" s="297" t="n"/>
      <c r="O39" s="297" t="n"/>
      <c r="P39" s="297" t="n"/>
      <c r="Q39" s="298" t="n"/>
      <c r="S39" s="318" t="inlineStr">
        <is>
          <t>Sulfatos, Cloruros, Bicarbonato, Fluoruros, DBO5, pH a 25°C, Cromo hexavalente, Carbonatos, Nitrógeno de nitrito, Nitrógeno de nitrato</t>
        </is>
      </c>
      <c r="T39" s="297" t="n"/>
      <c r="U39" s="297" t="n"/>
      <c r="V39" s="297" t="n"/>
      <c r="W39" s="297" t="n"/>
      <c r="X39" s="297" t="n"/>
      <c r="Y39" s="297" t="n"/>
      <c r="Z39" s="297" t="n"/>
      <c r="AA39" s="297" t="n"/>
      <c r="AB39" s="297" t="n"/>
      <c r="AC39" s="297" t="n"/>
      <c r="AD39" s="297" t="n"/>
      <c r="AE39" s="297" t="n"/>
      <c r="AF39" s="298" t="n"/>
      <c r="AI39" s="317" t="inlineStr">
        <is>
          <t>PLAN PCA</t>
        </is>
      </c>
      <c r="AJ39" s="297" t="n"/>
      <c r="AK39" s="297" t="n"/>
      <c r="AL39" s="297" t="n"/>
      <c r="AM39" s="297" t="n"/>
      <c r="AN39" s="297" t="n"/>
      <c r="AO39" s="297" t="n"/>
      <c r="AP39" s="297" t="n"/>
      <c r="AQ39" s="297" t="n"/>
      <c r="AR39" s="297" t="n"/>
      <c r="AS39" s="297" t="n"/>
      <c r="AT39" s="297" t="n"/>
      <c r="AU39" s="297" t="n"/>
      <c r="AV39" s="298" t="n"/>
    </row>
    <row r="40" ht="13" customHeight="1">
      <c r="D40" s="318" t="inlineStr">
        <is>
          <t>Mercurio</t>
        </is>
      </c>
      <c r="E40" s="297" t="n"/>
      <c r="F40" s="297" t="n"/>
      <c r="G40" s="297" t="n"/>
      <c r="H40" s="297" t="n"/>
      <c r="I40" s="297" t="n"/>
      <c r="J40" s="297" t="n"/>
      <c r="K40" s="297" t="n"/>
      <c r="L40" s="297" t="n"/>
      <c r="M40" s="297" t="n"/>
      <c r="N40" s="297" t="n"/>
      <c r="O40" s="297" t="n"/>
      <c r="P40" s="297" t="n"/>
      <c r="Q40" s="298" t="n"/>
      <c r="S40" s="318" t="inlineStr">
        <is>
          <t>Al, As, B, Cd, Ca, Cinc, Cu, Co, Fe, Mg, Mn, Mo, Ni, Pb, Se, Na.</t>
        </is>
      </c>
      <c r="T40" s="297" t="n"/>
      <c r="U40" s="297" t="n"/>
      <c r="V40" s="297" t="n"/>
      <c r="W40" s="297" t="n"/>
      <c r="X40" s="297" t="n"/>
      <c r="Y40" s="297" t="n"/>
      <c r="Z40" s="297" t="n"/>
      <c r="AA40" s="297" t="n"/>
      <c r="AB40" s="297" t="n"/>
      <c r="AC40" s="297" t="n"/>
      <c r="AD40" s="297" t="n"/>
      <c r="AE40" s="297" t="n"/>
      <c r="AF40" s="298" t="n"/>
      <c r="AI40" s="317" t="inlineStr">
        <is>
          <t>Análisis</t>
        </is>
      </c>
      <c r="AJ40" s="297" t="n"/>
      <c r="AK40" s="297" t="n"/>
      <c r="AL40" s="297" t="n"/>
      <c r="AM40" s="297" t="n"/>
      <c r="AN40" s="297" t="n"/>
      <c r="AO40" s="297" t="n"/>
      <c r="AP40" s="297" t="n"/>
      <c r="AQ40" s="297" t="n"/>
      <c r="AR40" s="297" t="n"/>
      <c r="AS40" s="297" t="n"/>
      <c r="AT40" s="297" t="n"/>
      <c r="AU40" s="297" t="n"/>
      <c r="AV40" s="298" t="n"/>
    </row>
    <row r="41" ht="12.5" customHeight="1">
      <c r="D41" s="318" t="inlineStr">
        <is>
          <t>Cianuro.</t>
        </is>
      </c>
      <c r="E41" s="297" t="n"/>
      <c r="F41" s="297" t="n"/>
      <c r="G41" s="297" t="n"/>
      <c r="H41" s="297" t="n"/>
      <c r="I41" s="297" t="n"/>
      <c r="J41" s="297" t="n"/>
      <c r="K41" s="297" t="n"/>
      <c r="L41" s="297" t="n"/>
      <c r="M41" s="297" t="n"/>
      <c r="N41" s="297" t="n"/>
      <c r="O41" s="297" t="n"/>
      <c r="P41" s="297" t="n"/>
      <c r="Q41" s="298" t="n"/>
      <c r="S41" s="318" t="inlineStr">
        <is>
          <t>Mercurio</t>
        </is>
      </c>
      <c r="T41" s="297" t="n"/>
      <c r="U41" s="297" t="n"/>
      <c r="V41" s="297" t="n"/>
      <c r="W41" s="297" t="n"/>
      <c r="X41" s="297" t="n"/>
      <c r="Y41" s="297" t="n"/>
      <c r="Z41" s="297" t="n"/>
      <c r="AA41" s="297" t="n"/>
      <c r="AB41" s="297" t="n"/>
      <c r="AC41" s="297" t="n"/>
      <c r="AD41" s="297" t="n"/>
      <c r="AE41" s="297" t="n"/>
      <c r="AF41" s="298" t="n"/>
      <c r="AI41" s="318" t="inlineStr">
        <is>
          <t>As, Ag, B, Ca, K, Na, Ni, Pb, Fe, Cu, Zn, Li, Mn, Mg, Mo</t>
        </is>
      </c>
      <c r="AJ41" s="297" t="n"/>
      <c r="AK41" s="297" t="n"/>
      <c r="AL41" s="297" t="n"/>
      <c r="AM41" s="297" t="n"/>
      <c r="AN41" s="297" t="n"/>
      <c r="AO41" s="297" t="n"/>
      <c r="AP41" s="297" t="n"/>
      <c r="AQ41" s="297" t="n"/>
      <c r="AR41" s="297" t="n"/>
      <c r="AS41" s="297" t="n"/>
      <c r="AT41" s="297" t="n"/>
      <c r="AU41" s="297" t="n"/>
      <c r="AV41" s="298" t="n"/>
    </row>
    <row r="42" ht="12.5" customHeight="1">
      <c r="S42" s="318" t="inlineStr">
        <is>
          <t>Aceites y grasas</t>
        </is>
      </c>
      <c r="T42" s="297" t="n"/>
      <c r="U42" s="297" t="n"/>
      <c r="V42" s="297" t="n"/>
      <c r="W42" s="297" t="n"/>
      <c r="X42" s="297" t="n"/>
      <c r="Y42" s="297" t="n"/>
      <c r="Z42" s="297" t="n"/>
      <c r="AA42" s="297" t="n"/>
      <c r="AB42" s="297" t="n"/>
      <c r="AC42" s="297" t="n"/>
      <c r="AD42" s="297" t="n"/>
      <c r="AE42" s="297" t="n"/>
      <c r="AF42" s="298" t="n"/>
      <c r="AI42" s="318" t="inlineStr">
        <is>
          <t>HCO3, CO3, Sulfatos, S. Disueltos, Nitratos, Cl, pH, Conductividad</t>
        </is>
      </c>
      <c r="AJ42" s="297" t="n"/>
      <c r="AK42" s="297" t="n"/>
      <c r="AL42" s="297" t="n"/>
      <c r="AM42" s="297" t="n"/>
      <c r="AN42" s="297" t="n"/>
      <c r="AO42" s="297" t="n"/>
      <c r="AP42" s="297" t="n"/>
      <c r="AQ42" s="297" t="n"/>
      <c r="AR42" s="297" t="n"/>
      <c r="AS42" s="297" t="n"/>
      <c r="AT42" s="297" t="n"/>
      <c r="AU42" s="297" t="n"/>
      <c r="AV42" s="298" t="n"/>
    </row>
    <row r="43" ht="13" customHeight="1">
      <c r="D43" s="321" t="inlineStr">
        <is>
          <t>PLAN NCh 1333 / IONICO RIEGO / SALINIDAD</t>
        </is>
      </c>
      <c r="E43" s="297" t="n"/>
      <c r="F43" s="297" t="n"/>
      <c r="G43" s="297" t="n"/>
      <c r="H43" s="297" t="n"/>
      <c r="I43" s="297" t="n"/>
      <c r="J43" s="297" t="n"/>
      <c r="K43" s="297" t="n"/>
      <c r="L43" s="297" t="n"/>
      <c r="M43" s="297" t="n"/>
      <c r="N43" s="297" t="n"/>
      <c r="O43" s="297" t="n"/>
      <c r="P43" s="297" t="n"/>
      <c r="Q43" s="298" t="n"/>
      <c r="S43" s="318" t="inlineStr">
        <is>
          <t>Pentaclorofenol</t>
        </is>
      </c>
      <c r="T43" s="297" t="n"/>
      <c r="U43" s="297" t="n"/>
      <c r="V43" s="297" t="n"/>
      <c r="W43" s="297" t="n"/>
      <c r="X43" s="297" t="n"/>
      <c r="Y43" s="297" t="n"/>
      <c r="Z43" s="297" t="n"/>
      <c r="AA43" s="297" t="n"/>
      <c r="AB43" s="297" t="n"/>
      <c r="AC43" s="297" t="n"/>
      <c r="AD43" s="297" t="n"/>
      <c r="AE43" s="297" t="n"/>
      <c r="AF43" s="298" t="n"/>
    </row>
    <row r="44" ht="13" customHeight="1">
      <c r="D44" s="319" t="inlineStr">
        <is>
          <t>Análisis</t>
        </is>
      </c>
      <c r="E44" s="308" t="n"/>
      <c r="F44" s="308" t="n"/>
      <c r="G44" s="308" t="n"/>
      <c r="H44" s="308" t="n"/>
      <c r="I44" s="308" t="n"/>
      <c r="J44" s="308" t="n"/>
      <c r="K44" s="308" t="n"/>
      <c r="L44" s="308" t="n"/>
      <c r="M44" s="308" t="n"/>
      <c r="N44" s="308" t="n"/>
      <c r="O44" s="308" t="n"/>
      <c r="P44" s="308" t="n"/>
      <c r="Q44" s="308" t="n"/>
      <c r="S44" s="318" t="inlineStr">
        <is>
          <t>Súlfuro Total</t>
        </is>
      </c>
      <c r="T44" s="297" t="n"/>
      <c r="U44" s="297" t="n"/>
      <c r="V44" s="297" t="n"/>
      <c r="W44" s="297" t="n"/>
      <c r="X44" s="297" t="n"/>
      <c r="Y44" s="297" t="n"/>
      <c r="Z44" s="297" t="n"/>
      <c r="AA44" s="297" t="n"/>
      <c r="AB44" s="297" t="n"/>
      <c r="AC44" s="297" t="n"/>
      <c r="AD44" s="297" t="n"/>
      <c r="AE44" s="297" t="n"/>
      <c r="AF44" s="298" t="n"/>
    </row>
    <row r="45" ht="13" customHeight="1">
      <c r="D45" s="318" t="inlineStr">
        <is>
          <t>Conductividad, pH, carbonato, bicarbonato, sólidos disueltos, sulfatos, N-Nitrato, cloruros, Fluoruros</t>
        </is>
      </c>
      <c r="E45" s="297" t="n"/>
      <c r="F45" s="297" t="n"/>
      <c r="G45" s="297" t="n"/>
      <c r="H45" s="297" t="n"/>
      <c r="I45" s="297" t="n"/>
      <c r="J45" s="297" t="n"/>
      <c r="K45" s="297" t="n"/>
      <c r="L45" s="297" t="n"/>
      <c r="M45" s="297" t="n"/>
      <c r="N45" s="297" t="n"/>
      <c r="O45" s="297" t="n"/>
      <c r="P45" s="297" t="n"/>
      <c r="Q45" s="298" t="n"/>
      <c r="S45" s="318" t="inlineStr">
        <is>
          <t>Benceno, Tolueno, Xileno, Triclorometano, tetracloetano.</t>
        </is>
      </c>
      <c r="T45" s="297" t="n"/>
      <c r="U45" s="297" t="n"/>
      <c r="V45" s="297" t="n"/>
      <c r="W45" s="297" t="n"/>
      <c r="X45" s="297" t="n"/>
      <c r="Y45" s="297" t="n"/>
      <c r="Z45" s="297" t="n"/>
      <c r="AA45" s="297" t="n"/>
      <c r="AB45" s="297" t="n"/>
      <c r="AC45" s="297" t="n"/>
      <c r="AD45" s="297" t="n"/>
      <c r="AE45" s="297" t="n"/>
      <c r="AF45" s="298" t="n"/>
      <c r="AI45" s="317" t="inlineStr">
        <is>
          <t>PLAN PTAS-COMP</t>
        </is>
      </c>
      <c r="AJ45" s="297" t="n"/>
      <c r="AK45" s="297" t="n"/>
      <c r="AL45" s="297" t="n"/>
      <c r="AM45" s="297" t="n"/>
      <c r="AN45" s="297" t="n"/>
      <c r="AO45" s="297" t="n"/>
      <c r="AP45" s="297" t="n"/>
      <c r="AQ45" s="297" t="n"/>
      <c r="AR45" s="297" t="n"/>
      <c r="AS45" s="297" t="n"/>
      <c r="AT45" s="297" t="n"/>
      <c r="AU45" s="297" t="n"/>
      <c r="AV45" s="298" t="n"/>
    </row>
    <row r="46" ht="13" customHeight="1">
      <c r="D46" s="318" t="inlineStr">
        <is>
          <t>Al, As, B, Ba, Be, Cd, Ca, Zn, Cu, Co, Cr, Fe, Li, Mg, Mn, Mo, Ni, Ag, Pb, K, Se, Na, Na %, V,</t>
        </is>
      </c>
      <c r="E46" s="297" t="n"/>
      <c r="F46" s="297" t="n"/>
      <c r="G46" s="297" t="n"/>
      <c r="H46" s="297" t="n"/>
      <c r="I46" s="297" t="n"/>
      <c r="J46" s="297" t="n"/>
      <c r="K46" s="297" t="n"/>
      <c r="L46" s="297" t="n"/>
      <c r="M46" s="297" t="n"/>
      <c r="N46" s="297" t="n"/>
      <c r="O46" s="297" t="n"/>
      <c r="P46" s="297" t="n"/>
      <c r="Q46" s="298" t="n"/>
      <c r="S46" s="318" t="inlineStr">
        <is>
          <t>Nitrógeno total Kjeldahl, DQO</t>
        </is>
      </c>
      <c r="T46" s="297" t="n"/>
      <c r="U46" s="297" t="n"/>
      <c r="V46" s="297" t="n"/>
      <c r="W46" s="297" t="n"/>
      <c r="X46" s="297" t="n"/>
      <c r="Y46" s="297" t="n"/>
      <c r="Z46" s="297" t="n"/>
      <c r="AA46" s="297" t="n"/>
      <c r="AB46" s="297" t="n"/>
      <c r="AC46" s="297" t="n"/>
      <c r="AD46" s="297" t="n"/>
      <c r="AE46" s="297" t="n"/>
      <c r="AF46" s="298" t="n"/>
      <c r="AI46" s="317" t="inlineStr">
        <is>
          <t>Análisis</t>
        </is>
      </c>
      <c r="AJ46" s="297" t="n"/>
      <c r="AK46" s="297" t="n"/>
      <c r="AL46" s="297" t="n"/>
      <c r="AM46" s="297" t="n"/>
      <c r="AN46" s="297" t="n"/>
      <c r="AO46" s="297" t="n"/>
      <c r="AP46" s="297" t="n"/>
      <c r="AQ46" s="297" t="n"/>
      <c r="AR46" s="297" t="n"/>
      <c r="AS46" s="297" t="n"/>
      <c r="AT46" s="297" t="n"/>
      <c r="AU46" s="297" t="n"/>
      <c r="AV46" s="298" t="n"/>
    </row>
    <row r="47" ht="12.5" customHeight="1">
      <c r="D47" s="318" t="inlineStr">
        <is>
          <t>Mercurio</t>
        </is>
      </c>
      <c r="E47" s="297" t="n"/>
      <c r="F47" s="297" t="n"/>
      <c r="G47" s="297" t="n"/>
      <c r="H47" s="297" t="n"/>
      <c r="I47" s="297" t="n"/>
      <c r="J47" s="297" t="n"/>
      <c r="K47" s="297" t="n"/>
      <c r="L47" s="297" t="n"/>
      <c r="M47" s="297" t="n"/>
      <c r="N47" s="297" t="n"/>
      <c r="O47" s="297" t="n"/>
      <c r="P47" s="297" t="n"/>
      <c r="Q47" s="298" t="n"/>
      <c r="S47" s="318" t="inlineStr">
        <is>
          <t>Cianuro</t>
        </is>
      </c>
      <c r="T47" s="297" t="n"/>
      <c r="U47" s="297" t="n"/>
      <c r="V47" s="297" t="n"/>
      <c r="W47" s="297" t="n"/>
      <c r="X47" s="297" t="n"/>
      <c r="Y47" s="297" t="n"/>
      <c r="Z47" s="297" t="n"/>
      <c r="AA47" s="297" t="n"/>
      <c r="AB47" s="297" t="n"/>
      <c r="AC47" s="297" t="n"/>
      <c r="AD47" s="297" t="n"/>
      <c r="AE47" s="297" t="n"/>
      <c r="AF47" s="298" t="n"/>
      <c r="AI47" s="318" t="inlineStr">
        <is>
          <t>Aceite s y grasas</t>
        </is>
      </c>
      <c r="AJ47" s="297" t="n"/>
      <c r="AK47" s="297" t="n"/>
      <c r="AL47" s="297" t="n"/>
      <c r="AM47" s="297" t="n"/>
      <c r="AN47" s="297" t="n"/>
      <c r="AO47" s="297" t="n"/>
      <c r="AP47" s="297" t="n"/>
      <c r="AQ47" s="297" t="n"/>
      <c r="AR47" s="297" t="n"/>
      <c r="AS47" s="297" t="n"/>
      <c r="AT47" s="297" t="n"/>
      <c r="AU47" s="297" t="n"/>
      <c r="AV47" s="298" t="n"/>
    </row>
    <row r="48" ht="12.5" customHeight="1">
      <c r="D48" s="318" t="inlineStr">
        <is>
          <t>Cianuro.</t>
        </is>
      </c>
      <c r="E48" s="297" t="n"/>
      <c r="F48" s="297" t="n"/>
      <c r="G48" s="297" t="n"/>
      <c r="H48" s="297" t="n"/>
      <c r="I48" s="297" t="n"/>
      <c r="J48" s="297" t="n"/>
      <c r="K48" s="297" t="n"/>
      <c r="L48" s="297" t="n"/>
      <c r="M48" s="297" t="n"/>
      <c r="N48" s="297" t="n"/>
      <c r="O48" s="297" t="n"/>
      <c r="P48" s="297" t="n"/>
      <c r="Q48" s="298" t="n"/>
      <c r="AI48" s="318" t="inlineStr">
        <is>
          <t>DBO5 y SST</t>
        </is>
      </c>
      <c r="AJ48" s="297" t="n"/>
      <c r="AK48" s="297" t="n"/>
      <c r="AL48" s="297" t="n"/>
      <c r="AM48" s="297" t="n"/>
      <c r="AN48" s="297" t="n"/>
      <c r="AO48" s="297" t="n"/>
      <c r="AP48" s="297" t="n"/>
      <c r="AQ48" s="297" t="n"/>
      <c r="AR48" s="297" t="n"/>
      <c r="AS48" s="297" t="n"/>
      <c r="AT48" s="297" t="n"/>
      <c r="AU48" s="297" t="n"/>
      <c r="AV48" s="298" t="n"/>
    </row>
    <row r="49" ht="13" customHeight="1">
      <c r="D49" s="318" t="inlineStr">
        <is>
          <t>Salinidad</t>
        </is>
      </c>
      <c r="E49" s="297" t="n"/>
      <c r="F49" s="297" t="n"/>
      <c r="G49" s="297" t="n"/>
      <c r="H49" s="297" t="n"/>
      <c r="I49" s="297" t="n"/>
      <c r="J49" s="297" t="n"/>
      <c r="K49" s="297" t="n"/>
      <c r="L49" s="297" t="n"/>
      <c r="M49" s="297" t="n"/>
      <c r="N49" s="297" t="n"/>
      <c r="O49" s="297" t="n"/>
      <c r="P49" s="297" t="n"/>
      <c r="Q49" s="298" t="n"/>
      <c r="S49" s="321" t="inlineStr">
        <is>
          <t xml:space="preserve">PLAN FAD </t>
        </is>
      </c>
      <c r="T49" s="297" t="n"/>
      <c r="U49" s="297" t="n"/>
      <c r="V49" s="297" t="n"/>
      <c r="W49" s="297" t="n"/>
      <c r="X49" s="297" t="n"/>
      <c r="Y49" s="297" t="n"/>
      <c r="Z49" s="297" t="n"/>
      <c r="AA49" s="297" t="n"/>
      <c r="AB49" s="297" t="n"/>
      <c r="AC49" s="297" t="n"/>
      <c r="AD49" s="297" t="n"/>
      <c r="AE49" s="297" t="n"/>
      <c r="AF49" s="298" t="n"/>
      <c r="AI49" s="318" t="inlineStr">
        <is>
          <t>Fosforo, nitrogeno total Kjeldahl, Nitrogenop amoniacal</t>
        </is>
      </c>
      <c r="AJ49" s="297" t="n"/>
      <c r="AK49" s="297" t="n"/>
      <c r="AL49" s="297" t="n"/>
      <c r="AM49" s="297" t="n"/>
      <c r="AN49" s="297" t="n"/>
      <c r="AO49" s="297" t="n"/>
      <c r="AP49" s="297" t="n"/>
      <c r="AQ49" s="297" t="n"/>
      <c r="AR49" s="297" t="n"/>
      <c r="AS49" s="297" t="n"/>
      <c r="AT49" s="297" t="n"/>
      <c r="AU49" s="297" t="n"/>
      <c r="AV49" s="298" t="n"/>
    </row>
    <row r="50" ht="13" customHeight="1">
      <c r="S50" s="321" t="inlineStr">
        <is>
          <t>Análisis</t>
        </is>
      </c>
      <c r="T50" s="297" t="n"/>
      <c r="U50" s="297" t="n"/>
      <c r="V50" s="297" t="n"/>
      <c r="W50" s="297" t="n"/>
      <c r="X50" s="297" t="n"/>
      <c r="Y50" s="297" t="n"/>
      <c r="Z50" s="297" t="n"/>
      <c r="AA50" s="297" t="n"/>
      <c r="AB50" s="297" t="n"/>
      <c r="AC50" s="297" t="n"/>
      <c r="AD50" s="297" t="n"/>
      <c r="AE50" s="297" t="n"/>
      <c r="AF50" s="298" t="n"/>
    </row>
    <row r="51" ht="12.5" customHeight="1">
      <c r="S51" s="318" t="inlineStr">
        <is>
          <t>Conductividad, Sólidos Disueltos, Sulfatos</t>
        </is>
      </c>
      <c r="T51" s="297" t="n"/>
      <c r="U51" s="297" t="n"/>
      <c r="V51" s="297" t="n"/>
      <c r="W51" s="297" t="n"/>
      <c r="X51" s="297" t="n"/>
      <c r="Y51" s="297" t="n"/>
      <c r="Z51" s="297" t="n"/>
      <c r="AA51" s="297" t="n"/>
      <c r="AB51" s="297" t="n"/>
      <c r="AC51" s="297" t="n"/>
      <c r="AD51" s="297" t="n"/>
      <c r="AE51" s="297" t="n"/>
      <c r="AF51" s="298" t="n"/>
    </row>
    <row r="52" ht="13" customHeight="1">
      <c r="D52" s="319" t="inlineStr">
        <is>
          <t>PLAN NCH 409 COMPLETA</t>
        </is>
      </c>
      <c r="E52" s="308" t="n"/>
      <c r="F52" s="308" t="n"/>
      <c r="G52" s="308" t="n"/>
      <c r="H52" s="308" t="n"/>
      <c r="I52" s="308" t="n"/>
      <c r="J52" s="308" t="n"/>
      <c r="K52" s="308" t="n"/>
      <c r="L52" s="308" t="n"/>
      <c r="M52" s="308" t="n"/>
      <c r="N52" s="308" t="n"/>
      <c r="O52" s="308" t="n"/>
      <c r="P52" s="308" t="n"/>
      <c r="Q52" s="308" t="n"/>
      <c r="S52" s="318" t="inlineStr">
        <is>
          <t>Sodio total</t>
        </is>
      </c>
      <c r="T52" s="297" t="n"/>
      <c r="U52" s="297" t="n"/>
      <c r="V52" s="297" t="n"/>
      <c r="W52" s="297" t="n"/>
      <c r="X52" s="297" t="n"/>
      <c r="Y52" s="297" t="n"/>
      <c r="Z52" s="297" t="n"/>
      <c r="AA52" s="297" t="n"/>
      <c r="AB52" s="297" t="n"/>
      <c r="AC52" s="297" t="n"/>
      <c r="AD52" s="297" t="n"/>
      <c r="AE52" s="297" t="n"/>
      <c r="AF52" s="298" t="n"/>
      <c r="AI52" s="317" t="inlineStr">
        <is>
          <t>PLAN PTAS-PUNTUAL</t>
        </is>
      </c>
      <c r="AJ52" s="297" t="n"/>
      <c r="AK52" s="297" t="n"/>
      <c r="AL52" s="297" t="n"/>
      <c r="AM52" s="297" t="n"/>
      <c r="AN52" s="297" t="n"/>
      <c r="AO52" s="297" t="n"/>
      <c r="AP52" s="297" t="n"/>
      <c r="AQ52" s="297" t="n"/>
      <c r="AR52" s="297" t="n"/>
      <c r="AS52" s="297" t="n"/>
      <c r="AT52" s="297" t="n"/>
      <c r="AU52" s="297" t="n"/>
      <c r="AV52" s="298" t="n"/>
    </row>
    <row r="53" ht="13" customHeight="1">
      <c r="D53" s="319" t="inlineStr">
        <is>
          <t>Análisis</t>
        </is>
      </c>
      <c r="E53" s="308" t="n"/>
      <c r="F53" s="308" t="n"/>
      <c r="G53" s="308" t="n"/>
      <c r="H53" s="308" t="n"/>
      <c r="I53" s="308" t="n"/>
      <c r="J53" s="308" t="n"/>
      <c r="K53" s="308" t="n"/>
      <c r="L53" s="308" t="n"/>
      <c r="M53" s="308" t="n"/>
      <c r="N53" s="308" t="n"/>
      <c r="O53" s="308" t="n"/>
      <c r="P53" s="308" t="n"/>
      <c r="Q53" s="308" t="n"/>
      <c r="S53" s="318" t="inlineStr">
        <is>
          <t>RAS</t>
        </is>
      </c>
      <c r="T53" s="297" t="n"/>
      <c r="U53" s="297" t="n"/>
      <c r="V53" s="297" t="n"/>
      <c r="W53" s="297" t="n"/>
      <c r="X53" s="297" t="n"/>
      <c r="Y53" s="297" t="n"/>
      <c r="Z53" s="297" t="n"/>
      <c r="AA53" s="297" t="n"/>
      <c r="AB53" s="297" t="n"/>
      <c r="AC53" s="297" t="n"/>
      <c r="AD53" s="297" t="n"/>
      <c r="AE53" s="297" t="n"/>
      <c r="AF53" s="298" t="n"/>
      <c r="AI53" s="317" t="inlineStr">
        <is>
          <t>Análisis</t>
        </is>
      </c>
      <c r="AJ53" s="297" t="n"/>
      <c r="AK53" s="297" t="n"/>
      <c r="AL53" s="297" t="n"/>
      <c r="AM53" s="297" t="n"/>
      <c r="AN53" s="297" t="n"/>
      <c r="AO53" s="297" t="n"/>
      <c r="AP53" s="297" t="n"/>
      <c r="AQ53" s="297" t="n"/>
      <c r="AR53" s="297" t="n"/>
      <c r="AS53" s="297" t="n"/>
      <c r="AT53" s="297" t="n"/>
      <c r="AU53" s="297" t="n"/>
      <c r="AV53" s="298" t="n"/>
    </row>
    <row r="54" ht="25.5" customHeight="1">
      <c r="D54" s="318" t="inlineStr">
        <is>
          <t xml:space="preserve">Tipo I: </t>
        </is>
      </c>
      <c r="E54" s="297" t="n"/>
      <c r="F54" s="297" t="n"/>
      <c r="G54" s="297" t="n"/>
      <c r="H54" s="297" t="n"/>
      <c r="I54" s="297" t="n"/>
      <c r="J54" s="297" t="n"/>
      <c r="K54" s="297" t="n"/>
      <c r="L54" s="297" t="n"/>
      <c r="M54" s="297" t="n"/>
      <c r="N54" s="297" t="n"/>
      <c r="O54" s="297" t="n"/>
      <c r="P54" s="297" t="n"/>
      <c r="Q54" s="298" t="n"/>
      <c r="AI54" s="318" t="inlineStr">
        <is>
          <t>mercurio, cianuro, coliformes fecales</t>
        </is>
      </c>
      <c r="AJ54" s="297" t="n"/>
      <c r="AK54" s="297" t="n"/>
      <c r="AL54" s="297" t="n"/>
      <c r="AM54" s="297" t="n"/>
      <c r="AN54" s="297" t="n"/>
      <c r="AO54" s="297" t="n"/>
      <c r="AP54" s="297" t="n"/>
      <c r="AQ54" s="297" t="n"/>
      <c r="AR54" s="297" t="n"/>
      <c r="AS54" s="297" t="n"/>
      <c r="AT54" s="297" t="n"/>
      <c r="AU54" s="297" t="n"/>
      <c r="AV54" s="298" t="n"/>
    </row>
    <row r="55" ht="25.5" customHeight="1">
      <c r="D55" s="318" t="inlineStr">
        <is>
          <t>Coliformes Totales, Escherichia coli, Turbiedad</t>
        </is>
      </c>
      <c r="E55" s="297" t="n"/>
      <c r="F55" s="297" t="n"/>
      <c r="G55" s="297" t="n"/>
      <c r="H55" s="297" t="n"/>
      <c r="I55" s="297" t="n"/>
      <c r="J55" s="297" t="n"/>
      <c r="K55" s="297" t="n"/>
      <c r="L55" s="297" t="n"/>
      <c r="M55" s="297" t="n"/>
      <c r="N55" s="297" t="n"/>
      <c r="O55" s="297" t="n"/>
      <c r="P55" s="297" t="n"/>
      <c r="Q55" s="298" t="n"/>
      <c r="AI55" s="318" t="inlineStr">
        <is>
          <t>Al, As, B, Ba, Be, Cd, Ca, Zn, Cu, Co, Cr, Fe, Li, Mg, Mn, Mo, Ni, Ag, Pb, K, Se, Na, Na %, V</t>
        </is>
      </c>
      <c r="AJ55" s="297" t="n"/>
      <c r="AK55" s="297" t="n"/>
      <c r="AL55" s="297" t="n"/>
      <c r="AM55" s="297" t="n"/>
      <c r="AN55" s="297" t="n"/>
      <c r="AO55" s="297" t="n"/>
      <c r="AP55" s="297" t="n"/>
      <c r="AQ55" s="297" t="n"/>
      <c r="AR55" s="297" t="n"/>
      <c r="AS55" s="297" t="n"/>
      <c r="AT55" s="297" t="n"/>
      <c r="AU55" s="297" t="n"/>
      <c r="AV55" s="298" t="n"/>
    </row>
    <row r="56" ht="25.5" customHeight="1">
      <c r="D56" s="318" t="inlineStr">
        <is>
          <t>Tipo II:</t>
        </is>
      </c>
      <c r="E56" s="297" t="n"/>
      <c r="F56" s="297" t="n"/>
      <c r="G56" s="297" t="n"/>
      <c r="H56" s="297" t="n"/>
      <c r="I56" s="297" t="n"/>
      <c r="J56" s="297" t="n"/>
      <c r="K56" s="297" t="n"/>
      <c r="L56" s="297" t="n"/>
      <c r="M56" s="297" t="n"/>
      <c r="N56" s="297" t="n"/>
      <c r="O56" s="297" t="n"/>
      <c r="P56" s="297" t="n"/>
      <c r="Q56" s="298" t="n"/>
      <c r="AI56" s="318" t="inlineStr">
        <is>
          <t>Conductividad, pH, sólidos disueltos, sulfatos, cloruros, Fluoruros</t>
        </is>
      </c>
      <c r="AJ56" s="297" t="n"/>
      <c r="AK56" s="297" t="n"/>
      <c r="AL56" s="297" t="n"/>
      <c r="AM56" s="297" t="n"/>
      <c r="AN56" s="297" t="n"/>
      <c r="AO56" s="297" t="n"/>
      <c r="AP56" s="297" t="n"/>
      <c r="AQ56" s="297" t="n"/>
      <c r="AR56" s="297" t="n"/>
      <c r="AS56" s="297" t="n"/>
      <c r="AT56" s="297" t="n"/>
      <c r="AU56" s="297" t="n"/>
      <c r="AV56" s="298" t="n"/>
    </row>
    <row r="57" ht="25.5" customHeight="1">
      <c r="D57" s="318" t="inlineStr">
        <is>
          <t>Cobre, Cromo Total, Fluoruro, Hierro, Manganeso, Magnesio, Selenio, Zinc</t>
        </is>
      </c>
      <c r="E57" s="297" t="n"/>
      <c r="F57" s="297" t="n"/>
      <c r="G57" s="297" t="n"/>
      <c r="H57" s="297" t="n"/>
      <c r="I57" s="297" t="n"/>
      <c r="J57" s="297" t="n"/>
      <c r="K57" s="297" t="n"/>
      <c r="L57" s="297" t="n"/>
      <c r="M57" s="297" t="n"/>
      <c r="N57" s="297" t="n"/>
      <c r="O57" s="297" t="n"/>
      <c r="P57" s="297" t="n"/>
      <c r="Q57" s="298" t="n"/>
    </row>
    <row r="58" ht="25.5" customHeight="1">
      <c r="D58" s="318" t="inlineStr">
        <is>
          <t>Arsenico, Cadmio, Cianuro, Mercurio, Nitrato, Nitrito, Razon Nitrato + Nitrito, Plomo</t>
        </is>
      </c>
      <c r="E58" s="297" t="n"/>
      <c r="F58" s="297" t="n"/>
      <c r="G58" s="297" t="n"/>
      <c r="H58" s="297" t="n"/>
      <c r="I58" s="297" t="n"/>
      <c r="J58" s="297" t="n"/>
      <c r="K58" s="297" t="n"/>
      <c r="L58" s="297" t="n"/>
      <c r="M58" s="297" t="n"/>
      <c r="N58" s="297" t="n"/>
      <c r="O58" s="297" t="n"/>
      <c r="P58" s="297" t="n"/>
      <c r="Q58" s="298" t="n"/>
      <c r="AI58" s="317" t="inlineStr">
        <is>
          <t>PLAN MINA</t>
        </is>
      </c>
      <c r="AJ58" s="297" t="n"/>
      <c r="AK58" s="297" t="n"/>
      <c r="AL58" s="297" t="n"/>
      <c r="AM58" s="297" t="n"/>
      <c r="AN58" s="297" t="n"/>
      <c r="AO58" s="297" t="n"/>
      <c r="AP58" s="297" t="n"/>
      <c r="AQ58" s="297" t="n"/>
      <c r="AR58" s="297" t="n"/>
      <c r="AS58" s="297" t="n"/>
      <c r="AT58" s="297" t="n"/>
      <c r="AU58" s="297" t="n"/>
      <c r="AV58" s="298" t="n"/>
    </row>
    <row r="59" ht="25.5" customHeight="1">
      <c r="D59" s="318" t="inlineStr">
        <is>
          <t>Tetracloroeteno, Benceno, Tolueno, Xilenos</t>
        </is>
      </c>
      <c r="E59" s="297" t="n"/>
      <c r="F59" s="297" t="n"/>
      <c r="G59" s="297" t="n"/>
      <c r="H59" s="297" t="n"/>
      <c r="I59" s="297" t="n"/>
      <c r="J59" s="297" t="n"/>
      <c r="K59" s="297" t="n"/>
      <c r="L59" s="297" t="n"/>
      <c r="M59" s="297" t="n"/>
      <c r="N59" s="297" t="n"/>
      <c r="O59" s="297" t="n"/>
      <c r="P59" s="297" t="n"/>
      <c r="Q59" s="298" t="n"/>
      <c r="AI59" s="317" t="inlineStr">
        <is>
          <t>Análisis</t>
        </is>
      </c>
      <c r="AJ59" s="297" t="n"/>
      <c r="AK59" s="297" t="n"/>
      <c r="AL59" s="297" t="n"/>
      <c r="AM59" s="297" t="n"/>
      <c r="AN59" s="297" t="n"/>
      <c r="AO59" s="297" t="n"/>
      <c r="AP59" s="297" t="n"/>
      <c r="AQ59" s="297" t="n"/>
      <c r="AR59" s="297" t="n"/>
      <c r="AS59" s="297" t="n"/>
      <c r="AT59" s="297" t="n"/>
      <c r="AU59" s="297" t="n"/>
      <c r="AV59" s="298" t="n"/>
    </row>
    <row r="60" ht="25.5" customHeight="1">
      <c r="D60" s="318" t="inlineStr">
        <is>
          <t>DDT+DD+DDE; 2,4-D. Lindano, Metoxicloro, Pentaclorofenol</t>
        </is>
      </c>
      <c r="E60" s="297" t="n"/>
      <c r="F60" s="297" t="n"/>
      <c r="G60" s="297" t="n"/>
      <c r="H60" s="297" t="n"/>
      <c r="I60" s="297" t="n"/>
      <c r="J60" s="297" t="n"/>
      <c r="K60" s="297" t="n"/>
      <c r="L60" s="297" t="n"/>
      <c r="M60" s="297" t="n"/>
      <c r="N60" s="297" t="n"/>
      <c r="O60" s="297" t="n"/>
      <c r="P60" s="297" t="n"/>
      <c r="Q60" s="298" t="n"/>
      <c r="AI60" s="318" t="inlineStr">
        <is>
          <t>Conductividad, pH, carbonato, bicarbonato, sulfatos, cloruros, fluoruros, Nitrato</t>
        </is>
      </c>
      <c r="AJ60" s="297" t="n"/>
      <c r="AK60" s="297" t="n"/>
      <c r="AL60" s="297" t="n"/>
      <c r="AM60" s="297" t="n"/>
      <c r="AN60" s="297" t="n"/>
      <c r="AO60" s="297" t="n"/>
      <c r="AP60" s="297" t="n"/>
      <c r="AQ60" s="297" t="n"/>
      <c r="AR60" s="297" t="n"/>
      <c r="AS60" s="297" t="n"/>
      <c r="AT60" s="297" t="n"/>
      <c r="AU60" s="297" t="n"/>
      <c r="AV60" s="298" t="n"/>
    </row>
    <row r="61" ht="25.5" customHeight="1">
      <c r="D61" s="318" t="inlineStr">
        <is>
          <t>Monocloroamina, Dibromoclorometano, Bromodiclorometano, Tribromometano, Triclorometano, Trihalometanos</t>
        </is>
      </c>
      <c r="E61" s="297" t="n"/>
      <c r="F61" s="297" t="n"/>
      <c r="G61" s="297" t="n"/>
      <c r="H61" s="297" t="n"/>
      <c r="I61" s="297" t="n"/>
      <c r="J61" s="297" t="n"/>
      <c r="K61" s="297" t="n"/>
      <c r="L61" s="297" t="n"/>
      <c r="M61" s="297" t="n"/>
      <c r="N61" s="297" t="n"/>
      <c r="O61" s="297" t="n"/>
      <c r="P61" s="297" t="n"/>
      <c r="Q61" s="298" t="n"/>
      <c r="AI61" s="318" t="inlineStr">
        <is>
          <t>Al, As, Ba, Be, B, Cd, Ca, Zn, Cu, Co, Cr, Fe, Li, Mg, Mn, Mo, Ni, Ag, Pb, K, Se, Na, Na %, V</t>
        </is>
      </c>
      <c r="AJ61" s="297" t="n"/>
      <c r="AK61" s="297" t="n"/>
      <c r="AL61" s="297" t="n"/>
      <c r="AM61" s="297" t="n"/>
      <c r="AN61" s="297" t="n"/>
      <c r="AO61" s="297" t="n"/>
      <c r="AP61" s="297" t="n"/>
      <c r="AQ61" s="297" t="n"/>
      <c r="AR61" s="297" t="n"/>
      <c r="AS61" s="297" t="n"/>
      <c r="AT61" s="297" t="n"/>
      <c r="AU61" s="297" t="n"/>
      <c r="AV61" s="298" t="n"/>
    </row>
    <row r="62" ht="25.5" customHeight="1">
      <c r="D62" s="318" t="inlineStr">
        <is>
          <t>Tipo III:</t>
        </is>
      </c>
      <c r="E62" s="297" t="n"/>
      <c r="F62" s="297" t="n"/>
      <c r="G62" s="297" t="n"/>
      <c r="H62" s="297" t="n"/>
      <c r="I62" s="297" t="n"/>
      <c r="J62" s="297" t="n"/>
      <c r="K62" s="297" t="n"/>
      <c r="L62" s="297" t="n"/>
      <c r="M62" s="297" t="n"/>
      <c r="N62" s="297" t="n"/>
      <c r="O62" s="297" t="n"/>
      <c r="P62" s="297" t="n"/>
      <c r="Q62" s="298" t="n"/>
      <c r="AI62" s="318" t="inlineStr">
        <is>
          <t>Cianuro</t>
        </is>
      </c>
      <c r="AJ62" s="297" t="n"/>
      <c r="AK62" s="297" t="n"/>
      <c r="AL62" s="297" t="n"/>
      <c r="AM62" s="297" t="n"/>
      <c r="AN62" s="297" t="n"/>
      <c r="AO62" s="297" t="n"/>
      <c r="AP62" s="297" t="n"/>
      <c r="AQ62" s="297" t="n"/>
      <c r="AR62" s="297" t="n"/>
      <c r="AS62" s="297" t="n"/>
      <c r="AT62" s="297" t="n"/>
      <c r="AU62" s="297" t="n"/>
      <c r="AV62" s="298" t="n"/>
    </row>
    <row r="63" ht="25.5" customHeight="1">
      <c r="D63" s="318" t="inlineStr">
        <is>
          <t>Estroncio 90, Radio 226, Actividad Base Total, Actividad Beta Total, Actividad Alta Total</t>
        </is>
      </c>
      <c r="E63" s="297" t="n"/>
      <c r="F63" s="297" t="n"/>
      <c r="G63" s="297" t="n"/>
      <c r="H63" s="297" t="n"/>
      <c r="I63" s="297" t="n"/>
      <c r="J63" s="297" t="n"/>
      <c r="K63" s="297" t="n"/>
      <c r="L63" s="297" t="n"/>
      <c r="M63" s="297" t="n"/>
      <c r="N63" s="297" t="n"/>
      <c r="O63" s="297" t="n"/>
      <c r="P63" s="297" t="n"/>
      <c r="Q63" s="298" t="n"/>
      <c r="AI63" s="318" t="inlineStr">
        <is>
          <t>Mercurio</t>
        </is>
      </c>
      <c r="AJ63" s="297" t="n"/>
      <c r="AK63" s="297" t="n"/>
      <c r="AL63" s="297" t="n"/>
      <c r="AM63" s="297" t="n"/>
      <c r="AN63" s="297" t="n"/>
      <c r="AO63" s="297" t="n"/>
      <c r="AP63" s="297" t="n"/>
      <c r="AQ63" s="297" t="n"/>
      <c r="AR63" s="297" t="n"/>
      <c r="AS63" s="297" t="n"/>
      <c r="AT63" s="297" t="n"/>
      <c r="AU63" s="297" t="n"/>
      <c r="AV63" s="298" t="n"/>
    </row>
    <row r="64" ht="25.5" customHeight="1">
      <c r="D64" s="318" t="inlineStr">
        <is>
          <t>Tipo IV:</t>
        </is>
      </c>
      <c r="E64" s="297" t="n"/>
      <c r="F64" s="297" t="n"/>
      <c r="G64" s="297" t="n"/>
      <c r="H64" s="297" t="n"/>
      <c r="I64" s="297" t="n"/>
      <c r="J64" s="297" t="n"/>
      <c r="K64" s="297" t="n"/>
      <c r="L64" s="297" t="n"/>
      <c r="M64" s="297" t="n"/>
      <c r="N64" s="297" t="n"/>
      <c r="O64" s="297" t="n"/>
      <c r="P64" s="297" t="n"/>
      <c r="Q64" s="298" t="n"/>
      <c r="AI64" s="318" t="inlineStr">
        <is>
          <t>Cu Disuelto</t>
        </is>
      </c>
      <c r="AJ64" s="297" t="n"/>
      <c r="AK64" s="297" t="n"/>
      <c r="AL64" s="297" t="n"/>
      <c r="AM64" s="297" t="n"/>
      <c r="AN64" s="297" t="n"/>
      <c r="AO64" s="297" t="n"/>
      <c r="AP64" s="297" t="n"/>
      <c r="AQ64" s="297" t="n"/>
      <c r="AR64" s="297" t="n"/>
      <c r="AS64" s="297" t="n"/>
      <c r="AT64" s="297" t="n"/>
      <c r="AU64" s="297" t="n"/>
      <c r="AV64" s="298" t="n"/>
    </row>
    <row r="65" ht="25.5" customHeight="1">
      <c r="D65" s="318" t="inlineStr">
        <is>
          <t>Color verdadero, Olor, Sabor, Amoniaco, Cloruro, pH, Sulfato, SDT, Compuestos Fenólicos</t>
        </is>
      </c>
      <c r="E65" s="297" t="n"/>
      <c r="F65" s="297" t="n"/>
      <c r="G65" s="297" t="n"/>
      <c r="H65" s="297" t="n"/>
      <c r="I65" s="297" t="n"/>
      <c r="J65" s="297" t="n"/>
      <c r="K65" s="297" t="n"/>
      <c r="L65" s="297" t="n"/>
      <c r="M65" s="297" t="n"/>
      <c r="N65" s="297" t="n"/>
      <c r="O65" s="297" t="n"/>
      <c r="P65" s="297" t="n"/>
      <c r="Q65" s="298" t="n"/>
    </row>
    <row r="66" ht="25.5" customHeight="1">
      <c r="D66" s="318" t="inlineStr">
        <is>
          <t>Tipo V:</t>
        </is>
      </c>
      <c r="E66" s="297" t="n"/>
      <c r="F66" s="297" t="n"/>
      <c r="G66" s="297" t="n"/>
      <c r="H66" s="297" t="n"/>
      <c r="I66" s="297" t="n"/>
      <c r="J66" s="297" t="n"/>
      <c r="K66" s="297" t="n"/>
      <c r="L66" s="297" t="n"/>
      <c r="M66" s="297" t="n"/>
      <c r="N66" s="297" t="n"/>
      <c r="O66" s="297" t="n"/>
      <c r="P66" s="297" t="n"/>
      <c r="Q66" s="298" t="n"/>
    </row>
    <row r="67" ht="25.5" customHeight="1">
      <c r="D67" s="318" t="inlineStr">
        <is>
          <t>Cloro Libre</t>
        </is>
      </c>
      <c r="E67" s="297" t="n"/>
      <c r="F67" s="297" t="n"/>
      <c r="G67" s="297" t="n"/>
      <c r="H67" s="297" t="n"/>
      <c r="I67" s="297" t="n"/>
      <c r="J67" s="297" t="n"/>
      <c r="K67" s="297" t="n"/>
      <c r="L67" s="297" t="n"/>
      <c r="M67" s="297" t="n"/>
      <c r="N67" s="297" t="n"/>
      <c r="O67" s="297" t="n"/>
      <c r="P67" s="297" t="n"/>
      <c r="Q67" s="298" t="n"/>
    </row>
    <row r="70" ht="13" customHeight="1">
      <c r="D70" s="317" t="inlineStr">
        <is>
          <t>PLAN NCH 409 Sin Radiológicos</t>
        </is>
      </c>
      <c r="E70" s="297" t="n"/>
      <c r="F70" s="297" t="n"/>
      <c r="G70" s="297" t="n"/>
      <c r="H70" s="297" t="n"/>
      <c r="I70" s="297" t="n"/>
      <c r="J70" s="297" t="n"/>
      <c r="K70" s="297" t="n"/>
      <c r="L70" s="297" t="n"/>
      <c r="M70" s="297" t="n"/>
      <c r="N70" s="297" t="n"/>
      <c r="O70" s="297" t="n"/>
      <c r="P70" s="297" t="n"/>
      <c r="Q70" s="298" t="n"/>
    </row>
    <row r="71" ht="13" customHeight="1">
      <c r="D71" s="317" t="inlineStr">
        <is>
          <t>Análisis</t>
        </is>
      </c>
      <c r="E71" s="297" t="n"/>
      <c r="F71" s="297" t="n"/>
      <c r="G71" s="297" t="n"/>
      <c r="H71" s="297" t="n"/>
      <c r="I71" s="297" t="n"/>
      <c r="J71" s="297" t="n"/>
      <c r="K71" s="297" t="n"/>
      <c r="L71" s="297" t="n"/>
      <c r="M71" s="297" t="n"/>
      <c r="N71" s="297" t="n"/>
      <c r="O71" s="297" t="n"/>
      <c r="P71" s="297" t="n"/>
      <c r="Q71" s="298" t="n"/>
    </row>
    <row r="72" ht="25.5" customHeight="1">
      <c r="D72" s="318" t="inlineStr">
        <is>
          <t xml:space="preserve">Tipo I: </t>
        </is>
      </c>
      <c r="E72" s="297" t="n"/>
      <c r="F72" s="297" t="n"/>
      <c r="G72" s="297" t="n"/>
      <c r="H72" s="297" t="n"/>
      <c r="I72" s="297" t="n"/>
      <c r="J72" s="297" t="n"/>
      <c r="K72" s="297" t="n"/>
      <c r="L72" s="297" t="n"/>
      <c r="M72" s="297" t="n"/>
      <c r="N72" s="297" t="n"/>
      <c r="O72" s="297" t="n"/>
      <c r="P72" s="297" t="n"/>
      <c r="Q72" s="298" t="n"/>
    </row>
    <row r="73" ht="25.5" customHeight="1">
      <c r="D73" s="318" t="inlineStr">
        <is>
          <t>Coliformes Totales, Escherichia coli, Turbiedad</t>
        </is>
      </c>
      <c r="E73" s="297" t="n"/>
      <c r="F73" s="297" t="n"/>
      <c r="G73" s="297" t="n"/>
      <c r="H73" s="297" t="n"/>
      <c r="I73" s="297" t="n"/>
      <c r="J73" s="297" t="n"/>
      <c r="K73" s="297" t="n"/>
      <c r="L73" s="297" t="n"/>
      <c r="M73" s="297" t="n"/>
      <c r="N73" s="297" t="n"/>
      <c r="O73" s="297" t="n"/>
      <c r="P73" s="297" t="n"/>
      <c r="Q73" s="298" t="n"/>
    </row>
    <row r="74" ht="25.5" customHeight="1">
      <c r="D74" s="318" t="inlineStr">
        <is>
          <t>Tipo II:</t>
        </is>
      </c>
      <c r="E74" s="297" t="n"/>
      <c r="F74" s="297" t="n"/>
      <c r="G74" s="297" t="n"/>
      <c r="H74" s="297" t="n"/>
      <c r="I74" s="297" t="n"/>
      <c r="J74" s="297" t="n"/>
      <c r="K74" s="297" t="n"/>
      <c r="L74" s="297" t="n"/>
      <c r="M74" s="297" t="n"/>
      <c r="N74" s="297" t="n"/>
      <c r="O74" s="297" t="n"/>
      <c r="P74" s="297" t="n"/>
      <c r="Q74" s="298" t="n"/>
    </row>
    <row r="75" ht="25.5" customHeight="1">
      <c r="D75" s="318" t="inlineStr">
        <is>
          <t>Cobre, Cromo Total, Fluoruro, Hierro, Manganeso, Magnesio, Selenio, Zinc</t>
        </is>
      </c>
      <c r="E75" s="297" t="n"/>
      <c r="F75" s="297" t="n"/>
      <c r="G75" s="297" t="n"/>
      <c r="H75" s="297" t="n"/>
      <c r="I75" s="297" t="n"/>
      <c r="J75" s="297" t="n"/>
      <c r="K75" s="297" t="n"/>
      <c r="L75" s="297" t="n"/>
      <c r="M75" s="297" t="n"/>
      <c r="N75" s="297" t="n"/>
      <c r="O75" s="297" t="n"/>
      <c r="P75" s="297" t="n"/>
      <c r="Q75" s="298" t="n"/>
    </row>
    <row r="76" ht="25.5" customHeight="1">
      <c r="D76" s="318" t="inlineStr">
        <is>
          <t>Arsenico, Cadmio, Cianuro, Mercurio, Nitrato, Nitrito, Razon Nitrato + Nitrito, Plomo</t>
        </is>
      </c>
      <c r="E76" s="297" t="n"/>
      <c r="F76" s="297" t="n"/>
      <c r="G76" s="297" t="n"/>
      <c r="H76" s="297" t="n"/>
      <c r="I76" s="297" t="n"/>
      <c r="J76" s="297" t="n"/>
      <c r="K76" s="297" t="n"/>
      <c r="L76" s="297" t="n"/>
      <c r="M76" s="297" t="n"/>
      <c r="N76" s="297" t="n"/>
      <c r="O76" s="297" t="n"/>
      <c r="P76" s="297" t="n"/>
      <c r="Q76" s="298" t="n"/>
    </row>
    <row r="77" ht="25.5" customHeight="1">
      <c r="D77" s="318" t="inlineStr">
        <is>
          <t>Tetracloroeteno, Benceno, Tolueno, Xilenos</t>
        </is>
      </c>
      <c r="E77" s="297" t="n"/>
      <c r="F77" s="297" t="n"/>
      <c r="G77" s="297" t="n"/>
      <c r="H77" s="297" t="n"/>
      <c r="I77" s="297" t="n"/>
      <c r="J77" s="297" t="n"/>
      <c r="K77" s="297" t="n"/>
      <c r="L77" s="297" t="n"/>
      <c r="M77" s="297" t="n"/>
      <c r="N77" s="297" t="n"/>
      <c r="O77" s="297" t="n"/>
      <c r="P77" s="297" t="n"/>
      <c r="Q77" s="298" t="n"/>
    </row>
    <row r="78" ht="25.5" customHeight="1">
      <c r="D78" s="318" t="inlineStr">
        <is>
          <t>DDT+DD+DDE; 2,4-D. Lindano, Metoxicloro, Pentaclorofenol</t>
        </is>
      </c>
      <c r="E78" s="297" t="n"/>
      <c r="F78" s="297" t="n"/>
      <c r="G78" s="297" t="n"/>
      <c r="H78" s="297" t="n"/>
      <c r="I78" s="297" t="n"/>
      <c r="J78" s="297" t="n"/>
      <c r="K78" s="297" t="n"/>
      <c r="L78" s="297" t="n"/>
      <c r="M78" s="297" t="n"/>
      <c r="N78" s="297" t="n"/>
      <c r="O78" s="297" t="n"/>
      <c r="P78" s="297" t="n"/>
      <c r="Q78" s="298" t="n"/>
    </row>
    <row r="79" ht="25.5" customHeight="1">
      <c r="D79" s="318" t="inlineStr">
        <is>
          <t>Monocloroamina, Dibromoclorometano, Bromodiclorometano, Tribromometano, Triclorometano, Trihalometanos</t>
        </is>
      </c>
      <c r="E79" s="297" t="n"/>
      <c r="F79" s="297" t="n"/>
      <c r="G79" s="297" t="n"/>
      <c r="H79" s="297" t="n"/>
      <c r="I79" s="297" t="n"/>
      <c r="J79" s="297" t="n"/>
      <c r="K79" s="297" t="n"/>
      <c r="L79" s="297" t="n"/>
      <c r="M79" s="297" t="n"/>
      <c r="N79" s="297" t="n"/>
      <c r="O79" s="297" t="n"/>
      <c r="P79" s="297" t="n"/>
      <c r="Q79" s="298" t="n"/>
    </row>
    <row r="80" ht="25.5" customHeight="1">
      <c r="D80" s="318" t="inlineStr">
        <is>
          <t>Tipo IV:</t>
        </is>
      </c>
      <c r="E80" s="297" t="n"/>
      <c r="F80" s="297" t="n"/>
      <c r="G80" s="297" t="n"/>
      <c r="H80" s="297" t="n"/>
      <c r="I80" s="297" t="n"/>
      <c r="J80" s="297" t="n"/>
      <c r="K80" s="297" t="n"/>
      <c r="L80" s="297" t="n"/>
      <c r="M80" s="297" t="n"/>
      <c r="N80" s="297" t="n"/>
      <c r="O80" s="297" t="n"/>
      <c r="P80" s="297" t="n"/>
      <c r="Q80" s="298" t="n"/>
    </row>
    <row r="81" ht="25.5" customHeight="1">
      <c r="D81" s="318" t="inlineStr">
        <is>
          <t>Color verdadero, Olor, Sabor, Amoniaco, Cloruro, pH, Sulfato, SDT, Compuestos Fenólicos</t>
        </is>
      </c>
      <c r="E81" s="297" t="n"/>
      <c r="F81" s="297" t="n"/>
      <c r="G81" s="297" t="n"/>
      <c r="H81" s="297" t="n"/>
      <c r="I81" s="297" t="n"/>
      <c r="J81" s="297" t="n"/>
      <c r="K81" s="297" t="n"/>
      <c r="L81" s="297" t="n"/>
      <c r="M81" s="297" t="n"/>
      <c r="N81" s="297" t="n"/>
      <c r="O81" s="297" t="n"/>
      <c r="P81" s="297" t="n"/>
      <c r="Q81" s="298" t="n"/>
    </row>
    <row r="82" ht="25.5" customHeight="1">
      <c r="D82" s="318" t="inlineStr">
        <is>
          <t>Tipo V:</t>
        </is>
      </c>
      <c r="E82" s="297" t="n"/>
      <c r="F82" s="297" t="n"/>
      <c r="G82" s="297" t="n"/>
      <c r="H82" s="297" t="n"/>
      <c r="I82" s="297" t="n"/>
      <c r="J82" s="297" t="n"/>
      <c r="K82" s="297" t="n"/>
      <c r="L82" s="297" t="n"/>
      <c r="M82" s="297" t="n"/>
      <c r="N82" s="297" t="n"/>
      <c r="O82" s="297" t="n"/>
      <c r="P82" s="297" t="n"/>
      <c r="Q82" s="298" t="n"/>
    </row>
    <row r="83" ht="25.5" customHeight="1">
      <c r="D83" s="318" t="inlineStr">
        <is>
          <t>Cloro Libre</t>
        </is>
      </c>
      <c r="E83" s="297" t="n"/>
      <c r="F83" s="297" t="n"/>
      <c r="G83" s="297" t="n"/>
      <c r="H83" s="297" t="n"/>
      <c r="I83" s="297" t="n"/>
      <c r="J83" s="297" t="n"/>
      <c r="K83" s="297" t="n"/>
      <c r="L83" s="297" t="n"/>
      <c r="M83" s="297" t="n"/>
      <c r="N83" s="297" t="n"/>
      <c r="O83" s="297" t="n"/>
      <c r="P83" s="297" t="n"/>
      <c r="Q83" s="29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AI33:AV33"/>
    <mergeCell ref="D23:Q2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24" t="inlineStr">
        <is>
          <t>Instrumento</t>
        </is>
      </c>
      <c r="B1" s="324" t="inlineStr">
        <is>
          <t>Punto</t>
        </is>
      </c>
      <c r="C1" s="324" t="inlineStr">
        <is>
          <t>Sector</t>
        </is>
      </c>
      <c r="D1" s="324" t="inlineStr">
        <is>
          <t>Detalle sector</t>
        </is>
      </c>
      <c r="E1" s="324" t="inlineStr">
        <is>
          <t>Tipo de punto</t>
        </is>
      </c>
      <c r="F1" s="324" t="inlineStr">
        <is>
          <t>Tipo de agua</t>
        </is>
      </c>
      <c r="G1" s="324" t="inlineStr">
        <is>
          <t>Coordenadas (WGS84, Huso 19S)</t>
        </is>
      </c>
      <c r="H1" s="326" t="n"/>
      <c r="I1" s="324" t="inlineStr">
        <is>
          <t>Variables y frecuencia</t>
        </is>
      </c>
      <c r="J1" s="325" t="n"/>
      <c r="K1" s="325" t="n"/>
      <c r="L1" s="326" t="n"/>
      <c r="M1" s="324" t="inlineStr">
        <is>
          <t>Profundidad (m)</t>
        </is>
      </c>
      <c r="N1" s="324" t="inlineStr">
        <is>
          <t>Comprometido en:</t>
        </is>
      </c>
      <c r="O1" s="324" t="inlineStr">
        <is>
          <t>Detalle comprometido en:</t>
        </is>
      </c>
    </row>
    <row r="2" hidden="1" ht="20" customHeight="1">
      <c r="A2" s="327" t="n"/>
      <c r="B2" s="327" t="n"/>
      <c r="C2" s="327" t="n"/>
      <c r="D2" s="327" t="n"/>
      <c r="E2" s="327" t="n"/>
      <c r="F2" s="327" t="n"/>
      <c r="G2" s="324" t="inlineStr">
        <is>
          <t>Este (m)</t>
        </is>
      </c>
      <c r="H2" s="324" t="inlineStr">
        <is>
          <t>Norte (m)</t>
        </is>
      </c>
      <c r="I2" s="324" t="inlineStr">
        <is>
          <t>Bombeo</t>
        </is>
      </c>
      <c r="J2" s="324" t="inlineStr">
        <is>
          <t>Calidad del agua</t>
        </is>
      </c>
      <c r="K2" s="324" t="inlineStr">
        <is>
          <t>Nivel</t>
        </is>
      </c>
      <c r="L2" s="324" t="inlineStr">
        <is>
          <t>Caudal</t>
        </is>
      </c>
      <c r="M2" s="327" t="n"/>
      <c r="N2" s="327" t="n"/>
      <c r="O2" s="327"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329" min="1" max="1"/>
    <col width="46.296875" customWidth="1" style="12" min="2" max="2"/>
    <col width="1.8984375" customWidth="1" style="12" min="3" max="3"/>
    <col width="25.69921875" customWidth="1" style="12" min="4" max="4"/>
    <col width="1.296875" customWidth="1" style="329" min="5" max="5"/>
    <col width="11.3984375" customWidth="1" style="329" min="6" max="14"/>
    <col width="70.69921875" customWidth="1" style="329" min="15" max="15"/>
    <col width="11.3984375" customWidth="1" style="329" min="16" max="16"/>
    <col width="11.3984375" customWidth="1" style="329" min="17"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28"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30" t="n"/>
      <c r="O5" s="19" t="inlineStr">
        <is>
          <t>Arsénico</t>
        </is>
      </c>
    </row>
    <row r="6">
      <c r="B6" s="23" t="inlineStr">
        <is>
          <t>amonio</t>
        </is>
      </c>
      <c r="C6" s="24" t="n"/>
      <c r="D6" s="23" t="inlineStr">
        <is>
          <t>isótopo deuterio</t>
        </is>
      </c>
      <c r="F6" s="331" t="n"/>
      <c r="L6" s="330" t="n"/>
      <c r="O6" s="19" t="inlineStr">
        <is>
          <t>Bario</t>
        </is>
      </c>
    </row>
    <row r="7">
      <c r="B7" s="23" t="inlineStr">
        <is>
          <t>arsénico</t>
        </is>
      </c>
      <c r="C7" s="24" t="n"/>
      <c r="D7" s="23" t="inlineStr">
        <is>
          <t>isótopo oxígeno 18</t>
        </is>
      </c>
      <c r="F7" s="331" t="n"/>
      <c r="L7" s="330" t="n"/>
      <c r="O7" s="19" t="inlineStr">
        <is>
          <t>Berilio</t>
        </is>
      </c>
    </row>
    <row r="8">
      <c r="B8" s="23" t="inlineStr">
        <is>
          <t>bario</t>
        </is>
      </c>
      <c r="C8" s="24" t="n"/>
      <c r="D8" s="23" t="n"/>
      <c r="F8" s="331" t="n"/>
      <c r="L8" s="330" t="n"/>
      <c r="O8" s="19" t="inlineStr">
        <is>
          <t>Bicarbonato</t>
        </is>
      </c>
    </row>
    <row r="9">
      <c r="B9" s="23" t="inlineStr">
        <is>
          <t>bicarbonato</t>
        </is>
      </c>
      <c r="C9" s="24" t="n"/>
      <c r="D9" s="25" t="inlineStr">
        <is>
          <t>**en puntos específicos</t>
        </is>
      </c>
      <c r="F9" s="331" t="n"/>
      <c r="L9" s="330" t="n"/>
      <c r="O9" s="19" t="inlineStr">
        <is>
          <t>Boro</t>
        </is>
      </c>
    </row>
    <row r="10">
      <c r="B10" s="23" t="inlineStr">
        <is>
          <t>berilio</t>
        </is>
      </c>
      <c r="C10" s="24" t="n"/>
      <c r="D10" s="23" t="n"/>
      <c r="F10" s="331" t="n"/>
      <c r="L10" s="330" t="n"/>
      <c r="O10" s="19" t="inlineStr">
        <is>
          <t>Cadmio</t>
        </is>
      </c>
    </row>
    <row r="11">
      <c r="B11" s="23" t="inlineStr">
        <is>
          <t xml:space="preserve">boro </t>
        </is>
      </c>
      <c r="C11" s="24" t="n"/>
      <c r="D11" s="23" t="n"/>
      <c r="F11" s="331" t="n"/>
      <c r="L11" s="330" t="n"/>
      <c r="O11" s="19" t="inlineStr">
        <is>
          <t>Calcio</t>
        </is>
      </c>
    </row>
    <row r="12">
      <c r="B12" s="23" t="inlineStr">
        <is>
          <t>cadmio</t>
        </is>
      </c>
      <c r="C12" s="24" t="n"/>
      <c r="D12" s="23" t="n"/>
      <c r="F12" s="331" t="n"/>
      <c r="L12" s="330" t="n"/>
      <c r="O12" s="19" t="inlineStr">
        <is>
          <t>Carbonato</t>
        </is>
      </c>
    </row>
    <row r="13">
      <c r="B13" s="23" t="inlineStr">
        <is>
          <t>calcio</t>
        </is>
      </c>
      <c r="C13" s="24" t="n"/>
      <c r="D13" s="23" t="n"/>
      <c r="F13" s="331" t="n"/>
      <c r="L13" s="330" t="n"/>
      <c r="O13" s="19" t="inlineStr">
        <is>
          <t>Cianuro</t>
        </is>
      </c>
    </row>
    <row r="14">
      <c r="B14" s="23" t="inlineStr">
        <is>
          <t>carbonato</t>
        </is>
      </c>
      <c r="C14" s="24" t="n"/>
      <c r="D14" s="23" t="n"/>
      <c r="F14" s="331" t="n"/>
      <c r="L14" s="330" t="n"/>
      <c r="O14" s="19" t="inlineStr">
        <is>
          <t>Cinc</t>
        </is>
      </c>
    </row>
    <row r="15">
      <c r="B15" s="23" t="inlineStr">
        <is>
          <t>cianuro</t>
        </is>
      </c>
      <c r="C15" s="24" t="n"/>
      <c r="D15" s="23" t="n"/>
      <c r="F15" s="331" t="n"/>
      <c r="L15" s="330" t="n"/>
      <c r="O15" s="19" t="inlineStr">
        <is>
          <t>Cloruro</t>
        </is>
      </c>
    </row>
    <row r="16">
      <c r="B16" s="23" t="inlineStr">
        <is>
          <t>cinc</t>
        </is>
      </c>
      <c r="C16" s="24" t="n"/>
      <c r="D16" s="23" t="n"/>
      <c r="F16" s="331" t="n"/>
      <c r="L16" s="330" t="n"/>
      <c r="O16" s="19" t="inlineStr">
        <is>
          <t>Cobalto</t>
        </is>
      </c>
    </row>
    <row r="17">
      <c r="B17" s="23" t="inlineStr">
        <is>
          <t>cloruro</t>
        </is>
      </c>
      <c r="C17" s="24" t="n"/>
      <c r="D17" s="23" t="n"/>
      <c r="F17" s="331" t="n"/>
      <c r="L17" s="330" t="n"/>
      <c r="O17" s="19" t="inlineStr">
        <is>
          <t>Cobre</t>
        </is>
      </c>
    </row>
    <row r="18">
      <c r="B18" s="23" t="inlineStr">
        <is>
          <t>cobalto</t>
        </is>
      </c>
      <c r="C18" s="24" t="n"/>
      <c r="D18" s="23" t="n"/>
      <c r="F18" s="331" t="n"/>
      <c r="L18" s="330" t="n"/>
      <c r="O18" s="19" t="inlineStr">
        <is>
          <t>Cobre Disuelto</t>
        </is>
      </c>
    </row>
    <row r="19">
      <c r="B19" s="23" t="inlineStr">
        <is>
          <t>cobre</t>
        </is>
      </c>
      <c r="C19" s="24" t="n"/>
      <c r="D19" s="23" t="n"/>
      <c r="F19" s="331" t="n"/>
      <c r="L19" s="330" t="n"/>
      <c r="O19" s="19" t="inlineStr">
        <is>
          <t>Conductividad Eléctrica (in situ y laboratorio)</t>
        </is>
      </c>
    </row>
    <row r="20" ht="27" customHeight="1">
      <c r="B20" s="23" t="inlineStr">
        <is>
          <t>conductividad eléctrica (in situ y laboratorio)</t>
        </is>
      </c>
      <c r="C20" s="24" t="n"/>
      <c r="D20" s="23" t="n"/>
      <c r="F20" s="331" t="n"/>
      <c r="L20" s="330" t="n"/>
      <c r="O20" s="19" t="inlineStr">
        <is>
          <t>Cromo</t>
        </is>
      </c>
    </row>
    <row r="21">
      <c r="B21" s="23" t="inlineStr">
        <is>
          <t>cromo</t>
        </is>
      </c>
      <c r="C21" s="24" t="n"/>
      <c r="D21" s="23" t="n"/>
      <c r="F21" s="331" t="n"/>
      <c r="L21" s="330" t="n"/>
      <c r="O21" s="19" t="inlineStr">
        <is>
          <t>Fluoruro</t>
        </is>
      </c>
    </row>
    <row r="22">
      <c r="B22" s="23" t="inlineStr">
        <is>
          <t>fluoruro</t>
        </is>
      </c>
      <c r="C22" s="24" t="n"/>
      <c r="D22" s="23" t="n"/>
      <c r="F22" s="331" t="n"/>
      <c r="L22" s="330" t="n"/>
      <c r="O22" s="19" t="inlineStr">
        <is>
          <t>Hierro</t>
        </is>
      </c>
    </row>
    <row r="23">
      <c r="B23" s="23" t="inlineStr">
        <is>
          <t>hierro</t>
        </is>
      </c>
      <c r="C23" s="24" t="n"/>
      <c r="D23" s="23" t="n"/>
      <c r="F23" s="331" t="n"/>
      <c r="L23" s="330" t="n"/>
      <c r="O23" s="19" t="inlineStr">
        <is>
          <t>Litio</t>
        </is>
      </c>
    </row>
    <row r="24">
      <c r="B24" s="23" t="inlineStr">
        <is>
          <t>litio</t>
        </is>
      </c>
      <c r="C24" s="24" t="n"/>
      <c r="D24" s="23" t="n"/>
      <c r="F24" s="331" t="n"/>
      <c r="L24" s="330" t="n"/>
      <c r="O24" s="19" t="inlineStr">
        <is>
          <t>Magnesio</t>
        </is>
      </c>
    </row>
    <row r="25">
      <c r="B25" s="23" t="inlineStr">
        <is>
          <t>magnesio</t>
        </is>
      </c>
      <c r="C25" s="24" t="n"/>
      <c r="D25" s="23" t="n"/>
      <c r="F25" s="331" t="n"/>
      <c r="L25" s="330" t="n"/>
      <c r="O25" s="19" t="inlineStr">
        <is>
          <t>Manganeso</t>
        </is>
      </c>
    </row>
    <row r="26">
      <c r="B26" s="23" t="inlineStr">
        <is>
          <t>manganeso</t>
        </is>
      </c>
      <c r="C26" s="24" t="n"/>
      <c r="D26" s="23" t="n"/>
      <c r="F26" s="331" t="n"/>
      <c r="L26" s="330" t="n"/>
      <c r="O26" s="19" t="inlineStr">
        <is>
          <t>Mercurio</t>
        </is>
      </c>
    </row>
    <row r="27">
      <c r="B27" s="23" t="inlineStr">
        <is>
          <t>mercurio</t>
        </is>
      </c>
      <c r="C27" s="24" t="n"/>
      <c r="D27" s="23" t="n"/>
      <c r="F27" s="331" t="n"/>
      <c r="L27" s="330" t="n"/>
      <c r="O27" s="19" t="inlineStr">
        <is>
          <t>Molibdeno</t>
        </is>
      </c>
    </row>
    <row r="28">
      <c r="B28" s="23" t="inlineStr">
        <is>
          <t>molibdeno</t>
        </is>
      </c>
      <c r="C28" s="24" t="n"/>
      <c r="D28" s="23" t="n"/>
      <c r="F28" s="331" t="n"/>
      <c r="L28" s="330" t="n"/>
      <c r="O28" s="19" t="inlineStr">
        <is>
          <t>Níquel</t>
        </is>
      </c>
    </row>
    <row r="29">
      <c r="B29" s="23" t="inlineStr">
        <is>
          <t>níquel</t>
        </is>
      </c>
      <c r="C29" s="24" t="n"/>
      <c r="D29" s="23" t="n"/>
      <c r="F29" s="331" t="n"/>
      <c r="L29" s="330" t="n"/>
      <c r="O29" s="19" t="inlineStr">
        <is>
          <t>Nitrato</t>
        </is>
      </c>
    </row>
    <row r="30">
      <c r="B30" s="23" t="inlineStr">
        <is>
          <t>nitrato</t>
        </is>
      </c>
      <c r="C30" s="24" t="n"/>
      <c r="D30" s="23" t="n"/>
      <c r="F30" s="331" t="n"/>
      <c r="L30" s="330" t="n"/>
      <c r="O30" s="19" t="inlineStr">
        <is>
          <t>Nitrito</t>
        </is>
      </c>
    </row>
    <row r="31">
      <c r="B31" s="23" t="inlineStr">
        <is>
          <t>nitrito</t>
        </is>
      </c>
      <c r="C31" s="24" t="n"/>
      <c r="D31" s="23" t="n"/>
      <c r="F31" s="331" t="n"/>
      <c r="L31" s="330" t="n"/>
      <c r="O31" s="19" t="inlineStr">
        <is>
          <t>pH (in situ y laboratorio)</t>
        </is>
      </c>
    </row>
    <row r="32">
      <c r="B32" s="23" t="inlineStr">
        <is>
          <t>pH (in situ y laboratorio)</t>
        </is>
      </c>
      <c r="C32" s="24" t="n"/>
      <c r="D32" s="23" t="n"/>
      <c r="F32" s="331" t="n"/>
      <c r="L32" s="330" t="n"/>
      <c r="O32" s="19" t="inlineStr">
        <is>
          <t>Plata</t>
        </is>
      </c>
    </row>
    <row r="33">
      <c r="B33" s="23" t="inlineStr">
        <is>
          <t>plata</t>
        </is>
      </c>
      <c r="C33" s="24" t="n"/>
      <c r="D33" s="23" t="n"/>
      <c r="F33" s="331" t="n"/>
      <c r="L33" s="330" t="n"/>
      <c r="O33" s="19" t="inlineStr">
        <is>
          <t>Plomo</t>
        </is>
      </c>
    </row>
    <row r="34">
      <c r="B34" s="23" t="inlineStr">
        <is>
          <t>plomo</t>
        </is>
      </c>
      <c r="C34" s="24" t="n"/>
      <c r="D34" s="23" t="n"/>
      <c r="F34" s="331" t="n"/>
      <c r="L34" s="330" t="n"/>
      <c r="O34" s="19" t="inlineStr">
        <is>
          <t>Potasio</t>
        </is>
      </c>
    </row>
    <row r="35">
      <c r="B35" s="23" t="inlineStr">
        <is>
          <t>potasio</t>
        </is>
      </c>
      <c r="C35" s="24" t="n"/>
      <c r="D35" s="23" t="n"/>
      <c r="F35" s="331" t="n"/>
      <c r="L35" s="330"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2026-04-03T14:03:53Z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