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ABRIL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'ABRIL 2026'!$A$9:$EW$1066</definedName>
    <definedName name="_xlnm._FilterDatabase" localSheetId="6" hidden="1">'ELIMINADOS RCA 20219900112'!$A$1:$O$66</definedName>
  </definedNames>
  <calcPr calcId="191028" fullCalcOnLoad="1" refMode="R1C1"/>
  <pivotCaches>
    <pivotCache cacheId="3"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Aptos"/>
      <family val="2"/>
      <b val="1"/>
      <color rgb="FF000000"/>
      <sz val="12"/>
    </font>
    <font>
      <name val="Century Gothic"/>
      <family val="2"/>
      <color rgb="FFFF0000"/>
      <sz val="11"/>
    </font>
    <font>
      <name val="Century Gothic"/>
      <family val="2"/>
      <color theme="1"/>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5"/>
        <bgColor indexed="64"/>
      </patternFill>
    </fill>
    <fill>
      <patternFill patternType="solid">
        <fgColor theme="5" tint="0.5999938962981048"/>
        <bgColor indexed="64"/>
      </patternFill>
    </fill>
    <fill>
      <patternFill patternType="solid">
        <fgColor theme="5" tint="0.399975585192419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88">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35" fillId="15" borderId="31" applyAlignment="1" pivotButton="0" quotePrefix="0" xfId="0">
      <alignment horizontal="center" wrapText="1"/>
    </xf>
    <xf numFmtId="0" fontId="35" fillId="9" borderId="39" applyAlignment="1" pivotButton="0" quotePrefix="0" xfId="0">
      <alignment wrapText="1"/>
    </xf>
    <xf numFmtId="0" fontId="0" fillId="36"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47"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48" fillId="0" borderId="5" applyAlignment="1" pivotButton="0" quotePrefix="0" xfId="0">
      <alignment horizontal="left"/>
    </xf>
    <xf numFmtId="0" fontId="0" fillId="9" borderId="5" applyAlignment="1" pivotButton="0" quotePrefix="0" xfId="0">
      <alignment horizontal="center"/>
    </xf>
    <xf numFmtId="0" fontId="29" fillId="12" borderId="1" applyAlignment="1" pivotButton="0" quotePrefix="0" xfId="0">
      <alignment horizontal="center" vertical="center"/>
    </xf>
    <xf numFmtId="0" fontId="29" fillId="9" borderId="1" applyAlignment="1" pivotButton="0" quotePrefix="0" xfId="0">
      <alignment horizontal="center"/>
    </xf>
    <xf numFmtId="0" fontId="49" fillId="0" borderId="1" pivotButton="0" quotePrefix="0" xfId="0"/>
    <xf numFmtId="0" fontId="8" fillId="19" borderId="1" applyAlignment="1" pivotButton="0" quotePrefix="0" xfId="0">
      <alignment horizontal="center" vertical="center"/>
    </xf>
    <xf numFmtId="0" fontId="8" fillId="9" borderId="1" applyAlignment="1" pivotButton="0" quotePrefix="0" xfId="0">
      <alignment horizontal="center"/>
    </xf>
    <xf numFmtId="0" fontId="8" fillId="12" borderId="1" applyAlignment="1" pivotButton="0" quotePrefix="0" xfId="0">
      <alignment horizontal="center" vertical="center"/>
    </xf>
    <xf numFmtId="0" fontId="8" fillId="9" borderId="1" applyAlignment="1" pivotButton="0" quotePrefix="0" xfId="0">
      <alignment horizontal="center" vertical="center"/>
    </xf>
    <xf numFmtId="0" fontId="0" fillId="37" borderId="1" applyAlignment="1" pivotButton="0" quotePrefix="0" xfId="0">
      <alignment horizontal="center"/>
    </xf>
    <xf numFmtId="0" fontId="0" fillId="38" borderId="1" applyAlignment="1" pivotButton="0" quotePrefix="0" xfId="0">
      <alignment horizontal="center"/>
    </xf>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7" fillId="27" borderId="35" applyAlignment="1" pivotButton="0" quotePrefix="0" xfId="0">
      <alignment horizontal="center" vertical="center" wrapText="1"/>
    </xf>
    <xf numFmtId="0" fontId="47" fillId="27" borderId="44" applyAlignment="1" pivotButton="0" quotePrefix="0" xfId="0">
      <alignment horizontal="center" vertical="center" wrapText="1"/>
    </xf>
    <xf numFmtId="0" fontId="47"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ECOS Chile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tc={88846141-7735-4561-A151-3E5025234C4D}</author>
  </authors>
  <commentList>
    <comment ref="DA7" authorId="0" shapeId="0">
      <text>
        <t>TODOS LOS MESES</t>
      </text>
    </comment>
    <comment ref="DB7" authorId="0" shapeId="0">
      <text>
        <t>JULIO Y ENERO</t>
      </text>
    </comment>
    <comment ref="DC7" authorId="0" shapeId="0">
      <text>
        <t>JULIO OCTUBRE ENERO ABRIL</t>
      </text>
    </comment>
    <comment ref="DD7" authorId="1" shapeId="0">
      <text>
        <t xml:space="preserve">FEB, MAY, AGO,
NOV
</t>
      </text>
    </comment>
    <comment ref="DE7" authorId="0" shapeId="0">
      <text>
        <t>AGOSTO Y FEBRERO</t>
      </text>
    </comment>
    <comment ref="DF7" authorId="0" shapeId="0">
      <text>
        <t>SEPTIEMBRE Y MARZO</t>
      </text>
    </comment>
    <comment ref="DG7" authorId="0" shapeId="0">
      <text>
        <t>OCTUBRE Y ABRIL</t>
      </text>
    </comment>
    <comment ref="DH7" authorId="0" shapeId="0">
      <text>
        <t>JUN-DICIEMBRE</t>
      </text>
    </comment>
    <comment ref="DI7" authorId="0" shapeId="0">
      <text>
        <t>OCTUBRE Y ABRIL</t>
      </text>
    </comment>
    <comment ref="CE9" authorId="2" shapeId="0">
      <text>
        <t>ECOS Chile:
Ver donde programamos CMA entre el 9 y el 14</t>
      </text>
    </comment>
    <comment ref="A44" authorId="0" shapeId="0">
      <text>
        <t xml:space="preserve">Asi aparece en el Apendice A
</t>
      </text>
    </comment>
    <comment ref="CE59" authorId="0" shapeId="0">
      <text>
        <t>Nathalie Duarte 2:
EVALUAR ESTE PUNTO SINO DOMINGO ON MAS POR LA MUESTRA</t>
      </text>
    </comment>
    <comment ref="BU62" authorId="0" shapeId="0">
      <text>
        <t>Nathalie Duarte 2:
agregar formulario 16 pts y verificación energias y tarjeta trabajo</t>
      </text>
    </comment>
    <comment ref="CH64" authorId="1" shapeId="0">
      <text>
        <t xml:space="preserve">PAF TAMENTICA
</t>
      </text>
    </comment>
    <comment ref="CH65" authorId="1" shapeId="0">
      <text>
        <t xml:space="preserve">PAF TAMENTICA
</t>
      </text>
    </comment>
    <comment ref="CH66" authorId="1" shapeId="0">
      <text>
        <t xml:space="preserve">PAF TAMENTICA
</t>
      </text>
    </comment>
    <comment ref="CH67" authorId="1" shapeId="0">
      <text>
        <t xml:space="preserve">PAF TAMENTICA
</t>
      </text>
    </comment>
    <comment ref="CA71" authorId="1" shapeId="0">
      <text>
        <t xml:space="preserve">PAF SALLIHUINXA
</t>
      </text>
    </comment>
    <comment ref="CG71" authorId="1" shapeId="0">
      <text>
        <t xml:space="preserve">PAF TAMENTICA
</t>
      </text>
    </comment>
    <comment ref="CA72" authorId="1" shapeId="0">
      <text>
        <t xml:space="preserve">PAF SALLIHUINXA
</t>
      </text>
    </comment>
    <comment ref="CG72" authorId="1" shapeId="0">
      <text>
        <t xml:space="preserve">PAF TAMENTICA
</t>
      </text>
    </comment>
    <comment ref="CG81" authorId="1" shapeId="0">
      <text>
        <t xml:space="preserve">PAF TAMENTICA
</t>
      </text>
    </comment>
    <comment ref="DB81" authorId="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CG82" authorId="1" shapeId="0">
      <text>
        <t xml:space="preserve">PAF TAMENTICA
</t>
      </text>
    </comment>
    <comment ref="CU83" authorId="1" shapeId="0">
      <text>
        <t>PAF YABRI-CAYA
CAMBIADO POR SOLICITUD DE LA COMUNIDAD</t>
      </text>
    </comment>
    <comment ref="CU84" authorId="1" shapeId="0">
      <text>
        <t xml:space="preserve">PAF YABRI-CAYA
</t>
      </text>
    </comment>
    <comment ref="A104" authorId="1" shapeId="0">
      <text>
        <t>Indicar Horario de realización de actividad</t>
      </text>
    </comment>
    <comment ref="CX104" authorId="0" shapeId="0">
      <text>
        <t>Nathalie Duarte 2:
coord retiro instrumentación, 10:am</t>
      </text>
    </comment>
    <comment ref="BL106" authorId="0" shapeId="0">
      <text>
        <t xml:space="preserve">MINA </t>
      </text>
    </comment>
    <comment ref="BN106" authorId="0" shapeId="0">
      <text>
        <t>RAJO UJINA</t>
      </text>
    </comment>
    <comment ref="A109" authorId="2" shapeId="0">
      <text>
        <t xml:space="preserve">ECOS Chile:
Ver donde programamos entre el 9 y el 14
</t>
      </text>
    </comment>
    <comment ref="A111" authorId="2" shapeId="0">
      <text>
        <t>ECOS Chile:
Ver donde programamos entre el 9 y el 14</t>
      </text>
    </comment>
    <comment ref="A113" authorId="2" shapeId="0">
      <text>
        <t>ECOS Chile:
Ver donde programamos entre el 9 y el 14</t>
      </text>
    </comment>
    <comment ref="A115" authorId="2" shapeId="0">
      <text>
        <t>ECOS Chile:
Ver donde programamos entre el 9 y el 14</t>
      </text>
    </comment>
    <comment ref="A117" authorId="2" shapeId="0">
      <text>
        <t>ECOS Chile:
Ver donde programamos entre el 9 y el 14</t>
      </text>
    </comment>
    <comment ref="A119" authorId="2" shapeId="0">
      <text>
        <t>ECOS Chile:
Ver donde programamos entre el 9 y el 14</t>
      </text>
    </comment>
    <comment ref="A121" authorId="2" shapeId="0">
      <text>
        <t>ECOS Chile:
Ver donde programamos entre el 9 y el 14</t>
      </text>
    </comment>
    <comment ref="A123" authorId="2" shapeId="0">
      <text>
        <t>ECOS Chile:
Ver donde programamos entre el 9 y el 14</t>
      </text>
    </comment>
    <comment ref="A125" authorId="2" shapeId="0">
      <text>
        <t>ECOS Chile:
Ver donde programamos entre el 9 y el 14</t>
      </text>
    </comment>
    <comment ref="A127" authorId="2" shapeId="0">
      <text>
        <t>ECOS Chile:
Ver donde programamos entre el 9 y el 14</t>
      </text>
    </comment>
    <comment ref="A129" authorId="2" shapeId="0">
      <text>
        <t>ECOS Chile:
Ver donde programamos entre el 9 y el 14</t>
      </text>
    </comment>
    <comment ref="A131" authorId="2" shapeId="0">
      <text>
        <t>ECOS Chile:
Ver donde programamos entre el 9 y el 14</t>
      </text>
    </comment>
    <comment ref="A133" authorId="2" shapeId="0">
      <text>
        <t>ECOS Chile:
Ver donde programamos entre el 9 y el 14</t>
      </text>
    </comment>
    <comment ref="A135" authorId="2" shapeId="0">
      <text>
        <t>ECOS Chile:
Ver donde programamos entre el 9 y el 14</t>
      </text>
    </comment>
    <comment ref="A137" authorId="2" shapeId="0">
      <text>
        <t>ECOS Chile:
Ver donde programamos entre el 9 y el 14</t>
      </text>
    </comment>
    <comment ref="A139" authorId="2" shapeId="0">
      <text>
        <t>ECOS Chile:
Ver donde programamos entre el 9 y el 14</t>
      </text>
    </comment>
    <comment ref="A141" authorId="2" shapeId="0">
      <text>
        <t>ECOS Chile:
Ver donde programamos entre el 9 y el 14</t>
      </text>
    </comment>
    <comment ref="A143" authorId="2" shapeId="0">
      <text>
        <t>ECOS Chile:
Ver donde programamos entre el 9 y el 14</t>
      </text>
    </comment>
    <comment ref="A145" authorId="2" shapeId="0">
      <text>
        <t>ECOS Chile:
Ver donde programamos entre el 9 y el 14</t>
      </text>
    </comment>
    <comment ref="A147" authorId="2" shapeId="0">
      <text>
        <t>ECOS Chile:
Ver donde programamos entre el 9 y el 14</t>
      </text>
    </comment>
    <comment ref="A149" authorId="2" shapeId="0">
      <text>
        <t>ECOS Chile:
Ver donde programamos entre el 9 y el 14</t>
      </text>
    </comment>
    <comment ref="A151" authorId="2" shapeId="0">
      <text>
        <t>ECOS Chile:
Ver donde programamos entre el 9 y el 14</t>
      </text>
    </comment>
    <comment ref="A153" authorId="2" shapeId="0">
      <text>
        <t>ECOS Chile:
Ver donde programamos entre el 9 y el 14</t>
      </text>
    </comment>
    <comment ref="A155" authorId="2" shapeId="0">
      <text>
        <t>ECOS Chile:
Ver donde programamos entre el 9 y el 14</t>
      </text>
    </comment>
    <comment ref="A157" authorId="2" shapeId="0">
      <text>
        <t>ECOS Chile:
Ver donde programamos entre el 9 y el 14</t>
      </text>
    </comment>
    <comment ref="A159" authorId="2" shapeId="0">
      <text>
        <t>ECOS Chile:
Ver donde programamos entre el 9 y el 14</t>
      </text>
    </comment>
    <comment ref="A161" authorId="2" shapeId="0">
      <text>
        <t>ECOS Chile:
Ver donde programamos entre el 9 y el 14</t>
      </text>
    </comment>
    <comment ref="A165" authorId="2" shapeId="0">
      <text>
        <t>ECOS Chile:
Ver donde programamos entre el 9 y el 14</t>
      </text>
    </comment>
    <comment ref="A166" authorId="2" shapeId="0">
      <text>
        <t xml:space="preserve">ECOS Chile:
Ver donde programamos entre el 9 y 14 </t>
      </text>
    </comment>
    <comment ref="A167" authorId="2" shapeId="0">
      <text>
        <t xml:space="preserve">ECOS Chile:
Ver donde programamos entre el 9 y 14 </t>
      </text>
    </comment>
    <comment ref="A169" authorId="2" shapeId="0">
      <text>
        <t xml:space="preserve">ECOS Chile:
Ver donde programamos entre el 9 y 14 </t>
      </text>
    </comment>
    <comment ref="A193" authorId="0" shapeId="0">
      <text>
        <t>PUNTO 3</t>
      </text>
    </comment>
    <comment ref="A276" authorId="0" shapeId="0">
      <text>
        <t>POZO AGREGADO POR RRHH Y COMUNIDADES</t>
      </text>
    </comment>
    <comment ref="A277" authorId="0" shapeId="0">
      <text>
        <t>POZO AGREGADO POR RRHH Y COMUNIDADES</t>
      </text>
    </comment>
    <comment ref="CV291" authorId="2" shapeId="0">
      <text>
        <t>ECOS Chile:
Agregar a la tarea de NF</t>
      </text>
    </comment>
    <comment ref="DL296" authorId="4" shapeId="0">
      <text>
        <t xml:space="preserve">user:
Solo ocupar hasta fin de cada mes
</t>
      </text>
    </comment>
    <comment ref="CE342" authorId="0" shapeId="0">
      <text>
        <t>Nathalie Duarte 2:
INSTRUMENTADO</t>
      </text>
    </comment>
    <comment ref="A367" authorId="2" shapeId="0">
      <text>
        <t xml:space="preserve">ECOS Chile:
Ver donde programamos entre el 9 y 14 </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A428" authorId="0" shapeId="0">
      <text>
        <t xml:space="preserve">hubo video inspección que llegó hasta los 40 mts en junio. </t>
      </text>
    </comment>
    <comment ref="BO445" authorId="0" shapeId="0">
      <text>
        <t>ES COMPROMETIDO, PERO VIENE EN SIGVANC NG LO LEVANTA</t>
      </text>
    </comment>
    <comment ref="A450" authorId="5" shapeId="0">
      <text>
        <t xml:space="preserve">Nathalie Duarte:
sacar instrumentación </t>
      </text>
    </comment>
    <comment ref="CC451" authorId="0" shapeId="0">
      <text>
        <t>Nathalie Duarte 2:
INSTRUMENTADO</t>
      </text>
    </comment>
    <comment ref="DM453"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K456" authorId="0" shapeId="0">
      <text>
        <t>no hay ot</t>
      </text>
    </comment>
    <comment ref="CA458" authorId="1" shapeId="0">
      <text>
        <t xml:space="preserve">PAF SALLIHUINXA
</t>
      </text>
    </comment>
    <comment ref="CA459" authorId="1" shapeId="0">
      <text>
        <t xml:space="preserve">PAF SALLIHUINXA
</t>
      </text>
    </comment>
    <comment ref="DA494" authorId="0" shapeId="0">
      <text>
        <t>Nathalie Duarte 2:
NO PMAP</t>
      </text>
    </comment>
    <comment ref="A551" authorId="0" shapeId="0">
      <text>
        <t>Nathalie Duarte 2:
podría llamar MP-05C_B</t>
      </text>
    </comment>
    <comment ref="H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H669" authorId="1" shapeId="0">
      <text>
        <t xml:space="preserve">PAF TAMENTICA
</t>
      </text>
    </comment>
    <comment ref="CH670" authorId="1" shapeId="0">
      <text>
        <t xml:space="preserve">PAF TAMENTICA
</t>
      </text>
    </comment>
    <comment ref="CH671" authorId="1" shapeId="0">
      <text>
        <t xml:space="preserve">PAF TAMENTICA
</t>
      </text>
    </comment>
    <comment ref="CH672" authorId="1" shapeId="0">
      <text>
        <t xml:space="preserve">PAF TAMENTICA
</t>
      </text>
    </comment>
    <comment ref="CL684" authorId="0" shapeId="0">
      <text>
        <t>3 PERSONAS Y TRIPODE Y 2 YEGUA (POZ Y TRIPODE) PORTEZUELO</t>
      </text>
    </comment>
    <comment ref="A689" authorId="0" shapeId="0">
      <text>
        <t>Nathalie Duarte 2:
in situ</t>
      </text>
    </comment>
    <comment ref="A747" authorId="0" shapeId="0">
      <text>
        <t xml:space="preserve">
CAMBIO DE NOMBRE</t>
      </text>
    </comment>
    <comment ref="A748" authorId="0" shapeId="0">
      <text>
        <t>Nathalie Duarte 2:
CAMBIO DE NOMBRE</t>
      </text>
    </comment>
    <comment ref="CU757" authorId="1" shapeId="0">
      <text>
        <t>PAF YABRI-CAYA
CAMBIADO POR SOLICITUD DE LA COMUNIDAD</t>
      </text>
    </comment>
    <comment ref="CU758" authorId="1" shapeId="0">
      <text>
        <t xml:space="preserve">PAF YABRI-CAYA
</t>
      </text>
    </comment>
    <comment ref="CI759" authorId="1" shapeId="0">
      <text>
        <t xml:space="preserve">PAF TAMENTICA
</t>
      </text>
    </comment>
    <comment ref="CI760" authorId="1" shapeId="0">
      <text>
        <t xml:space="preserve">PAF TAMENTICA
</t>
      </text>
    </comment>
    <comment ref="BU761" authorId="1" shapeId="0">
      <text>
        <t xml:space="preserve">revisar cmunidades </t>
      </text>
    </comment>
    <comment ref="CG761" authorId="1" shapeId="0">
      <text>
        <t xml:space="preserve">PAF TAMENTICA
</t>
      </text>
    </comment>
    <comment ref="CG762" authorId="1" shapeId="0">
      <text>
        <t xml:space="preserve">PAF TAMENTICA
</t>
      </text>
    </comment>
    <comment ref="CG763" authorId="1" shapeId="0">
      <text>
        <t xml:space="preserve">PAF TAMENTICA
</t>
      </text>
    </comment>
    <comment ref="CG764" authorId="1" shapeId="0">
      <text>
        <t xml:space="preserve">PAF TAMENTICA
</t>
      </text>
    </comment>
    <comment ref="CH766" authorId="1" shapeId="0">
      <text>
        <t xml:space="preserve">PAF TAMENTICA
</t>
      </text>
    </comment>
    <comment ref="CH767" authorId="1" shapeId="0">
      <text>
        <t xml:space="preserve">PAF TAMENTICA
</t>
      </text>
    </comment>
    <comment ref="CH770" authorId="1" shapeId="0">
      <text>
        <t xml:space="preserve">PAF TAMENTICA
</t>
      </text>
    </comment>
    <comment ref="CH771" authorId="1" shapeId="0">
      <text>
        <t xml:space="preserve">PAF TAMENTICA
</t>
      </text>
    </comment>
    <comment ref="CG774" authorId="1" shapeId="0">
      <text>
        <t xml:space="preserve">PAF TAMENTICA
</t>
      </text>
    </comment>
    <comment ref="CG775" authorId="1" shapeId="0">
      <text>
        <t xml:space="preserve">PAF TAMENTICA
</t>
      </text>
    </comment>
    <comment ref="CG776" authorId="1" shapeId="0">
      <text>
        <t xml:space="preserve">PAF TAMENTICA
</t>
      </text>
    </comment>
    <comment ref="CG777" authorId="1" shapeId="0">
      <text>
        <t xml:space="preserve">PAF TAMENTICA
</t>
      </text>
    </comment>
    <comment ref="DM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A812" authorId="2" shapeId="0">
      <text>
        <t xml:space="preserve">ECOS Chile:
Ver donde programamos entre el 9 y 14 </t>
      </text>
    </comment>
    <comment ref="A815" authorId="2" shapeId="0">
      <text>
        <t xml:space="preserve">ECOS Chile:
Ver donde programamos entre el 9 y 14 </t>
      </text>
    </comment>
    <comment ref="CU852" authorId="1" shapeId="0">
      <text>
        <t>PAF YABRI-CAYA
CAMBIADO POR SOLICITUD DE LA COMUNIDAD</t>
      </text>
    </comment>
    <comment ref="CU853" authorId="1" shapeId="0">
      <text>
        <t>PAF YABRI-CAYA
CAMBIADO POR SOLICITUD DE LA COMUNIDAD</t>
      </text>
    </comment>
    <comment ref="CI854" authorId="1" shapeId="0">
      <text>
        <t xml:space="preserve">PAF TAMENTICA
</t>
      </text>
    </comment>
    <comment ref="CU854" authorId="1" shapeId="0">
      <text>
        <t xml:space="preserve">PAF YABRI-CAYA
</t>
      </text>
    </comment>
    <comment ref="CI855" authorId="1" shapeId="0">
      <text>
        <t xml:space="preserve">PAF TAMENTICA
</t>
      </text>
    </comment>
    <comment ref="CL869" authorId="0" shapeId="0">
      <text>
        <t>HITO 54</t>
      </text>
    </comment>
    <comment ref="A873" authorId="1" shapeId="0">
      <text>
        <t>Frecuencia semanal y medir con mismo pozometro POZ 3
se pregunta si continua por agosto (hasta le 28/08)y ext ot 2478044</t>
      </text>
    </comment>
    <comment ref="CL877" authorId="0" shapeId="0">
      <text>
        <t xml:space="preserve">HITO 54, DEBERIA CAMBIARSE PORQUE HAY COMUNIDADES A NO SER QUE SALGAN DOS EQUIPOS A NORTE
</t>
      </text>
    </comment>
    <comment ref="DJ877" authorId="1" shapeId="0">
      <text>
        <t xml:space="preserve">Hasta estabilizar
</t>
      </text>
    </comment>
    <comment ref="DJ878" authorId="1" shapeId="0">
      <text>
        <t xml:space="preserve">Hasta estabilizar
</t>
      </text>
    </comment>
    <comment ref="A887" authorId="1" shapeId="0">
      <text>
        <t xml:space="preserve">Se corrigio en Junio y se deja retroactivo ahora como 03B. 
</t>
      </text>
    </comment>
    <comment ref="CQ926" authorId="0" shapeId="0">
      <text>
        <t xml:space="preserve">Nathalie Duarte 2:
AVISAR CMDIC PUERTO </t>
      </text>
    </comment>
    <comment ref="BO980" authorId="0" shapeId="0">
      <text>
        <t>Nathalie Duarte 2:
pasó a ser NC</t>
      </text>
    </comment>
    <comment ref="CI997" authorId="1" shapeId="0">
      <text>
        <t xml:space="preserve">PAF TAMENTICA
</t>
      </text>
    </comment>
    <comment ref="CI998" authorId="1" shapeId="0">
      <text>
        <t xml:space="preserve">PAF TAMENTICA
</t>
      </text>
    </comment>
    <comment ref="CG999" authorId="1" shapeId="0">
      <text>
        <t xml:space="preserve">PAF TAMENTICA
</t>
      </text>
    </comment>
    <comment ref="CG1000" authorId="1" shapeId="0">
      <text>
        <t xml:space="preserve">PAF TAMENTICA
</t>
      </text>
    </comment>
    <comment ref="CI1012" authorId="1" shapeId="0">
      <text>
        <t xml:space="preserve">PAF TAMENTICA
</t>
      </text>
    </comment>
    <comment ref="CI1013" authorId="1" shapeId="0">
      <text>
        <t xml:space="preserve">PAF TAMENTICA
</t>
      </text>
    </comment>
    <comment ref="A1098" authorId="0" shapeId="0">
      <text>
        <t xml:space="preserve">Nathalie Duarte 2:
se sube en dicm. </t>
      </text>
    </comment>
    <comment ref="A1146" authorId="1" shapeId="0">
      <text>
        <t xml:space="preserve">Milthon Aguirre:
No tienen OT
</t>
      </text>
    </comment>
    <comment ref="A1153" authorId="0" shapeId="0">
      <text>
        <t>NO VIENE OT</t>
      </text>
    </comment>
    <comment ref="A1190"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4.%20ABRIL/09-15%20Abril/OT%20turno%2009%20al%2015%20de%20abril.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ADM"/>
      <sheetName val="OLORES"/>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I1" t="str">
            <v>OBS</v>
          </cell>
        </row>
        <row r="2">
          <cell r="A2" t="str">
            <v>AFO-JU1/CAUDAL</v>
          </cell>
          <cell r="B2" t="str">
            <v>03648876</v>
          </cell>
          <cell r="C2" t="str">
            <v>MEDICIÓN DE CAUDALES</v>
          </cell>
          <cell r="D2" t="str">
            <v>AFO-JU1</v>
          </cell>
          <cell r="E2" t="str">
            <v>CAUDAL</v>
          </cell>
          <cell r="F2" t="str">
            <v>2026-04-01</v>
          </cell>
          <cell r="G2" t="str">
            <v>2026-04-14</v>
          </cell>
          <cell r="H2" t="str">
            <v>SIGVA</v>
          </cell>
          <cell r="I2" t="str">
            <v>sabado</v>
          </cell>
        </row>
        <row r="3">
          <cell r="A3" t="str">
            <v>ADTR LIXIVIACIÓN/ASUP</v>
          </cell>
          <cell r="B3" t="str">
            <v>03648877</v>
          </cell>
          <cell r="C3" t="str">
            <v>MUESTREO MANUAL DE AGUAS SUBTERRÁNEAS</v>
          </cell>
          <cell r="D3" t="str">
            <v>ADTR LIXIVIACIÓN</v>
          </cell>
          <cell r="E3" t="str">
            <v>ASUP</v>
          </cell>
          <cell r="F3" t="str">
            <v>2026-04-01</v>
          </cell>
          <cell r="G3" t="str">
            <v>2026-04-07</v>
          </cell>
          <cell r="H3" t="str">
            <v>SIGVA</v>
          </cell>
          <cell r="I3" t="str">
            <v>ta</v>
          </cell>
        </row>
        <row r="4">
          <cell r="A4" t="str">
            <v>MTP-17 TRANQUE/ASUB</v>
          </cell>
          <cell r="B4" t="str">
            <v>03648878</v>
          </cell>
          <cell r="C4" t="str">
            <v>MUESTREO MANUAL DE AGUAS SUBTERRÁNEAS</v>
          </cell>
          <cell r="D4" t="str">
            <v>MTP-17 TRANQUE</v>
          </cell>
          <cell r="E4" t="str">
            <v>ASUB</v>
          </cell>
          <cell r="F4" t="str">
            <v>2026-04-01</v>
          </cell>
          <cell r="G4" t="str">
            <v>2026-04-07</v>
          </cell>
          <cell r="H4" t="str">
            <v>SIGVA</v>
          </cell>
          <cell r="I4" t="str">
            <v>ta</v>
          </cell>
        </row>
        <row r="5">
          <cell r="A5" t="str">
            <v>MTP-17/NF</v>
          </cell>
          <cell r="B5" t="str">
            <v>03648879</v>
          </cell>
          <cell r="C5" t="str">
            <v>MEDICION DE NIVELES FREATICOS (PAT EIA)</v>
          </cell>
          <cell r="D5" t="str">
            <v>MTP-17</v>
          </cell>
          <cell r="E5" t="str">
            <v>NF</v>
          </cell>
          <cell r="F5" t="str">
            <v>2026-04-01</v>
          </cell>
          <cell r="G5" t="str">
            <v>2026-04-07</v>
          </cell>
          <cell r="H5" t="str">
            <v>SIGVA</v>
          </cell>
          <cell r="I5" t="str">
            <v>ta</v>
          </cell>
        </row>
        <row r="6">
          <cell r="A6" t="str">
            <v>FAD PUERTO COLLAHUASI/AR</v>
          </cell>
          <cell r="B6" t="str">
            <v>03648880</v>
          </cell>
          <cell r="C6" t="str">
            <v>MUESTREO EN PLANTA FAD</v>
          </cell>
          <cell r="D6" t="str">
            <v>FAD PUERTO COLLAHUASI</v>
          </cell>
          <cell r="E6" t="str">
            <v>AR</v>
          </cell>
          <cell r="F6" t="str">
            <v>2026-04-01</v>
          </cell>
          <cell r="G6" t="str">
            <v>2026-04-07</v>
          </cell>
          <cell r="H6" t="str">
            <v>SIGVA</v>
          </cell>
          <cell r="I6" t="str">
            <v>ta</v>
          </cell>
        </row>
        <row r="7">
          <cell r="A7" t="str">
            <v>LPDC-01 LIXIVIACIÓN/ASUB</v>
          </cell>
          <cell r="B7" t="str">
            <v>03648881</v>
          </cell>
          <cell r="C7" t="str">
            <v>MUESTREO MANUAL DE AGUAS SUBTERRÁNEAS</v>
          </cell>
          <cell r="D7" t="str">
            <v>LPDC-01 LIXIVIACIÓN</v>
          </cell>
          <cell r="E7" t="str">
            <v>ASUB</v>
          </cell>
          <cell r="F7" t="str">
            <v>2026-04-01</v>
          </cell>
          <cell r="G7" t="str">
            <v>2026-04-07</v>
          </cell>
          <cell r="H7" t="str">
            <v>SIGVA</v>
          </cell>
          <cell r="I7" t="str">
            <v>ta</v>
          </cell>
        </row>
        <row r="8">
          <cell r="A8" t="str">
            <v>LPDC-01 LIXIVIACIÓN/NF</v>
          </cell>
          <cell r="B8" t="str">
            <v>03648882</v>
          </cell>
          <cell r="C8" t="str">
            <v>MEDICION DE NIVELES FREATICOS</v>
          </cell>
          <cell r="D8" t="str">
            <v>LPDC-01 LIXIVIACIÓN</v>
          </cell>
          <cell r="E8" t="str">
            <v>NF</v>
          </cell>
          <cell r="F8" t="str">
            <v>2026-04-01</v>
          </cell>
          <cell r="G8" t="str">
            <v>2026-04-07</v>
          </cell>
          <cell r="H8" t="str">
            <v>SIGVA</v>
          </cell>
          <cell r="I8" t="str">
            <v>ta</v>
          </cell>
        </row>
        <row r="9">
          <cell r="A9" t="str">
            <v>LPDC-02 LIXIVIACIÓN/ASUB</v>
          </cell>
          <cell r="B9" t="str">
            <v>03648883</v>
          </cell>
          <cell r="C9" t="str">
            <v>MUESTREO MANUAL DE AGUAS SUBTERRÁNEAS</v>
          </cell>
          <cell r="D9" t="str">
            <v>LPDC-02 LIXIVIACIÓN</v>
          </cell>
          <cell r="E9" t="str">
            <v>ASUB</v>
          </cell>
          <cell r="F9" t="str">
            <v>2026-04-01</v>
          </cell>
          <cell r="G9" t="str">
            <v>2026-04-07</v>
          </cell>
          <cell r="H9" t="str">
            <v>SIGVA</v>
          </cell>
          <cell r="I9" t="str">
            <v>ta</v>
          </cell>
        </row>
        <row r="10">
          <cell r="A10" t="str">
            <v>LPDC-02 LIXIVIACIÓN/NF</v>
          </cell>
          <cell r="B10" t="str">
            <v>03648884</v>
          </cell>
          <cell r="C10" t="str">
            <v>MEDICION DE NIVELES FREATICOS</v>
          </cell>
          <cell r="D10" t="str">
            <v>LPDC-02 LIXIVIACIÓN</v>
          </cell>
          <cell r="E10" t="str">
            <v>NF</v>
          </cell>
          <cell r="F10" t="str">
            <v>2026-04-01</v>
          </cell>
          <cell r="G10" t="str">
            <v>2026-04-07</v>
          </cell>
          <cell r="H10" t="str">
            <v>SIGVA</v>
          </cell>
          <cell r="I10" t="str">
            <v>ta</v>
          </cell>
        </row>
        <row r="11">
          <cell r="A11" t="str">
            <v>LPDC-03 LIXIVIACIÓN/ASUB</v>
          </cell>
          <cell r="B11" t="str">
            <v>03648885</v>
          </cell>
          <cell r="C11" t="str">
            <v>MUESTREO MANUAL DE AGUAS SUBTERRÁNEAS</v>
          </cell>
          <cell r="D11" t="str">
            <v>LPDC-03 LIXIVIACIÓN</v>
          </cell>
          <cell r="E11" t="str">
            <v>ASUB</v>
          </cell>
          <cell r="F11" t="str">
            <v>2026-04-01</v>
          </cell>
          <cell r="G11" t="str">
            <v>2026-04-07</v>
          </cell>
          <cell r="H11" t="str">
            <v>SIGVA</v>
          </cell>
          <cell r="I11" t="str">
            <v>ta</v>
          </cell>
        </row>
        <row r="12">
          <cell r="A12" t="str">
            <v>LPDC-03 LIXIVIACIÓN/NF</v>
          </cell>
          <cell r="B12" t="str">
            <v>03648886</v>
          </cell>
          <cell r="C12" t="str">
            <v>MEDICION DE NIVELES FREATICOS</v>
          </cell>
          <cell r="D12" t="str">
            <v>LPDC-03 LIXIVIACIÓN</v>
          </cell>
          <cell r="E12" t="str">
            <v>NF</v>
          </cell>
          <cell r="F12" t="str">
            <v>2026-04-01</v>
          </cell>
          <cell r="G12" t="str">
            <v>2026-04-07</v>
          </cell>
          <cell r="H12" t="str">
            <v>SIGVA</v>
          </cell>
          <cell r="I12" t="str">
            <v>ta</v>
          </cell>
        </row>
        <row r="13">
          <cell r="A13" t="str">
            <v>LPDC-04 LIXIVIACIÓN/ASUB</v>
          </cell>
          <cell r="B13" t="str">
            <v>03648887</v>
          </cell>
          <cell r="C13" t="str">
            <v>MUESTREO MANUAL DE AGUAS SUBTERRÁNEAS</v>
          </cell>
          <cell r="D13" t="str">
            <v>LPDC-04 LIXIVIACIÓN</v>
          </cell>
          <cell r="E13" t="str">
            <v>ASUB</v>
          </cell>
          <cell r="F13" t="str">
            <v>2026-04-01</v>
          </cell>
          <cell r="G13" t="str">
            <v>2026-04-07</v>
          </cell>
          <cell r="H13" t="str">
            <v>SIGVA</v>
          </cell>
          <cell r="I13" t="str">
            <v>ta</v>
          </cell>
        </row>
        <row r="14">
          <cell r="A14" t="str">
            <v>LPDC-04 LIXIVIACIÓN/NF</v>
          </cell>
          <cell r="B14" t="str">
            <v>03648888</v>
          </cell>
          <cell r="C14" t="str">
            <v>MEDICION DE NIVELES FREATICOS</v>
          </cell>
          <cell r="D14" t="str">
            <v>LPDC-04 LIXIVIACIÓN</v>
          </cell>
          <cell r="E14" t="str">
            <v>NF</v>
          </cell>
          <cell r="F14" t="str">
            <v>2026-04-01</v>
          </cell>
          <cell r="G14" t="str">
            <v>2026-04-07</v>
          </cell>
          <cell r="H14" t="str">
            <v>SIGVA</v>
          </cell>
          <cell r="I14" t="str">
            <v>ta</v>
          </cell>
        </row>
        <row r="15">
          <cell r="A15" t="str">
            <v>LPDC-05 LIXIVIACIÓN/ASUB</v>
          </cell>
          <cell r="B15" t="str">
            <v>03648889</v>
          </cell>
          <cell r="C15" t="str">
            <v>MUESTREO MANUAL DE AGUAS SUBTERRÁNEAS</v>
          </cell>
          <cell r="D15" t="str">
            <v>LPDC-05 LIXIVIACIÓN</v>
          </cell>
          <cell r="E15" t="str">
            <v>ASUB</v>
          </cell>
          <cell r="F15" t="str">
            <v>2026-04-01</v>
          </cell>
          <cell r="G15" t="str">
            <v>2026-04-07</v>
          </cell>
          <cell r="H15" t="str">
            <v>SIGVA</v>
          </cell>
          <cell r="I15" t="str">
            <v>ta</v>
          </cell>
        </row>
        <row r="16">
          <cell r="A16" t="str">
            <v>LPDC-05 LIXIVIACIÓN/NF</v>
          </cell>
          <cell r="B16" t="str">
            <v>03648890</v>
          </cell>
          <cell r="C16" t="str">
            <v>MEDICION DE NIVELES FREATICOS</v>
          </cell>
          <cell r="D16" t="str">
            <v>LPDC-05 LIXIVIACIÓN</v>
          </cell>
          <cell r="E16" t="str">
            <v>NF</v>
          </cell>
          <cell r="F16" t="str">
            <v>2026-04-01</v>
          </cell>
          <cell r="G16" t="str">
            <v>2026-04-07</v>
          </cell>
          <cell r="H16" t="str">
            <v>SIGVA</v>
          </cell>
          <cell r="I16" t="str">
            <v>ta</v>
          </cell>
        </row>
        <row r="17">
          <cell r="A17" t="str">
            <v>LPDC-06 LIXIVIACIÓN/ASUB</v>
          </cell>
          <cell r="B17" t="str">
            <v>03648891</v>
          </cell>
          <cell r="C17" t="str">
            <v>MUESTREO MANUAL DE AGUAS SUBTERRÁNEAS</v>
          </cell>
          <cell r="D17" t="str">
            <v>LPDC-06 LIXIVIACIÓN</v>
          </cell>
          <cell r="E17" t="str">
            <v>ASUB</v>
          </cell>
          <cell r="F17" t="str">
            <v>2026-04-01</v>
          </cell>
          <cell r="G17" t="str">
            <v>2026-04-07</v>
          </cell>
          <cell r="H17" t="str">
            <v>SIGVA</v>
          </cell>
          <cell r="I17" t="str">
            <v>ta</v>
          </cell>
        </row>
        <row r="18">
          <cell r="A18" t="str">
            <v>LPDC-06 LIXIVIACIÓN/NF</v>
          </cell>
          <cell r="B18" t="str">
            <v>03648892</v>
          </cell>
          <cell r="C18" t="str">
            <v>MEDICION DE NIVELES FREATICOS</v>
          </cell>
          <cell r="D18" t="str">
            <v>LPDC-06 LIXIVIACIÓN</v>
          </cell>
          <cell r="E18" t="str">
            <v>NF</v>
          </cell>
          <cell r="F18" t="str">
            <v>2026-04-01</v>
          </cell>
          <cell r="G18" t="str">
            <v>2026-04-07</v>
          </cell>
          <cell r="H18" t="str">
            <v>SIGVA</v>
          </cell>
          <cell r="I18" t="str">
            <v>ta</v>
          </cell>
        </row>
        <row r="19">
          <cell r="A19" t="str">
            <v>LPDC-07 LIXIVIACIÓN/ASUB</v>
          </cell>
          <cell r="B19" t="str">
            <v>03648893</v>
          </cell>
          <cell r="C19" t="str">
            <v>MUESTREO MANUAL DE AGUAS SUBTERRÁNEAS</v>
          </cell>
          <cell r="D19" t="str">
            <v>LPDC-07 LIXIVIACIÓN</v>
          </cell>
          <cell r="E19" t="str">
            <v>ASUB</v>
          </cell>
          <cell r="F19" t="str">
            <v>2026-04-01</v>
          </cell>
          <cell r="G19" t="str">
            <v>2026-04-07</v>
          </cell>
          <cell r="H19" t="str">
            <v>SIGVA</v>
          </cell>
          <cell r="I19" t="str">
            <v>ta</v>
          </cell>
        </row>
        <row r="20">
          <cell r="A20" t="str">
            <v>LPDC-07 LIXIVIACIÓN/NF</v>
          </cell>
          <cell r="B20" t="str">
            <v>03648894</v>
          </cell>
          <cell r="C20" t="str">
            <v>MEDICION DE NIVELES FREATICOS</v>
          </cell>
          <cell r="D20" t="str">
            <v>LPDC-07 LIXIVIACIÓN</v>
          </cell>
          <cell r="E20" t="str">
            <v>NF</v>
          </cell>
          <cell r="F20" t="str">
            <v>2026-04-01</v>
          </cell>
          <cell r="G20" t="str">
            <v>2026-04-07</v>
          </cell>
          <cell r="H20" t="str">
            <v>SIGVA</v>
          </cell>
          <cell r="I20" t="str">
            <v>ta</v>
          </cell>
        </row>
        <row r="21">
          <cell r="A21" t="str">
            <v>LPDC-08 LIXIVIACIÓN/ASUB</v>
          </cell>
          <cell r="B21" t="str">
            <v>03648895</v>
          </cell>
          <cell r="C21" t="str">
            <v>MUESTREO MANUAL DE AGUAS SUBTERRÁNEAS</v>
          </cell>
          <cell r="D21" t="str">
            <v>LPDC-08 LIXIVIACIÓN</v>
          </cell>
          <cell r="E21" t="str">
            <v>ASUB</v>
          </cell>
          <cell r="F21" t="str">
            <v>2026-04-01</v>
          </cell>
          <cell r="G21" t="str">
            <v>2026-04-07</v>
          </cell>
          <cell r="H21" t="str">
            <v>SIGVA</v>
          </cell>
          <cell r="I21" t="str">
            <v>ta</v>
          </cell>
        </row>
        <row r="22">
          <cell r="A22" t="str">
            <v>LPDC-08 LIXIVIACIÓN/NF</v>
          </cell>
          <cell r="B22" t="str">
            <v>03648896</v>
          </cell>
          <cell r="C22" t="str">
            <v>MEDICION DE NIVELES FREATICOS</v>
          </cell>
          <cell r="D22" t="str">
            <v>LPDC-08 LIXIVIACIÓN</v>
          </cell>
          <cell r="E22" t="str">
            <v>NF</v>
          </cell>
          <cell r="F22" t="str">
            <v>2026-04-01</v>
          </cell>
          <cell r="G22" t="str">
            <v>2026-04-07</v>
          </cell>
          <cell r="H22" t="str">
            <v>SIGVA</v>
          </cell>
          <cell r="I22" t="str">
            <v>ta</v>
          </cell>
        </row>
        <row r="23">
          <cell r="A23" t="str">
            <v>POZO JA-01 (PUNTO 1) JACHUCOPOSA/NF</v>
          </cell>
          <cell r="B23" t="str">
            <v>03648897</v>
          </cell>
          <cell r="C23" t="str">
            <v>MEDICION DE NIVELES FREATICOS (PAT EIA)</v>
          </cell>
          <cell r="D23" t="str">
            <v>POZO JA-01 (PUNTO 1) JACHUCOPOSA</v>
          </cell>
          <cell r="E23" t="str">
            <v>NF</v>
          </cell>
          <cell r="F23" t="str">
            <v>2026-04-01</v>
          </cell>
          <cell r="G23" t="str">
            <v>2026-04-14</v>
          </cell>
          <cell r="H23" t="str">
            <v>SIGVA</v>
          </cell>
          <cell r="I23" t="str">
            <v>ta</v>
          </cell>
        </row>
        <row r="24">
          <cell r="A24" t="str">
            <v>POZO JA-2 (PUNTO 2) JACHUCOPOSA/NF</v>
          </cell>
          <cell r="B24" t="str">
            <v>03648898</v>
          </cell>
          <cell r="C24" t="str">
            <v>MEDICION DE NIVELES FREATICOS (PAT EIA)</v>
          </cell>
          <cell r="D24" t="str">
            <v>POZO JA-2 (PUNTO 2) JACHUCOPOSA</v>
          </cell>
          <cell r="E24" t="str">
            <v>NF</v>
          </cell>
          <cell r="F24" t="str">
            <v>2026-04-01</v>
          </cell>
          <cell r="G24" t="str">
            <v>2026-04-14</v>
          </cell>
          <cell r="H24" t="str">
            <v>SIGVA</v>
          </cell>
          <cell r="I24" t="str">
            <v>ta</v>
          </cell>
        </row>
        <row r="25">
          <cell r="A25" t="str">
            <v>MP-1C/NF</v>
          </cell>
          <cell r="B25" t="str">
            <v>03648899</v>
          </cell>
          <cell r="C25" t="str">
            <v>MEDICION DE NIVELES FREATICOS (PAT EIA)</v>
          </cell>
          <cell r="D25" t="str">
            <v>MP-1C</v>
          </cell>
          <cell r="E25" t="str">
            <v>NF</v>
          </cell>
          <cell r="F25" t="str">
            <v>2026-04-01</v>
          </cell>
          <cell r="G25" t="str">
            <v>2026-04-14</v>
          </cell>
          <cell r="H25" t="str">
            <v>SIGVA</v>
          </cell>
          <cell r="I25" t="str">
            <v>ta</v>
          </cell>
        </row>
        <row r="26">
          <cell r="A26" t="str">
            <v>MP-1C/ASUB</v>
          </cell>
          <cell r="B26" t="str">
            <v>03648900</v>
          </cell>
          <cell r="C26" t="str">
            <v>MUESTREO MANUAL DE AGUAS SUBTERRÁNEAS</v>
          </cell>
          <cell r="D26" t="str">
            <v>MP-1C</v>
          </cell>
          <cell r="E26" t="str">
            <v>ASUB</v>
          </cell>
          <cell r="F26" t="str">
            <v>2026-04-01</v>
          </cell>
          <cell r="G26" t="str">
            <v>2026-04-14</v>
          </cell>
          <cell r="H26" t="str">
            <v>SIGVA</v>
          </cell>
          <cell r="I26" t="str">
            <v>ta</v>
          </cell>
        </row>
        <row r="27">
          <cell r="A27" t="str">
            <v>MP-01A/NF</v>
          </cell>
          <cell r="B27" t="str">
            <v>03648901</v>
          </cell>
          <cell r="C27" t="str">
            <v>MEDICION DE NIVELES FREATICOS (PAT EIA)</v>
          </cell>
          <cell r="D27" t="str">
            <v>MP-01A</v>
          </cell>
          <cell r="E27" t="str">
            <v>NF</v>
          </cell>
          <cell r="F27" t="str">
            <v>2026-04-01</v>
          </cell>
          <cell r="G27" t="str">
            <v>2026-04-14</v>
          </cell>
          <cell r="H27" t="str">
            <v>SIGVA</v>
          </cell>
          <cell r="I27" t="str">
            <v>ta</v>
          </cell>
        </row>
        <row r="28">
          <cell r="A28" t="str">
            <v>MP-01A/ASUB</v>
          </cell>
          <cell r="B28" t="str">
            <v>03648902</v>
          </cell>
          <cell r="C28" t="str">
            <v>MUESTREO MANUAL DE AGUAS SUBTERRÁNEAS</v>
          </cell>
          <cell r="D28" t="str">
            <v>MP-01A</v>
          </cell>
          <cell r="E28" t="str">
            <v>ASUB</v>
          </cell>
          <cell r="F28" t="str">
            <v>2026-04-01</v>
          </cell>
          <cell r="G28" t="str">
            <v>2026-04-14</v>
          </cell>
          <cell r="H28" t="str">
            <v>SIGVA</v>
          </cell>
          <cell r="I28" t="str">
            <v>ta</v>
          </cell>
        </row>
        <row r="29">
          <cell r="A29" t="str">
            <v>MP-01B/NF</v>
          </cell>
          <cell r="B29" t="str">
            <v>03648903</v>
          </cell>
          <cell r="C29" t="str">
            <v>MEDICION DE NIVELES FREATICOS (PAT EIA)</v>
          </cell>
          <cell r="D29" t="str">
            <v>MP-01B</v>
          </cell>
          <cell r="E29" t="str">
            <v>NF</v>
          </cell>
          <cell r="F29" t="str">
            <v>2026-04-01</v>
          </cell>
          <cell r="G29" t="str">
            <v>2026-04-14</v>
          </cell>
          <cell r="H29" t="str">
            <v>SIGVA</v>
          </cell>
          <cell r="I29" t="str">
            <v>ta</v>
          </cell>
        </row>
        <row r="30">
          <cell r="A30" t="str">
            <v>MP-01B/ASUB</v>
          </cell>
          <cell r="B30" t="str">
            <v>03648904</v>
          </cell>
          <cell r="C30" t="str">
            <v>MUESTREO MANUAL DE AGUAS SUBTERRÁNEAS</v>
          </cell>
          <cell r="D30" t="str">
            <v>MP-01B</v>
          </cell>
          <cell r="E30" t="str">
            <v>ASUB</v>
          </cell>
          <cell r="F30" t="str">
            <v>2026-04-01</v>
          </cell>
          <cell r="G30" t="str">
            <v>2026-04-14</v>
          </cell>
          <cell r="H30" t="str">
            <v>SIGVA</v>
          </cell>
          <cell r="I30" t="str">
            <v>ta</v>
          </cell>
        </row>
        <row r="31">
          <cell r="A31" t="str">
            <v>MP-02A/NF</v>
          </cell>
          <cell r="B31" t="str">
            <v>03648905</v>
          </cell>
          <cell r="C31" t="str">
            <v>MEDICION DE NIVELES FREATICOS (PAT EIA)</v>
          </cell>
          <cell r="D31" t="str">
            <v>MP-02A</v>
          </cell>
          <cell r="E31" t="str">
            <v>NF</v>
          </cell>
          <cell r="F31" t="str">
            <v>2026-04-01</v>
          </cell>
          <cell r="G31" t="str">
            <v>2026-04-14</v>
          </cell>
          <cell r="H31" t="str">
            <v>SIGVA</v>
          </cell>
          <cell r="I31" t="str">
            <v>ta</v>
          </cell>
        </row>
        <row r="32">
          <cell r="A32" t="str">
            <v>MP-02A/ASUB</v>
          </cell>
          <cell r="B32" t="str">
            <v>03648906</v>
          </cell>
          <cell r="C32" t="str">
            <v>MUESTREO MANUAL DE AGUAS SUBTERRÁNEAS</v>
          </cell>
          <cell r="D32" t="str">
            <v>MP-02A</v>
          </cell>
          <cell r="E32" t="str">
            <v>ASUB</v>
          </cell>
          <cell r="F32" t="str">
            <v>2026-04-01</v>
          </cell>
          <cell r="G32" t="str">
            <v>2026-04-14</v>
          </cell>
          <cell r="H32" t="str">
            <v>SIGVA</v>
          </cell>
          <cell r="I32" t="str">
            <v>ta</v>
          </cell>
        </row>
        <row r="33">
          <cell r="A33" t="str">
            <v>MP-02B/NF</v>
          </cell>
          <cell r="B33" t="str">
            <v>03648907</v>
          </cell>
          <cell r="C33" t="str">
            <v>MEDICION DE NIVELES FREATICOS (PAT EIA)</v>
          </cell>
          <cell r="D33" t="str">
            <v>MP-02B</v>
          </cell>
          <cell r="E33" t="str">
            <v>NF</v>
          </cell>
          <cell r="F33" t="str">
            <v>2026-04-01</v>
          </cell>
          <cell r="G33" t="str">
            <v>2026-04-14</v>
          </cell>
          <cell r="H33" t="str">
            <v>SIGVA</v>
          </cell>
          <cell r="I33" t="str">
            <v>ta</v>
          </cell>
        </row>
        <row r="34">
          <cell r="A34" t="str">
            <v>MP-02B/ASUB</v>
          </cell>
          <cell r="B34" t="str">
            <v>03648908</v>
          </cell>
          <cell r="C34" t="str">
            <v>MUESTREO MANUAL DE AGUAS SUBTERRÁNEAS</v>
          </cell>
          <cell r="D34" t="str">
            <v>MP-02B</v>
          </cell>
          <cell r="E34" t="str">
            <v>ASUB</v>
          </cell>
          <cell r="F34" t="str">
            <v>2026-04-01</v>
          </cell>
          <cell r="G34" t="str">
            <v>2026-04-14</v>
          </cell>
          <cell r="H34" t="str">
            <v>SIGVA</v>
          </cell>
          <cell r="I34" t="str">
            <v>ta</v>
          </cell>
        </row>
        <row r="35">
          <cell r="A35" t="str">
            <v>MP-02C/NF</v>
          </cell>
          <cell r="B35" t="str">
            <v>03648909</v>
          </cell>
          <cell r="C35" t="str">
            <v>MEDICION DE NIVELES FREATICOS (PAT EIA)</v>
          </cell>
          <cell r="D35" t="str">
            <v>MP-02C</v>
          </cell>
          <cell r="E35" t="str">
            <v>NF</v>
          </cell>
          <cell r="F35" t="str">
            <v>2026-04-01</v>
          </cell>
          <cell r="G35" t="str">
            <v>2026-04-14</v>
          </cell>
          <cell r="H35" t="str">
            <v>SIGVA</v>
          </cell>
          <cell r="I35" t="str">
            <v>ta</v>
          </cell>
        </row>
        <row r="36">
          <cell r="A36" t="str">
            <v>MP-02C/ASUB</v>
          </cell>
          <cell r="B36" t="str">
            <v>03648910</v>
          </cell>
          <cell r="C36" t="str">
            <v>MUESTREO MANUAL DE AGUAS SUBTERRÁNEAS</v>
          </cell>
          <cell r="D36" t="str">
            <v>MP-02C</v>
          </cell>
          <cell r="E36" t="str">
            <v>ASUB</v>
          </cell>
          <cell r="F36" t="str">
            <v>2026-04-01</v>
          </cell>
          <cell r="G36" t="str">
            <v>2026-04-14</v>
          </cell>
          <cell r="H36" t="str">
            <v>SIGVA</v>
          </cell>
          <cell r="I36" t="str">
            <v>ta</v>
          </cell>
        </row>
        <row r="37">
          <cell r="A37" t="str">
            <v>MP-3A/NF</v>
          </cell>
          <cell r="B37" t="str">
            <v>03648911</v>
          </cell>
          <cell r="C37" t="str">
            <v>MEDICION DE NIVELES FREATICOS (PAT EIA)</v>
          </cell>
          <cell r="D37" t="str">
            <v>MP-3A</v>
          </cell>
          <cell r="E37" t="str">
            <v>NF</v>
          </cell>
          <cell r="F37" t="str">
            <v>2026-04-01</v>
          </cell>
          <cell r="G37" t="str">
            <v>2026-04-14</v>
          </cell>
          <cell r="H37" t="str">
            <v>SIGVA</v>
          </cell>
          <cell r="I37" t="str">
            <v>ta</v>
          </cell>
        </row>
        <row r="38">
          <cell r="A38" t="str">
            <v>MP-3A/ASUB</v>
          </cell>
          <cell r="B38" t="str">
            <v>03648912</v>
          </cell>
          <cell r="C38" t="str">
            <v>MUESTREO MANUAL DE AGUAS SUBTERRÁNEAS</v>
          </cell>
          <cell r="D38" t="str">
            <v>MP-3A</v>
          </cell>
          <cell r="E38" t="str">
            <v>ASUB</v>
          </cell>
          <cell r="F38" t="str">
            <v>2026-04-01</v>
          </cell>
          <cell r="G38" t="str">
            <v>2026-04-14</v>
          </cell>
          <cell r="H38" t="str">
            <v>SIGVA</v>
          </cell>
          <cell r="I38" t="str">
            <v>ta</v>
          </cell>
        </row>
        <row r="39">
          <cell r="A39" t="str">
            <v>MP-3C/NF</v>
          </cell>
          <cell r="B39" t="str">
            <v>03648913</v>
          </cell>
          <cell r="C39" t="str">
            <v>MEDICION DE NIVELES FREATICOS (PAT EIA)</v>
          </cell>
          <cell r="D39" t="str">
            <v>MP-3C</v>
          </cell>
          <cell r="E39" t="str">
            <v>NF</v>
          </cell>
          <cell r="F39" t="str">
            <v>2026-04-01</v>
          </cell>
          <cell r="G39" t="str">
            <v>2026-04-14</v>
          </cell>
          <cell r="H39" t="str">
            <v>SIGVA</v>
          </cell>
          <cell r="I39" t="str">
            <v>ta</v>
          </cell>
        </row>
        <row r="40">
          <cell r="A40" t="str">
            <v>MP-3C/ASUB</v>
          </cell>
          <cell r="B40" t="str">
            <v>03648914</v>
          </cell>
          <cell r="C40" t="str">
            <v>MUESTREO MANUAL DE AGUAS SUBTERRÁNEAS</v>
          </cell>
          <cell r="D40" t="str">
            <v>MP-3C</v>
          </cell>
          <cell r="E40" t="str">
            <v>ASUB</v>
          </cell>
          <cell r="F40" t="str">
            <v>2026-04-01</v>
          </cell>
          <cell r="G40" t="str">
            <v>2026-04-14</v>
          </cell>
          <cell r="H40" t="str">
            <v>SIGVA</v>
          </cell>
          <cell r="I40" t="str">
            <v>ta</v>
          </cell>
        </row>
        <row r="41">
          <cell r="A41" t="str">
            <v>MP-3B/NF</v>
          </cell>
          <cell r="B41" t="str">
            <v>03648915</v>
          </cell>
          <cell r="C41" t="str">
            <v>MEDICION DE NIVELES FREATICOS (PAT EIA)</v>
          </cell>
          <cell r="D41" t="str">
            <v>MP-3B</v>
          </cell>
          <cell r="E41" t="str">
            <v>NF</v>
          </cell>
          <cell r="F41" t="str">
            <v>2026-04-01</v>
          </cell>
          <cell r="G41" t="str">
            <v>2026-04-14</v>
          </cell>
          <cell r="H41" t="str">
            <v>SIGVA</v>
          </cell>
          <cell r="I41" t="str">
            <v>ta</v>
          </cell>
        </row>
        <row r="42">
          <cell r="A42" t="str">
            <v>MP-3B/ASUB</v>
          </cell>
          <cell r="B42" t="str">
            <v>03648916</v>
          </cell>
          <cell r="C42" t="str">
            <v>MUESTREO MANUAL DE AGUAS SUBTERRÁNEAS</v>
          </cell>
          <cell r="D42" t="str">
            <v>MP-3B</v>
          </cell>
          <cell r="E42" t="str">
            <v>ASUB</v>
          </cell>
          <cell r="F42" t="str">
            <v>2026-04-01</v>
          </cell>
          <cell r="G42" t="str">
            <v>2026-04-14</v>
          </cell>
          <cell r="H42" t="str">
            <v>SIGVA</v>
          </cell>
          <cell r="I42" t="str">
            <v>ta</v>
          </cell>
        </row>
        <row r="43">
          <cell r="A43" t="str">
            <v>MP-4C/NF</v>
          </cell>
          <cell r="B43" t="str">
            <v>03648917</v>
          </cell>
          <cell r="C43" t="str">
            <v>MEDICION DE NIVELES FREATICOS</v>
          </cell>
          <cell r="D43" t="str">
            <v>MP-4C</v>
          </cell>
          <cell r="E43" t="str">
            <v>NF</v>
          </cell>
          <cell r="F43" t="str">
            <v>2026-04-01</v>
          </cell>
          <cell r="G43" t="str">
            <v>2026-04-14</v>
          </cell>
          <cell r="H43" t="str">
            <v>SIGVA</v>
          </cell>
        </row>
        <row r="44">
          <cell r="A44" t="str">
            <v>MP-4C/ASUB</v>
          </cell>
          <cell r="B44" t="str">
            <v>03648918</v>
          </cell>
          <cell r="C44" t="str">
            <v>MUESTREO MANUAL DE AGUAS SUBTERRÁNEAS</v>
          </cell>
          <cell r="D44" t="str">
            <v>MP-4C</v>
          </cell>
          <cell r="E44" t="str">
            <v>ASUB</v>
          </cell>
          <cell r="F44" t="str">
            <v>2026-04-01</v>
          </cell>
          <cell r="G44" t="str">
            <v>2026-04-14</v>
          </cell>
          <cell r="H44" t="str">
            <v>SIGVA</v>
          </cell>
        </row>
        <row r="45">
          <cell r="A45" t="str">
            <v>MP-4B/NF</v>
          </cell>
          <cell r="B45" t="str">
            <v>03648919</v>
          </cell>
          <cell r="C45" t="str">
            <v>MEDICION DE NIVELES FREATICOS</v>
          </cell>
          <cell r="D45" t="str">
            <v>MP-4B</v>
          </cell>
          <cell r="E45" t="str">
            <v>NF</v>
          </cell>
          <cell r="F45" t="str">
            <v>2026-04-01</v>
          </cell>
          <cell r="G45" t="str">
            <v>2026-04-14</v>
          </cell>
          <cell r="H45" t="str">
            <v>SIGVA</v>
          </cell>
        </row>
        <row r="46">
          <cell r="A46" t="str">
            <v>MP-4B/ASUB</v>
          </cell>
          <cell r="B46" t="str">
            <v>03648920</v>
          </cell>
          <cell r="C46" t="str">
            <v>MUESTREO MANUAL DE AGUAS SUBTERRÁNEAS</v>
          </cell>
          <cell r="D46" t="str">
            <v>MP-4B</v>
          </cell>
          <cell r="E46" t="str">
            <v>ASUB</v>
          </cell>
          <cell r="F46" t="str">
            <v>2026-04-01</v>
          </cell>
          <cell r="G46" t="str">
            <v>2026-04-14</v>
          </cell>
          <cell r="H46" t="str">
            <v>SIGVA</v>
          </cell>
        </row>
        <row r="47">
          <cell r="A47" t="str">
            <v>MP-4A/NF</v>
          </cell>
          <cell r="B47" t="str">
            <v>03648921</v>
          </cell>
          <cell r="C47" t="str">
            <v>MEDICION DE NIVELES FREATICOS</v>
          </cell>
          <cell r="D47" t="str">
            <v>MP-4A</v>
          </cell>
          <cell r="E47" t="str">
            <v>NF</v>
          </cell>
          <cell r="F47" t="str">
            <v>2026-04-01</v>
          </cell>
          <cell r="G47" t="str">
            <v>2026-04-14</v>
          </cell>
          <cell r="H47" t="str">
            <v>SIGVA</v>
          </cell>
        </row>
        <row r="48">
          <cell r="A48" t="str">
            <v>MP-4A/ASUB</v>
          </cell>
          <cell r="B48" t="str">
            <v>03648922</v>
          </cell>
          <cell r="C48" t="str">
            <v>MUESTREO MANUAL DE AGUAS SUBTERRÁNEAS</v>
          </cell>
          <cell r="D48" t="str">
            <v>MP-4A</v>
          </cell>
          <cell r="E48" t="str">
            <v>ASUB</v>
          </cell>
          <cell r="F48" t="str">
            <v>2026-04-01</v>
          </cell>
          <cell r="G48" t="str">
            <v>2026-04-14</v>
          </cell>
          <cell r="H48" t="str">
            <v>SIGVA</v>
          </cell>
        </row>
        <row r="49">
          <cell r="A49" t="str">
            <v>MP-5A/NF</v>
          </cell>
          <cell r="B49" t="str">
            <v>03648923</v>
          </cell>
          <cell r="C49" t="str">
            <v>MEDICION DE NIVELES FREATICOS (PAT EIA)</v>
          </cell>
          <cell r="D49" t="str">
            <v>MP-5A</v>
          </cell>
          <cell r="E49" t="str">
            <v>NF</v>
          </cell>
          <cell r="F49" t="str">
            <v>2026-04-01</v>
          </cell>
          <cell r="G49" t="str">
            <v>2026-04-14</v>
          </cell>
          <cell r="H49" t="str">
            <v>SIGVA</v>
          </cell>
          <cell r="I49" t="str">
            <v>ta</v>
          </cell>
        </row>
        <row r="50">
          <cell r="A50" t="str">
            <v>MP-5A/ASUB</v>
          </cell>
          <cell r="B50" t="str">
            <v>03648924</v>
          </cell>
          <cell r="C50" t="str">
            <v>MUESTREO MANUAL DE AGUAS SUBTERRÁNEAS</v>
          </cell>
          <cell r="D50" t="str">
            <v>MP-5A</v>
          </cell>
          <cell r="E50" t="str">
            <v>ASUB</v>
          </cell>
          <cell r="F50" t="str">
            <v>2026-04-01</v>
          </cell>
          <cell r="G50" t="str">
            <v>2026-04-14</v>
          </cell>
          <cell r="H50" t="str">
            <v>SIGVA</v>
          </cell>
          <cell r="I50" t="str">
            <v>ta</v>
          </cell>
        </row>
        <row r="51">
          <cell r="A51" t="str">
            <v>MP-5B/NF</v>
          </cell>
          <cell r="B51" t="str">
            <v>03648925</v>
          </cell>
          <cell r="C51" t="str">
            <v>MEDICION DE NIVELES FREATICOS (PAT EIA)</v>
          </cell>
          <cell r="D51" t="str">
            <v>MP-5B</v>
          </cell>
          <cell r="E51" t="str">
            <v>NF</v>
          </cell>
          <cell r="F51" t="str">
            <v>2026-04-01</v>
          </cell>
          <cell r="G51" t="str">
            <v>2026-04-14</v>
          </cell>
          <cell r="H51" t="str">
            <v>SIGVA</v>
          </cell>
          <cell r="I51" t="str">
            <v>ta</v>
          </cell>
        </row>
        <row r="52">
          <cell r="A52" t="str">
            <v>MP-5B/ASUB</v>
          </cell>
          <cell r="B52" t="str">
            <v>03648926</v>
          </cell>
          <cell r="C52" t="str">
            <v>MUESTREO MANUAL DE AGUAS SUBTERRÁNEAS</v>
          </cell>
          <cell r="D52" t="str">
            <v>MP-5B</v>
          </cell>
          <cell r="E52" t="str">
            <v>ASUB</v>
          </cell>
          <cell r="F52" t="str">
            <v>2026-04-01</v>
          </cell>
          <cell r="G52" t="str">
            <v>2026-04-14</v>
          </cell>
          <cell r="H52" t="str">
            <v>SIGVA</v>
          </cell>
          <cell r="I52" t="str">
            <v>ta</v>
          </cell>
        </row>
        <row r="53">
          <cell r="A53" t="str">
            <v>MP-5C_B/NF</v>
          </cell>
          <cell r="B53" t="str">
            <v>03648927</v>
          </cell>
          <cell r="C53" t="str">
            <v>MEDICION DE NIVELES FREATICOS</v>
          </cell>
          <cell r="D53" t="str">
            <v>MP-5C_B</v>
          </cell>
          <cell r="E53" t="str">
            <v>NF</v>
          </cell>
          <cell r="F53" t="str">
            <v>2026-04-01</v>
          </cell>
          <cell r="G53" t="str">
            <v>2026-04-14</v>
          </cell>
          <cell r="H53" t="str">
            <v>SIGVA</v>
          </cell>
          <cell r="I53" t="str">
            <v>ta</v>
          </cell>
        </row>
        <row r="54">
          <cell r="A54" t="str">
            <v>MP-5C_B/ASUB</v>
          </cell>
          <cell r="B54" t="str">
            <v>03648928</v>
          </cell>
          <cell r="C54" t="str">
            <v>MUESTREO MANUAL DE AGUAS SUBTERRÁNEAS</v>
          </cell>
          <cell r="D54" t="str">
            <v>MP-5C_B</v>
          </cell>
          <cell r="E54" t="str">
            <v>ASUB</v>
          </cell>
          <cell r="F54" t="str">
            <v>2026-04-01</v>
          </cell>
          <cell r="G54" t="str">
            <v>2026-04-14</v>
          </cell>
          <cell r="H54" t="str">
            <v>SIGVA</v>
          </cell>
          <cell r="I54" t="str">
            <v>ta</v>
          </cell>
        </row>
        <row r="55">
          <cell r="A55" t="str">
            <v>MP-6C/NF</v>
          </cell>
          <cell r="B55" t="str">
            <v>03648929</v>
          </cell>
          <cell r="C55" t="str">
            <v>MEDICION DE NIVELES FREATICOS (PAT EIA)</v>
          </cell>
          <cell r="D55" t="str">
            <v>MP-6C</v>
          </cell>
          <cell r="E55" t="str">
            <v>NF</v>
          </cell>
          <cell r="F55" t="str">
            <v>2026-04-01</v>
          </cell>
          <cell r="G55" t="str">
            <v>2026-04-14</v>
          </cell>
          <cell r="H55" t="str">
            <v>SIGVA</v>
          </cell>
        </row>
        <row r="56">
          <cell r="A56" t="str">
            <v>MP-6C/ASUB</v>
          </cell>
          <cell r="B56" t="str">
            <v>03648930</v>
          </cell>
          <cell r="C56" t="str">
            <v>MUESTREO MANUAL DE AGUAS SUBTERRÁNEAS</v>
          </cell>
          <cell r="D56" t="str">
            <v>MP-6C</v>
          </cell>
          <cell r="E56" t="str">
            <v>ASUB</v>
          </cell>
          <cell r="F56" t="str">
            <v>2026-04-01</v>
          </cell>
          <cell r="G56" t="str">
            <v>2026-04-14</v>
          </cell>
          <cell r="H56" t="str">
            <v>SIGVA</v>
          </cell>
        </row>
        <row r="57">
          <cell r="A57" t="str">
            <v>MP-6A/NF</v>
          </cell>
          <cell r="B57" t="str">
            <v>03648931</v>
          </cell>
          <cell r="C57" t="str">
            <v>MEDICION DE NIVELES FREATICOS (PAT EIA)</v>
          </cell>
          <cell r="D57" t="str">
            <v>MP-6A</v>
          </cell>
          <cell r="E57" t="str">
            <v>NF</v>
          </cell>
          <cell r="F57" t="str">
            <v>2026-04-01</v>
          </cell>
          <cell r="G57" t="str">
            <v>2026-04-14</v>
          </cell>
          <cell r="H57" t="str">
            <v>SIGVA</v>
          </cell>
        </row>
        <row r="58">
          <cell r="A58" t="str">
            <v>MP-6A/ASUB</v>
          </cell>
          <cell r="B58" t="str">
            <v>03648932</v>
          </cell>
          <cell r="C58" t="str">
            <v>MUESTREO MANUAL DE AGUAS SUBTERRÁNEAS</v>
          </cell>
          <cell r="D58" t="str">
            <v>MP-6A</v>
          </cell>
          <cell r="E58" t="str">
            <v>ASUB</v>
          </cell>
          <cell r="F58" t="str">
            <v>2026-04-01</v>
          </cell>
          <cell r="G58" t="str">
            <v>2026-04-14</v>
          </cell>
          <cell r="H58" t="str">
            <v>SIGVA</v>
          </cell>
        </row>
        <row r="59">
          <cell r="A59" t="str">
            <v>MP-6B/NF</v>
          </cell>
          <cell r="B59" t="str">
            <v>03648933</v>
          </cell>
          <cell r="C59" t="str">
            <v>MEDICION DE NIVELES FREATICOS (PAT EIA)</v>
          </cell>
          <cell r="D59" t="str">
            <v>MP-6B</v>
          </cell>
          <cell r="E59" t="str">
            <v>NF</v>
          </cell>
          <cell r="F59" t="str">
            <v>2026-04-01</v>
          </cell>
          <cell r="G59" t="str">
            <v>2026-04-14</v>
          </cell>
          <cell r="H59" t="str">
            <v>SIGVA</v>
          </cell>
        </row>
        <row r="60">
          <cell r="A60" t="str">
            <v>MP-6B/ASUB</v>
          </cell>
          <cell r="B60" t="str">
            <v>03648934</v>
          </cell>
          <cell r="C60" t="str">
            <v>MUESTREO MANUAL DE AGUAS SUBTERRÁNEAS</v>
          </cell>
          <cell r="D60" t="str">
            <v>MP-6B</v>
          </cell>
          <cell r="E60" t="str">
            <v>ASUB</v>
          </cell>
          <cell r="F60" t="str">
            <v>2026-04-01</v>
          </cell>
          <cell r="G60" t="str">
            <v>2026-04-14</v>
          </cell>
          <cell r="H60" t="str">
            <v>SIGVA</v>
          </cell>
        </row>
        <row r="61">
          <cell r="A61" t="str">
            <v>POZO MP-07C/NF</v>
          </cell>
          <cell r="B61" t="str">
            <v>03648935</v>
          </cell>
          <cell r="C61" t="str">
            <v>MEDICION DE NIVELES FREATICOS (PAT EIA)</v>
          </cell>
          <cell r="D61" t="str">
            <v>POZO MP-07C</v>
          </cell>
          <cell r="E61" t="str">
            <v>NF</v>
          </cell>
          <cell r="F61" t="str">
            <v>2026-04-01</v>
          </cell>
          <cell r="G61" t="str">
            <v>2026-04-14</v>
          </cell>
          <cell r="H61" t="str">
            <v>SIGVA</v>
          </cell>
        </row>
        <row r="62">
          <cell r="A62" t="str">
            <v>POZO MP-07C/ASUB</v>
          </cell>
          <cell r="B62" t="str">
            <v>03648936</v>
          </cell>
          <cell r="C62" t="str">
            <v>MUESTREO MANUAL DE AGUAS SUBTERRÁNEAS</v>
          </cell>
          <cell r="D62" t="str">
            <v>POZO MP-07C</v>
          </cell>
          <cell r="E62" t="str">
            <v>ASUB</v>
          </cell>
          <cell r="F62" t="str">
            <v>2026-04-01</v>
          </cell>
          <cell r="G62" t="str">
            <v>2026-04-14</v>
          </cell>
          <cell r="H62" t="str">
            <v>SIGVA</v>
          </cell>
        </row>
        <row r="63">
          <cell r="A63" t="str">
            <v>MP-07A/NF</v>
          </cell>
          <cell r="B63" t="str">
            <v>03648937</v>
          </cell>
          <cell r="C63" t="str">
            <v>MEDICION DE NIVELES FREATICOS (PAT EIA)</v>
          </cell>
          <cell r="D63" t="str">
            <v>MP-07A</v>
          </cell>
          <cell r="E63" t="str">
            <v>NF</v>
          </cell>
          <cell r="F63" t="str">
            <v>2026-04-01</v>
          </cell>
          <cell r="G63" t="str">
            <v>2026-04-14</v>
          </cell>
          <cell r="H63" t="str">
            <v>SIGVA</v>
          </cell>
        </row>
        <row r="64">
          <cell r="A64" t="str">
            <v>MP-07A/ASUB</v>
          </cell>
          <cell r="B64" t="str">
            <v>03648938</v>
          </cell>
          <cell r="C64" t="str">
            <v>MUESTREO MANUAL DE AGUAS SUBTERRÁNEAS</v>
          </cell>
          <cell r="D64" t="str">
            <v>MP-07A</v>
          </cell>
          <cell r="E64" t="str">
            <v>ASUB</v>
          </cell>
          <cell r="F64" t="str">
            <v>2026-04-01</v>
          </cell>
          <cell r="G64" t="str">
            <v>2026-04-14</v>
          </cell>
          <cell r="H64" t="str">
            <v>SIGVA</v>
          </cell>
        </row>
        <row r="65">
          <cell r="A65" t="str">
            <v>POZO MP-07B_C/NF</v>
          </cell>
          <cell r="B65" t="str">
            <v>03648939</v>
          </cell>
          <cell r="C65" t="str">
            <v>MEDICION DE NIVELES FREATICOS (PAT EIA)</v>
          </cell>
          <cell r="D65" t="str">
            <v>POZO MP-07B_C</v>
          </cell>
          <cell r="E65" t="str">
            <v>NF</v>
          </cell>
          <cell r="F65" t="str">
            <v>2026-04-01</v>
          </cell>
          <cell r="G65" t="str">
            <v>2026-04-14</v>
          </cell>
          <cell r="H65" t="str">
            <v>SIGVA</v>
          </cell>
        </row>
        <row r="66">
          <cell r="A66" t="str">
            <v>POZO MP-07B_C/ASUB</v>
          </cell>
          <cell r="B66" t="str">
            <v>03648940</v>
          </cell>
          <cell r="C66" t="str">
            <v>MUESTREO MANUAL DE AGUAS SUBTERRÁNEAS</v>
          </cell>
          <cell r="D66" t="str">
            <v>POZO MP-07B_C</v>
          </cell>
          <cell r="E66" t="str">
            <v>ASUB</v>
          </cell>
          <cell r="F66" t="str">
            <v>2026-04-01</v>
          </cell>
          <cell r="G66" t="str">
            <v>2026-04-14</v>
          </cell>
          <cell r="H66" t="str">
            <v>SIGVA</v>
          </cell>
        </row>
        <row r="67">
          <cell r="A67" t="str">
            <v>MP-8C/NF</v>
          </cell>
          <cell r="B67" t="str">
            <v>03648941</v>
          </cell>
          <cell r="C67" t="str">
            <v>MEDICION DE NIVELES FREATICOS (PAT EIA)</v>
          </cell>
          <cell r="D67" t="str">
            <v>MP-8C</v>
          </cell>
          <cell r="E67" t="str">
            <v>NF</v>
          </cell>
          <cell r="F67" t="str">
            <v>2026-04-01</v>
          </cell>
          <cell r="G67" t="str">
            <v>2026-04-14</v>
          </cell>
          <cell r="H67" t="str">
            <v>SIGVA</v>
          </cell>
        </row>
        <row r="68">
          <cell r="A68" t="str">
            <v>MP-8C/ASUB</v>
          </cell>
          <cell r="B68" t="str">
            <v>03648942</v>
          </cell>
          <cell r="C68" t="str">
            <v>MUESTREO MANUAL DE AGUAS SUBTERRÁNEAS</v>
          </cell>
          <cell r="D68" t="str">
            <v>MP-8C</v>
          </cell>
          <cell r="E68" t="str">
            <v>ASUB</v>
          </cell>
          <cell r="F68" t="str">
            <v>2026-04-01</v>
          </cell>
          <cell r="G68" t="str">
            <v>2026-04-14</v>
          </cell>
          <cell r="H68" t="str">
            <v>SIGVA</v>
          </cell>
        </row>
        <row r="69">
          <cell r="A69" t="str">
            <v>MP-8A/NF</v>
          </cell>
          <cell r="B69" t="str">
            <v>03648943</v>
          </cell>
          <cell r="C69" t="str">
            <v>MEDICION DE NIVELES FREATICOS (PAT EIA)</v>
          </cell>
          <cell r="D69" t="str">
            <v>MP-8A</v>
          </cell>
          <cell r="E69" t="str">
            <v>NF</v>
          </cell>
          <cell r="F69" t="str">
            <v>2026-04-01</v>
          </cell>
          <cell r="G69" t="str">
            <v>2026-04-14</v>
          </cell>
          <cell r="H69" t="str">
            <v>SIGVA</v>
          </cell>
        </row>
        <row r="70">
          <cell r="A70" t="str">
            <v>MP-8A/ASUB</v>
          </cell>
          <cell r="B70" t="str">
            <v>03648944</v>
          </cell>
          <cell r="C70" t="str">
            <v>MUESTREO MANUAL DE AGUAS SUBTERRÁNEAS</v>
          </cell>
          <cell r="D70" t="str">
            <v>MP-8A</v>
          </cell>
          <cell r="E70" t="str">
            <v>ASUB</v>
          </cell>
          <cell r="F70" t="str">
            <v>2026-04-01</v>
          </cell>
          <cell r="G70" t="str">
            <v>2026-04-14</v>
          </cell>
          <cell r="H70" t="str">
            <v>SIGVA</v>
          </cell>
        </row>
        <row r="71">
          <cell r="A71" t="str">
            <v>MP-8B_B/NF</v>
          </cell>
          <cell r="B71" t="str">
            <v>03648945</v>
          </cell>
          <cell r="C71" t="str">
            <v>MEDICION DE NIVELES FREATICOS (PAT EIA)</v>
          </cell>
          <cell r="D71" t="str">
            <v>MP-8B_B</v>
          </cell>
          <cell r="E71" t="str">
            <v>NF</v>
          </cell>
          <cell r="F71" t="str">
            <v>2026-04-01</v>
          </cell>
          <cell r="G71" t="str">
            <v>2026-04-14</v>
          </cell>
          <cell r="H71" t="str">
            <v>SIGVA</v>
          </cell>
        </row>
        <row r="72">
          <cell r="A72" t="str">
            <v>MP-8B_B/ASUB</v>
          </cell>
          <cell r="B72" t="str">
            <v>03648946</v>
          </cell>
          <cell r="C72" t="str">
            <v>MUESTREO MANUAL DE AGUAS SUBTERRÁNEAS</v>
          </cell>
          <cell r="D72" t="str">
            <v>MP-8B_B</v>
          </cell>
          <cell r="E72" t="str">
            <v>ASUB</v>
          </cell>
          <cell r="F72" t="str">
            <v>2026-04-01</v>
          </cell>
          <cell r="G72" t="str">
            <v>2026-04-14</v>
          </cell>
          <cell r="H72" t="str">
            <v>SIGVA</v>
          </cell>
        </row>
        <row r="73">
          <cell r="A73" t="str">
            <v>MP-9A/NF</v>
          </cell>
          <cell r="B73" t="str">
            <v>03648947</v>
          </cell>
          <cell r="C73" t="str">
            <v>MEDICION DE NIVELES FREATICOS</v>
          </cell>
          <cell r="D73" t="str">
            <v>MP-9A</v>
          </cell>
          <cell r="E73" t="str">
            <v>NF</v>
          </cell>
          <cell r="F73" t="str">
            <v>2026-04-01</v>
          </cell>
          <cell r="G73" t="str">
            <v>2026-04-14</v>
          </cell>
          <cell r="H73" t="str">
            <v>SIGVA</v>
          </cell>
          <cell r="I73" t="str">
            <v>ta</v>
          </cell>
        </row>
        <row r="74">
          <cell r="A74" t="str">
            <v>MP-9A/ASUB</v>
          </cell>
          <cell r="B74" t="str">
            <v>03648948</v>
          </cell>
          <cell r="C74" t="str">
            <v>MUESTREO MANUAL DE AGUAS SUBTERRÁNEAS</v>
          </cell>
          <cell r="D74" t="str">
            <v>MP-9A</v>
          </cell>
          <cell r="E74" t="str">
            <v>ASUB</v>
          </cell>
          <cell r="F74" t="str">
            <v>2026-04-01</v>
          </cell>
          <cell r="G74" t="str">
            <v>2026-04-14</v>
          </cell>
          <cell r="H74" t="str">
            <v>SIGVA</v>
          </cell>
          <cell r="I74" t="str">
            <v>ta</v>
          </cell>
        </row>
        <row r="75">
          <cell r="A75" t="str">
            <v>MP-9B/NF</v>
          </cell>
          <cell r="B75" t="str">
            <v>03648949</v>
          </cell>
          <cell r="C75" t="str">
            <v>MEDICION DE NIVELES FREATICOS</v>
          </cell>
          <cell r="D75" t="str">
            <v>MP-9B</v>
          </cell>
          <cell r="E75" t="str">
            <v>NF</v>
          </cell>
          <cell r="F75" t="str">
            <v>2026-04-01</v>
          </cell>
          <cell r="G75" t="str">
            <v>2026-04-14</v>
          </cell>
          <cell r="H75" t="str">
            <v>SIGVA</v>
          </cell>
          <cell r="I75" t="str">
            <v>ta</v>
          </cell>
        </row>
        <row r="76">
          <cell r="A76" t="str">
            <v>MP-9B/ASUB</v>
          </cell>
          <cell r="B76" t="str">
            <v>03648950</v>
          </cell>
          <cell r="C76" t="str">
            <v>MUESTREO MANUAL DE AGUAS SUBTERRÁNEAS</v>
          </cell>
          <cell r="D76" t="str">
            <v>MP-9B</v>
          </cell>
          <cell r="E76" t="str">
            <v>ASUB</v>
          </cell>
          <cell r="F76" t="str">
            <v>2026-04-01</v>
          </cell>
          <cell r="G76" t="str">
            <v>2026-04-14</v>
          </cell>
          <cell r="H76" t="str">
            <v>SIGVA</v>
          </cell>
          <cell r="I76" t="str">
            <v>ta</v>
          </cell>
        </row>
        <row r="77">
          <cell r="A77" t="str">
            <v>MP-9C/NF</v>
          </cell>
          <cell r="B77" t="str">
            <v>03648951</v>
          </cell>
          <cell r="C77" t="str">
            <v>MEDICION DE NIVELES FREATICOS</v>
          </cell>
          <cell r="D77" t="str">
            <v>MP-9C</v>
          </cell>
          <cell r="E77" t="str">
            <v>NF</v>
          </cell>
          <cell r="F77" t="str">
            <v>2026-04-01</v>
          </cell>
          <cell r="G77" t="str">
            <v>2026-04-14</v>
          </cell>
          <cell r="H77" t="str">
            <v>SIGVA</v>
          </cell>
          <cell r="I77" t="str">
            <v>ta</v>
          </cell>
        </row>
        <row r="78">
          <cell r="A78" t="str">
            <v>MP-9C/ASUB</v>
          </cell>
          <cell r="B78" t="str">
            <v>03648952</v>
          </cell>
          <cell r="C78" t="str">
            <v>MUESTREO MANUAL DE AGUAS SUBTERRÁNEAS</v>
          </cell>
          <cell r="D78" t="str">
            <v>MP-9C</v>
          </cell>
          <cell r="E78" t="str">
            <v>ASUB</v>
          </cell>
          <cell r="F78" t="str">
            <v>2026-04-01</v>
          </cell>
          <cell r="G78" t="str">
            <v>2026-04-14</v>
          </cell>
          <cell r="H78" t="str">
            <v>SIGVA</v>
          </cell>
          <cell r="I78" t="str">
            <v>ta</v>
          </cell>
        </row>
        <row r="79">
          <cell r="A79" t="str">
            <v>MP-10B/NF</v>
          </cell>
          <cell r="B79" t="str">
            <v>03648953</v>
          </cell>
          <cell r="C79" t="str">
            <v>MEDICION DE NIVELES FREATICOS (PAT EIA)</v>
          </cell>
          <cell r="D79" t="str">
            <v>MP-10B</v>
          </cell>
          <cell r="E79" t="str">
            <v>NF</v>
          </cell>
          <cell r="F79" t="str">
            <v>2026-04-01</v>
          </cell>
          <cell r="G79" t="str">
            <v>2026-04-14</v>
          </cell>
          <cell r="H79" t="str">
            <v>SIGVA</v>
          </cell>
          <cell r="I79" t="str">
            <v>jueves</v>
          </cell>
        </row>
        <row r="80">
          <cell r="A80" t="str">
            <v>MP-10B/ASUB</v>
          </cell>
          <cell r="B80" t="str">
            <v>03648954</v>
          </cell>
          <cell r="C80" t="str">
            <v>MUESTREO MANUAL DE AGUAS SUBTERRÁNEAS</v>
          </cell>
          <cell r="D80" t="str">
            <v>MP-10B</v>
          </cell>
          <cell r="E80" t="str">
            <v>ASUB</v>
          </cell>
          <cell r="F80" t="str">
            <v>2026-04-01</v>
          </cell>
          <cell r="G80" t="str">
            <v>2026-04-14</v>
          </cell>
          <cell r="H80" t="str">
            <v>SIGVA</v>
          </cell>
          <cell r="I80" t="str">
            <v>jueves</v>
          </cell>
        </row>
        <row r="81">
          <cell r="A81" t="str">
            <v>MP-10A/NF</v>
          </cell>
          <cell r="B81" t="str">
            <v>03648955</v>
          </cell>
          <cell r="C81" t="str">
            <v>MEDICION DE NIVELES FREATICOS (PAT EIA)</v>
          </cell>
          <cell r="D81" t="str">
            <v>MP-10A</v>
          </cell>
          <cell r="E81" t="str">
            <v>NF</v>
          </cell>
          <cell r="F81" t="str">
            <v>2026-04-01</v>
          </cell>
          <cell r="G81" t="str">
            <v>2026-04-14</v>
          </cell>
          <cell r="H81" t="str">
            <v>SIGVA</v>
          </cell>
          <cell r="I81" t="str">
            <v>jueves</v>
          </cell>
        </row>
        <row r="82">
          <cell r="A82" t="str">
            <v>MP-10A/ASUB</v>
          </cell>
          <cell r="B82" t="str">
            <v>03648956</v>
          </cell>
          <cell r="C82" t="str">
            <v>MUESTREO MANUAL DE AGUAS SUBTERRÁNEAS</v>
          </cell>
          <cell r="D82" t="str">
            <v>MP-10A</v>
          </cell>
          <cell r="E82" t="str">
            <v>ASUB</v>
          </cell>
          <cell r="F82" t="str">
            <v>2026-04-01</v>
          </cell>
          <cell r="G82" t="str">
            <v>2026-04-14</v>
          </cell>
          <cell r="H82" t="str">
            <v>SIGVA</v>
          </cell>
          <cell r="I82" t="str">
            <v>jueves</v>
          </cell>
        </row>
        <row r="83">
          <cell r="A83" t="str">
            <v>MP-10C/NF</v>
          </cell>
          <cell r="B83" t="str">
            <v>03648957</v>
          </cell>
          <cell r="C83" t="str">
            <v>MEDICION DE NIVELES FREATICOS (PAT EIA)</v>
          </cell>
          <cell r="D83" t="str">
            <v>MP-10C</v>
          </cell>
          <cell r="E83" t="str">
            <v>NF</v>
          </cell>
          <cell r="F83" t="str">
            <v>2026-04-01</v>
          </cell>
          <cell r="G83" t="str">
            <v>2026-04-14</v>
          </cell>
          <cell r="H83" t="str">
            <v>SIGVA</v>
          </cell>
          <cell r="I83" t="str">
            <v>jueves</v>
          </cell>
        </row>
        <row r="84">
          <cell r="A84" t="str">
            <v>MP-10C/ASUB</v>
          </cell>
          <cell r="B84" t="str">
            <v>03648958</v>
          </cell>
          <cell r="C84" t="str">
            <v>MUESTREO MANUAL DE AGUAS SUBTERRÁNEAS</v>
          </cell>
          <cell r="D84" t="str">
            <v>MP-10C</v>
          </cell>
          <cell r="E84" t="str">
            <v>ASUB</v>
          </cell>
          <cell r="F84" t="str">
            <v>2026-04-01</v>
          </cell>
          <cell r="G84" t="str">
            <v>2026-04-14</v>
          </cell>
          <cell r="H84" t="str">
            <v>SIGVA</v>
          </cell>
          <cell r="I84" t="str">
            <v>jueves</v>
          </cell>
        </row>
        <row r="85">
          <cell r="A85" t="str">
            <v>MP-11A/NF</v>
          </cell>
          <cell r="B85" t="str">
            <v>03648959</v>
          </cell>
          <cell r="C85" t="str">
            <v>MEDICION DE NIVELES FREATICOS (PAT EIA)</v>
          </cell>
          <cell r="D85" t="str">
            <v>MP-11A</v>
          </cell>
          <cell r="E85" t="str">
            <v>NF</v>
          </cell>
          <cell r="F85" t="str">
            <v>2026-04-01</v>
          </cell>
          <cell r="G85" t="str">
            <v>2026-04-14</v>
          </cell>
          <cell r="H85" t="str">
            <v>SIGVA</v>
          </cell>
          <cell r="I85" t="str">
            <v>martes</v>
          </cell>
        </row>
        <row r="86">
          <cell r="A86" t="str">
            <v>MP-11A/ASUB</v>
          </cell>
          <cell r="B86" t="str">
            <v>03648960</v>
          </cell>
          <cell r="C86" t="str">
            <v>MUESTREO MANUAL DE AGUAS SUBTERRÁNEAS</v>
          </cell>
          <cell r="D86" t="str">
            <v>MP-11A</v>
          </cell>
          <cell r="E86" t="str">
            <v>ASUB</v>
          </cell>
          <cell r="F86" t="str">
            <v>2026-04-01</v>
          </cell>
          <cell r="G86" t="str">
            <v>2026-04-14</v>
          </cell>
          <cell r="H86" t="str">
            <v>SIGVA</v>
          </cell>
          <cell r="I86" t="str">
            <v>martes</v>
          </cell>
        </row>
        <row r="87">
          <cell r="A87" t="str">
            <v>MP-11B/NF</v>
          </cell>
          <cell r="B87" t="str">
            <v>03648961</v>
          </cell>
          <cell r="C87" t="str">
            <v>MEDICION DE NIVELES FREATICOS (PAT EIA)</v>
          </cell>
          <cell r="D87" t="str">
            <v>MP-11B</v>
          </cell>
          <cell r="E87" t="str">
            <v>NF</v>
          </cell>
          <cell r="F87" t="str">
            <v>2026-04-01</v>
          </cell>
          <cell r="G87" t="str">
            <v>2026-04-14</v>
          </cell>
          <cell r="H87" t="str">
            <v>SIGVA</v>
          </cell>
          <cell r="I87" t="str">
            <v>martes</v>
          </cell>
        </row>
        <row r="88">
          <cell r="A88" t="str">
            <v>MP-11B/ASUB</v>
          </cell>
          <cell r="B88" t="str">
            <v>03648962</v>
          </cell>
          <cell r="C88" t="str">
            <v>MUESTREO MANUAL DE AGUAS SUBTERRÁNEAS</v>
          </cell>
          <cell r="D88" t="str">
            <v>MP-11B</v>
          </cell>
          <cell r="E88" t="str">
            <v>ASUB</v>
          </cell>
          <cell r="F88" t="str">
            <v>2026-04-01</v>
          </cell>
          <cell r="G88" t="str">
            <v>2026-04-14</v>
          </cell>
          <cell r="H88" t="str">
            <v>SIGVA</v>
          </cell>
          <cell r="I88" t="str">
            <v>martes</v>
          </cell>
        </row>
        <row r="89">
          <cell r="A89" t="str">
            <v>MP-11C/NF</v>
          </cell>
          <cell r="B89" t="str">
            <v>03648963</v>
          </cell>
          <cell r="C89" t="str">
            <v>MEDICION DE NIVELES FREATICOS (PAT EIA)</v>
          </cell>
          <cell r="D89" t="str">
            <v>MP-11C</v>
          </cell>
          <cell r="E89" t="str">
            <v>NF</v>
          </cell>
          <cell r="F89" t="str">
            <v>2026-04-01</v>
          </cell>
          <cell r="G89" t="str">
            <v>2026-04-14</v>
          </cell>
          <cell r="H89" t="str">
            <v>SIGVA</v>
          </cell>
          <cell r="I89" t="str">
            <v>martes</v>
          </cell>
        </row>
        <row r="90">
          <cell r="A90" t="str">
            <v>MP-11C/ASUB</v>
          </cell>
          <cell r="B90" t="str">
            <v>03648964</v>
          </cell>
          <cell r="C90" t="str">
            <v>MUESTREO MANUAL DE AGUAS SUBTERRÁNEAS</v>
          </cell>
          <cell r="D90" t="str">
            <v>MP-11C</v>
          </cell>
          <cell r="E90" t="str">
            <v>ASUB</v>
          </cell>
          <cell r="F90" t="str">
            <v>2026-04-01</v>
          </cell>
          <cell r="G90" t="str">
            <v>2026-04-14</v>
          </cell>
          <cell r="H90" t="str">
            <v>SIGVA</v>
          </cell>
          <cell r="I90" t="str">
            <v>martes</v>
          </cell>
        </row>
        <row r="91">
          <cell r="A91" t="str">
            <v>MP-12A/NF</v>
          </cell>
          <cell r="B91" t="str">
            <v>03648965</v>
          </cell>
          <cell r="C91" t="str">
            <v>MEDICION DE NIVELES FREATICOS (PAT EIA)</v>
          </cell>
          <cell r="D91" t="str">
            <v>MP-12A</v>
          </cell>
          <cell r="E91" t="str">
            <v>NF</v>
          </cell>
          <cell r="F91" t="str">
            <v>2026-04-01</v>
          </cell>
          <cell r="G91" t="str">
            <v>2026-04-14</v>
          </cell>
          <cell r="H91" t="str">
            <v>SIGVA</v>
          </cell>
          <cell r="I91" t="str">
            <v>jueves</v>
          </cell>
        </row>
        <row r="92">
          <cell r="A92" t="str">
            <v>MP-12A/ASUB</v>
          </cell>
          <cell r="B92" t="str">
            <v>03648966</v>
          </cell>
          <cell r="C92" t="str">
            <v>MUESTREO MANUAL DE AGUAS SUBTERRÁNEAS</v>
          </cell>
          <cell r="D92" t="str">
            <v>MP-12A</v>
          </cell>
          <cell r="E92" t="str">
            <v>ASUB</v>
          </cell>
          <cell r="F92" t="str">
            <v>2026-04-01</v>
          </cell>
          <cell r="G92" t="str">
            <v>2026-04-14</v>
          </cell>
          <cell r="H92" t="str">
            <v>SIGVA</v>
          </cell>
          <cell r="I92" t="str">
            <v>jueves</v>
          </cell>
        </row>
        <row r="93">
          <cell r="A93" t="str">
            <v>MP-12B/NF</v>
          </cell>
          <cell r="B93" t="str">
            <v>03648967</v>
          </cell>
          <cell r="C93" t="str">
            <v>MEDICION DE NIVELES FREATICOS (PAT EIA)</v>
          </cell>
          <cell r="D93" t="str">
            <v>MP-12B</v>
          </cell>
          <cell r="E93" t="str">
            <v>NF</v>
          </cell>
          <cell r="F93" t="str">
            <v>2026-04-01</v>
          </cell>
          <cell r="G93" t="str">
            <v>2026-04-14</v>
          </cell>
          <cell r="H93" t="str">
            <v>SIGVA</v>
          </cell>
          <cell r="I93" t="str">
            <v>jueves</v>
          </cell>
        </row>
        <row r="94">
          <cell r="A94" t="str">
            <v>MP-12B/ASUB</v>
          </cell>
          <cell r="B94" t="str">
            <v>03648968</v>
          </cell>
          <cell r="C94" t="str">
            <v>MUESTREO MANUAL DE AGUAS SUBTERRÁNEAS</v>
          </cell>
          <cell r="D94" t="str">
            <v>MP-12B</v>
          </cell>
          <cell r="E94" t="str">
            <v>ASUB</v>
          </cell>
          <cell r="F94" t="str">
            <v>2026-04-01</v>
          </cell>
          <cell r="G94" t="str">
            <v>2026-04-14</v>
          </cell>
          <cell r="H94" t="str">
            <v>SIGVA</v>
          </cell>
          <cell r="I94" t="str">
            <v>jueves</v>
          </cell>
        </row>
        <row r="95">
          <cell r="A95" t="str">
            <v>MP-12C/NF</v>
          </cell>
          <cell r="B95" t="str">
            <v>03648969</v>
          </cell>
          <cell r="C95" t="str">
            <v>MEDICION DE NIVELES FREATICOS (PAT EIA)</v>
          </cell>
          <cell r="D95" t="str">
            <v>MP-12C</v>
          </cell>
          <cell r="E95" t="str">
            <v>NF</v>
          </cell>
          <cell r="F95" t="str">
            <v>2026-04-01</v>
          </cell>
          <cell r="G95" t="str">
            <v>2026-04-14</v>
          </cell>
          <cell r="H95" t="str">
            <v>SIGVA</v>
          </cell>
          <cell r="I95" t="str">
            <v>jueves</v>
          </cell>
        </row>
        <row r="96">
          <cell r="A96" t="str">
            <v>MP-12C/ASUB</v>
          </cell>
          <cell r="B96" t="str">
            <v>03648970</v>
          </cell>
          <cell r="C96" t="str">
            <v>MUESTREO MANUAL DE AGUAS SUBTERRÁNEAS</v>
          </cell>
          <cell r="D96" t="str">
            <v>MP-12C</v>
          </cell>
          <cell r="E96" t="str">
            <v>ASUB</v>
          </cell>
          <cell r="F96" t="str">
            <v>2026-04-01</v>
          </cell>
          <cell r="G96" t="str">
            <v>2026-04-14</v>
          </cell>
          <cell r="H96" t="str">
            <v>SIGVA</v>
          </cell>
          <cell r="I96" t="str">
            <v>jueves</v>
          </cell>
        </row>
        <row r="97">
          <cell r="A97" t="str">
            <v>MP-13A/NF</v>
          </cell>
          <cell r="B97" t="str">
            <v>03648971</v>
          </cell>
          <cell r="C97" t="str">
            <v>MEDICION DE NIVELES FREATICOS (PAT EIA)</v>
          </cell>
          <cell r="D97" t="str">
            <v>MP-13A</v>
          </cell>
          <cell r="E97" t="str">
            <v>NF</v>
          </cell>
          <cell r="F97" t="str">
            <v>2026-04-01</v>
          </cell>
          <cell r="G97" t="str">
            <v>2026-04-14</v>
          </cell>
          <cell r="H97" t="str">
            <v>SIGVA</v>
          </cell>
          <cell r="I97" t="str">
            <v>ta</v>
          </cell>
        </row>
        <row r="98">
          <cell r="A98" t="str">
            <v>MP-13A/ASUB</v>
          </cell>
          <cell r="B98" t="str">
            <v>03648972</v>
          </cell>
          <cell r="C98" t="str">
            <v>MUESTREO MANUAL DE AGUAS SUBTERRÁNEAS</v>
          </cell>
          <cell r="D98" t="str">
            <v>MP-13A</v>
          </cell>
          <cell r="E98" t="str">
            <v>ASUB</v>
          </cell>
          <cell r="F98" t="str">
            <v>2026-04-01</v>
          </cell>
          <cell r="G98" t="str">
            <v>2026-04-14</v>
          </cell>
          <cell r="H98" t="str">
            <v>SIGVA</v>
          </cell>
          <cell r="I98" t="str">
            <v>ta</v>
          </cell>
        </row>
        <row r="99">
          <cell r="A99" t="str">
            <v>MP-13B/NF</v>
          </cell>
          <cell r="B99" t="str">
            <v>03648973</v>
          </cell>
          <cell r="C99" t="str">
            <v>MEDICION DE NIVELES FREATICOS (PAT EIA)</v>
          </cell>
          <cell r="D99" t="str">
            <v>MP-13B</v>
          </cell>
          <cell r="E99" t="str">
            <v>NF</v>
          </cell>
          <cell r="F99" t="str">
            <v>2026-04-01</v>
          </cell>
          <cell r="G99" t="str">
            <v>2026-04-14</v>
          </cell>
          <cell r="H99" t="str">
            <v>SIGVA</v>
          </cell>
          <cell r="I99" t="str">
            <v>ta</v>
          </cell>
        </row>
        <row r="100">
          <cell r="A100" t="str">
            <v>MP-13B/ASUB</v>
          </cell>
          <cell r="B100" t="str">
            <v>03648974</v>
          </cell>
          <cell r="C100" t="str">
            <v>MUESTREO MANUAL DE AGUAS SUBTERRÁNEAS</v>
          </cell>
          <cell r="D100" t="str">
            <v>MP-13B</v>
          </cell>
          <cell r="E100" t="str">
            <v>ASUB</v>
          </cell>
          <cell r="F100" t="str">
            <v>2026-04-01</v>
          </cell>
          <cell r="G100" t="str">
            <v>2026-04-14</v>
          </cell>
          <cell r="H100" t="str">
            <v>SIGVA</v>
          </cell>
          <cell r="I100" t="str">
            <v>ta</v>
          </cell>
        </row>
        <row r="101">
          <cell r="A101" t="str">
            <v>MP-13C/NF</v>
          </cell>
          <cell r="B101" t="str">
            <v>03648975</v>
          </cell>
          <cell r="C101" t="str">
            <v>MEDICION DE NIVELES FREATICOS (PAT EIA)</v>
          </cell>
          <cell r="D101" t="str">
            <v>MP-13C</v>
          </cell>
          <cell r="E101" t="str">
            <v>NF</v>
          </cell>
          <cell r="F101" t="str">
            <v>2026-04-01</v>
          </cell>
          <cell r="G101" t="str">
            <v>2026-04-14</v>
          </cell>
          <cell r="H101" t="str">
            <v>SIGVA</v>
          </cell>
          <cell r="I101" t="str">
            <v>ta</v>
          </cell>
        </row>
        <row r="102">
          <cell r="A102" t="str">
            <v>MP-13C/ASUB</v>
          </cell>
          <cell r="B102" t="str">
            <v>03648976</v>
          </cell>
          <cell r="C102" t="str">
            <v>MUESTREO MANUAL DE AGUAS SUBTERRÁNEAS</v>
          </cell>
          <cell r="D102" t="str">
            <v>MP-13C</v>
          </cell>
          <cell r="E102" t="str">
            <v>ASUB</v>
          </cell>
          <cell r="F102" t="str">
            <v>2026-04-01</v>
          </cell>
          <cell r="G102" t="str">
            <v>2026-04-14</v>
          </cell>
          <cell r="H102" t="str">
            <v>SIGVA</v>
          </cell>
          <cell r="I102" t="str">
            <v>ta</v>
          </cell>
        </row>
        <row r="103">
          <cell r="A103" t="str">
            <v>MP-14A/NF</v>
          </cell>
          <cell r="B103" t="str">
            <v>03648977</v>
          </cell>
          <cell r="C103" t="str">
            <v>MEDICION DE NIVELES FREATICOS (PAT EIA)</v>
          </cell>
          <cell r="D103" t="str">
            <v>MP-14A</v>
          </cell>
          <cell r="E103" t="str">
            <v>NF</v>
          </cell>
          <cell r="F103" t="str">
            <v>2026-04-01</v>
          </cell>
          <cell r="G103" t="str">
            <v>2026-04-14</v>
          </cell>
          <cell r="H103" t="str">
            <v>SIGVA</v>
          </cell>
          <cell r="I103" t="str">
            <v>ta</v>
          </cell>
        </row>
        <row r="104">
          <cell r="A104" t="str">
            <v>MP-14A/ASUB</v>
          </cell>
          <cell r="B104" t="str">
            <v>03648978</v>
          </cell>
          <cell r="C104" t="str">
            <v>MUESTREO MANUAL DE AGUAS SUBTERRÁNEAS</v>
          </cell>
          <cell r="D104" t="str">
            <v>MP-14A</v>
          </cell>
          <cell r="E104" t="str">
            <v>ASUB</v>
          </cell>
          <cell r="F104" t="str">
            <v>2026-04-01</v>
          </cell>
          <cell r="G104" t="str">
            <v>2026-04-14</v>
          </cell>
          <cell r="H104" t="str">
            <v>SIGVA</v>
          </cell>
          <cell r="I104" t="str">
            <v>ta</v>
          </cell>
        </row>
        <row r="105">
          <cell r="A105" t="str">
            <v>MP-14B/NF</v>
          </cell>
          <cell r="B105" t="str">
            <v>03648979</v>
          </cell>
          <cell r="C105" t="str">
            <v>MEDICION DE NIVELES FREATICOS (PAT EIA)</v>
          </cell>
          <cell r="D105" t="str">
            <v>MP-14B</v>
          </cell>
          <cell r="E105" t="str">
            <v>NF</v>
          </cell>
          <cell r="F105" t="str">
            <v>2026-04-01</v>
          </cell>
          <cell r="G105" t="str">
            <v>2026-04-14</v>
          </cell>
          <cell r="H105" t="str">
            <v>SIGVA</v>
          </cell>
          <cell r="I105" t="str">
            <v>ta</v>
          </cell>
        </row>
        <row r="106">
          <cell r="A106" t="str">
            <v>MP-14B/ASUB</v>
          </cell>
          <cell r="B106" t="str">
            <v>03648980</v>
          </cell>
          <cell r="C106" t="str">
            <v>MUESTREO MANUAL DE AGUAS SUBTERRÁNEAS</v>
          </cell>
          <cell r="D106" t="str">
            <v>MP-14B</v>
          </cell>
          <cell r="E106" t="str">
            <v>ASUB</v>
          </cell>
          <cell r="F106" t="str">
            <v>2026-04-01</v>
          </cell>
          <cell r="G106" t="str">
            <v>2026-04-14</v>
          </cell>
          <cell r="H106" t="str">
            <v>SIGVA</v>
          </cell>
          <cell r="I106" t="str">
            <v>ta</v>
          </cell>
        </row>
        <row r="107">
          <cell r="A107" t="str">
            <v>MP-14C_B/NF</v>
          </cell>
          <cell r="B107" t="str">
            <v>03648981</v>
          </cell>
          <cell r="C107" t="str">
            <v>MEDICION DE NIVELES FREATICOS (PAT EIA)</v>
          </cell>
          <cell r="D107" t="str">
            <v>MP-14C_B</v>
          </cell>
          <cell r="E107" t="str">
            <v>NF</v>
          </cell>
          <cell r="F107" t="str">
            <v>2026-04-01</v>
          </cell>
          <cell r="G107" t="str">
            <v>2026-04-14</v>
          </cell>
          <cell r="H107" t="str">
            <v>SIGVA</v>
          </cell>
          <cell r="I107" t="str">
            <v>ta</v>
          </cell>
        </row>
        <row r="108">
          <cell r="A108" t="str">
            <v>MP-14C_B/ASUB</v>
          </cell>
          <cell r="B108" t="str">
            <v>03648982</v>
          </cell>
          <cell r="C108" t="str">
            <v>MUESTREO MANUAL DE AGUAS SUBTERRÁNEAS</v>
          </cell>
          <cell r="D108" t="str">
            <v>MP-14C_B</v>
          </cell>
          <cell r="E108" t="str">
            <v>ASUB</v>
          </cell>
          <cell r="F108" t="str">
            <v>2026-04-01</v>
          </cell>
          <cell r="G108" t="str">
            <v>2026-04-14</v>
          </cell>
          <cell r="H108" t="str">
            <v>SIGVA</v>
          </cell>
          <cell r="I108" t="str">
            <v>ta</v>
          </cell>
        </row>
        <row r="109">
          <cell r="A109" t="str">
            <v>MP-15A/NF</v>
          </cell>
          <cell r="B109" t="str">
            <v>03648983</v>
          </cell>
          <cell r="C109" t="str">
            <v>MEDICION DE NIVELES FREATICOS (PAT EIA)</v>
          </cell>
          <cell r="D109" t="str">
            <v>MP-15A</v>
          </cell>
          <cell r="E109" t="str">
            <v>NF</v>
          </cell>
          <cell r="F109" t="str">
            <v>2026-04-01</v>
          </cell>
          <cell r="G109" t="str">
            <v>2026-04-14</v>
          </cell>
          <cell r="H109" t="str">
            <v>SIGVA</v>
          </cell>
          <cell r="I109" t="str">
            <v>jueves</v>
          </cell>
        </row>
        <row r="110">
          <cell r="A110" t="str">
            <v>MP-15A/ASUB</v>
          </cell>
          <cell r="B110" t="str">
            <v>03648984</v>
          </cell>
          <cell r="C110" t="str">
            <v>MUESTREO MANUAL DE AGUAS SUBTERRÁNEAS</v>
          </cell>
          <cell r="D110" t="str">
            <v>MP-15A</v>
          </cell>
          <cell r="E110" t="str">
            <v>ASUB</v>
          </cell>
          <cell r="F110" t="str">
            <v>2026-04-01</v>
          </cell>
          <cell r="G110" t="str">
            <v>2026-04-14</v>
          </cell>
          <cell r="H110" t="str">
            <v>SIGVA</v>
          </cell>
          <cell r="I110" t="str">
            <v>jueves</v>
          </cell>
        </row>
        <row r="111">
          <cell r="A111" t="str">
            <v>MP-15B/NF</v>
          </cell>
          <cell r="B111" t="str">
            <v>03648985</v>
          </cell>
          <cell r="C111" t="str">
            <v>MEDICION DE NIVELES FREATICOS (PAT EIA)</v>
          </cell>
          <cell r="D111" t="str">
            <v>MP-15B</v>
          </cell>
          <cell r="E111" t="str">
            <v>NF</v>
          </cell>
          <cell r="F111" t="str">
            <v>2026-04-01</v>
          </cell>
          <cell r="G111" t="str">
            <v>2026-04-14</v>
          </cell>
          <cell r="H111" t="str">
            <v>SIGVA</v>
          </cell>
          <cell r="I111" t="str">
            <v>jueves</v>
          </cell>
        </row>
        <row r="112">
          <cell r="A112" t="str">
            <v>MP-15B/ASUB</v>
          </cell>
          <cell r="B112" t="str">
            <v>03648986</v>
          </cell>
          <cell r="C112" t="str">
            <v>MUESTREO MANUAL DE AGUAS SUBTERRÁNEAS</v>
          </cell>
          <cell r="D112" t="str">
            <v>MP-15B</v>
          </cell>
          <cell r="E112" t="str">
            <v>ASUB</v>
          </cell>
          <cell r="F112" t="str">
            <v>2026-04-01</v>
          </cell>
          <cell r="G112" t="str">
            <v>2026-04-14</v>
          </cell>
          <cell r="H112" t="str">
            <v>SIGVA</v>
          </cell>
          <cell r="I112" t="str">
            <v>jueves</v>
          </cell>
        </row>
        <row r="113">
          <cell r="A113" t="str">
            <v>MP-15C/NF</v>
          </cell>
          <cell r="B113" t="str">
            <v>03648987</v>
          </cell>
          <cell r="C113" t="str">
            <v>MEDICION DE NIVELES FREATICOS (PAT EIA)</v>
          </cell>
          <cell r="D113" t="str">
            <v>MP-15C</v>
          </cell>
          <cell r="E113" t="str">
            <v>NF</v>
          </cell>
          <cell r="F113" t="str">
            <v>2026-04-01</v>
          </cell>
          <cell r="G113" t="str">
            <v>2026-04-14</v>
          </cell>
          <cell r="H113" t="str">
            <v>SIGVA</v>
          </cell>
          <cell r="I113" t="str">
            <v>jueves</v>
          </cell>
        </row>
        <row r="114">
          <cell r="A114" t="str">
            <v>MP-15C/ASUB</v>
          </cell>
          <cell r="B114" t="str">
            <v>03648988</v>
          </cell>
          <cell r="C114" t="str">
            <v>MUESTREO MANUAL DE AGUAS SUBTERRÁNEAS</v>
          </cell>
          <cell r="D114" t="str">
            <v>MP-15C</v>
          </cell>
          <cell r="E114" t="str">
            <v>ASUB</v>
          </cell>
          <cell r="F114" t="str">
            <v>2026-04-01</v>
          </cell>
          <cell r="G114" t="str">
            <v>2026-04-14</v>
          </cell>
          <cell r="H114" t="str">
            <v>SIGVA</v>
          </cell>
          <cell r="I114" t="str">
            <v>jueves</v>
          </cell>
        </row>
        <row r="115">
          <cell r="A115" t="str">
            <v>MP-17C/NF</v>
          </cell>
          <cell r="B115" t="str">
            <v>03648989</v>
          </cell>
          <cell r="C115" t="str">
            <v>MEDICION DE NIVELES FREATICOS (PAT EIA)</v>
          </cell>
          <cell r="D115" t="str">
            <v>MP-17C</v>
          </cell>
          <cell r="E115" t="str">
            <v>NF</v>
          </cell>
          <cell r="F115" t="str">
            <v>2026-04-01</v>
          </cell>
          <cell r="G115" t="str">
            <v>2026-04-14</v>
          </cell>
          <cell r="H115" t="str">
            <v>SIGVA</v>
          </cell>
          <cell r="I115" t="str">
            <v>martes</v>
          </cell>
        </row>
        <row r="116">
          <cell r="A116" t="str">
            <v>MP-17C/ASUB</v>
          </cell>
          <cell r="B116" t="str">
            <v>03648990</v>
          </cell>
          <cell r="C116" t="str">
            <v>MUESTREO MANUAL DE AGUAS SUBTERRÁNEAS</v>
          </cell>
          <cell r="D116" t="str">
            <v>MP-17C</v>
          </cell>
          <cell r="E116" t="str">
            <v>ASUB</v>
          </cell>
          <cell r="F116" t="str">
            <v>2026-04-01</v>
          </cell>
          <cell r="G116" t="str">
            <v>2026-04-14</v>
          </cell>
          <cell r="H116" t="str">
            <v>SIGVA</v>
          </cell>
          <cell r="I116" t="str">
            <v>martes</v>
          </cell>
        </row>
        <row r="117">
          <cell r="A117" t="str">
            <v>MP-17B/NF</v>
          </cell>
          <cell r="B117" t="str">
            <v>03648991</v>
          </cell>
          <cell r="C117" t="str">
            <v>MEDICION DE NIVELES FREATICOS (PAT EIA)</v>
          </cell>
          <cell r="D117" t="str">
            <v>MP-17B</v>
          </cell>
          <cell r="E117" t="str">
            <v>NF</v>
          </cell>
          <cell r="F117" t="str">
            <v>2026-04-01</v>
          </cell>
          <cell r="G117" t="str">
            <v>2026-04-14</v>
          </cell>
          <cell r="H117" t="str">
            <v>SIGVA</v>
          </cell>
          <cell r="I117" t="str">
            <v>martes</v>
          </cell>
        </row>
        <row r="118">
          <cell r="A118" t="str">
            <v>MP-17B/ASUB</v>
          </cell>
          <cell r="B118" t="str">
            <v>03648992</v>
          </cell>
          <cell r="C118" t="str">
            <v>MUESTREO MANUAL DE AGUAS SUBTERRÁNEAS</v>
          </cell>
          <cell r="D118" t="str">
            <v>MP-17B</v>
          </cell>
          <cell r="E118" t="str">
            <v>ASUB</v>
          </cell>
          <cell r="F118" t="str">
            <v>2026-04-01</v>
          </cell>
          <cell r="G118" t="str">
            <v>2026-04-14</v>
          </cell>
          <cell r="H118" t="str">
            <v>SIGVA</v>
          </cell>
          <cell r="I118" t="str">
            <v>martes</v>
          </cell>
        </row>
        <row r="119">
          <cell r="A119" t="str">
            <v>MP-17A/NF</v>
          </cell>
          <cell r="B119" t="str">
            <v>03648993</v>
          </cell>
          <cell r="C119" t="str">
            <v>MEDICION DE NIVELES FREATICOS (PAT EIA)</v>
          </cell>
          <cell r="D119" t="str">
            <v>MP-17A</v>
          </cell>
          <cell r="E119" t="str">
            <v>NF</v>
          </cell>
          <cell r="F119" t="str">
            <v>2026-04-01</v>
          </cell>
          <cell r="G119" t="str">
            <v>2026-04-14</v>
          </cell>
          <cell r="H119" t="str">
            <v>SIGVA</v>
          </cell>
          <cell r="I119" t="str">
            <v>martes</v>
          </cell>
        </row>
        <row r="120">
          <cell r="A120" t="str">
            <v>MP-17A/ASUB</v>
          </cell>
          <cell r="B120" t="str">
            <v>03648994</v>
          </cell>
          <cell r="C120" t="str">
            <v>MUESTREO MANUAL DE AGUAS SUBTERRÁNEAS</v>
          </cell>
          <cell r="D120" t="str">
            <v>MP-17A</v>
          </cell>
          <cell r="E120" t="str">
            <v>ASUB</v>
          </cell>
          <cell r="F120" t="str">
            <v>2026-04-01</v>
          </cell>
          <cell r="G120" t="str">
            <v>2026-04-14</v>
          </cell>
          <cell r="H120" t="str">
            <v>SIGVA</v>
          </cell>
          <cell r="I120" t="str">
            <v>martes</v>
          </cell>
        </row>
        <row r="121">
          <cell r="A121" t="str">
            <v>MP-18C/NF</v>
          </cell>
          <cell r="B121" t="str">
            <v>03648995</v>
          </cell>
          <cell r="C121" t="str">
            <v>MEDICION DE NIVELES FREATICOS (PAT EIA)</v>
          </cell>
          <cell r="D121" t="str">
            <v>MP-18C</v>
          </cell>
          <cell r="E121" t="str">
            <v>NF</v>
          </cell>
          <cell r="F121" t="str">
            <v>2026-04-01</v>
          </cell>
          <cell r="G121" t="str">
            <v>2026-04-14</v>
          </cell>
          <cell r="H121" t="str">
            <v>SIGVA</v>
          </cell>
          <cell r="I121" t="str">
            <v>jueves</v>
          </cell>
        </row>
        <row r="122">
          <cell r="A122" t="str">
            <v>MP-18C/ASUB</v>
          </cell>
          <cell r="B122" t="str">
            <v>03648996</v>
          </cell>
          <cell r="C122" t="str">
            <v>MUESTREO MANUAL DE AGUAS SUBTERRÁNEAS</v>
          </cell>
          <cell r="D122" t="str">
            <v>MP-18C</v>
          </cell>
          <cell r="E122" t="str">
            <v>ASUB</v>
          </cell>
          <cell r="F122" t="str">
            <v>2026-04-01</v>
          </cell>
          <cell r="G122" t="str">
            <v>2026-04-14</v>
          </cell>
          <cell r="H122" t="str">
            <v>SIGVA</v>
          </cell>
          <cell r="I122" t="str">
            <v>jueves</v>
          </cell>
        </row>
        <row r="123">
          <cell r="A123" t="str">
            <v>MP-18A/NF</v>
          </cell>
          <cell r="B123" t="str">
            <v>03648997</v>
          </cell>
          <cell r="C123" t="str">
            <v>MEDICION DE NIVELES FREATICOS (PAT EIA)</v>
          </cell>
          <cell r="D123" t="str">
            <v>MP-18A</v>
          </cell>
          <cell r="E123" t="str">
            <v>NF</v>
          </cell>
          <cell r="F123" t="str">
            <v>2026-04-01</v>
          </cell>
          <cell r="G123" t="str">
            <v>2026-04-14</v>
          </cell>
          <cell r="H123" t="str">
            <v>SIGVA</v>
          </cell>
          <cell r="I123" t="str">
            <v>jueves</v>
          </cell>
        </row>
        <row r="124">
          <cell r="A124" t="str">
            <v>MP-18A/ASUB</v>
          </cell>
          <cell r="B124" t="str">
            <v>03648998</v>
          </cell>
          <cell r="C124" t="str">
            <v>MUESTREO MANUAL DE AGUAS SUBTERRÁNEAS</v>
          </cell>
          <cell r="D124" t="str">
            <v>MP-18A</v>
          </cell>
          <cell r="E124" t="str">
            <v>ASUB</v>
          </cell>
          <cell r="F124" t="str">
            <v>2026-04-01</v>
          </cell>
          <cell r="G124" t="str">
            <v>2026-04-14</v>
          </cell>
          <cell r="H124" t="str">
            <v>SIGVA</v>
          </cell>
          <cell r="I124" t="str">
            <v>jueves</v>
          </cell>
        </row>
        <row r="125">
          <cell r="A125" t="str">
            <v>MP-18B/NF</v>
          </cell>
          <cell r="B125" t="str">
            <v>03648999</v>
          </cell>
          <cell r="C125" t="str">
            <v>MEDICION DE NIVELES FREATICOS (PAT EIA)</v>
          </cell>
          <cell r="D125" t="str">
            <v>MP-18B</v>
          </cell>
          <cell r="E125" t="str">
            <v>NF</v>
          </cell>
          <cell r="F125" t="str">
            <v>2026-04-01</v>
          </cell>
          <cell r="G125" t="str">
            <v>2026-04-14</v>
          </cell>
          <cell r="H125" t="str">
            <v>SIGVA</v>
          </cell>
          <cell r="I125" t="str">
            <v>jueves</v>
          </cell>
        </row>
        <row r="126">
          <cell r="A126" t="str">
            <v>MP-18B/ASUB</v>
          </cell>
          <cell r="B126" t="str">
            <v>03649000</v>
          </cell>
          <cell r="C126" t="str">
            <v>MUESTREO MANUAL DE AGUAS SUBTERRÁNEAS</v>
          </cell>
          <cell r="D126" t="str">
            <v>MP-18B</v>
          </cell>
          <cell r="E126" t="str">
            <v>ASUB</v>
          </cell>
          <cell r="F126" t="str">
            <v>2026-04-01</v>
          </cell>
          <cell r="G126" t="str">
            <v>2026-04-14</v>
          </cell>
          <cell r="H126" t="str">
            <v>SIGVA</v>
          </cell>
          <cell r="I126" t="str">
            <v>jueves</v>
          </cell>
        </row>
        <row r="127">
          <cell r="A127" t="str">
            <v>POZO NS/NF</v>
          </cell>
          <cell r="B127" t="str">
            <v>03649001</v>
          </cell>
          <cell r="C127" t="str">
            <v>MEDICION DE NIVELES FREATICOS (PAT EIA)</v>
          </cell>
          <cell r="D127" t="str">
            <v>POZO NS</v>
          </cell>
          <cell r="E127" t="str">
            <v>NF</v>
          </cell>
          <cell r="F127" t="str">
            <v>2026-04-01</v>
          </cell>
          <cell r="G127" t="str">
            <v>2026-04-14</v>
          </cell>
          <cell r="H127" t="str">
            <v>SIGVA</v>
          </cell>
          <cell r="I127" t="str">
            <v>martes</v>
          </cell>
        </row>
        <row r="128">
          <cell r="A128" t="str">
            <v>POZO NS/ASUB</v>
          </cell>
          <cell r="B128" t="str">
            <v>03649002</v>
          </cell>
          <cell r="C128" t="str">
            <v>MUESTREO MANUAL DE AGUAS SUBTERRÁNEAS</v>
          </cell>
          <cell r="D128" t="str">
            <v>POZO NS</v>
          </cell>
          <cell r="E128" t="str">
            <v>ASUB</v>
          </cell>
          <cell r="F128" t="str">
            <v>2026-04-01</v>
          </cell>
          <cell r="G128" t="str">
            <v>2026-04-14</v>
          </cell>
          <cell r="H128" t="str">
            <v>SIGVA</v>
          </cell>
          <cell r="I128" t="str">
            <v>martes</v>
          </cell>
        </row>
        <row r="129">
          <cell r="A129" t="str">
            <v>RF-4 SAN NICOLAS/NF</v>
          </cell>
          <cell r="B129" t="str">
            <v>03649003</v>
          </cell>
          <cell r="C129" t="str">
            <v>MEDICION DE NIVELES FREATICOS (PAT EIA)</v>
          </cell>
          <cell r="D129" t="str">
            <v>RF-4 SAN NICOLAS</v>
          </cell>
          <cell r="E129" t="str">
            <v>NF</v>
          </cell>
          <cell r="F129" t="str">
            <v>2026-04-01</v>
          </cell>
          <cell r="G129" t="str">
            <v>2026-04-16</v>
          </cell>
          <cell r="H129" t="str">
            <v>SIGVA</v>
          </cell>
        </row>
        <row r="130">
          <cell r="A130" t="str">
            <v>RF-4 SAN NICOLAS/ASUB</v>
          </cell>
          <cell r="B130" t="str">
            <v>03649004</v>
          </cell>
          <cell r="C130" t="str">
            <v>MUESTREO MANUAL DE AGUAS SUBTERRÁNEAS</v>
          </cell>
          <cell r="D130" t="str">
            <v>RF-4 SAN NICOLAS</v>
          </cell>
          <cell r="E130" t="str">
            <v>ASUB</v>
          </cell>
          <cell r="F130" t="str">
            <v>2026-04-01</v>
          </cell>
          <cell r="G130" t="str">
            <v>2026-04-16</v>
          </cell>
          <cell r="H130" t="str">
            <v>SIGVA</v>
          </cell>
        </row>
        <row r="131">
          <cell r="A131" t="str">
            <v>P-4B MICHINCHA/ASUB</v>
          </cell>
          <cell r="B131" t="str">
            <v>03649005</v>
          </cell>
          <cell r="C131" t="str">
            <v>MUESTREO MANUAL DE AGUAS SUBTERRÁNEAS</v>
          </cell>
          <cell r="D131" t="str">
            <v>P-4B MICHINCHA</v>
          </cell>
          <cell r="E131" t="str">
            <v>ASUB</v>
          </cell>
          <cell r="F131" t="str">
            <v>2026-04-01</v>
          </cell>
          <cell r="G131" t="str">
            <v>2026-04-07</v>
          </cell>
          <cell r="H131" t="str">
            <v>SIGVA</v>
          </cell>
          <cell r="I131" t="str">
            <v>ta</v>
          </cell>
        </row>
        <row r="132">
          <cell r="A132" t="str">
            <v>P-4B MICHINCHA/NF</v>
          </cell>
          <cell r="B132" t="str">
            <v>03649006</v>
          </cell>
          <cell r="C132" t="str">
            <v>MEDICION DE NIVELES FREATICOS (PAT EIA)</v>
          </cell>
          <cell r="D132" t="str">
            <v>P-4B MICHINCHA</v>
          </cell>
          <cell r="E132" t="str">
            <v>NF</v>
          </cell>
          <cell r="F132" t="str">
            <v>2026-04-01</v>
          </cell>
          <cell r="G132" t="str">
            <v>2026-04-07</v>
          </cell>
          <cell r="H132" t="str">
            <v>SIGVA</v>
          </cell>
          <cell r="I132" t="str">
            <v>ta</v>
          </cell>
        </row>
        <row r="133">
          <cell r="A133" t="str">
            <v>RPW-3 LIXIVIACIÓN/ASUB</v>
          </cell>
          <cell r="B133" t="str">
            <v>03649007</v>
          </cell>
          <cell r="C133" t="str">
            <v>MUESTREO MANUAL DE AGUAS SUBTERRÁNEAS</v>
          </cell>
          <cell r="D133" t="str">
            <v>RPW-3 LIXIVIACIÓN</v>
          </cell>
          <cell r="E133" t="str">
            <v>ASUB</v>
          </cell>
          <cell r="F133" t="str">
            <v>2026-04-01</v>
          </cell>
          <cell r="G133" t="str">
            <v>2026-04-07</v>
          </cell>
          <cell r="H133" t="str">
            <v>SIGVA</v>
          </cell>
          <cell r="I133" t="str">
            <v>ta</v>
          </cell>
        </row>
        <row r="134">
          <cell r="A134" t="str">
            <v>RPW-3 LIXIVIACIÓN/NF</v>
          </cell>
          <cell r="B134" t="str">
            <v>03649008</v>
          </cell>
          <cell r="C134" t="str">
            <v>MEDICION DE NIVELES FREATICOS (PAT EIA)</v>
          </cell>
          <cell r="D134" t="str">
            <v>RPW-3 LIXIVIACIÓN</v>
          </cell>
          <cell r="E134" t="str">
            <v>NF</v>
          </cell>
          <cell r="F134" t="str">
            <v>2026-04-01</v>
          </cell>
          <cell r="G134" t="str">
            <v>2026-04-07</v>
          </cell>
          <cell r="H134" t="str">
            <v>SIGVA</v>
          </cell>
          <cell r="I134" t="str">
            <v>ta</v>
          </cell>
        </row>
        <row r="135">
          <cell r="A135" t="str">
            <v>RPW-4 LIXIVIACIÓN/ASUB</v>
          </cell>
          <cell r="B135" t="str">
            <v>03649009</v>
          </cell>
          <cell r="C135" t="str">
            <v>MUESTREO MANUAL DE AGUAS SUBTERRÁNEAS</v>
          </cell>
          <cell r="D135" t="str">
            <v>RPW-4 LIXIVIACIÓN</v>
          </cell>
          <cell r="E135" t="str">
            <v>ASUB</v>
          </cell>
          <cell r="F135" t="str">
            <v>2026-04-01</v>
          </cell>
          <cell r="G135" t="str">
            <v>2026-04-07</v>
          </cell>
          <cell r="H135" t="str">
            <v>SIGVA</v>
          </cell>
          <cell r="I135" t="str">
            <v>ta</v>
          </cell>
        </row>
        <row r="136">
          <cell r="A136" t="str">
            <v>RPW-4 LIXIVIACIÓN/NF</v>
          </cell>
          <cell r="B136" t="str">
            <v>03649010</v>
          </cell>
          <cell r="C136" t="str">
            <v>MEDICION DE NIVELES FREATICOS (PAT EIA)</v>
          </cell>
          <cell r="D136" t="str">
            <v>RPW-4 LIXIVIACIÓN</v>
          </cell>
          <cell r="E136" t="str">
            <v>NF</v>
          </cell>
          <cell r="F136" t="str">
            <v>2026-04-01</v>
          </cell>
          <cell r="G136" t="str">
            <v>2026-04-07</v>
          </cell>
          <cell r="H136" t="str">
            <v>SIGVA</v>
          </cell>
          <cell r="I136" t="str">
            <v>ta</v>
          </cell>
        </row>
        <row r="137">
          <cell r="A137" t="str">
            <v>RPW-1 LIXIVIACIÓN/ASUB</v>
          </cell>
          <cell r="B137" t="str">
            <v>03649011</v>
          </cell>
          <cell r="C137" t="str">
            <v>MUESTREO MANUAL DE AGUAS SUBTERRÁNEAS</v>
          </cell>
          <cell r="D137" t="str">
            <v>RPW-1 LIXIVIACIÓN</v>
          </cell>
          <cell r="E137" t="str">
            <v>ASUB</v>
          </cell>
          <cell r="F137" t="str">
            <v>2026-04-01</v>
          </cell>
          <cell r="G137" t="str">
            <v>2026-04-07</v>
          </cell>
          <cell r="H137" t="str">
            <v>SIGVA</v>
          </cell>
          <cell r="I137" t="str">
            <v>ta</v>
          </cell>
        </row>
        <row r="138">
          <cell r="A138" t="str">
            <v>RPW-1 LIXIVIACIÓN/NF</v>
          </cell>
          <cell r="B138" t="str">
            <v>03649012</v>
          </cell>
          <cell r="C138" t="str">
            <v>MEDICION DE NIVELES FREATICOS (PAT EIA)</v>
          </cell>
          <cell r="D138" t="str">
            <v>RPW-1 LIXIVIACIÓN</v>
          </cell>
          <cell r="E138" t="str">
            <v>NF</v>
          </cell>
          <cell r="F138" t="str">
            <v>2026-04-01</v>
          </cell>
          <cell r="G138" t="str">
            <v>2026-04-07</v>
          </cell>
          <cell r="H138" t="str">
            <v>SIGVA</v>
          </cell>
          <cell r="I138" t="str">
            <v>ta</v>
          </cell>
        </row>
        <row r="139">
          <cell r="A139" t="str">
            <v>P-6 MICHINCHA/ASUB</v>
          </cell>
          <cell r="B139" t="str">
            <v>03649013</v>
          </cell>
          <cell r="C139" t="str">
            <v>MUESTREO MANUAL DE AGUAS SUBTERRÁNEAS</v>
          </cell>
          <cell r="D139" t="str">
            <v>P-6 MICHINCHA</v>
          </cell>
          <cell r="E139" t="str">
            <v>ASUB</v>
          </cell>
          <cell r="F139" t="str">
            <v>2026-04-01</v>
          </cell>
          <cell r="G139" t="str">
            <v>2026-04-07</v>
          </cell>
          <cell r="H139" t="str">
            <v>SIGVA</v>
          </cell>
          <cell r="I139" t="str">
            <v>ta</v>
          </cell>
        </row>
        <row r="140">
          <cell r="A140" t="str">
            <v>P-6 MICHINCHA/NF</v>
          </cell>
          <cell r="B140" t="str">
            <v>03649014</v>
          </cell>
          <cell r="C140" t="str">
            <v>MEDICION DE NIVELES FREATICOS</v>
          </cell>
          <cell r="D140" t="str">
            <v>P-6 MICHINCHA</v>
          </cell>
          <cell r="E140" t="str">
            <v>NF</v>
          </cell>
          <cell r="F140" t="str">
            <v>2026-04-01</v>
          </cell>
          <cell r="G140" t="str">
            <v>2026-04-07</v>
          </cell>
          <cell r="H140" t="str">
            <v>SIGVA</v>
          </cell>
          <cell r="I140" t="str">
            <v>ta</v>
          </cell>
        </row>
        <row r="141">
          <cell r="A141" t="str">
            <v>RPW-2  TRANQUE/NF</v>
          </cell>
          <cell r="B141" t="str">
            <v>03649015</v>
          </cell>
          <cell r="C141" t="str">
            <v>MEDICION DE NIVELES FREATICOS</v>
          </cell>
          <cell r="D141" t="str">
            <v>RPW-2  TRANQUE</v>
          </cell>
          <cell r="E141" t="str">
            <v>NF</v>
          </cell>
          <cell r="F141" t="str">
            <v>2026-04-01</v>
          </cell>
          <cell r="G141" t="str">
            <v>2026-04-07</v>
          </cell>
          <cell r="H141" t="str">
            <v>SIGVA</v>
          </cell>
          <cell r="I141" t="str">
            <v>ta</v>
          </cell>
        </row>
        <row r="142">
          <cell r="A142" t="str">
            <v>RPW-2  TRANQUE/ASUB</v>
          </cell>
          <cell r="B142" t="str">
            <v>03649016</v>
          </cell>
          <cell r="C142" t="str">
            <v>MUESTREO MANUAL DE AGUAS SUBTERRÁNEAS</v>
          </cell>
          <cell r="D142" t="str">
            <v>RPW-2  TRANQUE</v>
          </cell>
          <cell r="E142" t="str">
            <v>ASUB</v>
          </cell>
          <cell r="F142" t="str">
            <v>2026-04-01</v>
          </cell>
          <cell r="G142" t="str">
            <v>2026-04-07</v>
          </cell>
          <cell r="H142" t="str">
            <v>SIGVA</v>
          </cell>
          <cell r="I142" t="str">
            <v>ta</v>
          </cell>
        </row>
        <row r="143">
          <cell r="A143" t="str">
            <v>CSW-02 JACHUCOPOSA/ASUP</v>
          </cell>
          <cell r="B143" t="str">
            <v>03649017</v>
          </cell>
          <cell r="C143" t="str">
            <v>MUESTREO MANUAL DE AGUAS SUPERFICIALES</v>
          </cell>
          <cell r="D143" t="str">
            <v>CSW-02 JACHUCOPOSA</v>
          </cell>
          <cell r="E143" t="str">
            <v>ASUP</v>
          </cell>
          <cell r="F143" t="str">
            <v>2026-04-01</v>
          </cell>
          <cell r="G143" t="str">
            <v>2026-04-07</v>
          </cell>
          <cell r="H143" t="str">
            <v>SIGVA</v>
          </cell>
          <cell r="I143" t="str">
            <v>ta</v>
          </cell>
        </row>
        <row r="144">
          <cell r="A144" t="str">
            <v>CSW-05  CHUSQUINA/CAUDAL</v>
          </cell>
          <cell r="B144" t="str">
            <v>03649018</v>
          </cell>
          <cell r="C144" t="str">
            <v>MEDICIÓN DE CAUDALES</v>
          </cell>
          <cell r="D144" t="str">
            <v>CSW-05  CHUSQUINA</v>
          </cell>
          <cell r="E144" t="str">
            <v>CAUDAL</v>
          </cell>
          <cell r="F144" t="str">
            <v>2026-04-01</v>
          </cell>
          <cell r="G144" t="str">
            <v>2026-04-14</v>
          </cell>
          <cell r="H144" t="str">
            <v>SIGVA</v>
          </cell>
          <cell r="I144" t="str">
            <v>ta</v>
          </cell>
        </row>
        <row r="145">
          <cell r="A145" t="str">
            <v>CSW-05  CHUSQUINA/ASUP</v>
          </cell>
          <cell r="B145" t="str">
            <v>03649019</v>
          </cell>
          <cell r="C145" t="str">
            <v>MUESTREO MANUAL DE AGUAS SUPERFICIALES</v>
          </cell>
          <cell r="D145" t="str">
            <v>CSW-05  CHUSQUINA</v>
          </cell>
          <cell r="E145" t="str">
            <v>ASUP</v>
          </cell>
          <cell r="F145" t="str">
            <v>2026-04-01</v>
          </cell>
          <cell r="G145" t="str">
            <v>2026-04-14</v>
          </cell>
          <cell r="H145" t="str">
            <v>SIGVA</v>
          </cell>
          <cell r="I145" t="str">
            <v>ta</v>
          </cell>
        </row>
        <row r="146">
          <cell r="A146" t="str">
            <v>CMA-27 JACHUCOPOSA/NF</v>
          </cell>
          <cell r="B146" t="str">
            <v>03649020</v>
          </cell>
          <cell r="C146" t="str">
            <v>MEDICION DE NIVELES FREATICOS (PAT EIA)</v>
          </cell>
          <cell r="D146" t="str">
            <v>CMA-27 JACHUCOPOSA</v>
          </cell>
          <cell r="E146" t="str">
            <v>NF</v>
          </cell>
          <cell r="F146" t="str">
            <v>2026-04-01</v>
          </cell>
          <cell r="G146" t="str">
            <v>2026-04-14</v>
          </cell>
          <cell r="H146" t="str">
            <v>SIGVA</v>
          </cell>
          <cell r="I146" t="str">
            <v>jueves pmap</v>
          </cell>
        </row>
        <row r="147">
          <cell r="A147" t="str">
            <v>CMW-08 COPOSA CENTRO/NF</v>
          </cell>
          <cell r="B147" t="str">
            <v>03649021</v>
          </cell>
          <cell r="C147" t="str">
            <v>MEDICION NIVELES FREATICOS (PAT EIA y Pd</v>
          </cell>
          <cell r="D147" t="str">
            <v>CMW-08 COPOSA CENTRO</v>
          </cell>
          <cell r="E147" t="str">
            <v>NF</v>
          </cell>
          <cell r="F147" t="str">
            <v>2026-04-01</v>
          </cell>
          <cell r="G147" t="str">
            <v>2026-04-14</v>
          </cell>
          <cell r="H147" t="str">
            <v>SIGVA</v>
          </cell>
        </row>
        <row r="148">
          <cell r="A148" t="str">
            <v>CMW-15 COPOSA CENTRO/NF</v>
          </cell>
          <cell r="B148" t="str">
            <v>03649022</v>
          </cell>
          <cell r="C148" t="str">
            <v>MEDICION DE NIVELES FREATICOS (PAT EIA y</v>
          </cell>
          <cell r="D148" t="str">
            <v>CMW-15 COPOSA CENTRO</v>
          </cell>
          <cell r="E148" t="str">
            <v>NF</v>
          </cell>
          <cell r="F148" t="str">
            <v>2026-04-01</v>
          </cell>
          <cell r="G148" t="str">
            <v>2026-04-14</v>
          </cell>
          <cell r="H148" t="str">
            <v>SIGVA</v>
          </cell>
        </row>
        <row r="149">
          <cell r="A149" t="str">
            <v>CMW-23 COPOSA CENTRO/NF</v>
          </cell>
          <cell r="B149" t="str">
            <v>03649023</v>
          </cell>
          <cell r="C149" t="str">
            <v>MEDICION DE NIVELES FREATICOS (PAT EIA y</v>
          </cell>
          <cell r="D149" t="str">
            <v>CMW-23 COPOSA CENTRO</v>
          </cell>
          <cell r="E149" t="str">
            <v>NF</v>
          </cell>
          <cell r="F149" t="str">
            <v>2026-04-01</v>
          </cell>
          <cell r="G149" t="str">
            <v>2026-04-14</v>
          </cell>
          <cell r="H149" t="str">
            <v>SIGVA</v>
          </cell>
        </row>
        <row r="150">
          <cell r="A150" t="str">
            <v>CPMA-01 JACHUCOPOSA/NF</v>
          </cell>
          <cell r="B150" t="str">
            <v>03649024</v>
          </cell>
          <cell r="C150" t="str">
            <v>MEDICION DE NIVELES FREATICOS</v>
          </cell>
          <cell r="D150" t="str">
            <v>CPMA-01 JACHUCOPOSA</v>
          </cell>
          <cell r="E150" t="str">
            <v>NF</v>
          </cell>
          <cell r="F150" t="str">
            <v>2026-04-01</v>
          </cell>
          <cell r="G150" t="str">
            <v>2026-04-07</v>
          </cell>
          <cell r="H150" t="str">
            <v>SIGVA</v>
          </cell>
          <cell r="I150" t="str">
            <v>ta</v>
          </cell>
        </row>
        <row r="151">
          <cell r="A151" t="str">
            <v>CPZ-10  FALLA PABELLON/NF</v>
          </cell>
          <cell r="B151" t="str">
            <v>03649025</v>
          </cell>
          <cell r="C151" t="str">
            <v>MEDICION DE NIVELES FREATICOS (PAT EIA)</v>
          </cell>
          <cell r="D151" t="str">
            <v>CPZ-10  FALLA PABELLON</v>
          </cell>
          <cell r="E151" t="str">
            <v>NF</v>
          </cell>
          <cell r="F151" t="str">
            <v>2026-04-01</v>
          </cell>
          <cell r="G151" t="str">
            <v>2026-04-14</v>
          </cell>
          <cell r="H151" t="str">
            <v>SIGVA</v>
          </cell>
        </row>
        <row r="152">
          <cell r="A152" t="str">
            <v>CPZ-05A JACHUCOPOSA/NF</v>
          </cell>
          <cell r="B152" t="str">
            <v>03649026</v>
          </cell>
          <cell r="C152" t="str">
            <v>MEDICION DE NIVELES FREATICOS (PAT EIA)</v>
          </cell>
          <cell r="D152" t="str">
            <v>CPZ-05A JACHUCOPOSA</v>
          </cell>
          <cell r="E152" t="str">
            <v>NF</v>
          </cell>
          <cell r="F152" t="str">
            <v>2026-04-01</v>
          </cell>
          <cell r="G152" t="str">
            <v>2026-04-14</v>
          </cell>
          <cell r="H152" t="str">
            <v>SIGVA</v>
          </cell>
        </row>
        <row r="153">
          <cell r="A153" t="str">
            <v>CPZ-05B JACHUCOPOSA/NF</v>
          </cell>
          <cell r="B153" t="str">
            <v>03649027</v>
          </cell>
          <cell r="C153" t="str">
            <v>MEDICION DE NIVELES FREATICOS (PAT EIA)</v>
          </cell>
          <cell r="D153" t="str">
            <v>CPZ-05B JACHUCOPOSA</v>
          </cell>
          <cell r="E153" t="str">
            <v>NF</v>
          </cell>
          <cell r="F153" t="str">
            <v>2026-04-01</v>
          </cell>
          <cell r="G153" t="str">
            <v>2026-04-14</v>
          </cell>
          <cell r="H153" t="str">
            <v>SIGVA</v>
          </cell>
        </row>
        <row r="154">
          <cell r="A154" t="str">
            <v>CPZ-06A JACHUCOPOSA/NF</v>
          </cell>
          <cell r="B154" t="str">
            <v>03649028</v>
          </cell>
          <cell r="C154" t="str">
            <v>MEDICION DE NIVELES FREATICOS (PAT EIA)</v>
          </cell>
          <cell r="D154" t="str">
            <v>CPZ-06A JACHUCOPOSA</v>
          </cell>
          <cell r="E154" t="str">
            <v>NF</v>
          </cell>
          <cell r="F154" t="str">
            <v>2026-04-01</v>
          </cell>
          <cell r="G154" t="str">
            <v>2026-04-14</v>
          </cell>
          <cell r="H154" t="str">
            <v>SIGVA</v>
          </cell>
        </row>
        <row r="155">
          <cell r="A155" t="str">
            <v>CPZ-06B JACHUCOPOSA/NF</v>
          </cell>
          <cell r="B155" t="str">
            <v>03649029</v>
          </cell>
          <cell r="C155" t="str">
            <v>MEDICION DE NIVELES FREATICOS (PAT EIA)</v>
          </cell>
          <cell r="D155" t="str">
            <v>CPZ-06B JACHUCOPOSA</v>
          </cell>
          <cell r="E155" t="str">
            <v>NF</v>
          </cell>
          <cell r="F155" t="str">
            <v>2026-04-01</v>
          </cell>
          <cell r="G155" t="str">
            <v>2026-04-14</v>
          </cell>
          <cell r="H155" t="str">
            <v>SIGVA</v>
          </cell>
        </row>
        <row r="156">
          <cell r="A156" t="str">
            <v>CPZ-04B JACHUCOPOSA/NF</v>
          </cell>
          <cell r="B156" t="str">
            <v>03649030</v>
          </cell>
          <cell r="C156" t="str">
            <v>MEDICION DE NIVELES FREATICOS (PAT EIA)</v>
          </cell>
          <cell r="D156" t="str">
            <v>CPZ-04B JACHUCOPOSA</v>
          </cell>
          <cell r="E156" t="str">
            <v>NF</v>
          </cell>
          <cell r="F156" t="str">
            <v>2026-04-01</v>
          </cell>
          <cell r="G156" t="str">
            <v>2026-04-14</v>
          </cell>
          <cell r="H156" t="str">
            <v>SIGVA</v>
          </cell>
          <cell r="I156" t="str">
            <v>jueves pmap</v>
          </cell>
        </row>
        <row r="157">
          <cell r="A157" t="str">
            <v>CPZ-04A JACHUCOPOSA/NF</v>
          </cell>
          <cell r="B157" t="str">
            <v>03649031</v>
          </cell>
          <cell r="C157" t="str">
            <v>MEDICION DE NIVELES FREATICOS (PAT EIA)</v>
          </cell>
          <cell r="D157" t="str">
            <v>CPZ-04A JACHUCOPOSA</v>
          </cell>
          <cell r="E157" t="str">
            <v>NF</v>
          </cell>
          <cell r="F157" t="str">
            <v>2026-04-01</v>
          </cell>
          <cell r="G157" t="str">
            <v>2026-04-14</v>
          </cell>
          <cell r="H157" t="str">
            <v>SIGVA</v>
          </cell>
          <cell r="I157" t="str">
            <v>jueves pmap</v>
          </cell>
        </row>
        <row r="158">
          <cell r="A158" t="str">
            <v>CWE-20 COPOSA SUR/NF</v>
          </cell>
          <cell r="B158" t="str">
            <v>03649032</v>
          </cell>
          <cell r="C158" t="str">
            <v>MEDICION DE NIVELES FREATICOS (PAT  EIA)</v>
          </cell>
          <cell r="D158" t="str">
            <v>CWE-20 COPOSA SUR</v>
          </cell>
          <cell r="E158" t="str">
            <v>NF</v>
          </cell>
          <cell r="F158" t="str">
            <v>2026-04-01</v>
          </cell>
          <cell r="G158" t="str">
            <v>2026-04-14</v>
          </cell>
          <cell r="H158" t="str">
            <v>SIGVA</v>
          </cell>
          <cell r="I158" t="str">
            <v>viernes pmap</v>
          </cell>
        </row>
        <row r="159">
          <cell r="A159" t="str">
            <v>CWE-38 COPOSA NORTE/NF</v>
          </cell>
          <cell r="B159" t="str">
            <v>03649033</v>
          </cell>
          <cell r="C159" t="str">
            <v>MEDICION DE NIVELES FREATICOS (PAT EIA y</v>
          </cell>
          <cell r="D159" t="str">
            <v>CWE-38 COPOSA NORTE</v>
          </cell>
          <cell r="E159" t="str">
            <v>NF</v>
          </cell>
          <cell r="F159" t="str">
            <v>2026-04-01</v>
          </cell>
          <cell r="G159" t="str">
            <v>2026-04-14</v>
          </cell>
          <cell r="H159" t="str">
            <v>SIGVA</v>
          </cell>
          <cell r="I159" t="str">
            <v>viernes pmap</v>
          </cell>
        </row>
        <row r="160">
          <cell r="A160" t="str">
            <v>CWE-05 FALLA PABELLON/NF</v>
          </cell>
          <cell r="B160" t="str">
            <v>03649034</v>
          </cell>
          <cell r="C160" t="str">
            <v>MEDICION DE NIVELES FREATICOS (PAT EIA)</v>
          </cell>
          <cell r="D160" t="str">
            <v>CWE-05 FALLA PABELLON</v>
          </cell>
          <cell r="E160" t="str">
            <v>NF</v>
          </cell>
          <cell r="F160" t="str">
            <v>2026-04-01</v>
          </cell>
          <cell r="G160" t="str">
            <v>2026-04-14</v>
          </cell>
          <cell r="H160" t="str">
            <v>SIGVA</v>
          </cell>
        </row>
        <row r="161">
          <cell r="A161" t="str">
            <v>CWE-19  JACHUCOPOSA/NF</v>
          </cell>
          <cell r="B161" t="str">
            <v>03649035</v>
          </cell>
          <cell r="C161" t="str">
            <v>MEDICION DE NIVELES FREATICOS (PAT EIA y</v>
          </cell>
          <cell r="D161" t="str">
            <v>CWE-19  JACHUCOPOSA</v>
          </cell>
          <cell r="E161" t="str">
            <v>NF</v>
          </cell>
          <cell r="F161" t="str">
            <v>2026-04-01</v>
          </cell>
          <cell r="G161" t="str">
            <v>2026-04-14</v>
          </cell>
          <cell r="H161" t="str">
            <v>SIGVA</v>
          </cell>
          <cell r="I161" t="str">
            <v>viernes pmap</v>
          </cell>
        </row>
        <row r="162">
          <cell r="A162" t="str">
            <v>CWP-01 FALLA PABELLON/NF</v>
          </cell>
          <cell r="B162" t="str">
            <v>03649036</v>
          </cell>
          <cell r="C162" t="str">
            <v>MEDICION DE NIVELES FREATICOS (PAT EIA)</v>
          </cell>
          <cell r="D162" t="str">
            <v>CWP-01 FALLA PABELLON</v>
          </cell>
          <cell r="E162" t="str">
            <v>NF</v>
          </cell>
          <cell r="F162" t="str">
            <v>2026-04-01</v>
          </cell>
          <cell r="G162" t="str">
            <v>2026-04-14</v>
          </cell>
          <cell r="H162" t="str">
            <v>SIGVA</v>
          </cell>
        </row>
        <row r="163">
          <cell r="A163" t="str">
            <v>DPEC-04 COPOSA NORTE/NF</v>
          </cell>
          <cell r="B163" t="str">
            <v>03649037</v>
          </cell>
          <cell r="C163" t="str">
            <v>MEDICION DE NIVELES FREATICOS (PAT EIA y</v>
          </cell>
          <cell r="D163" t="str">
            <v>DPEC-04 COPOSA NORTE</v>
          </cell>
          <cell r="E163" t="str">
            <v>NF</v>
          </cell>
          <cell r="F163" t="str">
            <v>2026-04-01</v>
          </cell>
          <cell r="G163" t="str">
            <v>2026-04-14</v>
          </cell>
          <cell r="H163" t="str">
            <v>SIGVA</v>
          </cell>
          <cell r="I163" t="str">
            <v>viernes pmap</v>
          </cell>
        </row>
        <row r="164">
          <cell r="A164" t="str">
            <v>M-04C LIXIVIACIÓN/ASUB</v>
          </cell>
          <cell r="B164" t="str">
            <v>03649038</v>
          </cell>
          <cell r="C164" t="str">
            <v>MUESTREO MANUAL DE AGUAS SUBTERRÁNEAS</v>
          </cell>
          <cell r="D164" t="str">
            <v>M-04C LIXIVIACIÓN</v>
          </cell>
          <cell r="E164" t="str">
            <v>ASUB</v>
          </cell>
          <cell r="F164" t="str">
            <v>2026-04-01</v>
          </cell>
          <cell r="G164" t="str">
            <v>2026-04-14</v>
          </cell>
          <cell r="H164" t="str">
            <v>SIGVA</v>
          </cell>
        </row>
        <row r="165">
          <cell r="A165" t="str">
            <v>M-04C LIXIVIACIÓN/NF</v>
          </cell>
          <cell r="B165" t="str">
            <v>03649039</v>
          </cell>
          <cell r="C165" t="str">
            <v>MEDICION DE NIVELES FREATICOS</v>
          </cell>
          <cell r="D165" t="str">
            <v>M-04C LIXIVIACIÓN</v>
          </cell>
          <cell r="E165" t="str">
            <v>NF</v>
          </cell>
          <cell r="F165" t="str">
            <v>2026-04-01</v>
          </cell>
          <cell r="G165" t="str">
            <v>2026-04-14</v>
          </cell>
          <cell r="H165" t="str">
            <v>SIGVA</v>
          </cell>
        </row>
        <row r="166">
          <cell r="A166" t="str">
            <v>M-13 MICHINCHA/NF</v>
          </cell>
          <cell r="B166" t="str">
            <v>03649040</v>
          </cell>
          <cell r="C166" t="str">
            <v>MEDICION DE NIVELES FREATICOS</v>
          </cell>
          <cell r="D166" t="str">
            <v>M-13 MICHINCHA</v>
          </cell>
          <cell r="E166" t="str">
            <v>NF</v>
          </cell>
          <cell r="F166" t="str">
            <v>2026-04-01</v>
          </cell>
          <cell r="G166" t="str">
            <v>2026-04-07</v>
          </cell>
          <cell r="H166" t="str">
            <v>SIGVA</v>
          </cell>
          <cell r="I166" t="str">
            <v>ta</v>
          </cell>
        </row>
        <row r="167">
          <cell r="A167" t="str">
            <v>M-13 MICHINCHA/ASUB</v>
          </cell>
          <cell r="B167" t="str">
            <v>03649041</v>
          </cell>
          <cell r="C167" t="str">
            <v>MUESTREO MANUAL DE AGUAS SUBTERRÁNEAS</v>
          </cell>
          <cell r="D167" t="str">
            <v>M-13 MICHINCHA</v>
          </cell>
          <cell r="E167" t="str">
            <v>ASUB</v>
          </cell>
          <cell r="F167" t="str">
            <v>2026-04-01</v>
          </cell>
          <cell r="G167" t="str">
            <v>2026-04-07</v>
          </cell>
          <cell r="H167" t="str">
            <v>SIGVA</v>
          </cell>
          <cell r="I167" t="str">
            <v>ta</v>
          </cell>
        </row>
        <row r="168">
          <cell r="A168" t="str">
            <v>M-16 MICHINCHA/NF</v>
          </cell>
          <cell r="B168" t="str">
            <v>03649042</v>
          </cell>
          <cell r="C168" t="str">
            <v>MEDICION DE NIVELES FREATICOS</v>
          </cell>
          <cell r="D168" t="str">
            <v>M-16 MICHINCHA</v>
          </cell>
          <cell r="E168" t="str">
            <v>NF</v>
          </cell>
          <cell r="F168" t="str">
            <v>2026-04-01</v>
          </cell>
          <cell r="G168" t="str">
            <v>2026-04-07</v>
          </cell>
          <cell r="H168" t="str">
            <v>SIGVA</v>
          </cell>
          <cell r="I168" t="str">
            <v>ta</v>
          </cell>
        </row>
        <row r="169">
          <cell r="A169" t="str">
            <v>M-16 MICHINCHA/ASUB</v>
          </cell>
          <cell r="B169" t="str">
            <v>03649043</v>
          </cell>
          <cell r="C169" t="str">
            <v>MUESTREO MANUAL DE AGUAS SUBTERRÁNEAS</v>
          </cell>
          <cell r="D169" t="str">
            <v>M-16 MICHINCHA</v>
          </cell>
          <cell r="E169" t="str">
            <v>ASUB</v>
          </cell>
          <cell r="F169" t="str">
            <v>2026-04-01</v>
          </cell>
          <cell r="G169" t="str">
            <v>2026-04-07</v>
          </cell>
          <cell r="H169" t="str">
            <v>SIGVA</v>
          </cell>
          <cell r="I169" t="str">
            <v>ta</v>
          </cell>
        </row>
        <row r="170">
          <cell r="A170" t="str">
            <v>M-17 MICHINCHA/NF</v>
          </cell>
          <cell r="B170" t="str">
            <v>03649044</v>
          </cell>
          <cell r="C170" t="str">
            <v>MEDICION DE NIVELES FREATICOS</v>
          </cell>
          <cell r="D170" t="str">
            <v>M-17 MICHINCHA</v>
          </cell>
          <cell r="E170" t="str">
            <v>NF</v>
          </cell>
          <cell r="F170" t="str">
            <v>2026-04-01</v>
          </cell>
          <cell r="G170" t="str">
            <v>2026-04-07</v>
          </cell>
          <cell r="H170" t="str">
            <v>SIGVA</v>
          </cell>
          <cell r="I170" t="str">
            <v>ta</v>
          </cell>
        </row>
        <row r="171">
          <cell r="A171" t="str">
            <v>M-17 MICHINCHA/ASUB</v>
          </cell>
          <cell r="B171" t="str">
            <v>03649045</v>
          </cell>
          <cell r="C171" t="str">
            <v>MUESTREO MANUAL DE AGUAS SUBTERRÁNEAS</v>
          </cell>
          <cell r="D171" t="str">
            <v>M-17 MICHINCHA</v>
          </cell>
          <cell r="E171" t="str">
            <v>ASUB</v>
          </cell>
          <cell r="F171" t="str">
            <v>2026-04-01</v>
          </cell>
          <cell r="G171" t="str">
            <v>2026-04-07</v>
          </cell>
          <cell r="H171" t="str">
            <v>SIGVA</v>
          </cell>
          <cell r="I171" t="str">
            <v>ta</v>
          </cell>
        </row>
        <row r="172">
          <cell r="A172" t="str">
            <v>M-18 MICHINCHA/NF</v>
          </cell>
          <cell r="B172" t="str">
            <v>03649046</v>
          </cell>
          <cell r="C172" t="str">
            <v>MEDICION DE NIVELES FREATICOS</v>
          </cell>
          <cell r="D172" t="str">
            <v>M-18 MICHINCHA</v>
          </cell>
          <cell r="E172" t="str">
            <v>NF</v>
          </cell>
          <cell r="F172" t="str">
            <v>2026-04-01</v>
          </cell>
          <cell r="G172" t="str">
            <v>2026-04-07</v>
          </cell>
          <cell r="H172" t="str">
            <v>SIGVA</v>
          </cell>
          <cell r="I172" t="str">
            <v>ta</v>
          </cell>
        </row>
        <row r="173">
          <cell r="A173" t="str">
            <v>M-18 MICHINCHA/ASUB</v>
          </cell>
          <cell r="B173" t="str">
            <v>03649047</v>
          </cell>
          <cell r="C173" t="str">
            <v>MUESTREO MANUAL DE AGUAS SUBTERRÁNEAS</v>
          </cell>
          <cell r="D173" t="str">
            <v>M-18 MICHINCHA</v>
          </cell>
          <cell r="E173" t="str">
            <v>ASUB</v>
          </cell>
          <cell r="F173" t="str">
            <v>2026-04-01</v>
          </cell>
          <cell r="G173" t="str">
            <v>2026-04-07</v>
          </cell>
          <cell r="H173" t="str">
            <v>SIGVA</v>
          </cell>
          <cell r="I173" t="str">
            <v>ta</v>
          </cell>
        </row>
        <row r="174">
          <cell r="A174" t="str">
            <v>M-19 MICHINCHA/NF</v>
          </cell>
          <cell r="B174" t="str">
            <v>03649048</v>
          </cell>
          <cell r="C174" t="str">
            <v>MEDICION DE NIVELES FREATICOS</v>
          </cell>
          <cell r="D174" t="str">
            <v>M-19 MICHINCHA</v>
          </cell>
          <cell r="E174" t="str">
            <v>NF</v>
          </cell>
          <cell r="F174" t="str">
            <v>2026-04-01</v>
          </cell>
          <cell r="G174" t="str">
            <v>2026-04-07</v>
          </cell>
          <cell r="H174" t="str">
            <v>SIGVA</v>
          </cell>
          <cell r="I174" t="str">
            <v>ta</v>
          </cell>
        </row>
        <row r="175">
          <cell r="A175" t="str">
            <v>M-27 MICHINCHA/ASUB</v>
          </cell>
          <cell r="B175" t="str">
            <v>03649049</v>
          </cell>
          <cell r="C175" t="str">
            <v>MUESTREO MANUAL DE AGUAS SUBTERRÁNEAS</v>
          </cell>
          <cell r="D175" t="str">
            <v>M-27 MICHINCHA</v>
          </cell>
          <cell r="E175" t="str">
            <v>ASUB</v>
          </cell>
          <cell r="F175" t="str">
            <v>2026-04-01</v>
          </cell>
          <cell r="G175" t="str">
            <v>2026-04-14</v>
          </cell>
          <cell r="H175" t="str">
            <v>SIGVA</v>
          </cell>
          <cell r="I175" t="str">
            <v>ta</v>
          </cell>
        </row>
        <row r="176">
          <cell r="A176" t="str">
            <v>M-27 MICHINCHA/NF</v>
          </cell>
          <cell r="B176" t="str">
            <v>03649050</v>
          </cell>
          <cell r="C176" t="str">
            <v>MEDICION DE NIVELES FREATICOS</v>
          </cell>
          <cell r="D176" t="str">
            <v>M-27 MICHINCHA</v>
          </cell>
          <cell r="E176" t="str">
            <v>NF</v>
          </cell>
          <cell r="F176" t="str">
            <v>2026-04-01</v>
          </cell>
          <cell r="G176" t="str">
            <v>2026-04-14</v>
          </cell>
          <cell r="H176" t="str">
            <v>SIGVA</v>
          </cell>
          <cell r="I176" t="str">
            <v>ta</v>
          </cell>
        </row>
        <row r="177">
          <cell r="A177" t="str">
            <v>MA-03A MICHINCHA/ASUB</v>
          </cell>
          <cell r="B177" t="str">
            <v>03649051</v>
          </cell>
          <cell r="C177" t="str">
            <v>MUESTREO MANUAL DE AGUAS SUBTERRÁNEAS</v>
          </cell>
          <cell r="D177" t="str">
            <v>MA-03A MICHINCHA</v>
          </cell>
          <cell r="E177" t="str">
            <v>ASUB</v>
          </cell>
          <cell r="F177" t="str">
            <v>2026-04-01</v>
          </cell>
          <cell r="G177" t="str">
            <v>2026-04-14</v>
          </cell>
          <cell r="H177" t="str">
            <v>SIGVA</v>
          </cell>
          <cell r="I177" t="str">
            <v>martes</v>
          </cell>
        </row>
        <row r="178">
          <cell r="A178" t="str">
            <v>MA-01 TRANQUE/ASUB</v>
          </cell>
          <cell r="B178" t="str">
            <v>03649052</v>
          </cell>
          <cell r="C178" t="str">
            <v>MUESTREO MANUAL DE AGUAS SUBTERRÁNEAS</v>
          </cell>
          <cell r="D178" t="str">
            <v>MA-01 TRANQUE</v>
          </cell>
          <cell r="E178" t="str">
            <v>ASUB</v>
          </cell>
          <cell r="F178" t="str">
            <v>2026-04-01</v>
          </cell>
          <cell r="G178" t="str">
            <v>2026-04-14</v>
          </cell>
          <cell r="H178" t="str">
            <v>SIGVA</v>
          </cell>
          <cell r="I178" t="str">
            <v>ta</v>
          </cell>
        </row>
        <row r="179">
          <cell r="A179" t="str">
            <v>MA-01 TRANQUE/NF</v>
          </cell>
          <cell r="B179" t="str">
            <v>03649053</v>
          </cell>
          <cell r="C179" t="str">
            <v>MEDICION DE NIVELES FREATICOS</v>
          </cell>
          <cell r="D179" t="str">
            <v>MA-01 TRANQUE</v>
          </cell>
          <cell r="E179" t="str">
            <v>NF</v>
          </cell>
          <cell r="F179" t="str">
            <v>2026-04-01</v>
          </cell>
          <cell r="G179" t="str">
            <v>2026-04-14</v>
          </cell>
          <cell r="H179" t="str">
            <v>SIGVA</v>
          </cell>
          <cell r="I179" t="str">
            <v>ta</v>
          </cell>
        </row>
        <row r="180">
          <cell r="A180" t="str">
            <v>MA-02C TRANQUE/ASUB</v>
          </cell>
          <cell r="B180" t="str">
            <v>03649054</v>
          </cell>
          <cell r="C180" t="str">
            <v>MUESTREO MANUAL DE AGUAS SUBTERRÁNEAS</v>
          </cell>
          <cell r="D180" t="str">
            <v>MA-02C TRANQUE</v>
          </cell>
          <cell r="E180" t="str">
            <v>ASUB</v>
          </cell>
          <cell r="F180" t="str">
            <v>2026-04-01</v>
          </cell>
          <cell r="G180" t="str">
            <v>2026-04-14</v>
          </cell>
          <cell r="H180" t="str">
            <v>SIGVA</v>
          </cell>
          <cell r="I180" t="str">
            <v>ta</v>
          </cell>
        </row>
        <row r="181">
          <cell r="A181" t="str">
            <v>MA-02C TRANQUE/NF</v>
          </cell>
          <cell r="B181" t="str">
            <v>03649055</v>
          </cell>
          <cell r="C181" t="str">
            <v>MEDICION DE NIVELES FREATICOS</v>
          </cell>
          <cell r="D181" t="str">
            <v>MA-02C TRANQUE</v>
          </cell>
          <cell r="E181" t="str">
            <v>NF</v>
          </cell>
          <cell r="F181" t="str">
            <v>2026-04-01</v>
          </cell>
          <cell r="G181" t="str">
            <v>2026-04-14</v>
          </cell>
          <cell r="H181" t="str">
            <v>SIGVA</v>
          </cell>
          <cell r="I181" t="str">
            <v>ta</v>
          </cell>
        </row>
        <row r="182">
          <cell r="A182" t="str">
            <v>MA-03A MICHINCHA/NF</v>
          </cell>
          <cell r="B182" t="str">
            <v>03649056</v>
          </cell>
          <cell r="C182" t="str">
            <v>MEDICION DE NIVELES FREATICOS</v>
          </cell>
          <cell r="D182" t="str">
            <v>MA-03A MICHINCHA</v>
          </cell>
          <cell r="E182" t="str">
            <v>NF</v>
          </cell>
          <cell r="F182" t="str">
            <v>2026-04-01</v>
          </cell>
          <cell r="G182" t="str">
            <v>2026-04-14</v>
          </cell>
          <cell r="H182" t="str">
            <v>SIGVA</v>
          </cell>
          <cell r="I182" t="str">
            <v>martes</v>
          </cell>
        </row>
        <row r="183">
          <cell r="A183" t="str">
            <v>MAH-01 HUINQUINTIPA/NF</v>
          </cell>
          <cell r="B183" t="str">
            <v>03649057</v>
          </cell>
          <cell r="C183" t="str">
            <v>MEDICION DE NIVELES FREATICOS</v>
          </cell>
          <cell r="D183" t="str">
            <v>MAH-01 HUINQUINTIPA</v>
          </cell>
          <cell r="E183" t="str">
            <v>NF</v>
          </cell>
          <cell r="F183" t="str">
            <v>2026-04-01</v>
          </cell>
          <cell r="G183" t="str">
            <v>2026-04-16</v>
          </cell>
          <cell r="H183" t="str">
            <v>SIGVA</v>
          </cell>
          <cell r="I183" t="str">
            <v>ta</v>
          </cell>
        </row>
        <row r="184">
          <cell r="A184" t="str">
            <v>MAH-01 HUINQUINTIPA/ASUB</v>
          </cell>
          <cell r="B184" t="str">
            <v>03649058</v>
          </cell>
          <cell r="C184" t="str">
            <v>MUESTREO MANUAL DE AGUAS SUBTERRÁNEAS</v>
          </cell>
          <cell r="D184" t="str">
            <v>MAH-01 HUINQUINTIPA</v>
          </cell>
          <cell r="E184" t="str">
            <v>ASUB</v>
          </cell>
          <cell r="F184" t="str">
            <v>2026-04-01</v>
          </cell>
          <cell r="G184" t="str">
            <v>2026-04-16</v>
          </cell>
          <cell r="H184" t="str">
            <v>SIGVA</v>
          </cell>
          <cell r="I184" t="str">
            <v>ta</v>
          </cell>
        </row>
        <row r="185">
          <cell r="A185" t="str">
            <v>MAU-11B LIXIVIACIÓN/NF</v>
          </cell>
          <cell r="B185" t="str">
            <v>03649059</v>
          </cell>
          <cell r="C185" t="str">
            <v>MEDICION DE NIVELES FREATICOS</v>
          </cell>
          <cell r="D185" t="str">
            <v>MAU-11B LIXIVIACIÓN</v>
          </cell>
          <cell r="E185" t="str">
            <v>NF</v>
          </cell>
          <cell r="F185" t="str">
            <v>2026-04-01</v>
          </cell>
          <cell r="G185" t="str">
            <v>2026-04-14</v>
          </cell>
          <cell r="H185" t="str">
            <v>SIGVA</v>
          </cell>
          <cell r="I185" t="str">
            <v>domingo</v>
          </cell>
        </row>
        <row r="186">
          <cell r="A186" t="str">
            <v>MAU-05B LIXIVIACIÓN/ASUB</v>
          </cell>
          <cell r="B186" t="str">
            <v>03649060</v>
          </cell>
          <cell r="C186" t="str">
            <v>MUESTREO MANUAL DE AGUAS SUBTERRÁNEAS</v>
          </cell>
          <cell r="D186" t="str">
            <v>MAU-05B LIXIVIACIÓN</v>
          </cell>
          <cell r="E186" t="str">
            <v>ASUB</v>
          </cell>
          <cell r="F186" t="str">
            <v>2026-04-01</v>
          </cell>
          <cell r="G186" t="str">
            <v>2026-04-14</v>
          </cell>
          <cell r="H186" t="str">
            <v>SIGVA</v>
          </cell>
          <cell r="I186" t="str">
            <v>domingo</v>
          </cell>
        </row>
        <row r="187">
          <cell r="A187" t="str">
            <v>MAU-11B LIXIVIACIÓN/ASUB</v>
          </cell>
          <cell r="B187" t="str">
            <v>03649061</v>
          </cell>
          <cell r="C187" t="str">
            <v>MUESTREO MANUAL DE AGUAS SUBTERRÁNEAS</v>
          </cell>
          <cell r="D187" t="str">
            <v>MAU-11B LIXIVIACIÓN</v>
          </cell>
          <cell r="E187" t="str">
            <v>ASUB</v>
          </cell>
          <cell r="F187" t="str">
            <v>2026-04-01</v>
          </cell>
          <cell r="G187" t="str">
            <v>2026-04-14</v>
          </cell>
          <cell r="H187" t="str">
            <v>SIGVA</v>
          </cell>
          <cell r="I187" t="str">
            <v>domingo</v>
          </cell>
        </row>
        <row r="188">
          <cell r="A188" t="str">
            <v>MAU-13 LIXIVIACIÓN/ASUB</v>
          </cell>
          <cell r="B188" t="str">
            <v>03649062</v>
          </cell>
          <cell r="C188" t="str">
            <v>MUESTREO MANUAL DE AGUAS SUBTERRÁNEAS</v>
          </cell>
          <cell r="D188" t="str">
            <v>MAU-13 LIXIVIACIÓN</v>
          </cell>
          <cell r="E188" t="str">
            <v>ASUB</v>
          </cell>
          <cell r="F188" t="str">
            <v>2026-04-01</v>
          </cell>
          <cell r="G188" t="str">
            <v>2026-04-07</v>
          </cell>
          <cell r="H188" t="str">
            <v>SIGVA</v>
          </cell>
          <cell r="I188" t="str">
            <v>ta</v>
          </cell>
        </row>
        <row r="189">
          <cell r="A189" t="str">
            <v>MAU-02 MICHINCHA/ASUB</v>
          </cell>
          <cell r="B189" t="str">
            <v>03649063</v>
          </cell>
          <cell r="C189" t="str">
            <v>MUESTREO MANUAL DE AGUAS SUBTERRÁNEAS</v>
          </cell>
          <cell r="D189" t="str">
            <v>MAU-02 MICHINCHA</v>
          </cell>
          <cell r="E189" t="str">
            <v>ASUB</v>
          </cell>
          <cell r="F189" t="str">
            <v>2026-04-01</v>
          </cell>
          <cell r="G189" t="str">
            <v>2026-04-07</v>
          </cell>
          <cell r="H189" t="str">
            <v>SIGVA</v>
          </cell>
          <cell r="I189" t="str">
            <v>ta</v>
          </cell>
        </row>
        <row r="190">
          <cell r="A190" t="str">
            <v>MAU-02 MICHINCHA/NF</v>
          </cell>
          <cell r="B190" t="str">
            <v>03649064</v>
          </cell>
          <cell r="C190" t="str">
            <v>MEDICION DE NIVELES FREATICOS</v>
          </cell>
          <cell r="D190" t="str">
            <v>MAU-02 MICHINCHA</v>
          </cell>
          <cell r="E190" t="str">
            <v>NF</v>
          </cell>
          <cell r="F190" t="str">
            <v>2026-04-01</v>
          </cell>
          <cell r="G190" t="str">
            <v>2026-04-07</v>
          </cell>
          <cell r="H190" t="str">
            <v>SIGVA</v>
          </cell>
          <cell r="I190" t="str">
            <v>ta</v>
          </cell>
        </row>
        <row r="191">
          <cell r="A191" t="str">
            <v>MAU-14 MICHINCHA/ASUB</v>
          </cell>
          <cell r="B191" t="str">
            <v>03649065</v>
          </cell>
          <cell r="C191" t="str">
            <v>MUESTREO MANUAL DE AGUAS SUBTERRÁNEAS</v>
          </cell>
          <cell r="D191" t="str">
            <v>MAU-14 MICHINCHA</v>
          </cell>
          <cell r="E191" t="str">
            <v>ASUB</v>
          </cell>
          <cell r="F191" t="str">
            <v>2026-04-01</v>
          </cell>
          <cell r="G191" t="str">
            <v>2026-04-14</v>
          </cell>
          <cell r="H191" t="str">
            <v>SIGVA</v>
          </cell>
          <cell r="I191" t="str">
            <v>martes</v>
          </cell>
        </row>
        <row r="192">
          <cell r="A192" t="str">
            <v>MAU-05B LIXIVIACIÓN/NF</v>
          </cell>
          <cell r="B192" t="str">
            <v>03649066</v>
          </cell>
          <cell r="C192" t="str">
            <v>MEDICION DE NIVELES FREATICOS</v>
          </cell>
          <cell r="D192" t="str">
            <v>MAU-05B LIXIVIACIÓN</v>
          </cell>
          <cell r="E192" t="str">
            <v>NF</v>
          </cell>
          <cell r="F192" t="str">
            <v>2026-04-01</v>
          </cell>
          <cell r="G192" t="str">
            <v>2026-04-14</v>
          </cell>
          <cell r="H192" t="str">
            <v>SIGVA</v>
          </cell>
          <cell r="I192" t="str">
            <v>domingo</v>
          </cell>
        </row>
        <row r="193">
          <cell r="A193" t="str">
            <v>MAU-13 LIXIVIACIÓN/NF</v>
          </cell>
          <cell r="B193" t="str">
            <v>03649067</v>
          </cell>
          <cell r="C193" t="str">
            <v>MEDICION DE NIVELES FREATICOS</v>
          </cell>
          <cell r="D193" t="str">
            <v>MAU-13 LIXIVIACIÓN</v>
          </cell>
          <cell r="E193" t="str">
            <v>NF</v>
          </cell>
          <cell r="F193" t="str">
            <v>2026-04-01</v>
          </cell>
          <cell r="G193" t="str">
            <v>2026-04-07</v>
          </cell>
          <cell r="H193" t="str">
            <v>SIGVA</v>
          </cell>
          <cell r="I193" t="str">
            <v>ta</v>
          </cell>
        </row>
        <row r="194">
          <cell r="A194" t="str">
            <v>MAU-14 MICHINCHA/NF</v>
          </cell>
          <cell r="B194" t="str">
            <v>03649068</v>
          </cell>
          <cell r="C194" t="str">
            <v>MEDICION DE NIVELES FREATICOS</v>
          </cell>
          <cell r="D194" t="str">
            <v>MAU-14 MICHINCHA</v>
          </cell>
          <cell r="E194" t="str">
            <v>NF</v>
          </cell>
          <cell r="F194" t="str">
            <v>2026-04-01</v>
          </cell>
          <cell r="G194" t="str">
            <v>2026-04-14</v>
          </cell>
          <cell r="H194" t="str">
            <v>SIGVA</v>
          </cell>
          <cell r="I194" t="str">
            <v>martes</v>
          </cell>
        </row>
        <row r="195">
          <cell r="A195" t="str">
            <v>MIT-01B LIXIVIACIÓN/ASUB</v>
          </cell>
          <cell r="B195" t="str">
            <v>03649069</v>
          </cell>
          <cell r="C195" t="str">
            <v>MUESTREO MANUAL DE AGUAS SUBTERRÁNEAS</v>
          </cell>
          <cell r="D195" t="str">
            <v>MIT-01B LIXIVIACIÓN</v>
          </cell>
          <cell r="E195" t="str">
            <v>ASUB</v>
          </cell>
          <cell r="F195" t="str">
            <v>2026-04-01</v>
          </cell>
          <cell r="G195" t="str">
            <v>2026-04-07</v>
          </cell>
          <cell r="H195" t="str">
            <v>SIGVA</v>
          </cell>
          <cell r="I195" t="str">
            <v>ta</v>
          </cell>
        </row>
        <row r="196">
          <cell r="A196" t="str">
            <v>MIT-02B LIXIVIACIÓN/ASUB</v>
          </cell>
          <cell r="B196" t="str">
            <v>03649070</v>
          </cell>
          <cell r="C196" t="str">
            <v>MUESTREO MANUAL DE AGUAS SUBTERRÁNEAS</v>
          </cell>
          <cell r="D196" t="str">
            <v>MIT-02B LIXIVIACIÓN</v>
          </cell>
          <cell r="E196" t="str">
            <v>ASUB</v>
          </cell>
          <cell r="F196" t="str">
            <v>2026-04-01</v>
          </cell>
          <cell r="G196" t="str">
            <v>2026-04-07</v>
          </cell>
          <cell r="H196" t="str">
            <v>SIGVA</v>
          </cell>
          <cell r="I196" t="str">
            <v>ta</v>
          </cell>
        </row>
        <row r="197">
          <cell r="A197" t="str">
            <v>MIT-03 LIXIVIACIÓN/ASUB</v>
          </cell>
          <cell r="B197" t="str">
            <v>03649071</v>
          </cell>
          <cell r="C197" t="str">
            <v>MUESTREO MANUAL DE AGUAS SUBTERRÁNEAS</v>
          </cell>
          <cell r="D197" t="str">
            <v>MIT-03 LIXIVIACIÓN</v>
          </cell>
          <cell r="E197" t="str">
            <v>ASUB</v>
          </cell>
          <cell r="F197" t="str">
            <v>2026-04-01</v>
          </cell>
          <cell r="G197" t="str">
            <v>2026-04-07</v>
          </cell>
          <cell r="H197" t="str">
            <v>SIGVA</v>
          </cell>
          <cell r="I197" t="str">
            <v>ta</v>
          </cell>
        </row>
        <row r="198">
          <cell r="A198" t="str">
            <v>MIT-01B LIXIVIACIÓN/NF</v>
          </cell>
          <cell r="B198" t="str">
            <v>03649072</v>
          </cell>
          <cell r="C198" t="str">
            <v>MEDICION DE NIVELES FREATICOS</v>
          </cell>
          <cell r="D198" t="str">
            <v>MIT-01B LIXIVIACIÓN</v>
          </cell>
          <cell r="E198" t="str">
            <v>NF</v>
          </cell>
          <cell r="F198" t="str">
            <v>2026-04-01</v>
          </cell>
          <cell r="G198" t="str">
            <v>2026-04-07</v>
          </cell>
          <cell r="H198" t="str">
            <v>SIGVA</v>
          </cell>
          <cell r="I198" t="str">
            <v>ta</v>
          </cell>
        </row>
        <row r="199">
          <cell r="A199" t="str">
            <v>MIT-02B LIXIVIACIÓN/NF</v>
          </cell>
          <cell r="B199" t="str">
            <v>03649073</v>
          </cell>
          <cell r="C199" t="str">
            <v>MEDICION DE NIVELES FREATICOS</v>
          </cell>
          <cell r="D199" t="str">
            <v>MIT-02B LIXIVIACIÓN</v>
          </cell>
          <cell r="E199" t="str">
            <v>NF</v>
          </cell>
          <cell r="F199" t="str">
            <v>2026-04-01</v>
          </cell>
          <cell r="G199" t="str">
            <v>2026-04-07</v>
          </cell>
          <cell r="H199" t="str">
            <v>SIGVA</v>
          </cell>
          <cell r="I199" t="str">
            <v>ta</v>
          </cell>
        </row>
        <row r="200">
          <cell r="A200" t="str">
            <v>MIT-03 LIXIVIACIÓN/NF</v>
          </cell>
          <cell r="B200" t="str">
            <v>03649074</v>
          </cell>
          <cell r="C200" t="str">
            <v>MEDICION DE NIVELES FREATICOS</v>
          </cell>
          <cell r="D200" t="str">
            <v>MIT-03 LIXIVIACIÓN</v>
          </cell>
          <cell r="E200" t="str">
            <v>NF</v>
          </cell>
          <cell r="F200" t="str">
            <v>2026-04-01</v>
          </cell>
          <cell r="G200" t="str">
            <v>2026-04-07</v>
          </cell>
          <cell r="H200" t="str">
            <v>SIGVA</v>
          </cell>
          <cell r="I200" t="str">
            <v>ta</v>
          </cell>
        </row>
        <row r="201">
          <cell r="A201" t="str">
            <v>MMA-01 MICHINCHA/ASUB</v>
          </cell>
          <cell r="B201" t="str">
            <v>03649075</v>
          </cell>
          <cell r="C201" t="str">
            <v>MUESTREO MANUAL DE AGUAS SUBTERRÁNEAS</v>
          </cell>
          <cell r="D201" t="str">
            <v>MMA-01 MICHINCHA</v>
          </cell>
          <cell r="E201" t="str">
            <v>ASUB</v>
          </cell>
          <cell r="F201" t="str">
            <v>2026-04-01</v>
          </cell>
          <cell r="G201" t="str">
            <v>2026-04-07</v>
          </cell>
          <cell r="H201" t="str">
            <v>SIGVA</v>
          </cell>
          <cell r="I201" t="str">
            <v>ta</v>
          </cell>
        </row>
        <row r="202">
          <cell r="A202" t="str">
            <v>MMA-02 MICHINCHA/ASUB</v>
          </cell>
          <cell r="B202" t="str">
            <v>03649076</v>
          </cell>
          <cell r="C202" t="str">
            <v>MUESTREO MANUAL DE AGUAS SUBTERRÁNEAS</v>
          </cell>
          <cell r="D202" t="str">
            <v>MMA-02 MICHINCHA</v>
          </cell>
          <cell r="E202" t="str">
            <v>ASUB</v>
          </cell>
          <cell r="F202" t="str">
            <v>2026-04-01</v>
          </cell>
          <cell r="G202" t="str">
            <v>2026-04-07</v>
          </cell>
          <cell r="H202" t="str">
            <v>SIGVA</v>
          </cell>
          <cell r="I202" t="str">
            <v>ta</v>
          </cell>
        </row>
        <row r="203">
          <cell r="A203" t="str">
            <v>MMA-03 MICHINCHA/ASUB</v>
          </cell>
          <cell r="B203" t="str">
            <v>03649077</v>
          </cell>
          <cell r="C203" t="str">
            <v>MUESTREO MANUAL DE AGUAS SUBTERRÁNEAS</v>
          </cell>
          <cell r="D203" t="str">
            <v>MMA-03 MICHINCHA</v>
          </cell>
          <cell r="E203" t="str">
            <v>ASUB</v>
          </cell>
          <cell r="F203" t="str">
            <v>2026-04-01</v>
          </cell>
          <cell r="G203" t="str">
            <v>2026-04-07</v>
          </cell>
          <cell r="H203" t="str">
            <v>SIGVA</v>
          </cell>
          <cell r="I203" t="str">
            <v>ta</v>
          </cell>
        </row>
        <row r="204">
          <cell r="A204" t="str">
            <v>MMA-04 MICHINCHA/ASUB</v>
          </cell>
          <cell r="B204" t="str">
            <v>03649078</v>
          </cell>
          <cell r="C204" t="str">
            <v>MUESTREO MANUAL DE AGUAS SUBTERRÁNEAS</v>
          </cell>
          <cell r="D204" t="str">
            <v>MMA-04 MICHINCHA</v>
          </cell>
          <cell r="E204" t="str">
            <v>ASUB</v>
          </cell>
          <cell r="F204" t="str">
            <v>2026-04-01</v>
          </cell>
          <cell r="G204" t="str">
            <v>2026-04-07</v>
          </cell>
          <cell r="H204" t="str">
            <v>SIGVA</v>
          </cell>
          <cell r="I204" t="str">
            <v>ta</v>
          </cell>
        </row>
        <row r="205">
          <cell r="A205" t="str">
            <v>MMA-05 MICHINCHA/ASUB</v>
          </cell>
          <cell r="B205" t="str">
            <v>03649079</v>
          </cell>
          <cell r="C205" t="str">
            <v>MUESTREO MANUAL DE AGUAS SUBTERRÁNEAS</v>
          </cell>
          <cell r="D205" t="str">
            <v>MMA-05 MICHINCHA</v>
          </cell>
          <cell r="E205" t="str">
            <v>ASUB</v>
          </cell>
          <cell r="F205" t="str">
            <v>2026-04-01</v>
          </cell>
          <cell r="G205" t="str">
            <v>2026-04-07</v>
          </cell>
          <cell r="H205" t="str">
            <v>SIGVA</v>
          </cell>
          <cell r="I205" t="str">
            <v>ta</v>
          </cell>
        </row>
        <row r="206">
          <cell r="A206" t="str">
            <v>MMA-06 MICHINCHA/ASUB</v>
          </cell>
          <cell r="B206" t="str">
            <v>03649080</v>
          </cell>
          <cell r="C206" t="str">
            <v>MUESTREO MANUAL DE AGUAS SUBTERRÁNEAS</v>
          </cell>
          <cell r="D206" t="str">
            <v>MMA-06 MICHINCHA</v>
          </cell>
          <cell r="E206" t="str">
            <v>ASUB</v>
          </cell>
          <cell r="F206" t="str">
            <v>2026-04-01</v>
          </cell>
          <cell r="G206" t="str">
            <v>2026-04-07</v>
          </cell>
          <cell r="H206" t="str">
            <v>SIGVA</v>
          </cell>
          <cell r="I206" t="str">
            <v>ta</v>
          </cell>
        </row>
        <row r="207">
          <cell r="A207" t="str">
            <v>MMA-07 MICHINCHA/ASUB</v>
          </cell>
          <cell r="B207" t="str">
            <v>03649081</v>
          </cell>
          <cell r="C207" t="str">
            <v>MUESTREO MANUAL DE AGUAS SUBTERRÁNEAS</v>
          </cell>
          <cell r="D207" t="str">
            <v>MMA-07 MICHINCHA</v>
          </cell>
          <cell r="E207" t="str">
            <v>ASUB</v>
          </cell>
          <cell r="F207" t="str">
            <v>2026-04-01</v>
          </cell>
          <cell r="G207" t="str">
            <v>2026-04-07</v>
          </cell>
          <cell r="H207" t="str">
            <v>SIGVA</v>
          </cell>
          <cell r="I207" t="str">
            <v>ta</v>
          </cell>
        </row>
        <row r="208">
          <cell r="A208" t="str">
            <v>MMA-08 MICHINCHA/ASUB</v>
          </cell>
          <cell r="B208" t="str">
            <v>03649082</v>
          </cell>
          <cell r="C208" t="str">
            <v>MUESTREO MANUAL DE AGUAS SUBTERRÁNEAS</v>
          </cell>
          <cell r="D208" t="str">
            <v>MMA-08 MICHINCHA</v>
          </cell>
          <cell r="E208" t="str">
            <v>ASUB</v>
          </cell>
          <cell r="F208" t="str">
            <v>2026-04-01</v>
          </cell>
          <cell r="G208" t="str">
            <v>2026-04-07</v>
          </cell>
          <cell r="H208" t="str">
            <v>SIGVA</v>
          </cell>
          <cell r="I208" t="str">
            <v>ta</v>
          </cell>
        </row>
        <row r="209">
          <cell r="A209" t="str">
            <v>MMA-09 MICHINCHA/ASUB</v>
          </cell>
          <cell r="B209" t="str">
            <v>03649083</v>
          </cell>
          <cell r="C209" t="str">
            <v>MUESTREO MANUAL DE AGUAS SUBTERRÁNEAS</v>
          </cell>
          <cell r="D209" t="str">
            <v>MMA-09 MICHINCHA</v>
          </cell>
          <cell r="E209" t="str">
            <v>ASUB</v>
          </cell>
          <cell r="F209" t="str">
            <v>2026-04-01</v>
          </cell>
          <cell r="G209" t="str">
            <v>2026-04-07</v>
          </cell>
          <cell r="H209" t="str">
            <v>SIGVA</v>
          </cell>
          <cell r="I209" t="str">
            <v>ta</v>
          </cell>
        </row>
        <row r="210">
          <cell r="A210" t="str">
            <v>MMA-10 MICHINCHA/ASUB</v>
          </cell>
          <cell r="B210" t="str">
            <v>03649084</v>
          </cell>
          <cell r="C210" t="str">
            <v>MUESTREO MANUAL DE AGUAS SUBTERRÁNEAS</v>
          </cell>
          <cell r="D210" t="str">
            <v>MMA-10 MICHINCHA</v>
          </cell>
          <cell r="E210" t="str">
            <v>ASUB</v>
          </cell>
          <cell r="F210" t="str">
            <v>2026-04-01</v>
          </cell>
          <cell r="G210" t="str">
            <v>2026-04-07</v>
          </cell>
          <cell r="H210" t="str">
            <v>SIGVA</v>
          </cell>
          <cell r="I210" t="str">
            <v>ta</v>
          </cell>
        </row>
        <row r="211">
          <cell r="A211" t="str">
            <v>MMA-11 MICHINCHA/ASUB</v>
          </cell>
          <cell r="B211" t="str">
            <v>03649085</v>
          </cell>
          <cell r="C211" t="str">
            <v>MUESTREO MANUAL DE AGUAS SUBTERRÁNEAS</v>
          </cell>
          <cell r="D211" t="str">
            <v>MMA-11 MICHINCHA</v>
          </cell>
          <cell r="E211" t="str">
            <v>ASUB</v>
          </cell>
          <cell r="F211" t="str">
            <v>2026-04-01</v>
          </cell>
          <cell r="G211" t="str">
            <v>2026-04-07</v>
          </cell>
          <cell r="H211" t="str">
            <v>SIGVA</v>
          </cell>
          <cell r="I211" t="str">
            <v>ta</v>
          </cell>
        </row>
        <row r="212">
          <cell r="A212" t="str">
            <v>MMA-12 MICHINCHA/ASUB</v>
          </cell>
          <cell r="B212" t="str">
            <v>03649086</v>
          </cell>
          <cell r="C212" t="str">
            <v>MUESTREO MANUAL DE AGUAS SUBTERRÁNEAS</v>
          </cell>
          <cell r="D212" t="str">
            <v>MMA-12 MICHINCHA</v>
          </cell>
          <cell r="E212" t="str">
            <v>ASUB</v>
          </cell>
          <cell r="F212" t="str">
            <v>2026-04-01</v>
          </cell>
          <cell r="G212" t="str">
            <v>2026-04-07</v>
          </cell>
          <cell r="H212" t="str">
            <v>SIGVA</v>
          </cell>
          <cell r="I212" t="str">
            <v>ta</v>
          </cell>
        </row>
        <row r="213">
          <cell r="A213" t="str">
            <v>MMA-13 MICHINCHA/ASUB</v>
          </cell>
          <cell r="B213" t="str">
            <v>03649087</v>
          </cell>
          <cell r="C213" t="str">
            <v>MUESTREO MANUAL DE AGUAS SUBTERRÁNEAS</v>
          </cell>
          <cell r="D213" t="str">
            <v>MMA-13 MICHINCHA</v>
          </cell>
          <cell r="E213" t="str">
            <v>ASUB</v>
          </cell>
          <cell r="F213" t="str">
            <v>2026-04-01</v>
          </cell>
          <cell r="G213" t="str">
            <v>2026-04-07</v>
          </cell>
          <cell r="H213" t="str">
            <v>SIGVA</v>
          </cell>
          <cell r="I213" t="str">
            <v>ta</v>
          </cell>
        </row>
        <row r="214">
          <cell r="A214" t="str">
            <v>MMA-14 MICHINCHA/ASUB</v>
          </cell>
          <cell r="B214" t="str">
            <v>03649088</v>
          </cell>
          <cell r="C214" t="str">
            <v>MUESTREO MANUAL DE AGUAS SUBTERRÁNEAS</v>
          </cell>
          <cell r="D214" t="str">
            <v>MMA-14 MICHINCHA</v>
          </cell>
          <cell r="E214" t="str">
            <v>ASUB</v>
          </cell>
          <cell r="F214" t="str">
            <v>2026-04-01</v>
          </cell>
          <cell r="G214" t="str">
            <v>2026-04-07</v>
          </cell>
          <cell r="H214" t="str">
            <v>SIGVA</v>
          </cell>
          <cell r="I214" t="str">
            <v>ta</v>
          </cell>
        </row>
        <row r="215">
          <cell r="A215" t="str">
            <v>MMA-01 MICHINCHA/NF</v>
          </cell>
          <cell r="B215" t="str">
            <v>03649089</v>
          </cell>
          <cell r="C215" t="str">
            <v>MEDICION DE NIVELES FREATICOS</v>
          </cell>
          <cell r="D215" t="str">
            <v>MMA-01 MICHINCHA</v>
          </cell>
          <cell r="E215" t="str">
            <v>NF</v>
          </cell>
          <cell r="F215" t="str">
            <v>2026-04-01</v>
          </cell>
          <cell r="G215" t="str">
            <v>2026-04-07</v>
          </cell>
          <cell r="H215" t="str">
            <v>SIGVA</v>
          </cell>
          <cell r="I215" t="str">
            <v>ta</v>
          </cell>
        </row>
        <row r="216">
          <cell r="A216" t="str">
            <v>MMA-02 MICHINCHA/NF</v>
          </cell>
          <cell r="B216" t="str">
            <v>03649090</v>
          </cell>
          <cell r="C216" t="str">
            <v>MEDICION DE NIVELES FREATICOS</v>
          </cell>
          <cell r="D216" t="str">
            <v>MMA-02 MICHINCHA</v>
          </cell>
          <cell r="E216" t="str">
            <v>NF</v>
          </cell>
          <cell r="F216" t="str">
            <v>2026-04-01</v>
          </cell>
          <cell r="G216" t="str">
            <v>2026-04-07</v>
          </cell>
          <cell r="H216" t="str">
            <v>SIGVA</v>
          </cell>
          <cell r="I216" t="str">
            <v>ta</v>
          </cell>
        </row>
        <row r="217">
          <cell r="A217" t="str">
            <v>MMA-03 MICHINCHA/NF</v>
          </cell>
          <cell r="B217" t="str">
            <v>03649091</v>
          </cell>
          <cell r="C217" t="str">
            <v>MEDICION DE NIVELES FREATICOS</v>
          </cell>
          <cell r="D217" t="str">
            <v>MMA-03 MICHINCHA</v>
          </cell>
          <cell r="E217" t="str">
            <v>NF</v>
          </cell>
          <cell r="F217" t="str">
            <v>2026-04-01</v>
          </cell>
          <cell r="G217" t="str">
            <v>2026-04-07</v>
          </cell>
          <cell r="H217" t="str">
            <v>SIGVA</v>
          </cell>
          <cell r="I217" t="str">
            <v>ta</v>
          </cell>
        </row>
        <row r="218">
          <cell r="A218" t="str">
            <v>MMA-04 MICHINCHA/NF</v>
          </cell>
          <cell r="B218" t="str">
            <v>03649092</v>
          </cell>
          <cell r="C218" t="str">
            <v>MEDICION DE NIVELES FREATICOS</v>
          </cell>
          <cell r="D218" t="str">
            <v>MMA-04 MICHINCHA</v>
          </cell>
          <cell r="E218" t="str">
            <v>NF</v>
          </cell>
          <cell r="F218" t="str">
            <v>2026-04-01</v>
          </cell>
          <cell r="G218" t="str">
            <v>2026-04-07</v>
          </cell>
          <cell r="H218" t="str">
            <v>SIGVA</v>
          </cell>
          <cell r="I218" t="str">
            <v>ta</v>
          </cell>
        </row>
        <row r="219">
          <cell r="A219" t="str">
            <v>MMA-05 MICHINCHA/NF</v>
          </cell>
          <cell r="B219" t="str">
            <v>03649093</v>
          </cell>
          <cell r="C219" t="str">
            <v>MEDICION DE NIVELES FREATICOS</v>
          </cell>
          <cell r="D219" t="str">
            <v>MMA-05 MICHINCHA</v>
          </cell>
          <cell r="E219" t="str">
            <v>NF</v>
          </cell>
          <cell r="F219" t="str">
            <v>2026-04-01</v>
          </cell>
          <cell r="G219" t="str">
            <v>2026-04-07</v>
          </cell>
          <cell r="H219" t="str">
            <v>SIGVA</v>
          </cell>
          <cell r="I219" t="str">
            <v>ta</v>
          </cell>
        </row>
        <row r="220">
          <cell r="A220" t="str">
            <v>MMA-06 MICHINCHA/NF</v>
          </cell>
          <cell r="B220" t="str">
            <v>03649094</v>
          </cell>
          <cell r="C220" t="str">
            <v>MEDICION DE NIVELES FREATICOS</v>
          </cell>
          <cell r="D220" t="str">
            <v>MMA-06 MICHINCHA</v>
          </cell>
          <cell r="E220" t="str">
            <v>NF</v>
          </cell>
          <cell r="F220" t="str">
            <v>2026-04-01</v>
          </cell>
          <cell r="G220" t="str">
            <v>2026-04-07</v>
          </cell>
          <cell r="H220" t="str">
            <v>SIGVA</v>
          </cell>
          <cell r="I220" t="str">
            <v>ta</v>
          </cell>
        </row>
        <row r="221">
          <cell r="A221" t="str">
            <v>MMA-07 MICHINCHA/NF</v>
          </cell>
          <cell r="B221" t="str">
            <v>03649095</v>
          </cell>
          <cell r="C221" t="str">
            <v>MEDICION DE NIVELES FREATICOS</v>
          </cell>
          <cell r="D221" t="str">
            <v>MMA-07 MICHINCHA</v>
          </cell>
          <cell r="E221" t="str">
            <v>NF</v>
          </cell>
          <cell r="F221" t="str">
            <v>2026-04-01</v>
          </cell>
          <cell r="G221" t="str">
            <v>2026-04-07</v>
          </cell>
          <cell r="H221" t="str">
            <v>SIGVA</v>
          </cell>
          <cell r="I221" t="str">
            <v>ta</v>
          </cell>
        </row>
        <row r="222">
          <cell r="A222" t="str">
            <v>MMA-08 MICHINCHA/NF</v>
          </cell>
          <cell r="B222" t="str">
            <v>03649096</v>
          </cell>
          <cell r="C222" t="str">
            <v>MEDICION DE NIVELES FREATICOS</v>
          </cell>
          <cell r="D222" t="str">
            <v>MMA-08 MICHINCHA</v>
          </cell>
          <cell r="E222" t="str">
            <v>NF</v>
          </cell>
          <cell r="F222" t="str">
            <v>2026-04-01</v>
          </cell>
          <cell r="G222" t="str">
            <v>2026-04-07</v>
          </cell>
          <cell r="H222" t="str">
            <v>SIGVA</v>
          </cell>
          <cell r="I222" t="str">
            <v>ta</v>
          </cell>
        </row>
        <row r="223">
          <cell r="A223" t="str">
            <v>MMA-09 MICHINCHA/NF</v>
          </cell>
          <cell r="B223" t="str">
            <v>03649097</v>
          </cell>
          <cell r="C223" t="str">
            <v>MEDICION DE NIVELES FREATICOS</v>
          </cell>
          <cell r="D223" t="str">
            <v>MMA-09 MICHINCHA</v>
          </cell>
          <cell r="E223" t="str">
            <v>NF</v>
          </cell>
          <cell r="F223" t="str">
            <v>2026-04-01</v>
          </cell>
          <cell r="G223" t="str">
            <v>2026-04-07</v>
          </cell>
          <cell r="H223" t="str">
            <v>SIGVA</v>
          </cell>
          <cell r="I223" t="str">
            <v>ta</v>
          </cell>
        </row>
        <row r="224">
          <cell r="A224" t="str">
            <v>MMA-10 MICHINCHA/NF</v>
          </cell>
          <cell r="B224" t="str">
            <v>03649098</v>
          </cell>
          <cell r="C224" t="str">
            <v>MEDICION DE NIVELES FREATICOS</v>
          </cell>
          <cell r="D224" t="str">
            <v>MMA-10 MICHINCHA</v>
          </cell>
          <cell r="E224" t="str">
            <v>NF</v>
          </cell>
          <cell r="F224" t="str">
            <v>2026-04-01</v>
          </cell>
          <cell r="G224" t="str">
            <v>2026-04-07</v>
          </cell>
          <cell r="H224" t="str">
            <v>SIGVA</v>
          </cell>
          <cell r="I224" t="str">
            <v>ta</v>
          </cell>
        </row>
        <row r="225">
          <cell r="A225" t="str">
            <v>MMA-11 MICHINCHA/NF</v>
          </cell>
          <cell r="B225" t="str">
            <v>03649099</v>
          </cell>
          <cell r="C225" t="str">
            <v>MEDICION DE NIVELES FREATICOS</v>
          </cell>
          <cell r="D225" t="str">
            <v>MMA-11 MICHINCHA</v>
          </cell>
          <cell r="E225" t="str">
            <v>NF</v>
          </cell>
          <cell r="F225" t="str">
            <v>2026-04-01</v>
          </cell>
          <cell r="G225" t="str">
            <v>2026-04-07</v>
          </cell>
          <cell r="H225" t="str">
            <v>SIGVA</v>
          </cell>
          <cell r="I225" t="str">
            <v>ta</v>
          </cell>
        </row>
        <row r="226">
          <cell r="A226" t="str">
            <v>MMA-12 MICHINCHA/NF</v>
          </cell>
          <cell r="B226" t="str">
            <v>03649100</v>
          </cell>
          <cell r="C226" t="str">
            <v>MEDICION DE NIVELES FREATICOS</v>
          </cell>
          <cell r="D226" t="str">
            <v>MMA-12 MICHINCHA</v>
          </cell>
          <cell r="E226" t="str">
            <v>NF</v>
          </cell>
          <cell r="F226" t="str">
            <v>2026-04-01</v>
          </cell>
          <cell r="G226" t="str">
            <v>2026-04-07</v>
          </cell>
          <cell r="H226" t="str">
            <v>SIGVA</v>
          </cell>
          <cell r="I226" t="str">
            <v>ta</v>
          </cell>
        </row>
        <row r="227">
          <cell r="A227" t="str">
            <v>MMA-13 MICHINCHA/NF</v>
          </cell>
          <cell r="B227" t="str">
            <v>03649101</v>
          </cell>
          <cell r="C227" t="str">
            <v>MEDICION DE NIVELES FREATICOS</v>
          </cell>
          <cell r="D227" t="str">
            <v>MMA-13 MICHINCHA</v>
          </cell>
          <cell r="E227" t="str">
            <v>NF</v>
          </cell>
          <cell r="F227" t="str">
            <v>2026-04-01</v>
          </cell>
          <cell r="G227" t="str">
            <v>2026-04-07</v>
          </cell>
          <cell r="H227" t="str">
            <v>SIGVA</v>
          </cell>
          <cell r="I227" t="str">
            <v>ta</v>
          </cell>
        </row>
        <row r="228">
          <cell r="A228" t="str">
            <v>MMA-14 MICHINCHA/NF</v>
          </cell>
          <cell r="B228" t="str">
            <v>03649102</v>
          </cell>
          <cell r="C228" t="str">
            <v>MEDICION DE NIVELES FREATICOS</v>
          </cell>
          <cell r="D228" t="str">
            <v>MMA-14 MICHINCHA</v>
          </cell>
          <cell r="E228" t="str">
            <v>NF</v>
          </cell>
          <cell r="F228" t="str">
            <v>2026-04-01</v>
          </cell>
          <cell r="G228" t="str">
            <v>2026-04-07</v>
          </cell>
          <cell r="H228" t="str">
            <v>SIGVA</v>
          </cell>
          <cell r="I228" t="str">
            <v>ta</v>
          </cell>
        </row>
        <row r="229">
          <cell r="A229" t="str">
            <v>MPZ-10A LIXIVIACIÓN/ASUB</v>
          </cell>
          <cell r="B229" t="str">
            <v>03649103</v>
          </cell>
          <cell r="C229" t="str">
            <v>MUESTREO MANUAL DE AGUAS SUBTERRÁNEAS</v>
          </cell>
          <cell r="D229" t="str">
            <v>MPZ-10A LIXIVIACIÓN</v>
          </cell>
          <cell r="E229" t="str">
            <v>ASUB</v>
          </cell>
          <cell r="F229" t="str">
            <v>2026-04-01</v>
          </cell>
          <cell r="G229" t="str">
            <v>2026-04-07</v>
          </cell>
          <cell r="H229" t="str">
            <v>SIGVA</v>
          </cell>
          <cell r="I229" t="str">
            <v>ta</v>
          </cell>
        </row>
        <row r="230">
          <cell r="A230" t="str">
            <v>MPZ-10B LIXIVIACIÓN/ASUB</v>
          </cell>
          <cell r="B230" t="str">
            <v>03649104</v>
          </cell>
          <cell r="C230" t="str">
            <v>MUESTREO MANUAL DE AGUAS SUBTERRÁNEAS</v>
          </cell>
          <cell r="D230" t="str">
            <v>MPZ-10B LIXIVIACIÓN</v>
          </cell>
          <cell r="E230" t="str">
            <v>ASUB</v>
          </cell>
          <cell r="F230" t="str">
            <v>2026-04-01</v>
          </cell>
          <cell r="G230" t="str">
            <v>2026-04-07</v>
          </cell>
          <cell r="H230" t="str">
            <v>SIGVA</v>
          </cell>
          <cell r="I230" t="str">
            <v>ta</v>
          </cell>
        </row>
        <row r="231">
          <cell r="A231" t="str">
            <v>MPZ-11B MICHINCHA/ASUB</v>
          </cell>
          <cell r="B231" t="str">
            <v>03649105</v>
          </cell>
          <cell r="C231" t="str">
            <v>MUESTREO MANUAL DE AGUAS SUBTERRÁNEAS</v>
          </cell>
          <cell r="D231" t="str">
            <v>MPZ-11B MICHINCHA</v>
          </cell>
          <cell r="E231" t="str">
            <v>ASUB</v>
          </cell>
          <cell r="F231" t="str">
            <v>2026-04-01</v>
          </cell>
          <cell r="G231" t="str">
            <v>2026-04-07</v>
          </cell>
          <cell r="H231" t="str">
            <v>SIGVA</v>
          </cell>
          <cell r="I231" t="str">
            <v>ta</v>
          </cell>
        </row>
        <row r="232">
          <cell r="A232" t="str">
            <v>MPZ-11B MICHINCHA/NF</v>
          </cell>
          <cell r="B232" t="str">
            <v>03649106</v>
          </cell>
          <cell r="C232" t="str">
            <v>MEDICION DE NIVELES FREATICOS</v>
          </cell>
          <cell r="D232" t="str">
            <v>MPZ-11B MICHINCHA</v>
          </cell>
          <cell r="E232" t="str">
            <v>NF</v>
          </cell>
          <cell r="F232" t="str">
            <v>2026-04-01</v>
          </cell>
          <cell r="G232" t="str">
            <v>2026-04-07</v>
          </cell>
          <cell r="H232" t="str">
            <v>SIGVA</v>
          </cell>
          <cell r="I232" t="str">
            <v>ta</v>
          </cell>
        </row>
        <row r="233">
          <cell r="A233" t="str">
            <v>MPZ-12A TRANQUE/NF</v>
          </cell>
          <cell r="B233" t="str">
            <v>03649107</v>
          </cell>
          <cell r="C233" t="str">
            <v>MEDICION DE NIVELES FREATICOS</v>
          </cell>
          <cell r="D233" t="str">
            <v>MPZ-12A TRANQUE</v>
          </cell>
          <cell r="E233" t="str">
            <v>NF</v>
          </cell>
          <cell r="F233" t="str">
            <v>2026-04-01</v>
          </cell>
          <cell r="G233" t="str">
            <v>2026-04-14</v>
          </cell>
          <cell r="H233" t="str">
            <v>SIGVA</v>
          </cell>
          <cell r="I233" t="str">
            <v>ta</v>
          </cell>
        </row>
        <row r="234">
          <cell r="A234" t="str">
            <v>MPZ-12A TRANQUE/ASUB</v>
          </cell>
          <cell r="B234" t="str">
            <v>03649108</v>
          </cell>
          <cell r="C234" t="str">
            <v>MUESTREO MANUAL DE AGUAS SUBTERRÁNEAS</v>
          </cell>
          <cell r="D234" t="str">
            <v>MPZ-12A TRANQUE</v>
          </cell>
          <cell r="E234" t="str">
            <v>ASUB</v>
          </cell>
          <cell r="F234" t="str">
            <v>2026-04-01</v>
          </cell>
          <cell r="G234" t="str">
            <v>2026-04-14</v>
          </cell>
          <cell r="H234" t="str">
            <v>SIGVA</v>
          </cell>
          <cell r="I234" t="str">
            <v>ta</v>
          </cell>
        </row>
        <row r="235">
          <cell r="A235" t="str">
            <v>MPZ-10A LIXIVIACIÓN/NF</v>
          </cell>
          <cell r="B235" t="str">
            <v>03649109</v>
          </cell>
          <cell r="C235" t="str">
            <v>MEDICION DE NIVELES FREATICOS</v>
          </cell>
          <cell r="D235" t="str">
            <v>MPZ-10A LIXIVIACIÓN</v>
          </cell>
          <cell r="E235" t="str">
            <v>NF</v>
          </cell>
          <cell r="F235" t="str">
            <v>2026-04-01</v>
          </cell>
          <cell r="G235" t="str">
            <v>2026-04-07</v>
          </cell>
          <cell r="H235" t="str">
            <v>SIGVA</v>
          </cell>
          <cell r="I235" t="str">
            <v>ta</v>
          </cell>
        </row>
        <row r="236">
          <cell r="A236" t="str">
            <v>MPZ-10B LIXIVIACIÓN/NF</v>
          </cell>
          <cell r="B236" t="str">
            <v>03649110</v>
          </cell>
          <cell r="C236" t="str">
            <v>MEDICION DE NIVELES FREATICOS</v>
          </cell>
          <cell r="D236" t="str">
            <v>MPZ-10B LIXIVIACIÓN</v>
          </cell>
          <cell r="E236" t="str">
            <v>NF</v>
          </cell>
          <cell r="F236" t="str">
            <v>2026-04-01</v>
          </cell>
          <cell r="G236" t="str">
            <v>2026-04-07</v>
          </cell>
          <cell r="H236" t="str">
            <v>SIGVA</v>
          </cell>
          <cell r="I236" t="str">
            <v>ta</v>
          </cell>
        </row>
        <row r="237">
          <cell r="A237" t="str">
            <v>MSW-1A MICHINCHA/ASUP</v>
          </cell>
          <cell r="B237" t="str">
            <v>03649111</v>
          </cell>
          <cell r="C237" t="str">
            <v>MUESTREO MANUAL DE AGUAS SUPERFICIALES</v>
          </cell>
          <cell r="D237" t="str">
            <v>MSW-1A MICHINCHA</v>
          </cell>
          <cell r="E237" t="str">
            <v>ASUP</v>
          </cell>
          <cell r="F237" t="str">
            <v>2026-04-01</v>
          </cell>
          <cell r="G237" t="str">
            <v>2026-04-07</v>
          </cell>
          <cell r="H237" t="str">
            <v>SIGVA</v>
          </cell>
          <cell r="I237" t="str">
            <v>ta</v>
          </cell>
        </row>
        <row r="238">
          <cell r="A238" t="str">
            <v>MSW-2 MICHINCHA/ASUP</v>
          </cell>
          <cell r="B238" t="str">
            <v>03649112</v>
          </cell>
          <cell r="C238" t="str">
            <v>MUESTREO MANUAL DE AGUAS SUPERFICIALES</v>
          </cell>
          <cell r="D238" t="str">
            <v>MSW-2 MICHINCHA</v>
          </cell>
          <cell r="E238" t="str">
            <v>ASUP</v>
          </cell>
          <cell r="F238" t="str">
            <v>2026-04-01</v>
          </cell>
          <cell r="G238" t="str">
            <v>2026-04-07</v>
          </cell>
          <cell r="H238" t="str">
            <v>SIGVA</v>
          </cell>
          <cell r="I238" t="str">
            <v>ta</v>
          </cell>
        </row>
        <row r="239">
          <cell r="A239" t="str">
            <v>MSW-2 MICHINCHA/CAUDAL</v>
          </cell>
          <cell r="B239" t="str">
            <v>03649113</v>
          </cell>
          <cell r="C239" t="str">
            <v>MEDICIÓN DE CAUDALES</v>
          </cell>
          <cell r="D239" t="str">
            <v>MSW-2 MICHINCHA</v>
          </cell>
          <cell r="E239" t="str">
            <v>CAUDAL</v>
          </cell>
          <cell r="F239" t="str">
            <v>2026-04-01</v>
          </cell>
          <cell r="G239" t="str">
            <v>2026-04-07</v>
          </cell>
          <cell r="H239" t="str">
            <v>SIGVA</v>
          </cell>
          <cell r="I239" t="str">
            <v>ta</v>
          </cell>
        </row>
        <row r="240">
          <cell r="A240" t="str">
            <v>MTP-13 MICHINCHA/NF</v>
          </cell>
          <cell r="B240" t="str">
            <v>03649114</v>
          </cell>
          <cell r="C240" t="str">
            <v>MEDICION DE NIVELES FREATICOS (PAT EIA)</v>
          </cell>
          <cell r="D240" t="str">
            <v>MTP-13 MICHINCHA</v>
          </cell>
          <cell r="E240" t="str">
            <v>NF</v>
          </cell>
          <cell r="F240" t="str">
            <v>2026-04-01</v>
          </cell>
          <cell r="G240" t="str">
            <v>2026-04-07</v>
          </cell>
          <cell r="H240" t="str">
            <v>SIGVA</v>
          </cell>
          <cell r="I240" t="str">
            <v>ta</v>
          </cell>
        </row>
        <row r="241">
          <cell r="A241" t="str">
            <v>MTP-13 MICHINCHA/ASUB</v>
          </cell>
          <cell r="B241" t="str">
            <v>03649115</v>
          </cell>
          <cell r="C241" t="str">
            <v>MUESTREO MANUAL DE AGUAS SUBTERRÁNEAS</v>
          </cell>
          <cell r="D241" t="str">
            <v>MTP-13 MICHINCHA</v>
          </cell>
          <cell r="E241" t="str">
            <v>ASUB</v>
          </cell>
          <cell r="F241" t="str">
            <v>2026-04-01</v>
          </cell>
          <cell r="G241" t="str">
            <v>2026-04-07</v>
          </cell>
          <cell r="H241" t="str">
            <v>SIGVA</v>
          </cell>
          <cell r="I241" t="str">
            <v>ta</v>
          </cell>
        </row>
        <row r="242">
          <cell r="A242" t="str">
            <v>MTP-09 TRANQUE/NF</v>
          </cell>
          <cell r="B242" t="str">
            <v>03649116</v>
          </cell>
          <cell r="C242" t="str">
            <v>MEDICION DE NIVELES FREATICOS (PAT EIA)</v>
          </cell>
          <cell r="D242" t="str">
            <v>MTP-09 TRANQUE</v>
          </cell>
          <cell r="E242" t="str">
            <v>NF</v>
          </cell>
          <cell r="F242" t="str">
            <v>2026-04-01</v>
          </cell>
          <cell r="G242" t="str">
            <v>2026-04-07</v>
          </cell>
          <cell r="H242" t="str">
            <v>SIGVA</v>
          </cell>
          <cell r="I242" t="str">
            <v>ta</v>
          </cell>
        </row>
        <row r="243">
          <cell r="A243" t="str">
            <v>MTP-09 TRANQUE/ASUB</v>
          </cell>
          <cell r="B243" t="str">
            <v>03649117</v>
          </cell>
          <cell r="C243" t="str">
            <v>MUESTREO MANUAL DE AGUAS SUBTERRÁNEAS</v>
          </cell>
          <cell r="D243" t="str">
            <v>MTP-09 TRANQUE</v>
          </cell>
          <cell r="E243" t="str">
            <v>ASUB</v>
          </cell>
          <cell r="F243" t="str">
            <v>2026-04-01</v>
          </cell>
          <cell r="G243" t="str">
            <v>2026-04-07</v>
          </cell>
          <cell r="H243" t="str">
            <v>SIGVA</v>
          </cell>
          <cell r="I243" t="str">
            <v>ta</v>
          </cell>
        </row>
        <row r="244">
          <cell r="A244" t="str">
            <v>MTP-14 TRANQUE/NF</v>
          </cell>
          <cell r="B244" t="str">
            <v>03649118</v>
          </cell>
          <cell r="C244" t="str">
            <v>MEDICION DE NIVELES FREATICOS (PAT EIA)</v>
          </cell>
          <cell r="D244" t="str">
            <v>MTP-14 TRANQUE</v>
          </cell>
          <cell r="E244" t="str">
            <v>NF</v>
          </cell>
          <cell r="F244" t="str">
            <v>2026-04-01</v>
          </cell>
          <cell r="G244" t="str">
            <v>2026-04-07</v>
          </cell>
          <cell r="H244" t="str">
            <v>SIGVA</v>
          </cell>
          <cell r="I244" t="str">
            <v>ta</v>
          </cell>
        </row>
        <row r="245">
          <cell r="A245" t="str">
            <v>MTP-14 TRANQUE/ASUB</v>
          </cell>
          <cell r="B245" t="str">
            <v>03649119</v>
          </cell>
          <cell r="C245" t="str">
            <v>MUESTREO MANUAL DE AGUAS SUBTERRÁNEAS</v>
          </cell>
          <cell r="D245" t="str">
            <v>MTP-14 TRANQUE</v>
          </cell>
          <cell r="E245" t="str">
            <v>ASUB</v>
          </cell>
          <cell r="F245" t="str">
            <v>2026-04-01</v>
          </cell>
          <cell r="G245" t="str">
            <v>2026-04-07</v>
          </cell>
          <cell r="H245" t="str">
            <v>SIGVA</v>
          </cell>
          <cell r="I245" t="str">
            <v>ta</v>
          </cell>
        </row>
        <row r="246">
          <cell r="A246" t="str">
            <v>PCA-07 CHICLLA/ASUB</v>
          </cell>
          <cell r="B246" t="str">
            <v>03649120</v>
          </cell>
          <cell r="C246" t="str">
            <v>MUESTREO MANUAL DE AGUAS SUBTERRÁNEAS</v>
          </cell>
          <cell r="D246" t="str">
            <v>PCA-07 CHICLLA</v>
          </cell>
          <cell r="E246" t="str">
            <v>ASUB</v>
          </cell>
          <cell r="F246" t="str">
            <v>2026-04-01</v>
          </cell>
          <cell r="G246" t="str">
            <v>2026-04-14</v>
          </cell>
          <cell r="H246" t="str">
            <v>SIGVA</v>
          </cell>
          <cell r="I246" t="str">
            <v>lunes paf</v>
          </cell>
        </row>
        <row r="247">
          <cell r="A247" t="str">
            <v>PCA-07 CHICLLA/NF</v>
          </cell>
          <cell r="B247" t="str">
            <v>03649121</v>
          </cell>
          <cell r="C247" t="str">
            <v>MEDICION DE NIVELES FREATICOS</v>
          </cell>
          <cell r="D247" t="str">
            <v>PCA-07 CHICLLA</v>
          </cell>
          <cell r="E247" t="str">
            <v>NF</v>
          </cell>
          <cell r="F247" t="str">
            <v>2026-04-01</v>
          </cell>
          <cell r="G247" t="str">
            <v>2026-04-14</v>
          </cell>
          <cell r="H247" t="str">
            <v>SIGVA</v>
          </cell>
          <cell r="I247" t="str">
            <v>lunes paf</v>
          </cell>
        </row>
        <row r="248">
          <cell r="A248" t="str">
            <v>PDS-01 COPOSA CENTRO/NF</v>
          </cell>
          <cell r="B248" t="str">
            <v>03649122</v>
          </cell>
          <cell r="C248" t="str">
            <v>MEDICION DE NIVELES FREATICOS (PAT EIA y</v>
          </cell>
          <cell r="D248" t="str">
            <v>PDS-01 COPOSA CENTRO</v>
          </cell>
          <cell r="E248" t="str">
            <v>NF</v>
          </cell>
          <cell r="F248" t="str">
            <v>2026-04-01</v>
          </cell>
          <cell r="G248" t="str">
            <v>2026-04-14</v>
          </cell>
          <cell r="H248" t="str">
            <v>SIGVA</v>
          </cell>
          <cell r="I248" t="str">
            <v>ta</v>
          </cell>
        </row>
        <row r="249">
          <cell r="A249" t="str">
            <v>PEM-05 TRANQUE/ASUB</v>
          </cell>
          <cell r="B249" t="str">
            <v>03649123</v>
          </cell>
          <cell r="C249" t="str">
            <v>MUESTREO MANUAL DE AGUAS SUBTERRÁNEAS</v>
          </cell>
          <cell r="D249" t="str">
            <v>PEM-05 TRANQUE</v>
          </cell>
          <cell r="E249" t="str">
            <v>ASUB</v>
          </cell>
          <cell r="F249" t="str">
            <v>2026-04-01</v>
          </cell>
          <cell r="G249" t="str">
            <v>2026-04-14</v>
          </cell>
          <cell r="H249" t="str">
            <v>SIGVA</v>
          </cell>
          <cell r="I249" t="str">
            <v>ta</v>
          </cell>
        </row>
        <row r="250">
          <cell r="A250" t="str">
            <v>PEM-05 TRANQUE/NF</v>
          </cell>
          <cell r="B250" t="str">
            <v>03649124</v>
          </cell>
          <cell r="C250" t="str">
            <v>MEDICION DE NIVELES FREATICOS</v>
          </cell>
          <cell r="D250" t="str">
            <v>PEM-05 TRANQUE</v>
          </cell>
          <cell r="E250" t="str">
            <v>NF</v>
          </cell>
          <cell r="F250" t="str">
            <v>2026-04-01</v>
          </cell>
          <cell r="G250" t="str">
            <v>2026-04-14</v>
          </cell>
          <cell r="H250" t="str">
            <v>SIGVA</v>
          </cell>
          <cell r="I250" t="str">
            <v>ta</v>
          </cell>
        </row>
        <row r="251">
          <cell r="A251" t="str">
            <v>PEM-06 TRANQUE/ASUB</v>
          </cell>
          <cell r="B251" t="str">
            <v>03649125</v>
          </cell>
          <cell r="C251" t="str">
            <v>MUESTREO MANUAL DE AGUAS SUBTERRÁNEAS</v>
          </cell>
          <cell r="D251" t="str">
            <v>PEM-06 TRANQUE</v>
          </cell>
          <cell r="E251" t="str">
            <v>ASUB</v>
          </cell>
          <cell r="F251" t="str">
            <v>2026-04-01</v>
          </cell>
          <cell r="G251" t="str">
            <v>2026-04-14</v>
          </cell>
          <cell r="H251" t="str">
            <v>SIGVA</v>
          </cell>
          <cell r="I251" t="str">
            <v>ta</v>
          </cell>
        </row>
        <row r="252">
          <cell r="A252" t="str">
            <v>PEM-06 TRANQUE/NF</v>
          </cell>
          <cell r="B252" t="str">
            <v>03649126</v>
          </cell>
          <cell r="C252" t="str">
            <v>MEDICIÓN NIVELES FREÁTICOS</v>
          </cell>
          <cell r="D252" t="str">
            <v>PEM-06 TRANQUE</v>
          </cell>
          <cell r="E252" t="str">
            <v>NF</v>
          </cell>
          <cell r="F252" t="str">
            <v>2026-04-01</v>
          </cell>
          <cell r="G252" t="str">
            <v>2026-04-14</v>
          </cell>
          <cell r="H252" t="str">
            <v>SIGVA</v>
          </cell>
          <cell r="I252" t="str">
            <v>ta</v>
          </cell>
        </row>
        <row r="253">
          <cell r="A253" t="str">
            <v>PLIX-01A LIXIVIACIÓN/ASUB</v>
          </cell>
          <cell r="B253" t="str">
            <v>03649127</v>
          </cell>
          <cell r="C253" t="str">
            <v>MUESTREO MANUAL DE AGUAS SUBTERRÁNEAS</v>
          </cell>
          <cell r="D253" t="str">
            <v>PLIX-01A LIXIVIACIÓN</v>
          </cell>
          <cell r="E253" t="str">
            <v>ASUB</v>
          </cell>
          <cell r="F253" t="str">
            <v>2026-04-01</v>
          </cell>
          <cell r="G253" t="str">
            <v>2026-04-07</v>
          </cell>
          <cell r="H253" t="str">
            <v>SIGVA</v>
          </cell>
          <cell r="I253" t="str">
            <v>ta</v>
          </cell>
        </row>
        <row r="254">
          <cell r="A254" t="str">
            <v>PLIX-01B LIXIVIACIÓN/ASUB</v>
          </cell>
          <cell r="B254" t="str">
            <v>03649128</v>
          </cell>
          <cell r="C254" t="str">
            <v>MUESTREO MANUAL DE AGUAS SUBTERRÁNEAS</v>
          </cell>
          <cell r="D254" t="str">
            <v>PLIX-01B LIXIVIACIÓN</v>
          </cell>
          <cell r="E254" t="str">
            <v>ASUB</v>
          </cell>
          <cell r="F254" t="str">
            <v>2026-04-01</v>
          </cell>
          <cell r="G254" t="str">
            <v>2026-04-07</v>
          </cell>
          <cell r="H254" t="str">
            <v>SIGVA</v>
          </cell>
          <cell r="I254" t="str">
            <v>ta</v>
          </cell>
        </row>
        <row r="255">
          <cell r="A255" t="str">
            <v>PLIX-02A LIXIVIACIÓN/ASUB</v>
          </cell>
          <cell r="B255" t="str">
            <v>03649129</v>
          </cell>
          <cell r="C255" t="str">
            <v>MUESTREO MANUAL DE AGUAS SUBTERRÁNEAS</v>
          </cell>
          <cell r="D255" t="str">
            <v>PLIX-02A LIXIVIACIÓN</v>
          </cell>
          <cell r="E255" t="str">
            <v>ASUB</v>
          </cell>
          <cell r="F255" t="str">
            <v>2026-04-01</v>
          </cell>
          <cell r="G255" t="str">
            <v>2026-04-07</v>
          </cell>
          <cell r="H255" t="str">
            <v>SIGVA</v>
          </cell>
          <cell r="I255" t="str">
            <v>ta</v>
          </cell>
        </row>
        <row r="256">
          <cell r="A256" t="str">
            <v>PLIX-02B LIXIVIACIÓN/ASUB</v>
          </cell>
          <cell r="B256" t="str">
            <v>03649130</v>
          </cell>
          <cell r="C256" t="str">
            <v>MUESTREO MANUAL DE AGUAS SUBTERRÁNEAS</v>
          </cell>
          <cell r="D256" t="str">
            <v>PLIX-02B LIXIVIACIÓN</v>
          </cell>
          <cell r="E256" t="str">
            <v>ASUB</v>
          </cell>
          <cell r="F256" t="str">
            <v>2026-04-01</v>
          </cell>
          <cell r="G256" t="str">
            <v>2026-04-07</v>
          </cell>
          <cell r="H256" t="str">
            <v>SIGVA</v>
          </cell>
          <cell r="I256" t="str">
            <v>ta</v>
          </cell>
        </row>
        <row r="257">
          <cell r="A257" t="str">
            <v>PLIX-03A LIXIVIACIÓN/ASUB</v>
          </cell>
          <cell r="B257" t="str">
            <v>03649131</v>
          </cell>
          <cell r="C257" t="str">
            <v>MUESTREO MANUAL DE AGUAS SUBTERRÁNEAS</v>
          </cell>
          <cell r="D257" t="str">
            <v>PLIX-03A LIXIVIACIÓN</v>
          </cell>
          <cell r="E257" t="str">
            <v>ASUB</v>
          </cell>
          <cell r="F257" t="str">
            <v>2026-04-01</v>
          </cell>
          <cell r="G257" t="str">
            <v>2026-04-07</v>
          </cell>
          <cell r="H257" t="str">
            <v>SIGVA</v>
          </cell>
          <cell r="I257" t="str">
            <v>ta</v>
          </cell>
        </row>
        <row r="258">
          <cell r="A258" t="str">
            <v>PLIX-03B LIXIVIACIÓN/ASUB</v>
          </cell>
          <cell r="B258" t="str">
            <v>03649132</v>
          </cell>
          <cell r="C258" t="str">
            <v>MUESTREO MANUAL DE AGUAS SUBTERRÁNEAS</v>
          </cell>
          <cell r="D258" t="str">
            <v>PLIX-03B LIXIVIACIÓN</v>
          </cell>
          <cell r="E258" t="str">
            <v>ASUB</v>
          </cell>
          <cell r="F258" t="str">
            <v>2026-04-01</v>
          </cell>
          <cell r="G258" t="str">
            <v>2026-04-07</v>
          </cell>
          <cell r="H258" t="str">
            <v>SIGVA</v>
          </cell>
          <cell r="I258" t="str">
            <v>ta</v>
          </cell>
        </row>
        <row r="259">
          <cell r="A259" t="str">
            <v>PLIX-04 LIXIVIACIÓN/ASUB</v>
          </cell>
          <cell r="B259" t="str">
            <v>03649133</v>
          </cell>
          <cell r="C259" t="str">
            <v>MUESTREO MANUAL DE AGUAS SUBTERRÁNEAS</v>
          </cell>
          <cell r="D259" t="str">
            <v>PLIX-04 LIXIVIACIÓN</v>
          </cell>
          <cell r="E259" t="str">
            <v>ASUB</v>
          </cell>
          <cell r="F259" t="str">
            <v>2026-04-01</v>
          </cell>
          <cell r="G259" t="str">
            <v>2026-04-07</v>
          </cell>
          <cell r="H259" t="str">
            <v>SIGVA</v>
          </cell>
          <cell r="I259" t="str">
            <v>ta</v>
          </cell>
        </row>
        <row r="260">
          <cell r="A260" t="str">
            <v>PLIX-05A LIXIVIACIÓN/ASUB</v>
          </cell>
          <cell r="B260" t="str">
            <v>03649134</v>
          </cell>
          <cell r="C260" t="str">
            <v>MUESTREO MANUAL DE AGUAS SUBTERRÁNEAS</v>
          </cell>
          <cell r="D260" t="str">
            <v>PLIX-05A LIXIVIACIÓN</v>
          </cell>
          <cell r="E260" t="str">
            <v>ASUB</v>
          </cell>
          <cell r="F260" t="str">
            <v>2026-04-01</v>
          </cell>
          <cell r="G260" t="str">
            <v>2026-04-07</v>
          </cell>
          <cell r="H260" t="str">
            <v>SIGVA</v>
          </cell>
          <cell r="I260" t="str">
            <v>ta</v>
          </cell>
        </row>
        <row r="261">
          <cell r="A261" t="str">
            <v>PLIX-05B LIXIVIACIÓN/ASUB</v>
          </cell>
          <cell r="B261" t="str">
            <v>03649135</v>
          </cell>
          <cell r="C261" t="str">
            <v>MUESTREO MANUAL DE AGUAS SUBTERRÁNEAS</v>
          </cell>
          <cell r="D261" t="str">
            <v>PLIX-05B LIXIVIACIÓN</v>
          </cell>
          <cell r="E261" t="str">
            <v>ASUB</v>
          </cell>
          <cell r="F261" t="str">
            <v>2026-04-01</v>
          </cell>
          <cell r="G261" t="str">
            <v>2026-04-07</v>
          </cell>
          <cell r="H261" t="str">
            <v>SIGVA</v>
          </cell>
          <cell r="I261" t="str">
            <v>ta</v>
          </cell>
        </row>
        <row r="262">
          <cell r="A262" t="str">
            <v>PLIX-06 LIXIVIACIÓN/ASUB</v>
          </cell>
          <cell r="B262" t="str">
            <v>03649136</v>
          </cell>
          <cell r="C262" t="str">
            <v>MUESTREO MANUAL DE AGUAS SUBTERRÁNEAS</v>
          </cell>
          <cell r="D262" t="str">
            <v>PLIX-06 LIXIVIACIÓN</v>
          </cell>
          <cell r="E262" t="str">
            <v>ASUB</v>
          </cell>
          <cell r="F262" t="str">
            <v>2026-04-01</v>
          </cell>
          <cell r="G262" t="str">
            <v>2026-04-07</v>
          </cell>
          <cell r="H262" t="str">
            <v>SIGVA</v>
          </cell>
          <cell r="I262" t="str">
            <v>ta</v>
          </cell>
        </row>
        <row r="263">
          <cell r="A263" t="str">
            <v>PLIX-07A LIXIVIACIÓN/ASUB</v>
          </cell>
          <cell r="B263" t="str">
            <v>03649137</v>
          </cell>
          <cell r="C263" t="str">
            <v>MUESTREO MANUAL DE AGUAS SUBTERRÁNEAS</v>
          </cell>
          <cell r="D263" t="str">
            <v>PLIX-07A LIXIVIACIÓN</v>
          </cell>
          <cell r="E263" t="str">
            <v>ASUB</v>
          </cell>
          <cell r="F263" t="str">
            <v>2026-04-01</v>
          </cell>
          <cell r="G263" t="str">
            <v>2026-04-07</v>
          </cell>
          <cell r="H263" t="str">
            <v>SIGVA</v>
          </cell>
          <cell r="I263" t="str">
            <v>ta</v>
          </cell>
        </row>
        <row r="264">
          <cell r="A264" t="str">
            <v>PLIX-07B LIXIVIACIÓN/ASUB</v>
          </cell>
          <cell r="B264" t="str">
            <v>03649138</v>
          </cell>
          <cell r="C264" t="str">
            <v>MUESTREO MANUAL DE AGUAS SUBTERRÁNEAS</v>
          </cell>
          <cell r="D264" t="str">
            <v>PLIX-07B LIXIVIACIÓN</v>
          </cell>
          <cell r="E264" t="str">
            <v>ASUB</v>
          </cell>
          <cell r="F264" t="str">
            <v>2026-04-01</v>
          </cell>
          <cell r="G264" t="str">
            <v>2026-04-07</v>
          </cell>
          <cell r="H264" t="str">
            <v>SIGVA</v>
          </cell>
          <cell r="I264" t="str">
            <v>ta</v>
          </cell>
        </row>
        <row r="265">
          <cell r="A265" t="str">
            <v>PLIX-08A LIXIVIACIÓN/ASUB</v>
          </cell>
          <cell r="B265" t="str">
            <v>03649139</v>
          </cell>
          <cell r="C265" t="str">
            <v>MUESTREO MANUAL DE AGUAS SUBTERRÁNEAS</v>
          </cell>
          <cell r="D265" t="str">
            <v>PLIX-08A LIXIVIACIÓN</v>
          </cell>
          <cell r="E265" t="str">
            <v>ASUB</v>
          </cell>
          <cell r="F265" t="str">
            <v>2026-04-01</v>
          </cell>
          <cell r="G265" t="str">
            <v>2026-04-07</v>
          </cell>
          <cell r="H265" t="str">
            <v>SIGVA</v>
          </cell>
          <cell r="I265" t="str">
            <v>ta</v>
          </cell>
        </row>
        <row r="266">
          <cell r="A266" t="str">
            <v>PLIX-08B LIXIVIACIÓN/ASUB</v>
          </cell>
          <cell r="B266" t="str">
            <v>03649140</v>
          </cell>
          <cell r="C266" t="str">
            <v>MUESTREO MANUAL DE AGUAS SUBTERRÁNEAS</v>
          </cell>
          <cell r="D266" t="str">
            <v>PLIX-08B LIXIVIACIÓN</v>
          </cell>
          <cell r="E266" t="str">
            <v>ASUB</v>
          </cell>
          <cell r="F266" t="str">
            <v>2026-04-01</v>
          </cell>
          <cell r="G266" t="str">
            <v>2026-04-07</v>
          </cell>
          <cell r="H266" t="str">
            <v>SIGVA</v>
          </cell>
          <cell r="I266" t="str">
            <v>ta</v>
          </cell>
        </row>
        <row r="267">
          <cell r="A267" t="str">
            <v>PLIX-09 LIXIVIACIÓN/ASUB</v>
          </cell>
          <cell r="B267" t="str">
            <v>03649141</v>
          </cell>
          <cell r="C267" t="str">
            <v>MUESTREO MANUAL DE AGUAS SUBTERRÁNEAS</v>
          </cell>
          <cell r="D267" t="str">
            <v>PLIX-09 LIXIVIACIÓN</v>
          </cell>
          <cell r="E267" t="str">
            <v>ASUB</v>
          </cell>
          <cell r="F267" t="str">
            <v>2026-04-01</v>
          </cell>
          <cell r="G267" t="str">
            <v>2026-04-07</v>
          </cell>
          <cell r="H267" t="str">
            <v>SIGVA</v>
          </cell>
          <cell r="I267" t="str">
            <v>ta</v>
          </cell>
        </row>
        <row r="268">
          <cell r="A268" t="str">
            <v>PLIX-10A LIXIVIACIÓN/ASUB</v>
          </cell>
          <cell r="B268" t="str">
            <v>03649142</v>
          </cell>
          <cell r="C268" t="str">
            <v>MUESTREO MANUAL DE AGUAS SUBTERRÁNEAS</v>
          </cell>
          <cell r="D268" t="str">
            <v>PLIX-10A LIXIVIACIÓN</v>
          </cell>
          <cell r="E268" t="str">
            <v>ASUB</v>
          </cell>
          <cell r="F268" t="str">
            <v>2026-04-01</v>
          </cell>
          <cell r="G268" t="str">
            <v>2026-04-07</v>
          </cell>
          <cell r="H268" t="str">
            <v>SIGVA</v>
          </cell>
          <cell r="I268" t="str">
            <v>ta</v>
          </cell>
        </row>
        <row r="269">
          <cell r="A269" t="str">
            <v>PLIX-10B LIXIVIACIÓN/ASUB</v>
          </cell>
          <cell r="B269" t="str">
            <v>03649143</v>
          </cell>
          <cell r="C269" t="str">
            <v>MUESTREO MANUAL DE AGUAS SUBTERRÁNEAS</v>
          </cell>
          <cell r="D269" t="str">
            <v>PLIX-10B LIXIVIACIÓN</v>
          </cell>
          <cell r="E269" t="str">
            <v>ASUB</v>
          </cell>
          <cell r="F269" t="str">
            <v>2026-04-01</v>
          </cell>
          <cell r="G269" t="str">
            <v>2026-04-07</v>
          </cell>
          <cell r="H269" t="str">
            <v>SIGVA</v>
          </cell>
          <cell r="I269" t="str">
            <v>ta</v>
          </cell>
        </row>
        <row r="270">
          <cell r="A270" t="str">
            <v>PLIX-11A LIXIVIACIÓN/ASUB</v>
          </cell>
          <cell r="B270" t="str">
            <v>03649144</v>
          </cell>
          <cell r="C270" t="str">
            <v>MUESTREO MANUAL DE AGUAS SUBTERRÁNEAS</v>
          </cell>
          <cell r="D270" t="str">
            <v>PLIX-11A LIXIVIACIÓN</v>
          </cell>
          <cell r="E270" t="str">
            <v>ASUB</v>
          </cell>
          <cell r="F270" t="str">
            <v>2026-04-01</v>
          </cell>
          <cell r="G270" t="str">
            <v>2026-04-07</v>
          </cell>
          <cell r="H270" t="str">
            <v>SIGVA</v>
          </cell>
          <cell r="I270" t="str">
            <v>ta</v>
          </cell>
        </row>
        <row r="271">
          <cell r="A271" t="str">
            <v>PLIX-11B LIXIVIACIÓN/ASUB</v>
          </cell>
          <cell r="B271" t="str">
            <v>03649145</v>
          </cell>
          <cell r="C271" t="str">
            <v>MUESTREO MANUAL DE AGUAS SUBTERRÁNEAS</v>
          </cell>
          <cell r="D271" t="str">
            <v>PLIX-11B LIXIVIACIÓN</v>
          </cell>
          <cell r="E271" t="str">
            <v>ASUB</v>
          </cell>
          <cell r="F271" t="str">
            <v>2026-04-01</v>
          </cell>
          <cell r="G271" t="str">
            <v>2026-04-07</v>
          </cell>
          <cell r="H271" t="str">
            <v>SIGVA</v>
          </cell>
          <cell r="I271" t="str">
            <v>ta</v>
          </cell>
        </row>
        <row r="272">
          <cell r="A272" t="str">
            <v>PLIX-12B LIXIVIACIÓN/ASUB</v>
          </cell>
          <cell r="B272" t="str">
            <v>03649146</v>
          </cell>
          <cell r="C272" t="str">
            <v>MUESTREO MANUAL DE AGUAS SUBTERRÁNEAS</v>
          </cell>
          <cell r="D272" t="str">
            <v>PLIX-12B LIXIVIACIÓN</v>
          </cell>
          <cell r="E272" t="str">
            <v>ASUB</v>
          </cell>
          <cell r="F272" t="str">
            <v>2026-04-01</v>
          </cell>
          <cell r="G272" t="str">
            <v>2026-04-07</v>
          </cell>
          <cell r="H272" t="str">
            <v>SIGVA</v>
          </cell>
          <cell r="I272" t="str">
            <v>ta</v>
          </cell>
        </row>
        <row r="273">
          <cell r="A273" t="str">
            <v>PLIX-13A LIXIVIACIÓN/ASUB</v>
          </cell>
          <cell r="B273" t="str">
            <v>03649147</v>
          </cell>
          <cell r="C273" t="str">
            <v>MUESTREO MANUAL DE AGUAS SUBTERRÁNEAS</v>
          </cell>
          <cell r="D273" t="str">
            <v>PLIX-13A LIXIVIACIÓN</v>
          </cell>
          <cell r="E273" t="str">
            <v>ASUB</v>
          </cell>
          <cell r="F273" t="str">
            <v>2026-04-01</v>
          </cell>
          <cell r="G273" t="str">
            <v>2026-04-07</v>
          </cell>
          <cell r="H273" t="str">
            <v>SIGVA</v>
          </cell>
          <cell r="I273" t="str">
            <v>ta</v>
          </cell>
        </row>
        <row r="274">
          <cell r="A274" t="str">
            <v>PLIX-13B LIXIVIACIÓN/ASUB</v>
          </cell>
          <cell r="B274" t="str">
            <v>03649148</v>
          </cell>
          <cell r="C274" t="str">
            <v>MUESTREO MANUAL DE AGUAS SUBTERRÁNEAS</v>
          </cell>
          <cell r="D274" t="str">
            <v>PLIX-13B LIXIVIACIÓN</v>
          </cell>
          <cell r="E274" t="str">
            <v>ASUB</v>
          </cell>
          <cell r="F274" t="str">
            <v>2026-04-01</v>
          </cell>
          <cell r="G274" t="str">
            <v>2026-04-07</v>
          </cell>
          <cell r="H274" t="str">
            <v>SIGVA</v>
          </cell>
          <cell r="I274" t="str">
            <v>ta</v>
          </cell>
        </row>
        <row r="275">
          <cell r="A275" t="str">
            <v>PLIX-14 LIXIVIACIÓN/ASUB</v>
          </cell>
          <cell r="B275" t="str">
            <v>03649149</v>
          </cell>
          <cell r="C275" t="str">
            <v>MUESTREO MANUAL DE AGUAS SUBTERRÁNEAS</v>
          </cell>
          <cell r="D275" t="str">
            <v>PLIX-14 LIXIVIACIÓN</v>
          </cell>
          <cell r="E275" t="str">
            <v>ASUB</v>
          </cell>
          <cell r="F275" t="str">
            <v>2026-04-01</v>
          </cell>
          <cell r="G275" t="str">
            <v>2026-04-07</v>
          </cell>
          <cell r="H275" t="str">
            <v>SIGVA</v>
          </cell>
          <cell r="I275" t="str">
            <v>ta</v>
          </cell>
        </row>
        <row r="276">
          <cell r="A276" t="str">
            <v>PLIX-01A LIXIVIACIÓN/NF</v>
          </cell>
          <cell r="B276" t="str">
            <v>03649150</v>
          </cell>
          <cell r="C276" t="str">
            <v>MEDICION DE NIVELES FREATICOS</v>
          </cell>
          <cell r="D276" t="str">
            <v>PLIX-01A LIXIVIACIÓN</v>
          </cell>
          <cell r="E276" t="str">
            <v>NF</v>
          </cell>
          <cell r="F276" t="str">
            <v>2026-04-01</v>
          </cell>
          <cell r="G276" t="str">
            <v>2026-04-07</v>
          </cell>
          <cell r="H276" t="str">
            <v>SIGVA</v>
          </cell>
          <cell r="I276" t="str">
            <v>ta</v>
          </cell>
        </row>
        <row r="277">
          <cell r="A277" t="str">
            <v>PLIX-01B LIXIVIACIÓN/NF</v>
          </cell>
          <cell r="B277" t="str">
            <v>03649151</v>
          </cell>
          <cell r="C277" t="str">
            <v>MEDICION DE NIVELES FREATICOS</v>
          </cell>
          <cell r="D277" t="str">
            <v>PLIX-01B LIXIVIACIÓN</v>
          </cell>
          <cell r="E277" t="str">
            <v>NF</v>
          </cell>
          <cell r="F277" t="str">
            <v>2026-04-01</v>
          </cell>
          <cell r="G277" t="str">
            <v>2026-04-07</v>
          </cell>
          <cell r="H277" t="str">
            <v>SIGVA</v>
          </cell>
          <cell r="I277" t="str">
            <v>ta</v>
          </cell>
        </row>
        <row r="278">
          <cell r="A278" t="str">
            <v>PLIX-02A LIXIVIACIÓN/NF</v>
          </cell>
          <cell r="B278" t="str">
            <v>03649152</v>
          </cell>
          <cell r="C278" t="str">
            <v>MEDICION DE NIVELES FREATICOS</v>
          </cell>
          <cell r="D278" t="str">
            <v>PLIX-02A LIXIVIACIÓN</v>
          </cell>
          <cell r="E278" t="str">
            <v>NF</v>
          </cell>
          <cell r="F278" t="str">
            <v>2026-04-01</v>
          </cell>
          <cell r="G278" t="str">
            <v>2026-04-07</v>
          </cell>
          <cell r="H278" t="str">
            <v>SIGVA</v>
          </cell>
          <cell r="I278" t="str">
            <v>ta</v>
          </cell>
        </row>
        <row r="279">
          <cell r="A279" t="str">
            <v>PLIX-02B LIXIVIACIÓN/NF</v>
          </cell>
          <cell r="B279" t="str">
            <v>03649153</v>
          </cell>
          <cell r="C279" t="str">
            <v>MEDICION DE NIVELES FREATICOS</v>
          </cell>
          <cell r="D279" t="str">
            <v>PLIX-02B LIXIVIACIÓN</v>
          </cell>
          <cell r="E279" t="str">
            <v>NF</v>
          </cell>
          <cell r="F279" t="str">
            <v>2026-04-01</v>
          </cell>
          <cell r="G279" t="str">
            <v>2026-04-07</v>
          </cell>
          <cell r="H279" t="str">
            <v>SIGVA</v>
          </cell>
          <cell r="I279" t="str">
            <v>ta</v>
          </cell>
        </row>
        <row r="280">
          <cell r="A280" t="str">
            <v>PLIX-03A LIXIVIACIÓN/NF</v>
          </cell>
          <cell r="B280" t="str">
            <v>03649154</v>
          </cell>
          <cell r="C280" t="str">
            <v>MEDICION DE NIVELES FREATICOS</v>
          </cell>
          <cell r="D280" t="str">
            <v>PLIX-03A LIXIVIACIÓN</v>
          </cell>
          <cell r="E280" t="str">
            <v>NF</v>
          </cell>
          <cell r="F280" t="str">
            <v>2026-04-01</v>
          </cell>
          <cell r="G280" t="str">
            <v>2026-04-07</v>
          </cell>
          <cell r="H280" t="str">
            <v>SIGVA</v>
          </cell>
          <cell r="I280" t="str">
            <v>ta</v>
          </cell>
        </row>
        <row r="281">
          <cell r="A281" t="str">
            <v>PLIX-03B LIXIVIACIÓN/NF</v>
          </cell>
          <cell r="B281" t="str">
            <v>03649155</v>
          </cell>
          <cell r="C281" t="str">
            <v>MEDICION DE NIVELES FREATICOS</v>
          </cell>
          <cell r="D281" t="str">
            <v>PLIX-03B LIXIVIACIÓN</v>
          </cell>
          <cell r="E281" t="str">
            <v>NF</v>
          </cell>
          <cell r="F281" t="str">
            <v>2026-04-01</v>
          </cell>
          <cell r="G281" t="str">
            <v>2026-04-07</v>
          </cell>
          <cell r="H281" t="str">
            <v>SIGVA</v>
          </cell>
          <cell r="I281" t="str">
            <v>ta</v>
          </cell>
        </row>
        <row r="282">
          <cell r="A282" t="str">
            <v>PLIX-04 LIXIVIACIÓN/NF</v>
          </cell>
          <cell r="B282" t="str">
            <v>03649156</v>
          </cell>
          <cell r="C282" t="str">
            <v>MEDICION DE NIVELES FREATICOS</v>
          </cell>
          <cell r="D282" t="str">
            <v>PLIX-04 LIXIVIACIÓN</v>
          </cell>
          <cell r="E282" t="str">
            <v>NF</v>
          </cell>
          <cell r="F282" t="str">
            <v>2026-04-01</v>
          </cell>
          <cell r="G282" t="str">
            <v>2026-04-07</v>
          </cell>
          <cell r="H282" t="str">
            <v>SIGVA</v>
          </cell>
          <cell r="I282" t="str">
            <v>ta</v>
          </cell>
        </row>
        <row r="283">
          <cell r="A283" t="str">
            <v>PLIX-05A LIXIVIACIÓN/NF</v>
          </cell>
          <cell r="B283" t="str">
            <v>03649157</v>
          </cell>
          <cell r="C283" t="str">
            <v>MEDICION DE NIVELES FREATICOS</v>
          </cell>
          <cell r="D283" t="str">
            <v>PLIX-05A LIXIVIACIÓN</v>
          </cell>
          <cell r="E283" t="str">
            <v>NF</v>
          </cell>
          <cell r="F283" t="str">
            <v>2026-04-01</v>
          </cell>
          <cell r="G283" t="str">
            <v>2026-04-07</v>
          </cell>
          <cell r="H283" t="str">
            <v>SIGVA</v>
          </cell>
          <cell r="I283" t="str">
            <v>ta</v>
          </cell>
        </row>
        <row r="284">
          <cell r="A284" t="str">
            <v>PLIX-05B LIXIVIACIÓN/NF</v>
          </cell>
          <cell r="B284" t="str">
            <v>03649158</v>
          </cell>
          <cell r="C284" t="str">
            <v>MEDICION DE NIVELES FREATICOS</v>
          </cell>
          <cell r="D284" t="str">
            <v>PLIX-05B LIXIVIACIÓN</v>
          </cell>
          <cell r="E284" t="str">
            <v>NF</v>
          </cell>
          <cell r="F284" t="str">
            <v>2026-04-01</v>
          </cell>
          <cell r="G284" t="str">
            <v>2026-04-07</v>
          </cell>
          <cell r="H284" t="str">
            <v>SIGVA</v>
          </cell>
          <cell r="I284" t="str">
            <v>ta</v>
          </cell>
        </row>
        <row r="285">
          <cell r="A285" t="str">
            <v>PLIX-06 LIXIVIACIÓN/NF</v>
          </cell>
          <cell r="B285" t="str">
            <v>03649159</v>
          </cell>
          <cell r="C285" t="str">
            <v>MEDICION DE NIVELES FREATICOS</v>
          </cell>
          <cell r="D285" t="str">
            <v>PLIX-06 LIXIVIACIÓN</v>
          </cell>
          <cell r="E285" t="str">
            <v>NF</v>
          </cell>
          <cell r="F285" t="str">
            <v>2026-04-01</v>
          </cell>
          <cell r="G285" t="str">
            <v>2026-04-07</v>
          </cell>
          <cell r="H285" t="str">
            <v>SIGVA</v>
          </cell>
          <cell r="I285" t="str">
            <v>ta</v>
          </cell>
        </row>
        <row r="286">
          <cell r="A286" t="str">
            <v>PLIX-07A LIXIVIACIÓN/NF</v>
          </cell>
          <cell r="B286" t="str">
            <v>03649160</v>
          </cell>
          <cell r="C286" t="str">
            <v>MEDICION DE NIVELES FREATICOS</v>
          </cell>
          <cell r="D286" t="str">
            <v>PLIX-07A LIXIVIACIÓN</v>
          </cell>
          <cell r="E286" t="str">
            <v>NF</v>
          </cell>
          <cell r="F286" t="str">
            <v>2026-04-01</v>
          </cell>
          <cell r="G286" t="str">
            <v>2026-04-07</v>
          </cell>
          <cell r="H286" t="str">
            <v>SIGVA</v>
          </cell>
          <cell r="I286" t="str">
            <v>ta</v>
          </cell>
        </row>
        <row r="287">
          <cell r="A287" t="str">
            <v>PLIX-07B LIXIVIACIÓN/NF</v>
          </cell>
          <cell r="B287" t="str">
            <v>03649161</v>
          </cell>
          <cell r="C287" t="str">
            <v>MEDICION DE NIVELES FREATICOS</v>
          </cell>
          <cell r="D287" t="str">
            <v>PLIX-07B LIXIVIACIÓN</v>
          </cell>
          <cell r="E287" t="str">
            <v>NF</v>
          </cell>
          <cell r="F287" t="str">
            <v>2026-04-01</v>
          </cell>
          <cell r="G287" t="str">
            <v>2026-04-07</v>
          </cell>
          <cell r="H287" t="str">
            <v>SIGVA</v>
          </cell>
          <cell r="I287" t="str">
            <v>ta</v>
          </cell>
        </row>
        <row r="288">
          <cell r="A288" t="str">
            <v>PLIX-08A LIXIVIACIÓN/NF</v>
          </cell>
          <cell r="B288" t="str">
            <v>03649162</v>
          </cell>
          <cell r="C288" t="str">
            <v>MEDICION DE NIVELES FREATICOS</v>
          </cell>
          <cell r="D288" t="str">
            <v>PLIX-08A LIXIVIACIÓN</v>
          </cell>
          <cell r="E288" t="str">
            <v>NF</v>
          </cell>
          <cell r="F288" t="str">
            <v>2026-04-01</v>
          </cell>
          <cell r="G288" t="str">
            <v>2026-04-07</v>
          </cell>
          <cell r="H288" t="str">
            <v>SIGVA</v>
          </cell>
          <cell r="I288" t="str">
            <v>ta</v>
          </cell>
        </row>
        <row r="289">
          <cell r="A289" t="str">
            <v>PLIX-08B LIXIVIACIÓN/NF</v>
          </cell>
          <cell r="B289" t="str">
            <v>03649163</v>
          </cell>
          <cell r="C289" t="str">
            <v>MEDICION DE NIVELES FREATICOS</v>
          </cell>
          <cell r="D289" t="str">
            <v>PLIX-08B LIXIVIACIÓN</v>
          </cell>
          <cell r="E289" t="str">
            <v>NF</v>
          </cell>
          <cell r="F289" t="str">
            <v>2026-04-01</v>
          </cell>
          <cell r="G289" t="str">
            <v>2026-04-07</v>
          </cell>
          <cell r="H289" t="str">
            <v>SIGVA</v>
          </cell>
          <cell r="I289" t="str">
            <v>ta</v>
          </cell>
        </row>
        <row r="290">
          <cell r="A290" t="str">
            <v>PLIX-09 LIXIVIACIÓN/NF</v>
          </cell>
          <cell r="B290" t="str">
            <v>03649164</v>
          </cell>
          <cell r="C290" t="str">
            <v>MEDICION DE NIVELES FREATICOS</v>
          </cell>
          <cell r="D290" t="str">
            <v>PLIX-09 LIXIVIACIÓN</v>
          </cell>
          <cell r="E290" t="str">
            <v>NF</v>
          </cell>
          <cell r="F290" t="str">
            <v>2026-04-01</v>
          </cell>
          <cell r="G290" t="str">
            <v>2026-04-07</v>
          </cell>
          <cell r="H290" t="str">
            <v>SIGVA</v>
          </cell>
          <cell r="I290" t="str">
            <v>ta</v>
          </cell>
        </row>
        <row r="291">
          <cell r="A291" t="str">
            <v>PLIX-10A LIXIVIACIÓN/NF</v>
          </cell>
          <cell r="B291" t="str">
            <v>03649165</v>
          </cell>
          <cell r="C291" t="str">
            <v>MEDICION DE NIVELES FREATICOS</v>
          </cell>
          <cell r="D291" t="str">
            <v>PLIX-10A LIXIVIACIÓN</v>
          </cell>
          <cell r="E291" t="str">
            <v>NF</v>
          </cell>
          <cell r="F291" t="str">
            <v>2026-04-01</v>
          </cell>
          <cell r="G291" t="str">
            <v>2026-04-07</v>
          </cell>
          <cell r="H291" t="str">
            <v>SIGVA</v>
          </cell>
          <cell r="I291" t="str">
            <v>ta</v>
          </cell>
        </row>
        <row r="292">
          <cell r="A292" t="str">
            <v>PLIX-10B LIXIVIACIÓN/NF</v>
          </cell>
          <cell r="B292" t="str">
            <v>03649166</v>
          </cell>
          <cell r="C292" t="str">
            <v>MEDICION DE NIVELES FREATICOS</v>
          </cell>
          <cell r="D292" t="str">
            <v>PLIX-10B LIXIVIACIÓN</v>
          </cell>
          <cell r="E292" t="str">
            <v>NF</v>
          </cell>
          <cell r="F292" t="str">
            <v>2026-04-01</v>
          </cell>
          <cell r="G292" t="str">
            <v>2026-04-07</v>
          </cell>
          <cell r="H292" t="str">
            <v>SIGVA</v>
          </cell>
          <cell r="I292" t="str">
            <v>ta</v>
          </cell>
        </row>
        <row r="293">
          <cell r="A293" t="str">
            <v>PLIX-11A LIXIVIACIÓN/NF</v>
          </cell>
          <cell r="B293" t="str">
            <v>03649167</v>
          </cell>
          <cell r="C293" t="str">
            <v>MEDICION DE NIVELES FREATICOS</v>
          </cell>
          <cell r="D293" t="str">
            <v>PLIX-11A LIXIVIACIÓN</v>
          </cell>
          <cell r="E293" t="str">
            <v>NF</v>
          </cell>
          <cell r="F293" t="str">
            <v>2026-04-01</v>
          </cell>
          <cell r="G293" t="str">
            <v>2026-04-07</v>
          </cell>
          <cell r="H293" t="str">
            <v>SIGVA</v>
          </cell>
          <cell r="I293" t="str">
            <v>ta</v>
          </cell>
        </row>
        <row r="294">
          <cell r="A294" t="str">
            <v>PLIX-11B LIXIVIACIÓN/NF</v>
          </cell>
          <cell r="B294" t="str">
            <v>03649168</v>
          </cell>
          <cell r="C294" t="str">
            <v>MEDICION DE NIVELES FREATICOS</v>
          </cell>
          <cell r="D294" t="str">
            <v>PLIX-11B LIXIVIACIÓN</v>
          </cell>
          <cell r="E294" t="str">
            <v>NF</v>
          </cell>
          <cell r="F294" t="str">
            <v>2026-04-01</v>
          </cell>
          <cell r="G294" t="str">
            <v>2026-04-07</v>
          </cell>
          <cell r="H294" t="str">
            <v>SIGVA</v>
          </cell>
          <cell r="I294" t="str">
            <v>ta</v>
          </cell>
        </row>
        <row r="295">
          <cell r="A295" t="str">
            <v>PLIX-12B LIXIVIACIÓN/NF</v>
          </cell>
          <cell r="B295" t="str">
            <v>03649169</v>
          </cell>
          <cell r="C295" t="str">
            <v>MEDICION DE NIVELES FREATICOS</v>
          </cell>
          <cell r="D295" t="str">
            <v>PLIX-12B LIXIVIACIÓN</v>
          </cell>
          <cell r="E295" t="str">
            <v>NF</v>
          </cell>
          <cell r="F295" t="str">
            <v>2026-04-01</v>
          </cell>
          <cell r="G295" t="str">
            <v>2026-04-07</v>
          </cell>
          <cell r="H295" t="str">
            <v>SIGVA</v>
          </cell>
          <cell r="I295" t="str">
            <v>ta</v>
          </cell>
        </row>
        <row r="296">
          <cell r="A296" t="str">
            <v>PLIX-13A LIXIVIACIÓN/NF</v>
          </cell>
          <cell r="B296" t="str">
            <v>03649170</v>
          </cell>
          <cell r="C296" t="str">
            <v>MEDICION DE NIVELES FREATICOS</v>
          </cell>
          <cell r="D296" t="str">
            <v>PLIX-13A LIXIVIACIÓN</v>
          </cell>
          <cell r="E296" t="str">
            <v>NF</v>
          </cell>
          <cell r="F296" t="str">
            <v>2026-04-01</v>
          </cell>
          <cell r="G296" t="str">
            <v>2026-04-07</v>
          </cell>
          <cell r="H296" t="str">
            <v>SIGVA</v>
          </cell>
          <cell r="I296" t="str">
            <v>ta</v>
          </cell>
        </row>
        <row r="297">
          <cell r="A297" t="str">
            <v>PLIX-13B LIXIVIACIÓN/NF</v>
          </cell>
          <cell r="B297" t="str">
            <v>03649171</v>
          </cell>
          <cell r="C297" t="str">
            <v>MEDICION DE NIVELES FREATICOS</v>
          </cell>
          <cell r="D297" t="str">
            <v>PLIX-13B LIXIVIACIÓN</v>
          </cell>
          <cell r="E297" t="str">
            <v>NF</v>
          </cell>
          <cell r="F297" t="str">
            <v>2026-04-01</v>
          </cell>
          <cell r="G297" t="str">
            <v>2026-04-07</v>
          </cell>
          <cell r="H297" t="str">
            <v>SIGVA</v>
          </cell>
          <cell r="I297" t="str">
            <v>ta</v>
          </cell>
        </row>
        <row r="298">
          <cell r="A298" t="str">
            <v>PLIX-14 LIXIVIACIÓN/NF</v>
          </cell>
          <cell r="B298" t="str">
            <v>03649172</v>
          </cell>
          <cell r="C298" t="str">
            <v>MEDICION DE NIVELES FREATICOS</v>
          </cell>
          <cell r="D298" t="str">
            <v>PLIX-14 LIXIVIACIÓN</v>
          </cell>
          <cell r="E298" t="str">
            <v>NF</v>
          </cell>
          <cell r="F298" t="str">
            <v>2026-04-01</v>
          </cell>
          <cell r="G298" t="str">
            <v>2026-04-07</v>
          </cell>
          <cell r="H298" t="str">
            <v>SIGVA</v>
          </cell>
          <cell r="I298" t="str">
            <v>ta</v>
          </cell>
        </row>
        <row r="299">
          <cell r="A299" t="str">
            <v>PMA-07 HUINQUINTIPA/NF</v>
          </cell>
          <cell r="B299" t="str">
            <v>03649173</v>
          </cell>
          <cell r="C299" t="str">
            <v>MEDICION DE NIVELES FREATICOS</v>
          </cell>
          <cell r="D299" t="str">
            <v>PMA-07 HUINQUINTIPA</v>
          </cell>
          <cell r="E299" t="str">
            <v>NF</v>
          </cell>
          <cell r="F299" t="str">
            <v>2026-04-01</v>
          </cell>
          <cell r="G299" t="str">
            <v>2026-04-14</v>
          </cell>
          <cell r="H299" t="str">
            <v>SIGVA</v>
          </cell>
          <cell r="I299" t="str">
            <v>domingo paf</v>
          </cell>
        </row>
        <row r="300">
          <cell r="A300" t="str">
            <v>PMA-07 HUINQUINTIPA/ASUB</v>
          </cell>
          <cell r="B300" t="str">
            <v>03649174</v>
          </cell>
          <cell r="C300" t="str">
            <v>MUESTREO MANUAL DE AGUAS SUBTERRÁNEAS</v>
          </cell>
          <cell r="D300" t="str">
            <v>PMA-07 HUINQUINTIPA</v>
          </cell>
          <cell r="E300" t="str">
            <v>ASUB</v>
          </cell>
          <cell r="F300" t="str">
            <v>2026-04-01</v>
          </cell>
          <cell r="G300" t="str">
            <v>2026-04-14</v>
          </cell>
          <cell r="H300" t="str">
            <v>SIGVA</v>
          </cell>
          <cell r="I300" t="str">
            <v>domingo paf</v>
          </cell>
        </row>
        <row r="301">
          <cell r="A301" t="str">
            <v>PMA-08 HUINQUINTIPA/NF</v>
          </cell>
          <cell r="B301" t="str">
            <v>03649175</v>
          </cell>
          <cell r="C301" t="str">
            <v>MEDICION DE NIVELES FREATICOS</v>
          </cell>
          <cell r="D301" t="str">
            <v>PMA-08 HUINQUINTIPA</v>
          </cell>
          <cell r="E301" t="str">
            <v>NF</v>
          </cell>
          <cell r="F301" t="str">
            <v>2026-04-01</v>
          </cell>
          <cell r="G301" t="str">
            <v>2026-04-14</v>
          </cell>
          <cell r="H301" t="str">
            <v>SIGVA</v>
          </cell>
          <cell r="I301" t="str">
            <v>domingo paf</v>
          </cell>
        </row>
        <row r="302">
          <cell r="A302" t="str">
            <v>PMA-08 HUINQUINTIPA/ASUB</v>
          </cell>
          <cell r="B302" t="str">
            <v>03649176</v>
          </cell>
          <cell r="C302" t="str">
            <v>MUESTREO MANUAL DE AGUAS SUBTERRÁNEAS</v>
          </cell>
          <cell r="D302" t="str">
            <v>PMA-08 HUINQUINTIPA</v>
          </cell>
          <cell r="E302" t="str">
            <v>ASUB</v>
          </cell>
          <cell r="F302" t="str">
            <v>2026-04-01</v>
          </cell>
          <cell r="G302" t="str">
            <v>2026-04-14</v>
          </cell>
          <cell r="H302" t="str">
            <v>SIGVA</v>
          </cell>
          <cell r="I302" t="str">
            <v>domingo paf</v>
          </cell>
        </row>
        <row r="303">
          <cell r="A303" t="str">
            <v>PMI-09A FALLA PABELLON/ASUB</v>
          </cell>
          <cell r="B303" t="str">
            <v>03649177</v>
          </cell>
          <cell r="C303" t="str">
            <v>MUESTREO MANUAL DE AGUAS SUBTERRÁNEAS</v>
          </cell>
          <cell r="D303" t="str">
            <v>PMI-09A FALLA PABELLON</v>
          </cell>
          <cell r="E303" t="str">
            <v>ASUB</v>
          </cell>
          <cell r="F303" t="str">
            <v>2026-04-01</v>
          </cell>
          <cell r="G303" t="str">
            <v>2026-04-14</v>
          </cell>
          <cell r="H303" t="str">
            <v>SIGVA</v>
          </cell>
          <cell r="I303" t="str">
            <v>ta</v>
          </cell>
        </row>
        <row r="304">
          <cell r="A304" t="str">
            <v>PMI-09A FALLA PABELLON/NF</v>
          </cell>
          <cell r="B304" t="str">
            <v>03649178</v>
          </cell>
          <cell r="C304" t="str">
            <v>MEDICION DE NIVELES FREATICOS</v>
          </cell>
          <cell r="D304" t="str">
            <v>PMI-09A FALLA PABELLON</v>
          </cell>
          <cell r="E304" t="str">
            <v>NF</v>
          </cell>
          <cell r="F304" t="str">
            <v>2026-04-01</v>
          </cell>
          <cell r="G304" t="str">
            <v>2026-04-14</v>
          </cell>
          <cell r="H304" t="str">
            <v>SIGVA</v>
          </cell>
          <cell r="I304" t="str">
            <v>ta</v>
          </cell>
        </row>
        <row r="305">
          <cell r="A305" t="str">
            <v>PMI-01 MICHINCHA/NF</v>
          </cell>
          <cell r="B305" t="str">
            <v>03649179</v>
          </cell>
          <cell r="C305" t="str">
            <v>MEDICION DE NIVELES FREATICOS (PAT EIA)</v>
          </cell>
          <cell r="D305" t="str">
            <v>PMI-01 MICHINCHA</v>
          </cell>
          <cell r="E305" t="str">
            <v>NF</v>
          </cell>
          <cell r="F305" t="str">
            <v>2026-04-01</v>
          </cell>
          <cell r="G305" t="str">
            <v>2026-04-07</v>
          </cell>
          <cell r="H305" t="str">
            <v>SIGVA</v>
          </cell>
          <cell r="I305" t="str">
            <v>ta</v>
          </cell>
        </row>
        <row r="306">
          <cell r="A306" t="str">
            <v>PMI-01 MICHINCHA/ASUB</v>
          </cell>
          <cell r="B306" t="str">
            <v>03649180</v>
          </cell>
          <cell r="C306" t="str">
            <v>MUESTREO MANUAL DE AGUAS SUBTERRÁNEAS</v>
          </cell>
          <cell r="D306" t="str">
            <v>PMI-01 MICHINCHA</v>
          </cell>
          <cell r="E306" t="str">
            <v>ASUB</v>
          </cell>
          <cell r="F306" t="str">
            <v>2026-04-01</v>
          </cell>
          <cell r="G306" t="str">
            <v>2026-04-07</v>
          </cell>
          <cell r="H306" t="str">
            <v>SIGVA</v>
          </cell>
          <cell r="I306" t="str">
            <v>ta</v>
          </cell>
        </row>
        <row r="307">
          <cell r="A307" t="str">
            <v>PMI-08 TRANQUE/ASUB</v>
          </cell>
          <cell r="B307" t="str">
            <v>03649181</v>
          </cell>
          <cell r="C307" t="str">
            <v>MUESTREO MANUAL DE AGUAS SUBTERRÁNEAS</v>
          </cell>
          <cell r="D307" t="str">
            <v>PMI-08 TRANQUE</v>
          </cell>
          <cell r="E307" t="str">
            <v>ASUB</v>
          </cell>
          <cell r="F307" t="str">
            <v>2026-04-01</v>
          </cell>
          <cell r="G307" t="str">
            <v>2026-04-14</v>
          </cell>
          <cell r="H307" t="str">
            <v>SIGVA</v>
          </cell>
          <cell r="I307" t="str">
            <v>ta</v>
          </cell>
        </row>
        <row r="308">
          <cell r="A308" t="str">
            <v>PMI-08 TRANQUE/NF</v>
          </cell>
          <cell r="B308" t="str">
            <v>03649182</v>
          </cell>
          <cell r="C308" t="str">
            <v>MEDICION DE NIVELES FREATICOS</v>
          </cell>
          <cell r="D308" t="str">
            <v>PMI-08 TRANQUE</v>
          </cell>
          <cell r="E308" t="str">
            <v>NF</v>
          </cell>
          <cell r="F308" t="str">
            <v>2026-04-01</v>
          </cell>
          <cell r="G308" t="str">
            <v>2026-04-14</v>
          </cell>
          <cell r="H308" t="str">
            <v>SIGVA</v>
          </cell>
          <cell r="I308" t="str">
            <v>ta</v>
          </cell>
        </row>
        <row r="309">
          <cell r="A309" t="str">
            <v>PPS-01 COPOSA CENTRO/NF</v>
          </cell>
          <cell r="B309" t="str">
            <v>03649183</v>
          </cell>
          <cell r="C309" t="str">
            <v>MEDICION DE NIVELES FREATICOS (PAT EIA y</v>
          </cell>
          <cell r="D309" t="str">
            <v>PPS-01 COPOSA CENTRO</v>
          </cell>
          <cell r="E309" t="str">
            <v>NF</v>
          </cell>
          <cell r="F309" t="str">
            <v>2026-04-01</v>
          </cell>
          <cell r="G309" t="str">
            <v>2026-04-14</v>
          </cell>
          <cell r="H309" t="str">
            <v>SIGVA</v>
          </cell>
          <cell r="I309" t="str">
            <v>ta</v>
          </cell>
        </row>
        <row r="310">
          <cell r="A310" t="str">
            <v>PPS-02B COPOSA CENTRO/NF</v>
          </cell>
          <cell r="B310" t="str">
            <v>03649184</v>
          </cell>
          <cell r="C310" t="str">
            <v>MEDICION DE NIVELES FREATICOS (PAT EIA y</v>
          </cell>
          <cell r="D310" t="str">
            <v>PPS-02B COPOSA CENTRO</v>
          </cell>
          <cell r="E310" t="str">
            <v>NF</v>
          </cell>
          <cell r="F310" t="str">
            <v>2026-04-01</v>
          </cell>
          <cell r="G310" t="str">
            <v>2026-04-14</v>
          </cell>
          <cell r="H310" t="str">
            <v>SIGVA</v>
          </cell>
          <cell r="I310" t="str">
            <v>ta</v>
          </cell>
        </row>
        <row r="311">
          <cell r="A311" t="str">
            <v>PR  PUERTO COLLAHUASI/ASUP</v>
          </cell>
          <cell r="B311" t="str">
            <v>03649185</v>
          </cell>
          <cell r="C311" t="str">
            <v>MUESTREO MANUAL DE AGUAS SUPERFICIALES</v>
          </cell>
          <cell r="D311" t="str">
            <v>PR  PUERTO COLLAHUASI</v>
          </cell>
          <cell r="E311" t="str">
            <v>ASUP</v>
          </cell>
          <cell r="F311" t="str">
            <v>2026-04-01</v>
          </cell>
          <cell r="G311" t="str">
            <v>2026-04-07</v>
          </cell>
          <cell r="H311" t="str">
            <v>SIGVA</v>
          </cell>
          <cell r="I311" t="str">
            <v>ta</v>
          </cell>
        </row>
        <row r="312">
          <cell r="A312" t="str">
            <v>QDH-1E PISC. HUINQUIN. (INT. RAJO ROSA )/CAUDAL</v>
          </cell>
          <cell r="B312" t="str">
            <v>03649186</v>
          </cell>
          <cell r="C312" t="str">
            <v>MEDICIÓN DE CAUDALES</v>
          </cell>
          <cell r="D312" t="str">
            <v>QDH-1E PISC. HUINQUIN. (INT. RAJO ROSA )</v>
          </cell>
          <cell r="E312" t="str">
            <v>CAUDAL</v>
          </cell>
          <cell r="F312" t="str">
            <v>2026-04-01</v>
          </cell>
          <cell r="G312" t="str">
            <v>2026-04-07</v>
          </cell>
          <cell r="H312" t="str">
            <v>SIGVA</v>
          </cell>
          <cell r="I312" t="str">
            <v>ta</v>
          </cell>
        </row>
        <row r="313">
          <cell r="A313" t="str">
            <v>QDH-2 HUINQUINTIPA/ASUP</v>
          </cell>
          <cell r="B313" t="str">
            <v>03649187</v>
          </cell>
          <cell r="C313" t="str">
            <v>MUESTREO MANUAL DE AGUAS SUPERFICIALES</v>
          </cell>
          <cell r="D313" t="str">
            <v>QDH-2 HUINQUINTIPA</v>
          </cell>
          <cell r="E313" t="str">
            <v>ASUP</v>
          </cell>
          <cell r="F313" t="str">
            <v>2026-04-01</v>
          </cell>
          <cell r="G313" t="str">
            <v>2026-04-14</v>
          </cell>
          <cell r="H313" t="str">
            <v>SIGVA</v>
          </cell>
          <cell r="I313" t="str">
            <v>domingo paf</v>
          </cell>
        </row>
        <row r="314">
          <cell r="A314" t="str">
            <v>QSD-1 PISC. HUINQUIN. (INT. RAJO ROSA )/CAUDAL</v>
          </cell>
          <cell r="B314" t="str">
            <v>03649188</v>
          </cell>
          <cell r="C314" t="str">
            <v>MEDICIÓN DE CAUDALES</v>
          </cell>
          <cell r="D314" t="str">
            <v>QSD-1 PISC. HUINQUIN. (INT. RAJO ROSA )</v>
          </cell>
          <cell r="E314" t="str">
            <v>CAUDAL</v>
          </cell>
          <cell r="F314" t="str">
            <v>2026-04-01</v>
          </cell>
          <cell r="G314" t="str">
            <v>2026-04-07</v>
          </cell>
          <cell r="H314" t="str">
            <v>SIGVA</v>
          </cell>
          <cell r="I314" t="str">
            <v>ta</v>
          </cell>
        </row>
        <row r="315">
          <cell r="A315" t="str">
            <v>QSN-1 HUINQUINTIPA/ASUP</v>
          </cell>
          <cell r="B315" t="str">
            <v>03649189</v>
          </cell>
          <cell r="C315" t="str">
            <v>MUESTREO MANUAL DE AGUAS SUPERFICIALES</v>
          </cell>
          <cell r="D315" t="str">
            <v>QSN-1 HUINQUINTIPA</v>
          </cell>
          <cell r="E315" t="str">
            <v>ASUP</v>
          </cell>
          <cell r="F315" t="str">
            <v>2026-04-01</v>
          </cell>
          <cell r="G315" t="str">
            <v>2026-04-14</v>
          </cell>
          <cell r="H315" t="str">
            <v>SIGVA</v>
          </cell>
          <cell r="I315" t="str">
            <v>domingo paf</v>
          </cell>
        </row>
        <row r="316">
          <cell r="A316" t="str">
            <v>QYA YABRICOYITA/ASUP</v>
          </cell>
          <cell r="B316" t="str">
            <v>03649190</v>
          </cell>
          <cell r="C316" t="str">
            <v>MUESTREO MANUAL DE AGUAS SUPERFICIALES</v>
          </cell>
          <cell r="D316" t="str">
            <v>QYA YABRICOYITA</v>
          </cell>
          <cell r="E316" t="str">
            <v>ASUP</v>
          </cell>
          <cell r="F316" t="str">
            <v>2026-04-01</v>
          </cell>
          <cell r="G316" t="str">
            <v>2026-04-16</v>
          </cell>
          <cell r="H316" t="str">
            <v>SIGVA</v>
          </cell>
          <cell r="I316" t="str">
            <v>fin de mes por sol com</v>
          </cell>
        </row>
        <row r="317">
          <cell r="A317" t="str">
            <v>QYA YABRICOYITA/CAUDAL</v>
          </cell>
          <cell r="B317" t="str">
            <v>03649191</v>
          </cell>
          <cell r="C317" t="str">
            <v>MEDICION DE CAUDAL</v>
          </cell>
          <cell r="D317" t="str">
            <v>QYA YABRICOYITA</v>
          </cell>
          <cell r="E317" t="str">
            <v>CAUDAL</v>
          </cell>
          <cell r="F317" t="str">
            <v>2026-04-01</v>
          </cell>
          <cell r="G317" t="str">
            <v>2026-04-16</v>
          </cell>
          <cell r="H317" t="str">
            <v>SIGVA</v>
          </cell>
          <cell r="I317" t="str">
            <v>fin de mes por sol com</v>
          </cell>
        </row>
        <row r="318">
          <cell r="A318" t="str">
            <v>SCE-01 JACHUCOPOSA/NF</v>
          </cell>
          <cell r="B318" t="str">
            <v>03649192</v>
          </cell>
          <cell r="C318" t="str">
            <v>MEDICION DE NIVELES FREATICOS (PAT EIA)</v>
          </cell>
          <cell r="D318" t="str">
            <v>SCE-01 JACHUCOPOSA</v>
          </cell>
          <cell r="E318" t="str">
            <v>NF</v>
          </cell>
          <cell r="F318" t="str">
            <v>2026-04-01</v>
          </cell>
          <cell r="G318" t="str">
            <v>2026-04-14</v>
          </cell>
          <cell r="H318" t="str">
            <v>SIGVA</v>
          </cell>
          <cell r="I318" t="str">
            <v>jueves pmap</v>
          </cell>
        </row>
        <row r="319">
          <cell r="A319" t="str">
            <v>SCE-02 JACHUCOPOSA/NF</v>
          </cell>
          <cell r="B319" t="str">
            <v>03649193</v>
          </cell>
          <cell r="C319" t="str">
            <v>MEDICION DE NIVELES FREATICOS (PAT EIA)</v>
          </cell>
          <cell r="D319" t="str">
            <v>SCE-02 JACHUCOPOSA</v>
          </cell>
          <cell r="E319" t="str">
            <v>NF</v>
          </cell>
          <cell r="F319" t="str">
            <v>2026-04-01</v>
          </cell>
          <cell r="G319" t="str">
            <v>2026-04-14</v>
          </cell>
          <cell r="H319" t="str">
            <v>SIGVA</v>
          </cell>
          <cell r="I319" t="str">
            <v>jueves pmap</v>
          </cell>
        </row>
        <row r="320">
          <cell r="A320" t="str">
            <v>PUNTERA 1 (P-01)/NF</v>
          </cell>
          <cell r="B320" t="str">
            <v>03649194</v>
          </cell>
          <cell r="C320" t="str">
            <v>MEDICION DE NIVELES FREATICOS</v>
          </cell>
          <cell r="D320" t="str">
            <v>PUNTERA 1 (P-01)</v>
          </cell>
          <cell r="E320" t="str">
            <v>NF</v>
          </cell>
          <cell r="F320" t="str">
            <v>2026-04-01</v>
          </cell>
          <cell r="G320" t="str">
            <v>2026-04-16</v>
          </cell>
          <cell r="H320" t="str">
            <v>SIGVA</v>
          </cell>
        </row>
        <row r="321">
          <cell r="A321" t="str">
            <v>PUNTERA 1 (P-01)/ASUB</v>
          </cell>
          <cell r="B321" t="str">
            <v>03649195</v>
          </cell>
          <cell r="C321" t="str">
            <v>MUESTREO MANUAL DE AGUAS SUBTERRÁNEAS</v>
          </cell>
          <cell r="D321" t="str">
            <v>PUNTERA 1 (P-01)</v>
          </cell>
          <cell r="E321" t="str">
            <v>ASUB</v>
          </cell>
          <cell r="F321" t="str">
            <v>2026-04-01</v>
          </cell>
          <cell r="G321" t="str">
            <v>2026-04-16</v>
          </cell>
          <cell r="H321" t="str">
            <v>SIGVA</v>
          </cell>
        </row>
        <row r="322">
          <cell r="A322" t="str">
            <v>PCA-08 CHICLLA/ASUB</v>
          </cell>
          <cell r="B322" t="str">
            <v>03649196</v>
          </cell>
          <cell r="C322" t="str">
            <v>MUESTREO MANUAL DE AGUAS SUBTERRÁNEAS</v>
          </cell>
          <cell r="D322" t="str">
            <v>PCA-08 CHICLLA</v>
          </cell>
          <cell r="E322" t="str">
            <v>ASUB</v>
          </cell>
          <cell r="F322" t="str">
            <v>2026-04-01</v>
          </cell>
          <cell r="G322" t="str">
            <v>2026-04-14</v>
          </cell>
          <cell r="H322" t="str">
            <v>SIGVA</v>
          </cell>
        </row>
        <row r="323">
          <cell r="A323" t="str">
            <v>PCA-08 CHICLLA/NF</v>
          </cell>
          <cell r="B323" t="str">
            <v>03649197</v>
          </cell>
          <cell r="C323" t="str">
            <v>MEDICION DE NIVELES FREATICOS</v>
          </cell>
          <cell r="D323" t="str">
            <v>PCA-08 CHICLLA</v>
          </cell>
          <cell r="E323" t="str">
            <v>NF</v>
          </cell>
          <cell r="F323" t="str">
            <v>2026-04-01</v>
          </cell>
          <cell r="G323" t="str">
            <v>2026-04-14</v>
          </cell>
          <cell r="H323" t="str">
            <v>SIGVA</v>
          </cell>
        </row>
        <row r="324">
          <cell r="A324" t="str">
            <v>PMA-04 CHICLLA/NF</v>
          </cell>
          <cell r="B324" t="str">
            <v>03649198</v>
          </cell>
          <cell r="C324" t="str">
            <v>MEDICION DE NIVELES FREATICOS</v>
          </cell>
          <cell r="D324" t="str">
            <v>PMA-04 CHICLLA</v>
          </cell>
          <cell r="E324" t="str">
            <v>NF</v>
          </cell>
          <cell r="F324" t="str">
            <v>2026-04-01</v>
          </cell>
          <cell r="G324" t="str">
            <v>2026-04-14</v>
          </cell>
          <cell r="H324" t="str">
            <v>SIGVA</v>
          </cell>
        </row>
        <row r="325">
          <cell r="A325" t="str">
            <v>PMA-04 CHICLLA/ASUB</v>
          </cell>
          <cell r="B325" t="str">
            <v>03649199</v>
          </cell>
          <cell r="C325" t="str">
            <v>MUESTREO MANUAL DE AGUAS SUBTERRÁNEAS</v>
          </cell>
          <cell r="D325" t="str">
            <v>PMA-04 CHICLLA</v>
          </cell>
          <cell r="E325" t="str">
            <v>ASUB</v>
          </cell>
          <cell r="F325" t="str">
            <v>2026-04-01</v>
          </cell>
          <cell r="G325" t="str">
            <v>2026-04-14</v>
          </cell>
          <cell r="H325" t="str">
            <v>SIGVA</v>
          </cell>
        </row>
        <row r="326">
          <cell r="A326" t="str">
            <v>PUNTERA 2 SALLIHUINCA/ASUB</v>
          </cell>
          <cell r="B326" t="str">
            <v>03649200</v>
          </cell>
          <cell r="C326" t="str">
            <v>MUESTREO MANUAL DE AGUAS SUBTERRÁNEAS</v>
          </cell>
          <cell r="D326" t="str">
            <v>PUNTERA 2 SALLIHUINCA</v>
          </cell>
          <cell r="E326" t="str">
            <v>ASUB</v>
          </cell>
          <cell r="F326" t="str">
            <v>2026-04-01</v>
          </cell>
          <cell r="G326" t="str">
            <v>2026-04-16</v>
          </cell>
          <cell r="H326" t="str">
            <v>SIGVA</v>
          </cell>
        </row>
        <row r="327">
          <cell r="A327" t="str">
            <v>PUNTERA 2 SALLIHUINCA/NF</v>
          </cell>
          <cell r="B327" t="str">
            <v>03649201</v>
          </cell>
          <cell r="C327" t="str">
            <v>MEDICIÓN NIVELES FREÁTICOS</v>
          </cell>
          <cell r="D327" t="str">
            <v>PUNTERA 2 SALLIHUINCA</v>
          </cell>
          <cell r="E327" t="str">
            <v>NF</v>
          </cell>
          <cell r="F327" t="str">
            <v>2026-04-01</v>
          </cell>
          <cell r="G327" t="str">
            <v>2026-04-16</v>
          </cell>
          <cell r="H327" t="str">
            <v>SIGVA</v>
          </cell>
        </row>
        <row r="328">
          <cell r="A328" t="str">
            <v>QDC-1 CHICLLA/ASUP</v>
          </cell>
          <cell r="B328" t="str">
            <v>03649202</v>
          </cell>
          <cell r="C328" t="str">
            <v>MUESTREO MANUAL DE AGUAS SUPERFICIALES</v>
          </cell>
          <cell r="D328" t="str">
            <v>QDC-1 CHICLLA</v>
          </cell>
          <cell r="E328" t="str">
            <v>ASUP</v>
          </cell>
          <cell r="F328" t="str">
            <v>2026-04-01</v>
          </cell>
          <cell r="G328" t="str">
            <v>2026-04-14</v>
          </cell>
          <cell r="H328" t="str">
            <v>SIGVA</v>
          </cell>
        </row>
        <row r="329">
          <cell r="A329" t="str">
            <v>QDC-1 CHICLLA/CAUDAL</v>
          </cell>
          <cell r="B329" t="str">
            <v>03649203</v>
          </cell>
          <cell r="C329" t="str">
            <v>MEDICIÓN DE CAUDALES</v>
          </cell>
          <cell r="D329" t="str">
            <v>QDC-1 CHICLLA</v>
          </cell>
          <cell r="E329" t="str">
            <v>CAUDAL</v>
          </cell>
          <cell r="F329" t="str">
            <v>2026-04-01</v>
          </cell>
          <cell r="G329" t="str">
            <v>2026-04-14</v>
          </cell>
          <cell r="H329" t="str">
            <v>SIGVA</v>
          </cell>
        </row>
        <row r="330">
          <cell r="A330" t="str">
            <v>AFO-SA1/CAUDAL</v>
          </cell>
          <cell r="B330" t="str">
            <v>03649204</v>
          </cell>
          <cell r="C330" t="str">
            <v>MEDICIÓN DE CAUDALES</v>
          </cell>
          <cell r="D330" t="str">
            <v>AFO-SA1</v>
          </cell>
          <cell r="E330" t="str">
            <v>CAUDAL</v>
          </cell>
          <cell r="F330" t="str">
            <v>2026-04-01</v>
          </cell>
          <cell r="G330" t="str">
            <v>2026-04-14</v>
          </cell>
          <cell r="H330" t="str">
            <v>SIGVA</v>
          </cell>
        </row>
        <row r="331">
          <cell r="A331" t="str">
            <v>Estación 1/CAUDAL</v>
          </cell>
          <cell r="B331" t="str">
            <v>03649205</v>
          </cell>
          <cell r="C331" t="str">
            <v>MEDICIÓN DE CAUDALES</v>
          </cell>
          <cell r="D331" t="str">
            <v>Estación 1</v>
          </cell>
          <cell r="E331" t="str">
            <v>CAUDAL</v>
          </cell>
          <cell r="F331" t="str">
            <v>2026-04-01</v>
          </cell>
          <cell r="G331" t="str">
            <v>2026-04-14</v>
          </cell>
          <cell r="H331" t="str">
            <v>SIGVA</v>
          </cell>
        </row>
        <row r="332">
          <cell r="A332" t="str">
            <v>Estación 1/ASUP</v>
          </cell>
          <cell r="B332" t="str">
            <v>03649206</v>
          </cell>
          <cell r="C332" t="str">
            <v>MUESTREO MANUAL DE AGUAS SUPERFICIALES</v>
          </cell>
          <cell r="D332" t="str">
            <v>Estación 1</v>
          </cell>
          <cell r="E332" t="str">
            <v>ASUP</v>
          </cell>
          <cell r="F332" t="str">
            <v>2026-04-01</v>
          </cell>
          <cell r="G332" t="str">
            <v>2026-04-07</v>
          </cell>
          <cell r="H332" t="str">
            <v>SIGVA</v>
          </cell>
          <cell r="I332" t="str">
            <v>agregar a ot comunidad</v>
          </cell>
        </row>
        <row r="333">
          <cell r="A333" t="str">
            <v>Piscina P3 ROSARIO/ASUP</v>
          </cell>
          <cell r="B333" t="str">
            <v>03649207</v>
          </cell>
          <cell r="C333" t="str">
            <v>MUESTREO MANUAL DE AGUAS SUPERFICIALES</v>
          </cell>
          <cell r="D333" t="str">
            <v>Piscina P3 ROSARIO</v>
          </cell>
          <cell r="E333" t="str">
            <v>ASUP</v>
          </cell>
          <cell r="F333" t="str">
            <v>2026-04-01</v>
          </cell>
          <cell r="G333" t="str">
            <v>2026-04-07</v>
          </cell>
          <cell r="H333" t="str">
            <v>SIGVA</v>
          </cell>
          <cell r="I333" t="str">
            <v>ta</v>
          </cell>
        </row>
        <row r="334">
          <cell r="A334" t="str">
            <v>Punto 1/ASUP</v>
          </cell>
          <cell r="B334" t="str">
            <v>03649208</v>
          </cell>
          <cell r="C334" t="str">
            <v>MUESTREO MANUAL DE AGUAS SUPERFICIALES</v>
          </cell>
          <cell r="D334" t="str">
            <v>Punto 1</v>
          </cell>
          <cell r="E334" t="str">
            <v>ASUP</v>
          </cell>
          <cell r="F334" t="str">
            <v>2026-04-01</v>
          </cell>
          <cell r="G334" t="str">
            <v>2026-04-14</v>
          </cell>
          <cell r="H334" t="str">
            <v>SIGVA</v>
          </cell>
        </row>
        <row r="335">
          <cell r="A335" t="str">
            <v>QDC-2 CHICLLA/CAUDAL</v>
          </cell>
          <cell r="B335" t="str">
            <v>03649209</v>
          </cell>
          <cell r="C335" t="str">
            <v>MEDICIÓN DE CAUDALES</v>
          </cell>
          <cell r="D335" t="str">
            <v>QDC-2 CHICLLA</v>
          </cell>
          <cell r="E335" t="str">
            <v>CAUDAL</v>
          </cell>
          <cell r="F335" t="str">
            <v>2026-04-01</v>
          </cell>
          <cell r="G335" t="str">
            <v>2026-04-14</v>
          </cell>
          <cell r="H335" t="str">
            <v>SIGVA</v>
          </cell>
        </row>
        <row r="336">
          <cell r="A336" t="str">
            <v>QDC-2 CHICLLA/ASUP</v>
          </cell>
          <cell r="B336" t="str">
            <v>03649210</v>
          </cell>
          <cell r="C336" t="str">
            <v>MUESTREO MANUAL DE AGUAS SUPERFICIALES</v>
          </cell>
          <cell r="D336" t="str">
            <v>QDC-2 CHICLLA</v>
          </cell>
          <cell r="E336" t="str">
            <v>ASUP</v>
          </cell>
          <cell r="F336" t="str">
            <v>2026-04-01</v>
          </cell>
          <cell r="G336" t="str">
            <v>2026-04-14</v>
          </cell>
          <cell r="H336" t="str">
            <v>SIGVA</v>
          </cell>
        </row>
        <row r="337">
          <cell r="A337" t="str">
            <v>AFO-SD2/CAUDAL</v>
          </cell>
          <cell r="B337" t="str">
            <v>03649211</v>
          </cell>
          <cell r="C337" t="str">
            <v>MEDICIÓN DE CAUDALES</v>
          </cell>
          <cell r="D337" t="str">
            <v>AFO-SD2</v>
          </cell>
          <cell r="E337" t="str">
            <v>CAUDAL</v>
          </cell>
          <cell r="F337" t="str">
            <v>2026-04-01</v>
          </cell>
          <cell r="G337" t="str">
            <v>2026-04-14</v>
          </cell>
          <cell r="H337" t="str">
            <v>SIGVA</v>
          </cell>
        </row>
        <row r="338">
          <cell r="A338" t="str">
            <v>RF-1 YABRICOLLITA/NF</v>
          </cell>
          <cell r="B338" t="str">
            <v>03649212</v>
          </cell>
          <cell r="C338" t="str">
            <v>MEDICION DE NIVELES FREATICOS (PAT EIA)</v>
          </cell>
          <cell r="D338" t="str">
            <v>RF-1 YABRICOLLITA</v>
          </cell>
          <cell r="E338" t="str">
            <v>NF</v>
          </cell>
          <cell r="F338" t="str">
            <v>2026-04-01</v>
          </cell>
          <cell r="G338" t="str">
            <v>2026-04-16</v>
          </cell>
          <cell r="H338" t="str">
            <v>SIGVA</v>
          </cell>
        </row>
        <row r="339">
          <cell r="A339" t="str">
            <v>RF-1 YABRICOLLITA/ASUB</v>
          </cell>
          <cell r="B339" t="str">
            <v>03649213</v>
          </cell>
          <cell r="C339" t="str">
            <v>MUESTREO MANUAL DE AGUAS SUBTERRÁNEAS</v>
          </cell>
          <cell r="D339" t="str">
            <v>RF-1 YABRICOLLITA</v>
          </cell>
          <cell r="E339" t="str">
            <v>ASUB</v>
          </cell>
          <cell r="F339" t="str">
            <v>2026-04-01</v>
          </cell>
          <cell r="G339" t="str">
            <v>2026-04-16</v>
          </cell>
          <cell r="H339" t="str">
            <v>SIGVA</v>
          </cell>
        </row>
        <row r="340">
          <cell r="A340" t="str">
            <v>RF-2 SALLIHUINCA/NF</v>
          </cell>
          <cell r="B340" t="str">
            <v>03649214</v>
          </cell>
          <cell r="C340" t="str">
            <v>MEDICION DE NIVELES FREATICOS (PAT EIA)</v>
          </cell>
          <cell r="D340" t="str">
            <v>RF-2 SALLIHUINCA</v>
          </cell>
          <cell r="E340" t="str">
            <v>NF</v>
          </cell>
          <cell r="F340" t="str">
            <v>2026-04-01</v>
          </cell>
          <cell r="G340" t="str">
            <v>2026-04-16</v>
          </cell>
          <cell r="H340" t="str">
            <v>SIGVA</v>
          </cell>
        </row>
        <row r="341">
          <cell r="A341" t="str">
            <v>RF-2 SALLIHUINCA/ASUB</v>
          </cell>
          <cell r="B341" t="str">
            <v>03649215</v>
          </cell>
          <cell r="C341" t="str">
            <v>MUESTREO MANUAL DE AGUAS SUBTERRÁNEAS</v>
          </cell>
          <cell r="D341" t="str">
            <v>RF-2 SALLIHUINCA</v>
          </cell>
          <cell r="E341" t="str">
            <v>ASUB</v>
          </cell>
          <cell r="F341" t="str">
            <v>2026-04-01</v>
          </cell>
          <cell r="G341" t="str">
            <v>2026-04-16</v>
          </cell>
          <cell r="H341" t="str">
            <v>SIGVA</v>
          </cell>
        </row>
        <row r="342">
          <cell r="A342" t="str">
            <v>LPDC-09 LIXIVIACIÓN/ASUB</v>
          </cell>
          <cell r="B342" t="str">
            <v>03649216</v>
          </cell>
          <cell r="C342" t="str">
            <v>MUESTREO MANUAL DE AGUAS SUBTERRÁNEAS</v>
          </cell>
          <cell r="D342" t="str">
            <v>LPDC-09 LIXIVIACIÓN</v>
          </cell>
          <cell r="E342" t="str">
            <v>ASUB</v>
          </cell>
          <cell r="F342" t="str">
            <v>2026-04-01</v>
          </cell>
          <cell r="G342" t="str">
            <v>2026-04-07</v>
          </cell>
          <cell r="H342" t="str">
            <v>SIGVA</v>
          </cell>
          <cell r="I342" t="str">
            <v>ta</v>
          </cell>
        </row>
        <row r="343">
          <cell r="A343" t="str">
            <v>LPDC-09 LIXIVIACIÓN/NF</v>
          </cell>
          <cell r="B343" t="str">
            <v>03649217</v>
          </cell>
          <cell r="C343" t="str">
            <v>MEDICION DE NIVELES FREATICOS</v>
          </cell>
          <cell r="D343" t="str">
            <v>LPDC-09 LIXIVIACIÓN</v>
          </cell>
          <cell r="E343" t="str">
            <v>NF</v>
          </cell>
          <cell r="F343" t="str">
            <v>2026-04-01</v>
          </cell>
          <cell r="G343" t="str">
            <v>2026-04-07</v>
          </cell>
          <cell r="H343" t="str">
            <v>SIGVA</v>
          </cell>
          <cell r="I343" t="str">
            <v>ta</v>
          </cell>
        </row>
        <row r="344">
          <cell r="A344" t="str">
            <v>LPDC-10 LIXIVIACIÓN/ASUB</v>
          </cell>
          <cell r="B344" t="str">
            <v>03649218</v>
          </cell>
          <cell r="C344" t="str">
            <v>MUESTREO MANUAL DE AGUAS SUBTERRÁNEAS</v>
          </cell>
          <cell r="D344" t="str">
            <v>LPDC-10 LIXIVIACIÓN</v>
          </cell>
          <cell r="E344" t="str">
            <v>ASUB</v>
          </cell>
          <cell r="F344" t="str">
            <v>2026-04-01</v>
          </cell>
          <cell r="G344" t="str">
            <v>2026-04-07</v>
          </cell>
          <cell r="H344" t="str">
            <v>SIGVA</v>
          </cell>
          <cell r="I344" t="str">
            <v>ta</v>
          </cell>
        </row>
        <row r="345">
          <cell r="A345" t="str">
            <v>LPDC-10 LIXIVIACIÓN/NF</v>
          </cell>
          <cell r="B345" t="str">
            <v>03649219</v>
          </cell>
          <cell r="C345" t="str">
            <v>MEDICION DE NIVELES FREATICOS</v>
          </cell>
          <cell r="D345" t="str">
            <v>LPDC-10 LIXIVIACIÓN</v>
          </cell>
          <cell r="E345" t="str">
            <v>NF</v>
          </cell>
          <cell r="F345" t="str">
            <v>2026-04-01</v>
          </cell>
          <cell r="G345" t="str">
            <v>2026-04-07</v>
          </cell>
          <cell r="H345" t="str">
            <v>SIGVA</v>
          </cell>
          <cell r="I345" t="str">
            <v>ta</v>
          </cell>
        </row>
        <row r="346">
          <cell r="A346" t="str">
            <v>LPDC-11 LIXIVIACIÓN/ASUB</v>
          </cell>
          <cell r="B346" t="str">
            <v>03649220</v>
          </cell>
          <cell r="C346" t="str">
            <v>MUESTREO MANUAL DE AGUAS SUBTERRÁNEAS</v>
          </cell>
          <cell r="D346" t="str">
            <v>LPDC-11 LIXIVIACIÓN</v>
          </cell>
          <cell r="E346" t="str">
            <v>ASUB</v>
          </cell>
          <cell r="F346" t="str">
            <v>2026-04-01</v>
          </cell>
          <cell r="G346" t="str">
            <v>2026-04-07</v>
          </cell>
          <cell r="H346" t="str">
            <v>SIGVA</v>
          </cell>
          <cell r="I346" t="str">
            <v>ta</v>
          </cell>
        </row>
        <row r="347">
          <cell r="A347" t="str">
            <v>LPDC-11 LIXIVIACIÓN/NF</v>
          </cell>
          <cell r="B347" t="str">
            <v>03649221</v>
          </cell>
          <cell r="C347" t="str">
            <v>MEDICION DE NIVELES FREATICOS</v>
          </cell>
          <cell r="D347" t="str">
            <v>LPDC-11 LIXIVIACIÓN</v>
          </cell>
          <cell r="E347" t="str">
            <v>NF</v>
          </cell>
          <cell r="F347" t="str">
            <v>2026-04-01</v>
          </cell>
          <cell r="G347" t="str">
            <v>2026-04-07</v>
          </cell>
          <cell r="H347" t="str">
            <v>SIGVA</v>
          </cell>
          <cell r="I347" t="str">
            <v>ta</v>
          </cell>
        </row>
        <row r="348">
          <cell r="A348" t="str">
            <v>RF-05 Chiclla/NF</v>
          </cell>
          <cell r="B348" t="str">
            <v>03649222</v>
          </cell>
          <cell r="C348" t="str">
            <v>MEDICION DE NIVELES FREATICOS</v>
          </cell>
          <cell r="D348" t="str">
            <v>RF-05 Chiclla</v>
          </cell>
          <cell r="E348" t="str">
            <v>NF</v>
          </cell>
          <cell r="F348" t="str">
            <v>2026-04-01</v>
          </cell>
          <cell r="G348" t="str">
            <v>2026-04-16</v>
          </cell>
          <cell r="H348" t="str">
            <v>SIGVA</v>
          </cell>
        </row>
        <row r="349">
          <cell r="A349" t="str">
            <v>RF-05 Chiclla/ASUB</v>
          </cell>
          <cell r="B349" t="str">
            <v>03649223</v>
          </cell>
          <cell r="C349" t="str">
            <v>MUESTREO MANUAL DE AGUAS SUBTERRÁNEAS</v>
          </cell>
          <cell r="D349" t="str">
            <v>RF-05 Chiclla</v>
          </cell>
          <cell r="E349" t="str">
            <v>ASUB</v>
          </cell>
          <cell r="F349" t="str">
            <v>2026-04-01</v>
          </cell>
          <cell r="G349" t="str">
            <v>2026-04-16</v>
          </cell>
          <cell r="H349" t="str">
            <v>SIGVA</v>
          </cell>
        </row>
        <row r="350">
          <cell r="A350" t="str">
            <v>PAR PUERTO COLLAHUASI/ASUP</v>
          </cell>
          <cell r="B350" t="str">
            <v>03649238</v>
          </cell>
          <cell r="C350" t="str">
            <v>MUESTREO MANUAL DE AGUAS SUPERFICIALES</v>
          </cell>
          <cell r="D350" t="str">
            <v>PAR PUERTO COLLAHUASI</v>
          </cell>
          <cell r="E350" t="str">
            <v>ASUP</v>
          </cell>
          <cell r="F350" t="str">
            <v>2026-04-01</v>
          </cell>
          <cell r="G350" t="str">
            <v>2026-04-07</v>
          </cell>
          <cell r="H350" t="str">
            <v>SIGVANC</v>
          </cell>
          <cell r="I350" t="str">
            <v>ta</v>
          </cell>
        </row>
        <row r="351">
          <cell r="A351" t="str">
            <v>PEV-01 (PES-01) PUERTO COLLAHUASI/ASUP</v>
          </cell>
          <cell r="B351" t="str">
            <v>03649239</v>
          </cell>
          <cell r="C351" t="str">
            <v>MUESTREO MANUAL DE AGUAS SUPERFICIALES</v>
          </cell>
          <cell r="D351" t="str">
            <v>PEV-01 (PES-01) PUERTO COLLAHUASI</v>
          </cell>
          <cell r="E351" t="str">
            <v>ASUP</v>
          </cell>
          <cell r="F351" t="str">
            <v>2026-04-01</v>
          </cell>
          <cell r="G351" t="str">
            <v>2026-04-07</v>
          </cell>
          <cell r="H351" t="str">
            <v>SIGVANC</v>
          </cell>
          <cell r="I351" t="str">
            <v>ta</v>
          </cell>
        </row>
        <row r="352">
          <cell r="A352" t="str">
            <v>CWE-18 (1) FALLA PABELLON/NF</v>
          </cell>
          <cell r="B352" t="str">
            <v>03649240</v>
          </cell>
          <cell r="C352" t="str">
            <v>MEDICION DE NIVELES FREATICOS</v>
          </cell>
          <cell r="D352" t="str">
            <v>CWE-18 (1) FALLA PABELLON</v>
          </cell>
          <cell r="E352" t="str">
            <v>NF</v>
          </cell>
          <cell r="F352" t="str">
            <v>2026-04-01</v>
          </cell>
          <cell r="G352" t="str">
            <v>2026-04-07</v>
          </cell>
          <cell r="H352" t="str">
            <v>SIGVANC</v>
          </cell>
          <cell r="I352" t="str">
            <v>ta</v>
          </cell>
        </row>
        <row r="353">
          <cell r="A353" t="str">
            <v>CWE-18 (2) FALLA PABELLON/NF</v>
          </cell>
          <cell r="B353" t="str">
            <v>03649241</v>
          </cell>
          <cell r="C353" t="str">
            <v>MEDICION DE NIVELES FREATICOS</v>
          </cell>
          <cell r="D353" t="str">
            <v>CWE-18 (2) FALLA PABELLON</v>
          </cell>
          <cell r="E353" t="str">
            <v>NF</v>
          </cell>
          <cell r="F353" t="str">
            <v>2026-04-01</v>
          </cell>
          <cell r="G353" t="str">
            <v>2026-04-07</v>
          </cell>
          <cell r="H353" t="str">
            <v>SIGVANC</v>
          </cell>
          <cell r="I353" t="str">
            <v>ta</v>
          </cell>
        </row>
        <row r="354">
          <cell r="A354" t="str">
            <v>CWE-23 (1) FALLA PABELLON/NF</v>
          </cell>
          <cell r="B354" t="str">
            <v>03649242</v>
          </cell>
          <cell r="C354" t="str">
            <v>MEDICION DE NIVELES FREATICOS</v>
          </cell>
          <cell r="D354" t="str">
            <v>CWE-23 (1) FALLA PABELLON</v>
          </cell>
          <cell r="E354" t="str">
            <v>NF</v>
          </cell>
          <cell r="F354" t="str">
            <v>2026-04-01</v>
          </cell>
          <cell r="G354" t="str">
            <v>2026-04-07</v>
          </cell>
          <cell r="H354" t="str">
            <v>SIGVANC</v>
          </cell>
          <cell r="I354" t="str">
            <v>ta</v>
          </cell>
        </row>
        <row r="355">
          <cell r="A355" t="str">
            <v>CWE-23 (2) FALLA PABELLON/NF</v>
          </cell>
          <cell r="B355" t="str">
            <v>03649243</v>
          </cell>
          <cell r="C355" t="str">
            <v>MEDICION DE NIVELES FREATICOS</v>
          </cell>
          <cell r="D355" t="str">
            <v>CWE-23 (2) FALLA PABELLON</v>
          </cell>
          <cell r="E355" t="str">
            <v>NF</v>
          </cell>
          <cell r="F355" t="str">
            <v>2026-04-01</v>
          </cell>
          <cell r="G355" t="str">
            <v>2026-04-07</v>
          </cell>
          <cell r="H355" t="str">
            <v>SIGVANC</v>
          </cell>
          <cell r="I355" t="str">
            <v>ta</v>
          </cell>
        </row>
        <row r="356">
          <cell r="A356" t="str">
            <v>CWE-23 (3) FALLA PABELLON/NF</v>
          </cell>
          <cell r="B356" t="str">
            <v>03649244</v>
          </cell>
          <cell r="C356" t="str">
            <v>MEDICION DE NIVELES FREATICOS</v>
          </cell>
          <cell r="D356" t="str">
            <v>CWE-23 (3) FALLA PABELLON</v>
          </cell>
          <cell r="E356" t="str">
            <v>NF</v>
          </cell>
          <cell r="F356" t="str">
            <v>2026-04-01</v>
          </cell>
          <cell r="G356" t="str">
            <v>2026-04-07</v>
          </cell>
          <cell r="H356" t="str">
            <v>SIGVANC</v>
          </cell>
          <cell r="I356" t="str">
            <v>ta</v>
          </cell>
        </row>
        <row r="357">
          <cell r="A357" t="str">
            <v>CWE-23 (4) FALLA PABELLON/NF</v>
          </cell>
          <cell r="B357" t="str">
            <v>03649245</v>
          </cell>
          <cell r="C357" t="str">
            <v>MEDICION DE NIVELES FREATICOS</v>
          </cell>
          <cell r="D357" t="str">
            <v>CWE-23 (4) FALLA PABELLON</v>
          </cell>
          <cell r="E357" t="str">
            <v>NF</v>
          </cell>
          <cell r="F357" t="str">
            <v>2026-04-01</v>
          </cell>
          <cell r="G357" t="str">
            <v>2026-04-07</v>
          </cell>
          <cell r="H357" t="str">
            <v>SIGVANC</v>
          </cell>
          <cell r="I357" t="str">
            <v>ta</v>
          </cell>
        </row>
        <row r="358">
          <cell r="A358" t="str">
            <v>M-09 MICHINCHA/NF</v>
          </cell>
          <cell r="B358" t="str">
            <v>03649246</v>
          </cell>
          <cell r="C358" t="str">
            <v>MEDICION DE NIVELES FREATICOS</v>
          </cell>
          <cell r="D358" t="str">
            <v>M-09 MICHINCHA</v>
          </cell>
          <cell r="E358" t="str">
            <v>NF</v>
          </cell>
          <cell r="F358" t="str">
            <v>2026-04-01</v>
          </cell>
          <cell r="G358" t="str">
            <v>2026-04-07</v>
          </cell>
          <cell r="H358" t="str">
            <v>SIGVANC</v>
          </cell>
          <cell r="I358" t="str">
            <v>ta</v>
          </cell>
        </row>
        <row r="359">
          <cell r="A359" t="str">
            <v>M-28 MICHINCHA/NF</v>
          </cell>
          <cell r="B359" t="str">
            <v>03649247</v>
          </cell>
          <cell r="C359" t="str">
            <v>MEDICION DE NIVELES FREATICOS</v>
          </cell>
          <cell r="D359" t="str">
            <v>M-28 MICHINCHA</v>
          </cell>
          <cell r="E359" t="str">
            <v>NF</v>
          </cell>
          <cell r="F359" t="str">
            <v>2026-04-01</v>
          </cell>
          <cell r="G359" t="str">
            <v>2026-04-07</v>
          </cell>
          <cell r="H359" t="str">
            <v>SIGVANC</v>
          </cell>
          <cell r="I359" t="str">
            <v>ta</v>
          </cell>
        </row>
        <row r="360">
          <cell r="A360" t="str">
            <v>UC-602 LIXIVIACIÓN/NF</v>
          </cell>
          <cell r="B360" t="str">
            <v>03649248</v>
          </cell>
          <cell r="C360" t="str">
            <v>MEDICION DE NIVELES FREATICOS</v>
          </cell>
          <cell r="D360" t="str">
            <v>UC-602 LIXIVIACIÓN</v>
          </cell>
          <cell r="E360" t="str">
            <v>NF</v>
          </cell>
          <cell r="F360" t="str">
            <v>2026-04-01</v>
          </cell>
          <cell r="G360" t="str">
            <v>2026-04-07</v>
          </cell>
          <cell r="H360" t="str">
            <v>SIGVANC</v>
          </cell>
          <cell r="I360" t="str">
            <v xml:space="preserve">agregar a ot </v>
          </cell>
        </row>
        <row r="361">
          <cell r="A361" t="str">
            <v>UC-603 MICHINCHA/NF</v>
          </cell>
          <cell r="B361" t="str">
            <v>03649249</v>
          </cell>
          <cell r="C361" t="str">
            <v>MEDICION DE NIVELES FREATICOS</v>
          </cell>
          <cell r="D361" t="str">
            <v>UC-603 MICHINCHA</v>
          </cell>
          <cell r="E361" t="str">
            <v>NF</v>
          </cell>
          <cell r="F361" t="str">
            <v>2026-04-01</v>
          </cell>
          <cell r="G361" t="str">
            <v>2026-04-07</v>
          </cell>
          <cell r="H361" t="str">
            <v>SIGVANC</v>
          </cell>
          <cell r="I361" t="str">
            <v>ta</v>
          </cell>
        </row>
        <row r="362">
          <cell r="A362" t="str">
            <v>CWE-02A COPOSA SUR/NF</v>
          </cell>
          <cell r="B362" t="str">
            <v>03660793</v>
          </cell>
          <cell r="C362" t="str">
            <v>MEDICION DE NIVELES FREATICOS (PAT EIA)</v>
          </cell>
          <cell r="D362" t="str">
            <v>CWE-02A COPOSA SUR</v>
          </cell>
          <cell r="E362" t="str">
            <v>NF</v>
          </cell>
          <cell r="F362" t="str">
            <v>2026-04-01</v>
          </cell>
          <cell r="G362" t="str">
            <v>2026-04-07</v>
          </cell>
          <cell r="H362" t="str">
            <v>SIGVA</v>
          </cell>
          <cell r="I362" t="str">
            <v>se hace con subte turno 28</v>
          </cell>
        </row>
        <row r="363">
          <cell r="A363" t="str">
            <v>SALA DE CAMBIOS PUERTO COLLAHUASI/AP</v>
          </cell>
          <cell r="B363" t="str">
            <v>ES300SI400          W021</v>
          </cell>
          <cell r="C363" t="str">
            <v>MONITOREO EN SALAS DE ESTACION Y TK</v>
          </cell>
          <cell r="D363" t="str">
            <v>SALA DE CAMBIOS PUERTO COLLAHUASI</v>
          </cell>
          <cell r="E363" t="str">
            <v>AP</v>
          </cell>
          <cell r="F363" t="str">
            <v>2026-04-02</v>
          </cell>
          <cell r="G363" t="str">
            <v>2026-04-15</v>
          </cell>
          <cell r="H363" t="str">
            <v>SIGVA</v>
          </cell>
          <cell r="I363" t="str">
            <v>puerto</v>
          </cell>
        </row>
        <row r="364">
          <cell r="A364" t="str">
            <v>SALA DE CAMBIOS PUERTO COLLAHUASI/ASUP</v>
          </cell>
          <cell r="B364" t="str">
            <v>ES300SI400          W027</v>
          </cell>
          <cell r="C364" t="str">
            <v>MUESTREO MANUAL DE AGUAS SUPERFICIALES</v>
          </cell>
          <cell r="D364" t="str">
            <v>SALA DE CAMBIOS PUERTO COLLAHUASI</v>
          </cell>
          <cell r="E364" t="str">
            <v>ASUP</v>
          </cell>
          <cell r="F364" t="str">
            <v>2026-04-02</v>
          </cell>
          <cell r="G364" t="str">
            <v>2026-04-15</v>
          </cell>
          <cell r="H364" t="str">
            <v>SIGVA</v>
          </cell>
          <cell r="I364" t="str">
            <v>puerto</v>
          </cell>
        </row>
        <row r="365">
          <cell r="A365" t="str">
            <v>TK-002 PUERTO COLLAHUASI/ASUP</v>
          </cell>
          <cell r="B365" t="str">
            <v>ES350ZP104          W061</v>
          </cell>
          <cell r="C365" t="str">
            <v>MUESTREO MANUAL DE AGUAS SUPERFICIALES</v>
          </cell>
          <cell r="D365" t="str">
            <v>TK-002 PUERTO COLLAHUASI</v>
          </cell>
          <cell r="E365" t="str">
            <v>ASUP</v>
          </cell>
          <cell r="F365" t="str">
            <v>2026-04-02</v>
          </cell>
          <cell r="G365" t="str">
            <v>2026-04-15</v>
          </cell>
          <cell r="H365" t="str">
            <v>SIGVA</v>
          </cell>
          <cell r="I365" t="str">
            <v>puerto</v>
          </cell>
        </row>
        <row r="366">
          <cell r="A366" t="str">
            <v>TK-002 PUERTO COLLAHUASI/AP</v>
          </cell>
          <cell r="B366" t="str">
            <v>ES350ZP104          W101</v>
          </cell>
          <cell r="C366" t="str">
            <v>MONITOREO EN SALAS DE ESTACION Y TK</v>
          </cell>
          <cell r="D366" t="str">
            <v>TK-002 PUERTO COLLAHUASI</v>
          </cell>
          <cell r="E366" t="str">
            <v>AP</v>
          </cell>
          <cell r="F366" t="str">
            <v>2026-04-02</v>
          </cell>
          <cell r="G366" t="str">
            <v>2026-04-15</v>
          </cell>
          <cell r="H366" t="str">
            <v>SIGVA</v>
          </cell>
          <cell r="I366" t="str">
            <v>puerto</v>
          </cell>
        </row>
        <row r="367">
          <cell r="A367" t="str">
            <v>CGP PUERTO COLLAHUASI/AP</v>
          </cell>
          <cell r="B367" t="str">
            <v>03649224</v>
          </cell>
          <cell r="C367" t="str">
            <v>MONITOREO DE BAÑOS Y CASINOS</v>
          </cell>
          <cell r="D367" t="str">
            <v>CGP PUERTO COLLAHUASI</v>
          </cell>
          <cell r="E367" t="str">
            <v>AP</v>
          </cell>
          <cell r="F367" t="str">
            <v>2026-04-04</v>
          </cell>
          <cell r="G367" t="str">
            <v>2026-04-17</v>
          </cell>
          <cell r="H367" t="str">
            <v>SIGVA</v>
          </cell>
          <cell r="I367" t="str">
            <v>puerto</v>
          </cell>
        </row>
        <row r="368">
          <cell r="A368" t="str">
            <v>CPPCHE PUERTO COLLAHUASI/AP</v>
          </cell>
          <cell r="B368" t="str">
            <v>ES300SI400          W022</v>
          </cell>
          <cell r="C368" t="str">
            <v>MONITOREO DE BAÑOS Y CASINOS</v>
          </cell>
          <cell r="D368" t="str">
            <v>CPPCHE PUERTO COLLAHUASI</v>
          </cell>
          <cell r="E368" t="str">
            <v>AP</v>
          </cell>
          <cell r="F368" t="str">
            <v>2026-04-04</v>
          </cell>
          <cell r="G368" t="str">
            <v>2026-04-17</v>
          </cell>
          <cell r="H368" t="str">
            <v>SIGVA</v>
          </cell>
          <cell r="I368" t="str">
            <v>puerto</v>
          </cell>
        </row>
        <row r="369">
          <cell r="A369" t="str">
            <v>CGP PUERTO COLLAHUASI/ASUP</v>
          </cell>
          <cell r="B369" t="str">
            <v>ES300SI400          W025</v>
          </cell>
          <cell r="C369" t="str">
            <v>MUESTREO MANUAL DE AGUAS SUPERFICIALES</v>
          </cell>
          <cell r="D369" t="str">
            <v>CGP PUERTO COLLAHUASI</v>
          </cell>
          <cell r="E369" t="str">
            <v>ASUP</v>
          </cell>
          <cell r="F369" t="str">
            <v>2026-04-04</v>
          </cell>
          <cell r="G369" t="str">
            <v>2026-04-17</v>
          </cell>
          <cell r="H369" t="str">
            <v>SIGVA</v>
          </cell>
          <cell r="I369" t="str">
            <v>puerto</v>
          </cell>
        </row>
        <row r="370">
          <cell r="A370" t="str">
            <v>CPPCHE PUERTO COLLAHUASI/ASUP</v>
          </cell>
          <cell r="B370" t="str">
            <v>ES300SI400          W026</v>
          </cell>
          <cell r="C370" t="str">
            <v>MUESTREO MANUAL DE AGUAS SUPERFICIALES</v>
          </cell>
          <cell r="D370" t="str">
            <v>CPPCHE PUERTO COLLAHUASI</v>
          </cell>
          <cell r="E370" t="str">
            <v>ASUP</v>
          </cell>
          <cell r="F370" t="str">
            <v>2026-04-04</v>
          </cell>
          <cell r="G370" t="str">
            <v>2026-04-17</v>
          </cell>
          <cell r="H370" t="str">
            <v>SIGVA</v>
          </cell>
          <cell r="I370" t="str">
            <v>puerto</v>
          </cell>
        </row>
        <row r="371">
          <cell r="A371" t="str">
            <v>BCON UJINA/ASUP</v>
          </cell>
          <cell r="B371" t="str">
            <v>03649225</v>
          </cell>
          <cell r="C371" t="str">
            <v>MUESTREO MANUAL DE AGUAS SUPERFICIALES</v>
          </cell>
          <cell r="D371" t="str">
            <v>BCON UJINA</v>
          </cell>
          <cell r="E371" t="str">
            <v>ASUP</v>
          </cell>
          <cell r="F371" t="str">
            <v>2026-04-05</v>
          </cell>
          <cell r="G371" t="str">
            <v>2026-04-11</v>
          </cell>
          <cell r="H371" t="str">
            <v>SIGVA</v>
          </cell>
          <cell r="I371" t="str">
            <v>ta</v>
          </cell>
        </row>
        <row r="372">
          <cell r="A372" t="str">
            <v>BGSO UJINA/ASUP</v>
          </cell>
          <cell r="B372" t="str">
            <v>03649226</v>
          </cell>
          <cell r="C372" t="str">
            <v>MUESTREO MANUAL DE AGUAS SUPERFICIALES</v>
          </cell>
          <cell r="D372" t="str">
            <v>BGSO UJINA</v>
          </cell>
          <cell r="E372" t="str">
            <v>ASUP</v>
          </cell>
          <cell r="F372" t="str">
            <v>2026-04-05</v>
          </cell>
          <cell r="G372" t="str">
            <v>2026-04-11</v>
          </cell>
          <cell r="H372" t="str">
            <v>SIGVA</v>
          </cell>
          <cell r="I372" t="str">
            <v>ta</v>
          </cell>
        </row>
        <row r="373">
          <cell r="A373" t="str">
            <v>TK-505 FALLA PABELLON/ASUP</v>
          </cell>
          <cell r="B373" t="str">
            <v>03649227</v>
          </cell>
          <cell r="C373" t="str">
            <v>MUESTREO MANUAL DE AGUAS SUPERFICIALES</v>
          </cell>
          <cell r="D373" t="str">
            <v>TK-505 FALLA PABELLON</v>
          </cell>
          <cell r="E373" t="str">
            <v>ASUP</v>
          </cell>
          <cell r="F373" t="str">
            <v>2026-04-05</v>
          </cell>
          <cell r="G373" t="str">
            <v>2026-04-11</v>
          </cell>
          <cell r="H373" t="str">
            <v>SIGVA</v>
          </cell>
          <cell r="I373" t="str">
            <v>ta</v>
          </cell>
        </row>
        <row r="374">
          <cell r="A374" t="str">
            <v>BPCR ROSARIO/ASUP</v>
          </cell>
          <cell r="B374" t="str">
            <v>03649228</v>
          </cell>
          <cell r="C374" t="str">
            <v>MUESTREO MANUAL DE AGUAS SUPERFICIALES</v>
          </cell>
          <cell r="D374" t="str">
            <v>BPCR ROSARIO</v>
          </cell>
          <cell r="E374" t="str">
            <v>ASUP</v>
          </cell>
          <cell r="F374" t="str">
            <v>2026-04-05</v>
          </cell>
          <cell r="G374" t="str">
            <v>2026-04-11</v>
          </cell>
          <cell r="H374" t="str">
            <v>SIGVA</v>
          </cell>
          <cell r="I374" t="str">
            <v>ta</v>
          </cell>
        </row>
        <row r="375">
          <cell r="A375" t="str">
            <v>CPC FALLA PABELLON/ASUP</v>
          </cell>
          <cell r="B375" t="str">
            <v>03649229</v>
          </cell>
          <cell r="C375" t="str">
            <v>MUESTREO MANUAL DE AGUAS SUPERFICIALES</v>
          </cell>
          <cell r="D375" t="str">
            <v>CPC FALLA PABELLON</v>
          </cell>
          <cell r="E375" t="str">
            <v>ASUP</v>
          </cell>
          <cell r="F375" t="str">
            <v>2026-04-05</v>
          </cell>
          <cell r="G375" t="str">
            <v>2026-04-11</v>
          </cell>
          <cell r="H375" t="str">
            <v>SIGVA</v>
          </cell>
          <cell r="I375" t="str">
            <v>ta</v>
          </cell>
        </row>
        <row r="376">
          <cell r="A376" t="str">
            <v>C-1000 UJINA/ASUP</v>
          </cell>
          <cell r="B376" t="str">
            <v>03649230</v>
          </cell>
          <cell r="C376" t="str">
            <v>MUESTREO MANUAL DE AGUAS SUPERFICIALES</v>
          </cell>
          <cell r="D376" t="str">
            <v>C-1000 UJINA</v>
          </cell>
          <cell r="E376" t="str">
            <v>ASUP</v>
          </cell>
          <cell r="F376" t="str">
            <v>2026-04-05</v>
          </cell>
          <cell r="G376" t="str">
            <v>2026-04-11</v>
          </cell>
          <cell r="H376" t="str">
            <v>SIGVA</v>
          </cell>
          <cell r="I376" t="str">
            <v>ta</v>
          </cell>
        </row>
        <row r="377">
          <cell r="A377" t="str">
            <v>MONITOREO DE BAÑOS Y CASINOS BCC/ASUP</v>
          </cell>
          <cell r="B377" t="str">
            <v>03649231</v>
          </cell>
          <cell r="C377" t="str">
            <v>MUESTREO MANUAL DE AGUAS SUPERFICIALES</v>
          </cell>
          <cell r="D377" t="str">
            <v>MONITOREO DE BAÑOS Y CASINOS BCC</v>
          </cell>
          <cell r="E377" t="str">
            <v>ASUP</v>
          </cell>
          <cell r="F377" t="str">
            <v>2026-04-05</v>
          </cell>
          <cell r="G377" t="str">
            <v>2026-04-11</v>
          </cell>
          <cell r="H377" t="str">
            <v>SIGVA</v>
          </cell>
          <cell r="I377" t="str">
            <v>ta</v>
          </cell>
        </row>
        <row r="378">
          <cell r="A378" t="str">
            <v>C-460 ROSARIO/ASUP</v>
          </cell>
          <cell r="B378" t="str">
            <v>03649232</v>
          </cell>
          <cell r="C378" t="str">
            <v>MUESTREO MANUAL DE AGUAS SUPERFICIALES</v>
          </cell>
          <cell r="D378" t="str">
            <v>C-460 ROSARIO</v>
          </cell>
          <cell r="E378" t="str">
            <v>ASUP</v>
          </cell>
          <cell r="F378" t="str">
            <v>2026-04-05</v>
          </cell>
          <cell r="G378" t="str">
            <v>2026-04-11</v>
          </cell>
          <cell r="H378" t="str">
            <v>SIGVA</v>
          </cell>
          <cell r="I378" t="str">
            <v>ta</v>
          </cell>
        </row>
        <row r="379">
          <cell r="A379" t="str">
            <v>CCD/ASUP</v>
          </cell>
          <cell r="B379" t="str">
            <v>03649233</v>
          </cell>
          <cell r="C379" t="str">
            <v>MUESTREO MANUAL DE AGUAS SUPERFICIALES</v>
          </cell>
          <cell r="D379" t="str">
            <v>CCD</v>
          </cell>
          <cell r="E379" t="str">
            <v>ASUP</v>
          </cell>
          <cell r="F379" t="str">
            <v>2026-04-05</v>
          </cell>
          <cell r="G379" t="str">
            <v>2026-04-11</v>
          </cell>
          <cell r="H379" t="str">
            <v>SIGVA</v>
          </cell>
          <cell r="I379" t="str">
            <v>ta</v>
          </cell>
        </row>
        <row r="380">
          <cell r="A380" t="str">
            <v>TK-1004 ROSARIO/ASUP</v>
          </cell>
          <cell r="B380" t="str">
            <v>03649234</v>
          </cell>
          <cell r="C380" t="str">
            <v>MUESTREO MANUAL DE AGUAS SUPERFICIALES</v>
          </cell>
          <cell r="D380" t="str">
            <v>TK-1004 ROSARIO</v>
          </cell>
          <cell r="E380" t="str">
            <v>ASUP</v>
          </cell>
          <cell r="F380" t="str">
            <v>2026-04-05</v>
          </cell>
          <cell r="G380" t="str">
            <v>2026-04-11</v>
          </cell>
          <cell r="H380" t="str">
            <v>SIGVA</v>
          </cell>
          <cell r="I380" t="str">
            <v>ta</v>
          </cell>
        </row>
        <row r="381">
          <cell r="A381" t="str">
            <v>TK-517 UJINA/ASUP</v>
          </cell>
          <cell r="B381" t="str">
            <v>03649235</v>
          </cell>
          <cell r="C381" t="str">
            <v>MUESTREO MANUAL DE AGUAS SUPERFICIALES</v>
          </cell>
          <cell r="D381" t="str">
            <v>TK-517 UJINA</v>
          </cell>
          <cell r="E381" t="str">
            <v>ASUP</v>
          </cell>
          <cell r="F381" t="str">
            <v>2026-04-05</v>
          </cell>
          <cell r="G381" t="str">
            <v>2026-04-11</v>
          </cell>
          <cell r="H381" t="str">
            <v>SIGVA</v>
          </cell>
          <cell r="I381" t="str">
            <v>ta</v>
          </cell>
        </row>
        <row r="382">
          <cell r="A382" t="str">
            <v>BOR ROSARIO/ASUP</v>
          </cell>
          <cell r="B382" t="str">
            <v>03649236</v>
          </cell>
          <cell r="C382" t="str">
            <v>MUESTREO MANUAL DE AGUAS SUPERFICIALES</v>
          </cell>
          <cell r="D382" t="str">
            <v>BOR ROSARIO</v>
          </cell>
          <cell r="E382" t="str">
            <v>ASUP</v>
          </cell>
          <cell r="F382" t="str">
            <v>2026-04-05</v>
          </cell>
          <cell r="G382" t="str">
            <v>2026-04-11</v>
          </cell>
          <cell r="H382" t="str">
            <v>SIGVA</v>
          </cell>
          <cell r="I382" t="str">
            <v>ta</v>
          </cell>
        </row>
        <row r="383">
          <cell r="A383" t="str">
            <v>ACTR TRANQUE/ASUP</v>
          </cell>
          <cell r="B383" t="str">
            <v>03661666</v>
          </cell>
          <cell r="C383" t="str">
            <v>MUESTREO MANUAL DE AGUAS SUPERFICIALES</v>
          </cell>
          <cell r="D383" t="str">
            <v>ACTR TRANQUE</v>
          </cell>
          <cell r="E383" t="str">
            <v>ASUP</v>
          </cell>
          <cell r="F383" t="str">
            <v>2026-04-08</v>
          </cell>
          <cell r="G383" t="str">
            <v>2026-04-14</v>
          </cell>
          <cell r="H383" t="str">
            <v>SIGVA</v>
          </cell>
          <cell r="I383" t="str">
            <v>jueves</v>
          </cell>
        </row>
        <row r="384">
          <cell r="A384" t="str">
            <v>R-B-2 COPOSA NORTE/NF</v>
          </cell>
          <cell r="B384" t="str">
            <v>03661667</v>
          </cell>
          <cell r="C384" t="str">
            <v>MEDICION DE NIVELES FREATICOS</v>
          </cell>
          <cell r="D384" t="str">
            <v>R-B-2 COPOSA NORTE</v>
          </cell>
          <cell r="E384" t="str">
            <v>NF</v>
          </cell>
          <cell r="F384" t="str">
            <v>2026-04-08</v>
          </cell>
          <cell r="G384" t="str">
            <v>2026-04-21</v>
          </cell>
          <cell r="H384" t="str">
            <v>SIGVA</v>
          </cell>
        </row>
        <row r="385">
          <cell r="A385" t="str">
            <v>R-C-1 COPOSA NORTE/NF</v>
          </cell>
          <cell r="B385" t="str">
            <v>03661668</v>
          </cell>
          <cell r="C385" t="str">
            <v>MEDICION DE NIVELES FREATICOS (PAT EIA)</v>
          </cell>
          <cell r="D385" t="str">
            <v>R-C-1 COPOSA NORTE</v>
          </cell>
          <cell r="E385" t="str">
            <v>NF</v>
          </cell>
          <cell r="F385" t="str">
            <v>2026-04-08</v>
          </cell>
          <cell r="G385" t="str">
            <v>2026-04-21</v>
          </cell>
          <cell r="H385" t="str">
            <v>SIGVA</v>
          </cell>
        </row>
        <row r="386">
          <cell r="A386" t="str">
            <v>R-C-2 COPOSA NORTE/NF</v>
          </cell>
          <cell r="B386" t="str">
            <v>03661669</v>
          </cell>
          <cell r="C386" t="str">
            <v>MEDICION DE NIVELES FREATICOS (PAT EIA)</v>
          </cell>
          <cell r="D386" t="str">
            <v>R-C-2 COPOSA NORTE</v>
          </cell>
          <cell r="E386" t="str">
            <v>NF</v>
          </cell>
          <cell r="F386" t="str">
            <v>2026-04-08</v>
          </cell>
          <cell r="G386" t="str">
            <v>2026-04-21</v>
          </cell>
          <cell r="H386" t="str">
            <v>SIGVA</v>
          </cell>
        </row>
        <row r="387">
          <cell r="A387" t="str">
            <v>R-C-3B  COPOSA NORTE/NF</v>
          </cell>
          <cell r="B387" t="str">
            <v>03661670</v>
          </cell>
          <cell r="C387" t="str">
            <v>MEDICION DE NIVELES FREATICOS (PAT EIA)</v>
          </cell>
          <cell r="D387" t="str">
            <v>R-C-3B  COPOSA NORTE</v>
          </cell>
          <cell r="E387" t="str">
            <v>NF</v>
          </cell>
          <cell r="F387" t="str">
            <v>2026-04-08</v>
          </cell>
          <cell r="G387" t="str">
            <v>2026-04-21</v>
          </cell>
          <cell r="H387" t="str">
            <v>SIGVA</v>
          </cell>
        </row>
        <row r="388">
          <cell r="A388" t="str">
            <v>R-PORT-1 PORTEZUELO/NF</v>
          </cell>
          <cell r="B388" t="str">
            <v>03661671</v>
          </cell>
          <cell r="C388" t="str">
            <v>MEDICION DE NIVELES FREATICOS (PAT EIA)</v>
          </cell>
          <cell r="D388" t="str">
            <v>R-PORT-1 PORTEZUELO</v>
          </cell>
          <cell r="E388" t="str">
            <v>NF</v>
          </cell>
          <cell r="F388" t="str">
            <v>2026-04-08</v>
          </cell>
          <cell r="G388" t="str">
            <v>2026-04-21</v>
          </cell>
          <cell r="H388" t="str">
            <v>SIGVA</v>
          </cell>
          <cell r="I388" t="str">
            <v>sabado</v>
          </cell>
        </row>
        <row r="389">
          <cell r="A389" t="str">
            <v>PEP-04C PORTEZUELO/ASUB</v>
          </cell>
          <cell r="B389" t="str">
            <v>03661672</v>
          </cell>
          <cell r="C389" t="str">
            <v>MUESTREO MANUAL DE AGUAS SUBTERRÁNEAS</v>
          </cell>
          <cell r="D389" t="str">
            <v>PEP-04C PORTEZUELO</v>
          </cell>
          <cell r="E389" t="str">
            <v>ASUB</v>
          </cell>
          <cell r="F389" t="str">
            <v>2026-04-08</v>
          </cell>
          <cell r="G389" t="str">
            <v>2026-04-21</v>
          </cell>
          <cell r="H389" t="str">
            <v>SIGVA</v>
          </cell>
          <cell r="I389" t="str">
            <v>te</v>
          </cell>
        </row>
        <row r="390">
          <cell r="A390" t="str">
            <v>PEP-04C PORTEZUELO/NF</v>
          </cell>
          <cell r="B390" t="str">
            <v>03661673</v>
          </cell>
          <cell r="C390" t="str">
            <v>MEDICION DE NIVELES FREATICOS (PAT EIA)</v>
          </cell>
          <cell r="D390" t="str">
            <v>PEP-04C PORTEZUELO</v>
          </cell>
          <cell r="E390" t="str">
            <v>NF</v>
          </cell>
          <cell r="F390" t="str">
            <v>2026-04-08</v>
          </cell>
          <cell r="G390" t="str">
            <v>2026-04-21</v>
          </cell>
          <cell r="H390" t="str">
            <v>SIGVA</v>
          </cell>
          <cell r="I390" t="str">
            <v>te</v>
          </cell>
        </row>
        <row r="391">
          <cell r="A391" t="str">
            <v>PEP-03 PORTEZUELO/ASUB</v>
          </cell>
          <cell r="B391" t="str">
            <v>03661674</v>
          </cell>
          <cell r="C391" t="str">
            <v>MUESTREO MANUAL DE AGUAS SUBTERRÁNEAS</v>
          </cell>
          <cell r="D391" t="str">
            <v>PEP-03 PORTEZUELO</v>
          </cell>
          <cell r="E391" t="str">
            <v>ASUB</v>
          </cell>
          <cell r="F391" t="str">
            <v>2026-04-08</v>
          </cell>
          <cell r="G391" t="str">
            <v>2026-04-21</v>
          </cell>
          <cell r="H391" t="str">
            <v>SIGVA</v>
          </cell>
          <cell r="I391" t="str">
            <v>te</v>
          </cell>
        </row>
        <row r="392">
          <cell r="A392" t="str">
            <v>PEP-03 PORTEZUELO/NF</v>
          </cell>
          <cell r="B392" t="str">
            <v>03661675</v>
          </cell>
          <cell r="C392" t="str">
            <v>MEDICION DE NIVELES FREATICOS (PAT EIA)</v>
          </cell>
          <cell r="D392" t="str">
            <v>PEP-03 PORTEZUELO</v>
          </cell>
          <cell r="E392" t="str">
            <v>NF</v>
          </cell>
          <cell r="F392" t="str">
            <v>2026-04-08</v>
          </cell>
          <cell r="G392" t="str">
            <v>2026-04-21</v>
          </cell>
          <cell r="H392" t="str">
            <v>SIGVA</v>
          </cell>
          <cell r="I392" t="str">
            <v>te</v>
          </cell>
        </row>
        <row r="393">
          <cell r="A393" t="str">
            <v>AU-02 UJINA/NF</v>
          </cell>
          <cell r="B393" t="str">
            <v>03661676</v>
          </cell>
          <cell r="C393" t="str">
            <v>MEDICION DE NIVELES FREATICOS</v>
          </cell>
          <cell r="D393" t="str">
            <v>AU-02 UJINA</v>
          </cell>
          <cell r="E393" t="str">
            <v>NF</v>
          </cell>
          <cell r="F393" t="str">
            <v>2026-04-08</v>
          </cell>
          <cell r="G393" t="str">
            <v>2026-04-14</v>
          </cell>
          <cell r="H393" t="str">
            <v>SIGVA</v>
          </cell>
          <cell r="I393" t="str">
            <v>v-d</v>
          </cell>
        </row>
        <row r="394">
          <cell r="A394" t="str">
            <v>AU-05 UJINA/NF</v>
          </cell>
          <cell r="B394" t="str">
            <v>03661677</v>
          </cell>
          <cell r="C394" t="str">
            <v>MEDICION DE NIVELES FREATICOS</v>
          </cell>
          <cell r="D394" t="str">
            <v>AU-05 UJINA</v>
          </cell>
          <cell r="E394" t="str">
            <v>NF</v>
          </cell>
          <cell r="F394" t="str">
            <v>2026-04-08</v>
          </cell>
          <cell r="G394" t="str">
            <v>2026-04-14</v>
          </cell>
          <cell r="H394" t="str">
            <v>SIGVA</v>
          </cell>
          <cell r="I394" t="str">
            <v>v-d</v>
          </cell>
        </row>
        <row r="395">
          <cell r="A395" t="str">
            <v>CMA-28 JACHUCOPOSA/NF</v>
          </cell>
          <cell r="B395" t="str">
            <v>03661678</v>
          </cell>
          <cell r="C395" t="str">
            <v>MEDICION DE NIVELES FREATICOS</v>
          </cell>
          <cell r="D395" t="str">
            <v>CMA-28 JACHUCOPOSA</v>
          </cell>
          <cell r="E395" t="str">
            <v>NF</v>
          </cell>
          <cell r="F395" t="str">
            <v>2026-04-08</v>
          </cell>
          <cell r="G395" t="str">
            <v>2026-04-14</v>
          </cell>
          <cell r="H395" t="str">
            <v>SIGVA</v>
          </cell>
          <cell r="I395" t="str">
            <v>sabado</v>
          </cell>
        </row>
        <row r="396">
          <cell r="A396" t="str">
            <v>CMA-01A JACHUCOPOSA/NF</v>
          </cell>
          <cell r="B396" t="str">
            <v>03661679</v>
          </cell>
          <cell r="C396" t="str">
            <v>MEDICION DE NIVELES FREATICOS</v>
          </cell>
          <cell r="D396" t="str">
            <v>CMA-01A JACHUCOPOSA</v>
          </cell>
          <cell r="E396" t="str">
            <v>NF</v>
          </cell>
          <cell r="F396" t="str">
            <v>2026-04-08</v>
          </cell>
          <cell r="G396" t="str">
            <v>2026-04-14</v>
          </cell>
          <cell r="H396" t="str">
            <v>SIGVA</v>
          </cell>
          <cell r="I396" t="str">
            <v>vier o lunes</v>
          </cell>
        </row>
        <row r="397">
          <cell r="A397" t="str">
            <v>CMA-01A JACHUCOPOSA/ASUB</v>
          </cell>
          <cell r="B397" t="str">
            <v>03661680</v>
          </cell>
          <cell r="C397" t="str">
            <v>MUESTREO MANUAL DE AGUAS SUBTERRÁNEAS</v>
          </cell>
          <cell r="D397" t="str">
            <v>CMA-01A JACHUCOPOSA</v>
          </cell>
          <cell r="E397" t="str">
            <v>ASUB</v>
          </cell>
          <cell r="F397" t="str">
            <v>2026-04-08</v>
          </cell>
          <cell r="G397" t="str">
            <v>2026-04-14</v>
          </cell>
          <cell r="H397" t="str">
            <v>SIGVA</v>
          </cell>
          <cell r="I397" t="str">
            <v>vier o lunes</v>
          </cell>
        </row>
        <row r="398">
          <cell r="A398" t="str">
            <v>CMA-01B JACHUCOPOSA/NF</v>
          </cell>
          <cell r="B398" t="str">
            <v>03661681</v>
          </cell>
          <cell r="C398" t="str">
            <v>MEDICION DE NIVELES FREATICOS</v>
          </cell>
          <cell r="D398" t="str">
            <v>CMA-01B JACHUCOPOSA</v>
          </cell>
          <cell r="E398" t="str">
            <v>NF</v>
          </cell>
          <cell r="F398" t="str">
            <v>2026-04-08</v>
          </cell>
          <cell r="G398" t="str">
            <v>2026-04-14</v>
          </cell>
          <cell r="H398" t="str">
            <v>SIGVA</v>
          </cell>
          <cell r="I398" t="str">
            <v>vier o lunes</v>
          </cell>
        </row>
        <row r="399">
          <cell r="A399" t="str">
            <v>CMA-01B JACHUCOPOSA/ASUB</v>
          </cell>
          <cell r="B399" t="str">
            <v>03661682</v>
          </cell>
          <cell r="C399" t="str">
            <v>MUESTREO MANUAL DE AGUAS SUBTERRÁNEAS</v>
          </cell>
          <cell r="D399" t="str">
            <v>CMA-01B JACHUCOPOSA</v>
          </cell>
          <cell r="E399" t="str">
            <v>ASUB</v>
          </cell>
          <cell r="F399" t="str">
            <v>2026-04-08</v>
          </cell>
          <cell r="G399" t="str">
            <v>2026-04-14</v>
          </cell>
          <cell r="H399" t="str">
            <v>SIGVA</v>
          </cell>
          <cell r="I399" t="str">
            <v>vier o lunes</v>
          </cell>
        </row>
        <row r="400">
          <cell r="A400" t="str">
            <v>CMA-02 JACHUCOPOSA/NF</v>
          </cell>
          <cell r="B400" t="str">
            <v>03661683</v>
          </cell>
          <cell r="C400" t="str">
            <v>MEDICION DE NIVELES FREATICOS</v>
          </cell>
          <cell r="D400" t="str">
            <v>CMA-02 JACHUCOPOSA</v>
          </cell>
          <cell r="E400" t="str">
            <v>NF</v>
          </cell>
          <cell r="F400" t="str">
            <v>2026-04-08</v>
          </cell>
          <cell r="G400" t="str">
            <v>2026-04-14</v>
          </cell>
          <cell r="H400" t="str">
            <v>SIGVA</v>
          </cell>
          <cell r="I400" t="str">
            <v>vier o lunes</v>
          </cell>
        </row>
        <row r="401">
          <cell r="A401" t="str">
            <v>CMA-02 JACHUCOPOSA/ASUB</v>
          </cell>
          <cell r="B401" t="str">
            <v>03661684</v>
          </cell>
          <cell r="C401" t="str">
            <v>MUESTREO MANUAL DE AGUAS SUBTERRÁNEAS</v>
          </cell>
          <cell r="D401" t="str">
            <v>CMA-02 JACHUCOPOSA</v>
          </cell>
          <cell r="E401" t="str">
            <v>ASUB</v>
          </cell>
          <cell r="F401" t="str">
            <v>2026-04-08</v>
          </cell>
          <cell r="G401" t="str">
            <v>2026-04-14</v>
          </cell>
          <cell r="H401" t="str">
            <v>SIGVA</v>
          </cell>
          <cell r="I401" t="str">
            <v>vier o lunes</v>
          </cell>
        </row>
        <row r="402">
          <cell r="A402" t="str">
            <v>CMA-03 JACHUCOPOSA/NF</v>
          </cell>
          <cell r="B402" t="str">
            <v>03661685</v>
          </cell>
          <cell r="C402" t="str">
            <v>MEDICION DE NIVELES FREATICOS</v>
          </cell>
          <cell r="D402" t="str">
            <v>CMA-03 JACHUCOPOSA</v>
          </cell>
          <cell r="E402" t="str">
            <v>NF</v>
          </cell>
          <cell r="F402" t="str">
            <v>2026-04-08</v>
          </cell>
          <cell r="G402" t="str">
            <v>2026-04-14</v>
          </cell>
          <cell r="H402" t="str">
            <v>SIGVA</v>
          </cell>
          <cell r="I402" t="str">
            <v>vier o lunes</v>
          </cell>
        </row>
        <row r="403">
          <cell r="A403" t="str">
            <v>CMA-03 JACHUCOPOSA/ASUB</v>
          </cell>
          <cell r="B403" t="str">
            <v>03661686</v>
          </cell>
          <cell r="C403" t="str">
            <v>MUESTREO MANUAL DE AGUAS SUBTERRÁNEAS</v>
          </cell>
          <cell r="D403" t="str">
            <v>CMA-03 JACHUCOPOSA</v>
          </cell>
          <cell r="E403" t="str">
            <v>ASUB</v>
          </cell>
          <cell r="F403" t="str">
            <v>2026-04-08</v>
          </cell>
          <cell r="G403" t="str">
            <v>2026-04-14</v>
          </cell>
          <cell r="H403" t="str">
            <v>SIGVA</v>
          </cell>
          <cell r="I403" t="str">
            <v>vier o lunes</v>
          </cell>
        </row>
        <row r="404">
          <cell r="A404" t="str">
            <v>CMA-04 JACHUCOPOSA/NF</v>
          </cell>
          <cell r="B404" t="str">
            <v>03661687</v>
          </cell>
          <cell r="C404" t="str">
            <v>MEDICION DE NIVELES FREATICOS</v>
          </cell>
          <cell r="D404" t="str">
            <v>CMA-04 JACHUCOPOSA</v>
          </cell>
          <cell r="E404" t="str">
            <v>NF</v>
          </cell>
          <cell r="F404" t="str">
            <v>2026-04-08</v>
          </cell>
          <cell r="G404" t="str">
            <v>2026-04-14</v>
          </cell>
          <cell r="H404" t="str">
            <v>SIGVA</v>
          </cell>
          <cell r="I404" t="str">
            <v>vier o lunes</v>
          </cell>
        </row>
        <row r="405">
          <cell r="A405" t="str">
            <v>CMA-04 JACHUCOPOSA/ASUB</v>
          </cell>
          <cell r="B405" t="str">
            <v>03661688</v>
          </cell>
          <cell r="C405" t="str">
            <v>MUESTREO MANUAL DE AGUAS SUBTERRÁNEAS</v>
          </cell>
          <cell r="D405" t="str">
            <v>CMA-04 JACHUCOPOSA</v>
          </cell>
          <cell r="E405" t="str">
            <v>ASUB</v>
          </cell>
          <cell r="F405" t="str">
            <v>2026-04-08</v>
          </cell>
          <cell r="G405" t="str">
            <v>2026-04-14</v>
          </cell>
          <cell r="H405" t="str">
            <v>SIGVA</v>
          </cell>
          <cell r="I405" t="str">
            <v>vier o lunes</v>
          </cell>
        </row>
        <row r="406">
          <cell r="A406" t="str">
            <v>CMA-05 JACHUCOPOSA/NF</v>
          </cell>
          <cell r="B406" t="str">
            <v>03661689</v>
          </cell>
          <cell r="C406" t="str">
            <v>MEDICION DE NIVELES FREATICOS</v>
          </cell>
          <cell r="D406" t="str">
            <v>CMA-05 JACHUCOPOSA</v>
          </cell>
          <cell r="E406" t="str">
            <v>NF</v>
          </cell>
          <cell r="F406" t="str">
            <v>2026-04-08</v>
          </cell>
          <cell r="G406" t="str">
            <v>2026-04-14</v>
          </cell>
          <cell r="H406" t="str">
            <v>SIGVA</v>
          </cell>
          <cell r="I406" t="str">
            <v>vier o lunes</v>
          </cell>
        </row>
        <row r="407">
          <cell r="A407" t="str">
            <v>CMA-05 JACHUCOPOSA/ASUB</v>
          </cell>
          <cell r="B407" t="str">
            <v>03661690</v>
          </cell>
          <cell r="C407" t="str">
            <v>MUESTREO MANUAL DE AGUAS SUBTERRÁNEAS</v>
          </cell>
          <cell r="D407" t="str">
            <v>CMA-05 JACHUCOPOSA</v>
          </cell>
          <cell r="E407" t="str">
            <v>ASUB</v>
          </cell>
          <cell r="F407" t="str">
            <v>2026-04-08</v>
          </cell>
          <cell r="G407" t="str">
            <v>2026-04-14</v>
          </cell>
          <cell r="H407" t="str">
            <v>SIGVA</v>
          </cell>
          <cell r="I407" t="str">
            <v>vier o lunes</v>
          </cell>
        </row>
        <row r="408">
          <cell r="A408" t="str">
            <v>CMA-06 JACHUCOPOSA/NF</v>
          </cell>
          <cell r="B408" t="str">
            <v>03661691</v>
          </cell>
          <cell r="C408" t="str">
            <v>MEDICION DE NIVELES FREATICOS</v>
          </cell>
          <cell r="D408" t="str">
            <v>CMA-06 JACHUCOPOSA</v>
          </cell>
          <cell r="E408" t="str">
            <v>NF</v>
          </cell>
          <cell r="F408" t="str">
            <v>2026-04-08</v>
          </cell>
          <cell r="G408" t="str">
            <v>2026-04-14</v>
          </cell>
          <cell r="H408" t="str">
            <v>SIGVA</v>
          </cell>
          <cell r="I408" t="str">
            <v>vier o lunes</v>
          </cell>
        </row>
        <row r="409">
          <cell r="A409" t="str">
            <v>CMA-06 JACHUCOPOSA/ASUB</v>
          </cell>
          <cell r="B409" t="str">
            <v>03661692</v>
          </cell>
          <cell r="C409" t="str">
            <v>MUESTREO MANUAL DE AGUAS SUBTERRÁNEAS</v>
          </cell>
          <cell r="D409" t="str">
            <v>CMA-06 JACHUCOPOSA</v>
          </cell>
          <cell r="E409" t="str">
            <v>ASUB</v>
          </cell>
          <cell r="F409" t="str">
            <v>2026-04-08</v>
          </cell>
          <cell r="G409" t="str">
            <v>2026-04-14</v>
          </cell>
          <cell r="H409" t="str">
            <v>SIGVA</v>
          </cell>
          <cell r="I409" t="str">
            <v>vier o lunes</v>
          </cell>
        </row>
        <row r="410">
          <cell r="A410" t="str">
            <v>CMA-07 JACHUCOPOSA/NF</v>
          </cell>
          <cell r="B410" t="str">
            <v>03661693</v>
          </cell>
          <cell r="C410" t="str">
            <v>MEDICION DE NIVELES FREATICOS</v>
          </cell>
          <cell r="D410" t="str">
            <v>CMA-07 JACHUCOPOSA</v>
          </cell>
          <cell r="E410" t="str">
            <v>NF</v>
          </cell>
          <cell r="F410" t="str">
            <v>2026-04-08</v>
          </cell>
          <cell r="G410" t="str">
            <v>2026-04-14</v>
          </cell>
          <cell r="H410" t="str">
            <v>SIGVA</v>
          </cell>
          <cell r="I410" t="str">
            <v>vier o lunes</v>
          </cell>
        </row>
        <row r="411">
          <cell r="A411" t="str">
            <v>CMA-07 JACHUCOPOSA/ASUB</v>
          </cell>
          <cell r="B411" t="str">
            <v>03661694</v>
          </cell>
          <cell r="C411" t="str">
            <v>MUESTREO MANUAL DE AGUAS SUBTERRÁNEAS</v>
          </cell>
          <cell r="D411" t="str">
            <v>CMA-07 JACHUCOPOSA</v>
          </cell>
          <cell r="E411" t="str">
            <v>ASUB</v>
          </cell>
          <cell r="F411" t="str">
            <v>2026-04-08</v>
          </cell>
          <cell r="G411" t="str">
            <v>2026-04-14</v>
          </cell>
          <cell r="H411" t="str">
            <v>SIGVA</v>
          </cell>
          <cell r="I411" t="str">
            <v>vier o lunes</v>
          </cell>
        </row>
        <row r="412">
          <cell r="A412" t="str">
            <v>CMA-08 JACHUCOPOSA/NF</v>
          </cell>
          <cell r="B412" t="str">
            <v>03661695</v>
          </cell>
          <cell r="C412" t="str">
            <v>MEDICION DE NIVELES FREATICOS</v>
          </cell>
          <cell r="D412" t="str">
            <v>CMA-08 JACHUCOPOSA</v>
          </cell>
          <cell r="E412" t="str">
            <v>NF</v>
          </cell>
          <cell r="F412" t="str">
            <v>2026-04-08</v>
          </cell>
          <cell r="G412" t="str">
            <v>2026-04-14</v>
          </cell>
          <cell r="H412" t="str">
            <v>SIGVA</v>
          </cell>
          <cell r="I412" t="str">
            <v>vier o lunes</v>
          </cell>
        </row>
        <row r="413">
          <cell r="A413" t="str">
            <v>CMA-08 JACHUCOPOSA/ASUB</v>
          </cell>
          <cell r="B413" t="str">
            <v>03661696</v>
          </cell>
          <cell r="C413" t="str">
            <v>MUESTREO MANUAL DE AGUAS SUBTERRÁNEAS</v>
          </cell>
          <cell r="D413" t="str">
            <v>CMA-08 JACHUCOPOSA</v>
          </cell>
          <cell r="E413" t="str">
            <v>ASUB</v>
          </cell>
          <cell r="F413" t="str">
            <v>2026-04-08</v>
          </cell>
          <cell r="G413" t="str">
            <v>2026-04-14</v>
          </cell>
          <cell r="H413" t="str">
            <v>SIGVA</v>
          </cell>
          <cell r="I413" t="str">
            <v>vier o lunes</v>
          </cell>
        </row>
        <row r="414">
          <cell r="A414" t="str">
            <v>CMA-09 JACHUCOPOSA/NF</v>
          </cell>
          <cell r="B414" t="str">
            <v>03661697</v>
          </cell>
          <cell r="C414" t="str">
            <v>MEDICION DE NIVELES FREATICOS</v>
          </cell>
          <cell r="D414" t="str">
            <v>CMA-09 JACHUCOPOSA</v>
          </cell>
          <cell r="E414" t="str">
            <v>NF</v>
          </cell>
          <cell r="F414" t="str">
            <v>2026-04-08</v>
          </cell>
          <cell r="G414" t="str">
            <v>2026-04-14</v>
          </cell>
          <cell r="H414" t="str">
            <v>SIGVA</v>
          </cell>
          <cell r="I414" t="str">
            <v>vier o lunes</v>
          </cell>
        </row>
        <row r="415">
          <cell r="A415" t="str">
            <v>CMA-09 JACHUCOPOSA/ASUB</v>
          </cell>
          <cell r="B415" t="str">
            <v>03661698</v>
          </cell>
          <cell r="C415" t="str">
            <v>MUESTREO MANUAL DE AGUAS SUBTERRÁNEAS</v>
          </cell>
          <cell r="D415" t="str">
            <v>CMA-09 JACHUCOPOSA</v>
          </cell>
          <cell r="E415" t="str">
            <v>ASUB</v>
          </cell>
          <cell r="F415" t="str">
            <v>2026-04-08</v>
          </cell>
          <cell r="G415" t="str">
            <v>2026-04-14</v>
          </cell>
          <cell r="H415" t="str">
            <v>SIGVA</v>
          </cell>
          <cell r="I415" t="str">
            <v>vier o lunes</v>
          </cell>
        </row>
        <row r="416">
          <cell r="A416" t="str">
            <v>CMA-10 JACHUCOPOSA/NF</v>
          </cell>
          <cell r="B416" t="str">
            <v>03661699</v>
          </cell>
          <cell r="C416" t="str">
            <v>MEDICION DE NIVELES FREATICOS</v>
          </cell>
          <cell r="D416" t="str">
            <v>CMA-10 JACHUCOPOSA</v>
          </cell>
          <cell r="E416" t="str">
            <v>NF</v>
          </cell>
          <cell r="F416" t="str">
            <v>2026-04-08</v>
          </cell>
          <cell r="G416" t="str">
            <v>2026-04-14</v>
          </cell>
          <cell r="H416" t="str">
            <v>SIGVA</v>
          </cell>
          <cell r="I416" t="str">
            <v>vier o lunes</v>
          </cell>
        </row>
        <row r="417">
          <cell r="A417" t="str">
            <v>CMA-10 JACHUCOPOSA/ASUB</v>
          </cell>
          <cell r="B417" t="str">
            <v>03661700</v>
          </cell>
          <cell r="C417" t="str">
            <v>MUESTREO MANUAL DE AGUAS SUBTERRÁNEAS</v>
          </cell>
          <cell r="D417" t="str">
            <v>CMA-10 JACHUCOPOSA</v>
          </cell>
          <cell r="E417" t="str">
            <v>ASUB</v>
          </cell>
          <cell r="F417" t="str">
            <v>2026-04-08</v>
          </cell>
          <cell r="G417" t="str">
            <v>2026-04-14</v>
          </cell>
          <cell r="H417" t="str">
            <v>SIGVA</v>
          </cell>
          <cell r="I417" t="str">
            <v>vier o lunes</v>
          </cell>
        </row>
        <row r="418">
          <cell r="A418" t="str">
            <v>CMA-11 JACHUCOPOSA/NF</v>
          </cell>
          <cell r="B418" t="str">
            <v>03661701</v>
          </cell>
          <cell r="C418" t="str">
            <v>MEDICION DE NIVELES FREATICOS</v>
          </cell>
          <cell r="D418" t="str">
            <v>CMA-11 JACHUCOPOSA</v>
          </cell>
          <cell r="E418" t="str">
            <v>NF</v>
          </cell>
          <cell r="F418" t="str">
            <v>2026-04-08</v>
          </cell>
          <cell r="G418" t="str">
            <v>2026-04-14</v>
          </cell>
          <cell r="H418" t="str">
            <v>SIGVA</v>
          </cell>
          <cell r="I418" t="str">
            <v>vier o lunes</v>
          </cell>
        </row>
        <row r="419">
          <cell r="A419" t="str">
            <v>CMA-11 JACHUCOPOSA/ASUB</v>
          </cell>
          <cell r="B419" t="str">
            <v>03661702</v>
          </cell>
          <cell r="C419" t="str">
            <v>MUESTREO MANUAL DE AGUAS SUBTERRÁNEAS</v>
          </cell>
          <cell r="D419" t="str">
            <v>CMA-11 JACHUCOPOSA</v>
          </cell>
          <cell r="E419" t="str">
            <v>ASUB</v>
          </cell>
          <cell r="F419" t="str">
            <v>2026-04-08</v>
          </cell>
          <cell r="G419" t="str">
            <v>2026-04-14</v>
          </cell>
          <cell r="H419" t="str">
            <v>SIGVA</v>
          </cell>
          <cell r="I419" t="str">
            <v>vier o lunes</v>
          </cell>
        </row>
        <row r="420">
          <cell r="A420" t="str">
            <v>CMA-12 JACHUCOPOSA/NF</v>
          </cell>
          <cell r="B420" t="str">
            <v>03661703</v>
          </cell>
          <cell r="C420" t="str">
            <v>MEDICION DE NIVELES FREATICOS</v>
          </cell>
          <cell r="D420" t="str">
            <v>CMA-12 JACHUCOPOSA</v>
          </cell>
          <cell r="E420" t="str">
            <v>NF</v>
          </cell>
          <cell r="F420" t="str">
            <v>2026-04-08</v>
          </cell>
          <cell r="G420" t="str">
            <v>2026-04-14</v>
          </cell>
          <cell r="H420" t="str">
            <v>SIGVA</v>
          </cell>
          <cell r="I420" t="str">
            <v>vier o lunes</v>
          </cell>
        </row>
        <row r="421">
          <cell r="A421" t="str">
            <v>CMA-12 JACHUCOPOSA/ASUB</v>
          </cell>
          <cell r="B421" t="str">
            <v>03661704</v>
          </cell>
          <cell r="C421" t="str">
            <v>MUESTREO MANUAL DE AGUAS SUBTERRÁNEAS</v>
          </cell>
          <cell r="D421" t="str">
            <v>CMA-12 JACHUCOPOSA</v>
          </cell>
          <cell r="E421" t="str">
            <v>ASUB</v>
          </cell>
          <cell r="F421" t="str">
            <v>2026-04-08</v>
          </cell>
          <cell r="G421" t="str">
            <v>2026-04-14</v>
          </cell>
          <cell r="H421" t="str">
            <v>SIGVA</v>
          </cell>
          <cell r="I421" t="str">
            <v>vier o lunes</v>
          </cell>
        </row>
        <row r="422">
          <cell r="A422" t="str">
            <v>CMA-13 JACHUCOPOSA/NF</v>
          </cell>
          <cell r="B422" t="str">
            <v>03661705</v>
          </cell>
          <cell r="C422" t="str">
            <v>MEDICION DE NIVELES FREATICOS</v>
          </cell>
          <cell r="D422" t="str">
            <v>CMA-13 JACHUCOPOSA</v>
          </cell>
          <cell r="E422" t="str">
            <v>NF</v>
          </cell>
          <cell r="F422" t="str">
            <v>2026-04-08</v>
          </cell>
          <cell r="G422" t="str">
            <v>2026-04-14</v>
          </cell>
          <cell r="H422" t="str">
            <v>SIGVA</v>
          </cell>
          <cell r="I422" t="str">
            <v>vier o lunes</v>
          </cell>
        </row>
        <row r="423">
          <cell r="A423" t="str">
            <v>CMA-13 JACHUCOPOSA/ASUB</v>
          </cell>
          <cell r="B423" t="str">
            <v>03661706</v>
          </cell>
          <cell r="C423" t="str">
            <v>MUESTREO MANUAL DE AGUAS SUBTERRÁNEAS</v>
          </cell>
          <cell r="D423" t="str">
            <v>CMA-13 JACHUCOPOSA</v>
          </cell>
          <cell r="E423" t="str">
            <v>ASUB</v>
          </cell>
          <cell r="F423" t="str">
            <v>2026-04-08</v>
          </cell>
          <cell r="G423" t="str">
            <v>2026-04-14</v>
          </cell>
          <cell r="H423" t="str">
            <v>SIGVA</v>
          </cell>
          <cell r="I423" t="str">
            <v>vier o lunes</v>
          </cell>
        </row>
        <row r="424">
          <cell r="A424" t="str">
            <v>CMA-14 JACHUCOPOSA/NF</v>
          </cell>
          <cell r="B424" t="str">
            <v>03661707</v>
          </cell>
          <cell r="C424" t="str">
            <v>MEDICION DE NIVELES FREATICOS</v>
          </cell>
          <cell r="D424" t="str">
            <v>CMA-14 JACHUCOPOSA</v>
          </cell>
          <cell r="E424" t="str">
            <v>NF</v>
          </cell>
          <cell r="F424" t="str">
            <v>2026-04-08</v>
          </cell>
          <cell r="G424" t="str">
            <v>2026-04-14</v>
          </cell>
          <cell r="H424" t="str">
            <v>SIGVA</v>
          </cell>
          <cell r="I424" t="str">
            <v>vier o lunes</v>
          </cell>
        </row>
        <row r="425">
          <cell r="A425" t="str">
            <v>CMA-14 JACHUCOPOSA/ASUB</v>
          </cell>
          <cell r="B425" t="str">
            <v>03661708</v>
          </cell>
          <cell r="C425" t="str">
            <v>MUESTREO MANUAL DE AGUAS SUBTERRÁNEAS</v>
          </cell>
          <cell r="D425" t="str">
            <v>CMA-14 JACHUCOPOSA</v>
          </cell>
          <cell r="E425" t="str">
            <v>ASUB</v>
          </cell>
          <cell r="F425" t="str">
            <v>2026-04-08</v>
          </cell>
          <cell r="G425" t="str">
            <v>2026-04-14</v>
          </cell>
          <cell r="H425" t="str">
            <v>SIGVA</v>
          </cell>
          <cell r="I425" t="str">
            <v>vier o lunes</v>
          </cell>
        </row>
        <row r="426">
          <cell r="A426" t="str">
            <v>CMA-15 JACHUCOPOSA/NF</v>
          </cell>
          <cell r="B426" t="str">
            <v>03661709</v>
          </cell>
          <cell r="C426" t="str">
            <v>MEDICION DE NIVELES FREATICOS</v>
          </cell>
          <cell r="D426" t="str">
            <v>CMA-15 JACHUCOPOSA</v>
          </cell>
          <cell r="E426" t="str">
            <v>NF</v>
          </cell>
          <cell r="F426" t="str">
            <v>2026-04-08</v>
          </cell>
          <cell r="G426" t="str">
            <v>2026-04-14</v>
          </cell>
          <cell r="H426" t="str">
            <v>SIGVA</v>
          </cell>
          <cell r="I426" t="str">
            <v>vier o lunes</v>
          </cell>
        </row>
        <row r="427">
          <cell r="A427" t="str">
            <v>CMA-15 JACHUCOPOSA/ASUB</v>
          </cell>
          <cell r="B427" t="str">
            <v>03661710</v>
          </cell>
          <cell r="C427" t="str">
            <v>MUESTREO MANUAL DE AGUAS SUBTERRÁNEAS</v>
          </cell>
          <cell r="D427" t="str">
            <v>CMA-15 JACHUCOPOSA</v>
          </cell>
          <cell r="E427" t="str">
            <v>ASUB</v>
          </cell>
          <cell r="F427" t="str">
            <v>2026-04-08</v>
          </cell>
          <cell r="G427" t="str">
            <v>2026-04-14</v>
          </cell>
          <cell r="H427" t="str">
            <v>SIGVA</v>
          </cell>
          <cell r="I427" t="str">
            <v>vier o lunes</v>
          </cell>
        </row>
        <row r="428">
          <cell r="A428" t="str">
            <v>CMA-16 JACHUCOPOSA/NF</v>
          </cell>
          <cell r="B428" t="str">
            <v>03661711</v>
          </cell>
          <cell r="C428" t="str">
            <v>MEDICION DE NIVELES FREATICOS</v>
          </cell>
          <cell r="D428" t="str">
            <v>CMA-16 JACHUCOPOSA</v>
          </cell>
          <cell r="E428" t="str">
            <v>NF</v>
          </cell>
          <cell r="F428" t="str">
            <v>2026-04-08</v>
          </cell>
          <cell r="G428" t="str">
            <v>2026-04-14</v>
          </cell>
          <cell r="H428" t="str">
            <v>SIGVA</v>
          </cell>
          <cell r="I428" t="str">
            <v>vier o lunes</v>
          </cell>
        </row>
        <row r="429">
          <cell r="A429" t="str">
            <v>CMA-16 JACHUCOPOSA/ASUB</v>
          </cell>
          <cell r="B429" t="str">
            <v>03661712</v>
          </cell>
          <cell r="C429" t="str">
            <v>MUESTREO MANUAL DE AGUAS SUBTERRÁNEAS</v>
          </cell>
          <cell r="D429" t="str">
            <v>CMA-16 JACHUCOPOSA</v>
          </cell>
          <cell r="E429" t="str">
            <v>ASUB</v>
          </cell>
          <cell r="F429" t="str">
            <v>2026-04-08</v>
          </cell>
          <cell r="G429" t="str">
            <v>2026-04-14</v>
          </cell>
          <cell r="H429" t="str">
            <v>SIGVA</v>
          </cell>
          <cell r="I429" t="str">
            <v>vier o lunes</v>
          </cell>
        </row>
        <row r="430">
          <cell r="A430" t="str">
            <v>CMA-17 JACHUCOPOSA/NF</v>
          </cell>
          <cell r="B430" t="str">
            <v>03661713</v>
          </cell>
          <cell r="C430" t="str">
            <v>MEDICION DE NIVELES FREATICOS</v>
          </cell>
          <cell r="D430" t="str">
            <v>CMA-17 JACHUCOPOSA</v>
          </cell>
          <cell r="E430" t="str">
            <v>NF</v>
          </cell>
          <cell r="F430" t="str">
            <v>2026-04-08</v>
          </cell>
          <cell r="G430" t="str">
            <v>2026-04-14</v>
          </cell>
          <cell r="H430" t="str">
            <v>SIGVA</v>
          </cell>
          <cell r="I430" t="str">
            <v>vier o lunes</v>
          </cell>
        </row>
        <row r="431">
          <cell r="A431" t="str">
            <v>CMA-17 JACHUCOPOSA/ASUB</v>
          </cell>
          <cell r="B431" t="str">
            <v>03661714</v>
          </cell>
          <cell r="C431" t="str">
            <v>MUESTREO MANUAL DE AGUAS SUBTERRÁNEAS</v>
          </cell>
          <cell r="D431" t="str">
            <v>CMA-17 JACHUCOPOSA</v>
          </cell>
          <cell r="E431" t="str">
            <v>ASUB</v>
          </cell>
          <cell r="F431" t="str">
            <v>2026-04-08</v>
          </cell>
          <cell r="G431" t="str">
            <v>2026-04-14</v>
          </cell>
          <cell r="H431" t="str">
            <v>SIGVA</v>
          </cell>
          <cell r="I431" t="str">
            <v>vier o lunes</v>
          </cell>
        </row>
        <row r="432">
          <cell r="A432" t="str">
            <v>CMA-18 JACHUCOPOSA/NF</v>
          </cell>
          <cell r="B432" t="str">
            <v>03661715</v>
          </cell>
          <cell r="C432" t="str">
            <v>MEDICION DE NIVELES FREATICOS</v>
          </cell>
          <cell r="D432" t="str">
            <v>CMA-18 JACHUCOPOSA</v>
          </cell>
          <cell r="E432" t="str">
            <v>NF</v>
          </cell>
          <cell r="F432" t="str">
            <v>2026-04-08</v>
          </cell>
          <cell r="G432" t="str">
            <v>2026-04-14</v>
          </cell>
          <cell r="H432" t="str">
            <v>SIGVA</v>
          </cell>
          <cell r="I432" t="str">
            <v>vier o lunes</v>
          </cell>
        </row>
        <row r="433">
          <cell r="A433" t="str">
            <v>CMA-18 JACHUCOPOSA/ASUB</v>
          </cell>
          <cell r="B433" t="str">
            <v>03661716</v>
          </cell>
          <cell r="C433" t="str">
            <v>MUESTREO MANUAL DE AGUAS SUBTERRÁNEAS</v>
          </cell>
          <cell r="D433" t="str">
            <v>CMA-18 JACHUCOPOSA</v>
          </cell>
          <cell r="E433" t="str">
            <v>ASUB</v>
          </cell>
          <cell r="F433" t="str">
            <v>2026-04-08</v>
          </cell>
          <cell r="G433" t="str">
            <v>2026-04-14</v>
          </cell>
          <cell r="H433" t="str">
            <v>SIGVA</v>
          </cell>
          <cell r="I433" t="str">
            <v>vier o lunes</v>
          </cell>
        </row>
        <row r="434">
          <cell r="A434" t="str">
            <v>CMA-19 JACHUCOPOSA/NF</v>
          </cell>
          <cell r="B434" t="str">
            <v>03661717</v>
          </cell>
          <cell r="C434" t="str">
            <v>MEDICION DE NIVELES FREATICOS</v>
          </cell>
          <cell r="D434" t="str">
            <v>CMA-19 JACHUCOPOSA</v>
          </cell>
          <cell r="E434" t="str">
            <v>NF</v>
          </cell>
          <cell r="F434" t="str">
            <v>2026-04-08</v>
          </cell>
          <cell r="G434" t="str">
            <v>2026-04-14</v>
          </cell>
          <cell r="H434" t="str">
            <v>SIGVA</v>
          </cell>
          <cell r="I434" t="str">
            <v>vier o lunes</v>
          </cell>
        </row>
        <row r="435">
          <cell r="A435" t="str">
            <v>CMA-19 JACHUCOPOSA/ASUB</v>
          </cell>
          <cell r="B435" t="str">
            <v>03661718</v>
          </cell>
          <cell r="C435" t="str">
            <v>MUESTREO MANUAL DE AGUAS SUBTERRÁNEAS</v>
          </cell>
          <cell r="D435" t="str">
            <v>CMA-19 JACHUCOPOSA</v>
          </cell>
          <cell r="E435" t="str">
            <v>ASUB</v>
          </cell>
          <cell r="F435" t="str">
            <v>2026-04-08</v>
          </cell>
          <cell r="G435" t="str">
            <v>2026-04-14</v>
          </cell>
          <cell r="H435" t="str">
            <v>SIGVA</v>
          </cell>
          <cell r="I435" t="str">
            <v>vier o lunes</v>
          </cell>
        </row>
        <row r="436">
          <cell r="A436" t="str">
            <v>CMA-20 JACHUCOPOSA/NF</v>
          </cell>
          <cell r="B436" t="str">
            <v>03661719</v>
          </cell>
          <cell r="C436" t="str">
            <v>MEDICION DE NIVELES FREATICOS</v>
          </cell>
          <cell r="D436" t="str">
            <v>CMA-20 JACHUCOPOSA</v>
          </cell>
          <cell r="E436" t="str">
            <v>NF</v>
          </cell>
          <cell r="F436" t="str">
            <v>2026-04-08</v>
          </cell>
          <cell r="G436" t="str">
            <v>2026-04-14</v>
          </cell>
          <cell r="H436" t="str">
            <v>SIGVA</v>
          </cell>
          <cell r="I436" t="str">
            <v>vier o lunes</v>
          </cell>
        </row>
        <row r="437">
          <cell r="A437" t="str">
            <v>CMA-20 JACHUCOPOSA/ASUB</v>
          </cell>
          <cell r="B437" t="str">
            <v>03661720</v>
          </cell>
          <cell r="C437" t="str">
            <v>MUESTREO MANUAL DE AGUAS SUBTERRÁNEAS</v>
          </cell>
          <cell r="D437" t="str">
            <v>CMA-20 JACHUCOPOSA</v>
          </cell>
          <cell r="E437" t="str">
            <v>ASUB</v>
          </cell>
          <cell r="F437" t="str">
            <v>2026-04-08</v>
          </cell>
          <cell r="G437" t="str">
            <v>2026-04-14</v>
          </cell>
          <cell r="H437" t="str">
            <v>SIGVA</v>
          </cell>
          <cell r="I437" t="str">
            <v>vier o lunes</v>
          </cell>
        </row>
        <row r="438">
          <cell r="A438" t="str">
            <v>CMA-21 JACHUCOPOSA/NF</v>
          </cell>
          <cell r="B438" t="str">
            <v>03661721</v>
          </cell>
          <cell r="C438" t="str">
            <v>MEDICION DE NIVELES FREATICOS</v>
          </cell>
          <cell r="D438" t="str">
            <v>CMA-21 JACHUCOPOSA</v>
          </cell>
          <cell r="E438" t="str">
            <v>NF</v>
          </cell>
          <cell r="F438" t="str">
            <v>2026-04-08</v>
          </cell>
          <cell r="G438" t="str">
            <v>2026-04-14</v>
          </cell>
          <cell r="H438" t="str">
            <v>SIGVA</v>
          </cell>
          <cell r="I438" t="str">
            <v>vier o lunes</v>
          </cell>
        </row>
        <row r="439">
          <cell r="A439" t="str">
            <v>CMA-21 JACHUCOPOSA/ASUB</v>
          </cell>
          <cell r="B439" t="str">
            <v>03661722</v>
          </cell>
          <cell r="C439" t="str">
            <v>MUESTREO MANUAL DE AGUAS SUBTERRÁNEAS</v>
          </cell>
          <cell r="D439" t="str">
            <v>CMA-21 JACHUCOPOSA</v>
          </cell>
          <cell r="E439" t="str">
            <v>ASUB</v>
          </cell>
          <cell r="F439" t="str">
            <v>2026-04-08</v>
          </cell>
          <cell r="G439" t="str">
            <v>2026-04-14</v>
          </cell>
          <cell r="H439" t="str">
            <v>SIGVA</v>
          </cell>
          <cell r="I439" t="str">
            <v>vier o lunes</v>
          </cell>
        </row>
        <row r="440">
          <cell r="A440" t="str">
            <v>CMA-22 JACHUCOPOSA/NF</v>
          </cell>
          <cell r="B440" t="str">
            <v>03661723</v>
          </cell>
          <cell r="C440" t="str">
            <v>MEDICION DE NIVELES FREATICOS</v>
          </cell>
          <cell r="D440" t="str">
            <v>CMA-22 JACHUCOPOSA</v>
          </cell>
          <cell r="E440" t="str">
            <v>NF</v>
          </cell>
          <cell r="F440" t="str">
            <v>2026-04-08</v>
          </cell>
          <cell r="G440" t="str">
            <v>2026-04-14</v>
          </cell>
          <cell r="H440" t="str">
            <v>SIGVA</v>
          </cell>
          <cell r="I440" t="str">
            <v>vier o lunes</v>
          </cell>
        </row>
        <row r="441">
          <cell r="A441" t="str">
            <v>CMA-22 JACHUCOPOSA/ASUB</v>
          </cell>
          <cell r="B441" t="str">
            <v>03661724</v>
          </cell>
          <cell r="C441" t="str">
            <v>MUESTREO MANUAL DE AGUAS SUBTERRÁNEAS</v>
          </cell>
          <cell r="D441" t="str">
            <v>CMA-22 JACHUCOPOSA</v>
          </cell>
          <cell r="E441" t="str">
            <v>ASUB</v>
          </cell>
          <cell r="F441" t="str">
            <v>2026-04-08</v>
          </cell>
          <cell r="G441" t="str">
            <v>2026-04-14</v>
          </cell>
          <cell r="H441" t="str">
            <v>SIGVA</v>
          </cell>
          <cell r="I441" t="str">
            <v>vier o lunes</v>
          </cell>
        </row>
        <row r="442">
          <cell r="A442" t="str">
            <v>CMA-23 JACHUCOPOSA/NF</v>
          </cell>
          <cell r="B442" t="str">
            <v>03661725</v>
          </cell>
          <cell r="C442" t="str">
            <v>MEDICION DE NIVELES FREATICOS</v>
          </cell>
          <cell r="D442" t="str">
            <v>CMA-23 JACHUCOPOSA</v>
          </cell>
          <cell r="E442" t="str">
            <v>NF</v>
          </cell>
          <cell r="F442" t="str">
            <v>2026-04-08</v>
          </cell>
          <cell r="G442" t="str">
            <v>2026-04-14</v>
          </cell>
          <cell r="H442" t="str">
            <v>SIGVA</v>
          </cell>
          <cell r="I442" t="str">
            <v>vier o lunes</v>
          </cell>
        </row>
        <row r="443">
          <cell r="A443" t="str">
            <v>CMA-23 JACHUCOPOSA/ASUB</v>
          </cell>
          <cell r="B443" t="str">
            <v>03661726</v>
          </cell>
          <cell r="C443" t="str">
            <v>MUESTREO MANUAL DE AGUAS SUBTERRÁNEAS</v>
          </cell>
          <cell r="D443" t="str">
            <v>CMA-23 JACHUCOPOSA</v>
          </cell>
          <cell r="E443" t="str">
            <v>ASUB</v>
          </cell>
          <cell r="F443" t="str">
            <v>2026-04-08</v>
          </cell>
          <cell r="G443" t="str">
            <v>2026-04-14</v>
          </cell>
          <cell r="H443" t="str">
            <v>SIGVA</v>
          </cell>
          <cell r="I443" t="str">
            <v>vier o lunes</v>
          </cell>
        </row>
        <row r="444">
          <cell r="A444" t="str">
            <v>CMA-24 JACHUCOPOSA/NF</v>
          </cell>
          <cell r="B444" t="str">
            <v>03661727</v>
          </cell>
          <cell r="C444" t="str">
            <v>MEDICION DE NIVELES FREATICOS</v>
          </cell>
          <cell r="D444" t="str">
            <v>CMA-24 JACHUCOPOSA</v>
          </cell>
          <cell r="E444" t="str">
            <v>NF</v>
          </cell>
          <cell r="F444" t="str">
            <v>2026-04-08</v>
          </cell>
          <cell r="G444" t="str">
            <v>2026-04-14</v>
          </cell>
          <cell r="H444" t="str">
            <v>SIGVA</v>
          </cell>
          <cell r="I444" t="str">
            <v>vier o lunes</v>
          </cell>
        </row>
        <row r="445">
          <cell r="A445" t="str">
            <v>CMA-24 JACHUCOPOSA/ASUB</v>
          </cell>
          <cell r="B445" t="str">
            <v>03661728</v>
          </cell>
          <cell r="C445" t="str">
            <v>MUESTREO MANUAL DE AGUAS SUBTERRÁNEAS</v>
          </cell>
          <cell r="D445" t="str">
            <v>CMA-24 JACHUCOPOSA</v>
          </cell>
          <cell r="E445" t="str">
            <v>ASUB</v>
          </cell>
          <cell r="F445" t="str">
            <v>2026-04-08</v>
          </cell>
          <cell r="G445" t="str">
            <v>2026-04-14</v>
          </cell>
          <cell r="H445" t="str">
            <v>SIGVA</v>
          </cell>
          <cell r="I445" t="str">
            <v>vier o lunes</v>
          </cell>
        </row>
        <row r="446">
          <cell r="A446" t="str">
            <v>CMA-25 JACHUCOPOSA/NF</v>
          </cell>
          <cell r="B446" t="str">
            <v>03661729</v>
          </cell>
          <cell r="C446" t="str">
            <v>MEDICION DE NIVELES FREATICOS</v>
          </cell>
          <cell r="D446" t="str">
            <v>CMA-25 JACHUCOPOSA</v>
          </cell>
          <cell r="E446" t="str">
            <v>NF</v>
          </cell>
          <cell r="F446" t="str">
            <v>2026-04-08</v>
          </cell>
          <cell r="G446" t="str">
            <v>2026-04-14</v>
          </cell>
          <cell r="H446" t="str">
            <v>SIGVA</v>
          </cell>
          <cell r="I446" t="str">
            <v>vier o lunes</v>
          </cell>
        </row>
        <row r="447">
          <cell r="A447" t="str">
            <v>CMA-25 JACHUCOPOSA/ASUB</v>
          </cell>
          <cell r="B447" t="str">
            <v>03661730</v>
          </cell>
          <cell r="C447" t="str">
            <v>MUESTREO MANUAL DE AGUAS SUBTERRÁNEAS</v>
          </cell>
          <cell r="D447" t="str">
            <v>CMA-25 JACHUCOPOSA</v>
          </cell>
          <cell r="E447" t="str">
            <v>ASUB</v>
          </cell>
          <cell r="F447" t="str">
            <v>2026-04-08</v>
          </cell>
          <cell r="G447" t="str">
            <v>2026-04-14</v>
          </cell>
          <cell r="H447" t="str">
            <v>SIGVA</v>
          </cell>
          <cell r="I447" t="str">
            <v>vier o lunes</v>
          </cell>
        </row>
        <row r="448">
          <cell r="A448" t="str">
            <v>CMA-26 JACHUCOPOSA/NF</v>
          </cell>
          <cell r="B448" t="str">
            <v>03661731</v>
          </cell>
          <cell r="C448" t="str">
            <v>MEDICION DE NIVELES FREATICOS</v>
          </cell>
          <cell r="D448" t="str">
            <v>CMA-26 JACHUCOPOSA</v>
          </cell>
          <cell r="E448" t="str">
            <v>NF</v>
          </cell>
          <cell r="F448" t="str">
            <v>2026-04-08</v>
          </cell>
          <cell r="G448" t="str">
            <v>2026-04-14</v>
          </cell>
          <cell r="H448" t="str">
            <v>SIGVA</v>
          </cell>
          <cell r="I448" t="str">
            <v>vier o lunes</v>
          </cell>
        </row>
        <row r="449">
          <cell r="A449" t="str">
            <v>CMA-26 JACHUCOPOSA/ASUB</v>
          </cell>
          <cell r="B449" t="str">
            <v>03661732</v>
          </cell>
          <cell r="C449" t="str">
            <v>MUESTREO MANUAL DE AGUAS SUBTERRÁNEAS</v>
          </cell>
          <cell r="D449" t="str">
            <v>CMA-26 JACHUCOPOSA</v>
          </cell>
          <cell r="E449" t="str">
            <v>ASUB</v>
          </cell>
          <cell r="F449" t="str">
            <v>2026-04-08</v>
          </cell>
          <cell r="G449" t="str">
            <v>2026-04-14</v>
          </cell>
          <cell r="H449" t="str">
            <v>SIGVA</v>
          </cell>
          <cell r="I449" t="str">
            <v>vier o lunes</v>
          </cell>
        </row>
        <row r="450">
          <cell r="A450" t="str">
            <v>CMA-27 JACHUCOPOSA/ASUB</v>
          </cell>
          <cell r="B450" t="str">
            <v>03661733</v>
          </cell>
          <cell r="C450" t="str">
            <v>MUESTREO MANUAL DE AGUAS SUBTERRÁNEAS</v>
          </cell>
          <cell r="D450" t="str">
            <v>CMA-27 JACHUCOPOSA</v>
          </cell>
          <cell r="E450" t="str">
            <v>ASUB</v>
          </cell>
          <cell r="F450" t="str">
            <v>2026-04-08</v>
          </cell>
          <cell r="G450" t="str">
            <v>2026-04-14</v>
          </cell>
          <cell r="H450" t="str">
            <v>SIGVA</v>
          </cell>
          <cell r="I450" t="str">
            <v>jueves pmap</v>
          </cell>
        </row>
        <row r="451">
          <cell r="A451" t="str">
            <v>CMW-09 COPOSA CENTRO/NF</v>
          </cell>
          <cell r="B451" t="str">
            <v>03661734</v>
          </cell>
          <cell r="C451" t="str">
            <v>MEDICION DE NIVELES FREATICOS (PAT EIA)</v>
          </cell>
          <cell r="D451" t="str">
            <v>CMW-09 COPOSA CENTRO</v>
          </cell>
          <cell r="E451" t="str">
            <v>NF</v>
          </cell>
          <cell r="F451" t="str">
            <v>2026-04-08</v>
          </cell>
          <cell r="G451" t="str">
            <v>2026-04-14</v>
          </cell>
          <cell r="H451" t="str">
            <v>SIGVA</v>
          </cell>
        </row>
        <row r="452">
          <cell r="A452" t="str">
            <v>CMW-12 COPOSA CENTRO/NF</v>
          </cell>
          <cell r="B452" t="str">
            <v>03661735</v>
          </cell>
          <cell r="C452" t="str">
            <v>MEDICION DE NIVELES FREATICOS (PAT EIA)</v>
          </cell>
          <cell r="D452" t="str">
            <v>CMW-12 COPOSA CENTRO</v>
          </cell>
          <cell r="E452" t="str">
            <v>NF</v>
          </cell>
          <cell r="F452" t="str">
            <v>2026-04-08</v>
          </cell>
          <cell r="G452" t="str">
            <v>2026-04-14</v>
          </cell>
          <cell r="H452" t="str">
            <v>SIGVA</v>
          </cell>
        </row>
        <row r="453">
          <cell r="A453" t="str">
            <v>CMW-01 COPOSA NORTE/NF</v>
          </cell>
          <cell r="B453" t="str">
            <v>03661736</v>
          </cell>
          <cell r="C453" t="str">
            <v>MEDICION DE NIVELES FREATICOS (PAT EIA)</v>
          </cell>
          <cell r="D453" t="str">
            <v>CMW-01 COPOSA NORTE</v>
          </cell>
          <cell r="E453" t="str">
            <v>NF</v>
          </cell>
          <cell r="F453" t="str">
            <v>2026-04-08</v>
          </cell>
          <cell r="G453" t="str">
            <v>2026-04-14</v>
          </cell>
          <cell r="H453" t="str">
            <v>SIGVA</v>
          </cell>
        </row>
        <row r="454">
          <cell r="A454" t="str">
            <v>CMW-02 COPOSA NORTE/NF</v>
          </cell>
          <cell r="B454" t="str">
            <v>03661737</v>
          </cell>
          <cell r="C454" t="str">
            <v>MEDICION DE NIVELES FREATICOS (PAT EIA)</v>
          </cell>
          <cell r="D454" t="str">
            <v>CMW-02 COPOSA NORTE</v>
          </cell>
          <cell r="E454" t="str">
            <v>NF</v>
          </cell>
          <cell r="F454" t="str">
            <v>2026-04-08</v>
          </cell>
          <cell r="G454" t="str">
            <v>2026-04-14</v>
          </cell>
          <cell r="H454" t="str">
            <v>SIGVA</v>
          </cell>
        </row>
        <row r="455">
          <cell r="A455" t="str">
            <v>CMW-04 COPOSA NORTE/NF</v>
          </cell>
          <cell r="B455" t="str">
            <v>03661738</v>
          </cell>
          <cell r="C455" t="str">
            <v>MEDICION DE NIVELES FREATICOS (PAT EIA)</v>
          </cell>
          <cell r="D455" t="str">
            <v>CMW-04 COPOSA NORTE</v>
          </cell>
          <cell r="E455" t="str">
            <v>NF</v>
          </cell>
          <cell r="F455" t="str">
            <v>2026-04-08</v>
          </cell>
          <cell r="G455" t="str">
            <v>2026-04-14</v>
          </cell>
          <cell r="H455" t="str">
            <v>SIGVA</v>
          </cell>
        </row>
        <row r="456">
          <cell r="A456" t="str">
            <v>CPZ-03A COPOSA NORTE/NF</v>
          </cell>
          <cell r="B456" t="str">
            <v>03661739</v>
          </cell>
          <cell r="C456" t="str">
            <v>MEDICION DE NIVELES FREATICOS (PAT EIA)</v>
          </cell>
          <cell r="D456" t="str">
            <v>CPZ-03A COPOSA NORTE</v>
          </cell>
          <cell r="E456" t="str">
            <v>NF</v>
          </cell>
          <cell r="F456" t="str">
            <v>2026-04-08</v>
          </cell>
          <cell r="G456" t="str">
            <v>2026-04-14</v>
          </cell>
          <cell r="H456" t="str">
            <v>SIGVA</v>
          </cell>
          <cell r="I456" t="str">
            <v>sabado</v>
          </cell>
        </row>
        <row r="457">
          <cell r="A457" t="str">
            <v>CPZ-03B1 COPOSA NORTE/NF</v>
          </cell>
          <cell r="B457" t="str">
            <v>03661740</v>
          </cell>
          <cell r="C457" t="str">
            <v>MEDICION DE NIVELES FREATICOS (PAT EIA)</v>
          </cell>
          <cell r="D457" t="str">
            <v>CPZ-03B1 COPOSA NORTE</v>
          </cell>
          <cell r="E457" t="str">
            <v>NF</v>
          </cell>
          <cell r="F457" t="str">
            <v>2026-04-08</v>
          </cell>
          <cell r="G457" t="str">
            <v>2026-04-14</v>
          </cell>
          <cell r="H457" t="str">
            <v>SIGVA</v>
          </cell>
          <cell r="I457" t="str">
            <v>sabado</v>
          </cell>
        </row>
        <row r="458">
          <cell r="A458" t="str">
            <v>CTP-01 COPOSA NORTE/NF</v>
          </cell>
          <cell r="B458" t="str">
            <v>03661741</v>
          </cell>
          <cell r="C458" t="str">
            <v>MEDICION DE NIVELES FREATICOS (PAT EIA)</v>
          </cell>
          <cell r="D458" t="str">
            <v>CTP-01 COPOSA NORTE</v>
          </cell>
          <cell r="E458" t="str">
            <v>NF</v>
          </cell>
          <cell r="F458" t="str">
            <v>2026-04-08</v>
          </cell>
          <cell r="G458" t="str">
            <v>2026-04-14</v>
          </cell>
          <cell r="H458" t="str">
            <v>SIGVA</v>
          </cell>
          <cell r="I458" t="str">
            <v>sabado</v>
          </cell>
        </row>
        <row r="459">
          <cell r="A459" t="str">
            <v>CWE-16 COPOSA NORTE/NF</v>
          </cell>
          <cell r="B459" t="str">
            <v>03661742</v>
          </cell>
          <cell r="C459" t="str">
            <v>MEDICION DE NIVELES FREATICOS (PAT EIA)</v>
          </cell>
          <cell r="D459" t="str">
            <v>CWE-16 COPOSA NORTE</v>
          </cell>
          <cell r="E459" t="str">
            <v>NF</v>
          </cell>
          <cell r="F459" t="str">
            <v>2026-04-08</v>
          </cell>
          <cell r="G459" t="str">
            <v>2026-04-14</v>
          </cell>
          <cell r="H459" t="str">
            <v>SIGVA</v>
          </cell>
        </row>
        <row r="460">
          <cell r="A460" t="str">
            <v>CWE-25 (2) COPOSA NORTE/NF</v>
          </cell>
          <cell r="B460" t="str">
            <v>03661743</v>
          </cell>
          <cell r="C460" t="str">
            <v>MEDICION DE NIVELES FREATICOS (PAT EIA)</v>
          </cell>
          <cell r="D460" t="str">
            <v>CWE-25 (2) COPOSA NORTE</v>
          </cell>
          <cell r="E460" t="str">
            <v>NF</v>
          </cell>
          <cell r="F460" t="str">
            <v>2026-04-08</v>
          </cell>
          <cell r="G460" t="str">
            <v>2026-04-21</v>
          </cell>
          <cell r="H460" t="str">
            <v>SIGVA</v>
          </cell>
        </row>
        <row r="461">
          <cell r="A461" t="str">
            <v>CWE-25 (3) COPOSA NORTE/NF</v>
          </cell>
          <cell r="B461" t="str">
            <v>03661744</v>
          </cell>
          <cell r="C461" t="str">
            <v>MEDICION DE NIVELES FREATICOS (PAT EIA)</v>
          </cell>
          <cell r="D461" t="str">
            <v>CWE-25 (3) COPOSA NORTE</v>
          </cell>
          <cell r="E461" t="str">
            <v>NF</v>
          </cell>
          <cell r="F461" t="str">
            <v>2026-04-08</v>
          </cell>
          <cell r="G461" t="str">
            <v>2026-04-21</v>
          </cell>
          <cell r="H461" t="str">
            <v>SIGVA</v>
          </cell>
        </row>
        <row r="462">
          <cell r="A462" t="str">
            <v>CWE-15 COPOSA NORTE/NF</v>
          </cell>
          <cell r="B462" t="str">
            <v>03661745</v>
          </cell>
          <cell r="C462" t="str">
            <v>MEDICION DE NIVELES FREATICOS (PAT EIA)</v>
          </cell>
          <cell r="D462" t="str">
            <v>CWE-15 COPOSA NORTE</v>
          </cell>
          <cell r="E462" t="str">
            <v>NF</v>
          </cell>
          <cell r="F462" t="str">
            <v>2026-04-08</v>
          </cell>
          <cell r="G462" t="str">
            <v>2026-04-14</v>
          </cell>
          <cell r="H462" t="str">
            <v>SIGVA</v>
          </cell>
        </row>
        <row r="463">
          <cell r="A463" t="str">
            <v>CWE-08 COPOSA SUR/ASUB</v>
          </cell>
          <cell r="B463" t="str">
            <v>03661746</v>
          </cell>
          <cell r="C463" t="str">
            <v>MUESTREO MANUAL DE AGUAS SUBTERRÁNEAS</v>
          </cell>
          <cell r="D463" t="str">
            <v>CWE-08 COPOSA SUR</v>
          </cell>
          <cell r="E463" t="str">
            <v>ASUB</v>
          </cell>
          <cell r="F463" t="str">
            <v>2026-04-08</v>
          </cell>
          <cell r="G463" t="str">
            <v>2026-04-14</v>
          </cell>
          <cell r="H463" t="str">
            <v>SIGVA</v>
          </cell>
          <cell r="I463" t="str">
            <v>te</v>
          </cell>
        </row>
        <row r="464">
          <cell r="A464" t="str">
            <v>CWE-09B COPOSA SUR/ASUB</v>
          </cell>
          <cell r="B464" t="str">
            <v>03661747</v>
          </cell>
          <cell r="C464" t="str">
            <v>MUESTREO MANUAL DE AGUAS SUBTERRÁNEAS</v>
          </cell>
          <cell r="D464" t="str">
            <v>CWE-09B COPOSA SUR</v>
          </cell>
          <cell r="E464" t="str">
            <v>ASUB</v>
          </cell>
          <cell r="F464" t="str">
            <v>2026-04-08</v>
          </cell>
          <cell r="G464" t="str">
            <v>2026-04-14</v>
          </cell>
          <cell r="H464" t="str">
            <v>SIGVA</v>
          </cell>
          <cell r="I464" t="str">
            <v>te</v>
          </cell>
        </row>
        <row r="465">
          <cell r="A465" t="str">
            <v>CWE-07 COPOSA SUR/ASUB</v>
          </cell>
          <cell r="B465" t="str">
            <v>03661748</v>
          </cell>
          <cell r="C465" t="str">
            <v>MUESTREO MANUAL DE AGUAS SUBTERRÁNEAS</v>
          </cell>
          <cell r="D465" t="str">
            <v>CWE-07 COPOSA SUR</v>
          </cell>
          <cell r="E465" t="str">
            <v>ASUB</v>
          </cell>
          <cell r="F465" t="str">
            <v>2026-04-08</v>
          </cell>
          <cell r="G465" t="str">
            <v>2026-04-14</v>
          </cell>
          <cell r="H465" t="str">
            <v>SIGVA</v>
          </cell>
          <cell r="I465" t="str">
            <v>te</v>
          </cell>
        </row>
        <row r="466">
          <cell r="A466" t="str">
            <v>CWE-35 FALLA PABELLON/ASUB</v>
          </cell>
          <cell r="B466" t="str">
            <v>03661749</v>
          </cell>
          <cell r="C466" t="str">
            <v>MUESTREO MANUAL DE AGUAS SUBTERRÁNEAS</v>
          </cell>
          <cell r="D466" t="str">
            <v>CWE-35 FALLA PABELLON</v>
          </cell>
          <cell r="E466" t="str">
            <v>ASUB</v>
          </cell>
          <cell r="F466" t="str">
            <v>2026-04-08</v>
          </cell>
          <cell r="G466" t="str">
            <v>2026-04-14</v>
          </cell>
          <cell r="H466" t="str">
            <v>SIGVA</v>
          </cell>
        </row>
        <row r="467">
          <cell r="A467" t="str">
            <v>CWE-24 (1) JACHUCOPOSA/NF</v>
          </cell>
          <cell r="B467" t="str">
            <v>03661750</v>
          </cell>
          <cell r="C467" t="str">
            <v>MEDICION DE NIVELES FREATICOS</v>
          </cell>
          <cell r="D467" t="str">
            <v>CWE-24 (1) JACHUCOPOSA</v>
          </cell>
          <cell r="E467" t="str">
            <v>NF</v>
          </cell>
          <cell r="F467" t="str">
            <v>2026-04-08</v>
          </cell>
          <cell r="G467" t="str">
            <v>2026-04-14</v>
          </cell>
          <cell r="H467" t="str">
            <v>SIGVANC</v>
          </cell>
        </row>
        <row r="468">
          <cell r="A468" t="str">
            <v>CWE-24 (2) JACHUCOPOSA/NF</v>
          </cell>
          <cell r="B468" t="str">
            <v>03661751</v>
          </cell>
          <cell r="C468" t="str">
            <v>MEDICION DE NIVELES FREATICOS</v>
          </cell>
          <cell r="D468" t="str">
            <v>CWE-24 (2) JACHUCOPOSA</v>
          </cell>
          <cell r="E468" t="str">
            <v>NF</v>
          </cell>
          <cell r="F468" t="str">
            <v>2026-04-08</v>
          </cell>
          <cell r="G468" t="str">
            <v>2026-04-14</v>
          </cell>
          <cell r="H468" t="str">
            <v>SIGVANC</v>
          </cell>
        </row>
        <row r="469">
          <cell r="A469" t="str">
            <v>CWE-24 (3) JACHUCOPOSA/NF</v>
          </cell>
          <cell r="B469" t="str">
            <v>03661752</v>
          </cell>
          <cell r="C469" t="str">
            <v>MEDICION DE NIVELES FREATICOS</v>
          </cell>
          <cell r="D469" t="str">
            <v>CWE-24 (3) JACHUCOPOSA</v>
          </cell>
          <cell r="E469" t="str">
            <v>NF</v>
          </cell>
          <cell r="F469" t="str">
            <v>2026-04-08</v>
          </cell>
          <cell r="G469" t="str">
            <v>2026-04-14</v>
          </cell>
          <cell r="H469" t="str">
            <v>SIGVANC</v>
          </cell>
        </row>
        <row r="470">
          <cell r="A470" t="str">
            <v>CWE-24 (4) JACHUCOPOSA/NF</v>
          </cell>
          <cell r="B470" t="str">
            <v>03661753</v>
          </cell>
          <cell r="C470" t="str">
            <v>MEDICION DE NIVELES FREATICOS</v>
          </cell>
          <cell r="D470" t="str">
            <v>CWE-24 (4) JACHUCOPOSA</v>
          </cell>
          <cell r="E470" t="str">
            <v>NF</v>
          </cell>
          <cell r="F470" t="str">
            <v>2026-04-08</v>
          </cell>
          <cell r="G470" t="str">
            <v>2026-04-14</v>
          </cell>
          <cell r="H470" t="str">
            <v>SIGVANC</v>
          </cell>
        </row>
        <row r="471">
          <cell r="A471" t="str">
            <v>CWE-07 COPOSA SUR/NF</v>
          </cell>
          <cell r="B471" t="str">
            <v>03661754</v>
          </cell>
          <cell r="C471" t="str">
            <v>MEDICION DE NIVELES FREATICOS (PAT EIA)</v>
          </cell>
          <cell r="D471" t="str">
            <v>CWE-07 COPOSA SUR</v>
          </cell>
          <cell r="E471" t="str">
            <v>NF</v>
          </cell>
          <cell r="F471" t="str">
            <v>2026-04-08</v>
          </cell>
          <cell r="G471" t="str">
            <v>2026-04-21</v>
          </cell>
          <cell r="H471" t="str">
            <v>SIGVA</v>
          </cell>
          <cell r="I471" t="str">
            <v>te</v>
          </cell>
        </row>
        <row r="472">
          <cell r="A472" t="str">
            <v>CWE-08 COPOSA SUR/NF</v>
          </cell>
          <cell r="B472" t="str">
            <v>03661755</v>
          </cell>
          <cell r="C472" t="str">
            <v>MEDICION DE NIVELES FREATICOS (PAT EIA)</v>
          </cell>
          <cell r="D472" t="str">
            <v>CWE-08 COPOSA SUR</v>
          </cell>
          <cell r="E472" t="str">
            <v>NF</v>
          </cell>
          <cell r="F472" t="str">
            <v>2026-04-08</v>
          </cell>
          <cell r="G472" t="str">
            <v>2026-04-14</v>
          </cell>
          <cell r="H472" t="str">
            <v>SIGVA</v>
          </cell>
          <cell r="I472" t="str">
            <v>te</v>
          </cell>
        </row>
        <row r="473">
          <cell r="A473" t="str">
            <v>CWE-09B COPOSA SUR/NF</v>
          </cell>
          <cell r="B473" t="str">
            <v>03661756</v>
          </cell>
          <cell r="C473" t="str">
            <v>MEDICION DE NIVELES FREATICOS (PAT EIA)</v>
          </cell>
          <cell r="D473" t="str">
            <v>CWE-09B COPOSA SUR</v>
          </cell>
          <cell r="E473" t="str">
            <v>NF</v>
          </cell>
          <cell r="F473" t="str">
            <v>2026-04-08</v>
          </cell>
          <cell r="G473" t="str">
            <v>2026-04-14</v>
          </cell>
          <cell r="H473" t="str">
            <v>SIGVA</v>
          </cell>
          <cell r="I473" t="str">
            <v>te</v>
          </cell>
        </row>
        <row r="474">
          <cell r="A474" t="str">
            <v>CWE-35 FALLA PABELLON/NF</v>
          </cell>
          <cell r="B474" t="str">
            <v>03661757</v>
          </cell>
          <cell r="C474" t="str">
            <v>MEDICION DE NIVELES FREATICOS</v>
          </cell>
          <cell r="D474" t="str">
            <v>CWE-35 FALLA PABELLON</v>
          </cell>
          <cell r="E474" t="str">
            <v>NF</v>
          </cell>
          <cell r="F474" t="str">
            <v>2026-04-08</v>
          </cell>
          <cell r="G474" t="str">
            <v>2026-04-14</v>
          </cell>
          <cell r="H474" t="str">
            <v>SIGVA</v>
          </cell>
        </row>
        <row r="475">
          <cell r="A475" t="str">
            <v>DEC-04B COPOSA NORTE/NF</v>
          </cell>
          <cell r="B475" t="str">
            <v>03661758</v>
          </cell>
          <cell r="C475" t="str">
            <v>MEDICION DE NIVELES FREATICOS</v>
          </cell>
          <cell r="D475" t="str">
            <v>DEC-04B COPOSA NORTE</v>
          </cell>
          <cell r="E475" t="str">
            <v>NF</v>
          </cell>
          <cell r="F475" t="str">
            <v>2026-04-08</v>
          </cell>
          <cell r="G475" t="str">
            <v>2026-04-14</v>
          </cell>
          <cell r="H475" t="str">
            <v>SIGVA</v>
          </cell>
        </row>
        <row r="476">
          <cell r="A476" t="str">
            <v>DU-01 UJINA/NF</v>
          </cell>
          <cell r="B476" t="str">
            <v>03661759</v>
          </cell>
          <cell r="C476" t="str">
            <v>MEDICION DE NIVELES FREATICOS</v>
          </cell>
          <cell r="D476" t="str">
            <v>DU-01 UJINA</v>
          </cell>
          <cell r="E476" t="str">
            <v>NF</v>
          </cell>
          <cell r="F476" t="str">
            <v>2026-04-08</v>
          </cell>
          <cell r="G476" t="str">
            <v>2026-04-14</v>
          </cell>
          <cell r="H476" t="str">
            <v>SIGVA</v>
          </cell>
          <cell r="I476" t="str">
            <v>jueves</v>
          </cell>
        </row>
        <row r="477">
          <cell r="A477" t="str">
            <v>DU-02A UJINA/NF</v>
          </cell>
          <cell r="B477" t="str">
            <v>03661760</v>
          </cell>
          <cell r="C477" t="str">
            <v>MEDICION DE NIVELES FREATICOS</v>
          </cell>
          <cell r="D477" t="str">
            <v>DU-02A UJINA</v>
          </cell>
          <cell r="E477" t="str">
            <v>NF</v>
          </cell>
          <cell r="F477" t="str">
            <v>2026-04-08</v>
          </cell>
          <cell r="G477" t="str">
            <v>2026-04-14</v>
          </cell>
          <cell r="H477" t="str">
            <v>SIGVA</v>
          </cell>
          <cell r="I477" t="str">
            <v>jueves</v>
          </cell>
        </row>
        <row r="478">
          <cell r="A478" t="str">
            <v>DU-04 UJINA/NF</v>
          </cell>
          <cell r="B478" t="str">
            <v>03661761</v>
          </cell>
          <cell r="C478" t="str">
            <v>MEDICION DE NIVELES FREATICOS</v>
          </cell>
          <cell r="D478" t="str">
            <v>DU-04 UJINA</v>
          </cell>
          <cell r="E478" t="str">
            <v>NF</v>
          </cell>
          <cell r="F478" t="str">
            <v>2026-04-08</v>
          </cell>
          <cell r="G478" t="str">
            <v>2026-04-14</v>
          </cell>
          <cell r="H478" t="str">
            <v>SIGVA</v>
          </cell>
          <cell r="I478" t="str">
            <v>v-d</v>
          </cell>
        </row>
        <row r="479">
          <cell r="A479" t="str">
            <v>DU-05 UJINA/NF</v>
          </cell>
          <cell r="B479" t="str">
            <v>03661762</v>
          </cell>
          <cell r="C479" t="str">
            <v>MEDICION DE NIVELES FREATICOS</v>
          </cell>
          <cell r="D479" t="str">
            <v>DU-05 UJINA</v>
          </cell>
          <cell r="E479" t="str">
            <v>NF</v>
          </cell>
          <cell r="F479" t="str">
            <v>2026-04-08</v>
          </cell>
          <cell r="G479" t="str">
            <v>2026-04-14</v>
          </cell>
          <cell r="H479" t="str">
            <v>SIGVA</v>
          </cell>
          <cell r="I479" t="str">
            <v>v-d</v>
          </cell>
        </row>
        <row r="480">
          <cell r="A480" t="str">
            <v>DU-06 UJINA/NF</v>
          </cell>
          <cell r="B480" t="str">
            <v>03661763</v>
          </cell>
          <cell r="C480" t="str">
            <v>MEDICION DE NIVELES FREATICOS</v>
          </cell>
          <cell r="D480" t="str">
            <v>DU-06 UJINA</v>
          </cell>
          <cell r="E480" t="str">
            <v>NF</v>
          </cell>
          <cell r="F480" t="str">
            <v>2026-04-08</v>
          </cell>
          <cell r="G480" t="str">
            <v>2026-04-14</v>
          </cell>
          <cell r="H480" t="str">
            <v>SIGVA</v>
          </cell>
          <cell r="I480" t="str">
            <v>v-d</v>
          </cell>
        </row>
        <row r="481">
          <cell r="A481" t="str">
            <v>DU-01 UJINA/ASUB</v>
          </cell>
          <cell r="B481" t="str">
            <v>03661764</v>
          </cell>
          <cell r="C481" t="str">
            <v>MUESTREO MANUAL DE AGUAS SUBTERRÁNEAS</v>
          </cell>
          <cell r="D481" t="str">
            <v>DU-01 UJINA</v>
          </cell>
          <cell r="E481" t="str">
            <v>ASUB</v>
          </cell>
          <cell r="F481" t="str">
            <v>2026-04-08</v>
          </cell>
          <cell r="G481" t="str">
            <v>2026-04-14</v>
          </cell>
          <cell r="H481" t="str">
            <v>SIGVA</v>
          </cell>
          <cell r="I481" t="str">
            <v>jueves</v>
          </cell>
        </row>
        <row r="482">
          <cell r="A482" t="str">
            <v>M-05 LIXIVIACIÓN/ASUB</v>
          </cell>
          <cell r="B482" t="str">
            <v>03661765</v>
          </cell>
          <cell r="C482" t="str">
            <v>MUESTREO MANUAL DE AGUAS SUBTERRÁNEAS</v>
          </cell>
          <cell r="D482" t="str">
            <v>M-05 LIXIVIACIÓN</v>
          </cell>
          <cell r="E482" t="str">
            <v>ASUB</v>
          </cell>
          <cell r="F482" t="str">
            <v>2026-04-08</v>
          </cell>
          <cell r="G482" t="str">
            <v>2026-04-14</v>
          </cell>
          <cell r="H482" t="str">
            <v>SIGVA</v>
          </cell>
        </row>
        <row r="483">
          <cell r="A483" t="str">
            <v>M-05 LIXIVIACIÓN/NF</v>
          </cell>
          <cell r="B483" t="str">
            <v>03661766</v>
          </cell>
          <cell r="C483" t="str">
            <v>MEDICION DE NIVELES FREATICOS</v>
          </cell>
          <cell r="D483" t="str">
            <v>M-05 LIXIVIACIÓN</v>
          </cell>
          <cell r="E483" t="str">
            <v>NF</v>
          </cell>
          <cell r="F483" t="str">
            <v>2026-04-08</v>
          </cell>
          <cell r="G483" t="str">
            <v>2026-04-14</v>
          </cell>
          <cell r="H483" t="str">
            <v>SIGVA</v>
          </cell>
        </row>
        <row r="484">
          <cell r="A484" t="str">
            <v>MAU-03B LIXIVIACIÓN/ASUB</v>
          </cell>
          <cell r="B484" t="str">
            <v>03661767</v>
          </cell>
          <cell r="C484" t="str">
            <v>MUESTREO MANUAL DE AGUAS SUBTERRÁNEAS</v>
          </cell>
          <cell r="D484" t="str">
            <v>MAU-03B LIXIVIACIÓN</v>
          </cell>
          <cell r="E484" t="str">
            <v>ASUB</v>
          </cell>
          <cell r="F484" t="str">
            <v>2026-04-08</v>
          </cell>
          <cell r="G484" t="str">
            <v>2026-04-14</v>
          </cell>
          <cell r="H484" t="str">
            <v>SIGVA</v>
          </cell>
        </row>
        <row r="485">
          <cell r="A485" t="str">
            <v>MAU-07B LIXIVIACIÓN/ASUB</v>
          </cell>
          <cell r="B485" t="str">
            <v>03661768</v>
          </cell>
          <cell r="C485" t="str">
            <v>MUESTREO MANUAL DE AGUAS SUBTERRÁNEAS</v>
          </cell>
          <cell r="D485" t="str">
            <v>MAU-07B LIXIVIACIÓN</v>
          </cell>
          <cell r="E485" t="str">
            <v>ASUB</v>
          </cell>
          <cell r="F485" t="str">
            <v>2026-04-08</v>
          </cell>
          <cell r="G485" t="str">
            <v>2026-04-14</v>
          </cell>
          <cell r="H485" t="str">
            <v>SIGVA</v>
          </cell>
        </row>
        <row r="486">
          <cell r="A486" t="str">
            <v>MAU-08B LIXIVIACIÓN/ASUB</v>
          </cell>
          <cell r="B486" t="str">
            <v>03661769</v>
          </cell>
          <cell r="C486" t="str">
            <v>MUESTREO MANUAL DE AGUAS SUBTERRÁNEAS</v>
          </cell>
          <cell r="D486" t="str">
            <v>MAU-08B LIXIVIACIÓN</v>
          </cell>
          <cell r="E486" t="str">
            <v>ASUB</v>
          </cell>
          <cell r="F486" t="str">
            <v>2026-04-08</v>
          </cell>
          <cell r="G486" t="str">
            <v>2026-04-14</v>
          </cell>
          <cell r="H486" t="str">
            <v>SIGVA</v>
          </cell>
        </row>
        <row r="487">
          <cell r="A487" t="str">
            <v>MAU-15 LIXIVIACIÓN/ASUB</v>
          </cell>
          <cell r="B487" t="str">
            <v>03661770</v>
          </cell>
          <cell r="C487" t="str">
            <v>MUESTREO MANUAL DE AGUAS SUBTERRÁNEAS</v>
          </cell>
          <cell r="D487" t="str">
            <v>MAU-15 LIXIVIACIÓN</v>
          </cell>
          <cell r="E487" t="str">
            <v>ASUB</v>
          </cell>
          <cell r="F487" t="str">
            <v>2026-04-08</v>
          </cell>
          <cell r="G487" t="str">
            <v>2026-04-14</v>
          </cell>
          <cell r="H487" t="str">
            <v>SIGVA</v>
          </cell>
        </row>
        <row r="488">
          <cell r="A488" t="str">
            <v>MAU-16 LIXIVIACIÓN/ASUB</v>
          </cell>
          <cell r="B488" t="str">
            <v>03661771</v>
          </cell>
          <cell r="C488" t="str">
            <v>MUESTREO MANUAL DE AGUAS SUBTERRÁNEAS</v>
          </cell>
          <cell r="D488" t="str">
            <v>MAU-16 LIXIVIACIÓN</v>
          </cell>
          <cell r="E488" t="str">
            <v>ASUB</v>
          </cell>
          <cell r="F488" t="str">
            <v>2026-04-08</v>
          </cell>
          <cell r="G488" t="str">
            <v>2026-04-14</v>
          </cell>
          <cell r="H488" t="str">
            <v>SIGVA</v>
          </cell>
        </row>
        <row r="489">
          <cell r="A489" t="str">
            <v>MAU-03B LIXIVIACIÓN/NF</v>
          </cell>
          <cell r="B489" t="str">
            <v>03661772</v>
          </cell>
          <cell r="C489" t="str">
            <v>MEDICION DE NIVELES FREATICOS</v>
          </cell>
          <cell r="D489" t="str">
            <v>MAU-03B LIXIVIACIÓN</v>
          </cell>
          <cell r="E489" t="str">
            <v>NF</v>
          </cell>
          <cell r="F489" t="str">
            <v>2026-04-08</v>
          </cell>
          <cell r="G489" t="str">
            <v>2026-04-14</v>
          </cell>
          <cell r="H489" t="str">
            <v>SIGVA</v>
          </cell>
        </row>
        <row r="490">
          <cell r="A490" t="str">
            <v>MAU-07B LIXIVIACIÓN/NF</v>
          </cell>
          <cell r="B490" t="str">
            <v>03661773</v>
          </cell>
          <cell r="C490" t="str">
            <v>MEDICION DE NIVELES FREATICOS</v>
          </cell>
          <cell r="D490" t="str">
            <v>MAU-07B LIXIVIACIÓN</v>
          </cell>
          <cell r="E490" t="str">
            <v>NF</v>
          </cell>
          <cell r="F490" t="str">
            <v>2026-04-08</v>
          </cell>
          <cell r="G490" t="str">
            <v>2026-04-14</v>
          </cell>
          <cell r="H490" t="str">
            <v>SIGVA</v>
          </cell>
        </row>
        <row r="491">
          <cell r="A491" t="str">
            <v>MAU-08B LIXIVIACIÓN/NF</v>
          </cell>
          <cell r="B491" t="str">
            <v>03661774</v>
          </cell>
          <cell r="C491" t="str">
            <v>MEDICION DE NIVELES FREATICOS</v>
          </cell>
          <cell r="D491" t="str">
            <v>MAU-08B LIXIVIACIÓN</v>
          </cell>
          <cell r="E491" t="str">
            <v>NF</v>
          </cell>
          <cell r="F491" t="str">
            <v>2026-04-08</v>
          </cell>
          <cell r="G491" t="str">
            <v>2026-04-14</v>
          </cell>
          <cell r="H491" t="str">
            <v>SIGVA</v>
          </cell>
        </row>
        <row r="492">
          <cell r="A492" t="str">
            <v>MAU-15 LIXIVIACIÓN/NF</v>
          </cell>
          <cell r="B492" t="str">
            <v>03661775</v>
          </cell>
          <cell r="C492" t="str">
            <v>MEDICION DE NIVELES FREATICOS</v>
          </cell>
          <cell r="D492" t="str">
            <v>MAU-15 LIXIVIACIÓN</v>
          </cell>
          <cell r="E492" t="str">
            <v>NF</v>
          </cell>
          <cell r="F492" t="str">
            <v>2026-04-08</v>
          </cell>
          <cell r="G492" t="str">
            <v>2026-04-14</v>
          </cell>
          <cell r="H492" t="str">
            <v>SIGVA</v>
          </cell>
        </row>
        <row r="493">
          <cell r="A493" t="str">
            <v>MAU-16 LIXIVIACIÓN/NF</v>
          </cell>
          <cell r="B493" t="str">
            <v>03661776</v>
          </cell>
          <cell r="C493" t="str">
            <v>MEDICION DE NIVELES FREATICOS</v>
          </cell>
          <cell r="D493" t="str">
            <v>MAU-16 LIXIVIACIÓN</v>
          </cell>
          <cell r="E493" t="str">
            <v>NF</v>
          </cell>
          <cell r="F493" t="str">
            <v>2026-04-08</v>
          </cell>
          <cell r="G493" t="str">
            <v>2026-04-14</v>
          </cell>
          <cell r="H493" t="str">
            <v>SIGVA</v>
          </cell>
        </row>
        <row r="494">
          <cell r="A494" t="str">
            <v>PC-06 JACHUCOPOSA/NF</v>
          </cell>
          <cell r="B494" t="str">
            <v>03661777</v>
          </cell>
          <cell r="C494" t="str">
            <v>MEDICION DE NIVELES FREATICOS</v>
          </cell>
          <cell r="D494" t="str">
            <v>PC-06 JACHUCOPOSA</v>
          </cell>
          <cell r="E494" t="str">
            <v>NF</v>
          </cell>
          <cell r="F494" t="str">
            <v>2026-04-08</v>
          </cell>
          <cell r="G494" t="str">
            <v>2026-04-14</v>
          </cell>
          <cell r="H494" t="str">
            <v>SIGVA</v>
          </cell>
          <cell r="I494" t="str">
            <v>sabado</v>
          </cell>
        </row>
        <row r="495">
          <cell r="A495" t="str">
            <v>PD-03 UJINA/ASUP</v>
          </cell>
          <cell r="B495" t="str">
            <v>03661778</v>
          </cell>
          <cell r="C495" t="str">
            <v>MUESTREO MANUAL DE AGUAS SUPERFICIALES</v>
          </cell>
          <cell r="D495" t="str">
            <v>PD-03 UJINA</v>
          </cell>
          <cell r="E495" t="str">
            <v>ASUP</v>
          </cell>
          <cell r="F495" t="str">
            <v>2026-04-08</v>
          </cell>
          <cell r="G495" t="str">
            <v>2026-04-14</v>
          </cell>
          <cell r="H495" t="str">
            <v>SIGVA</v>
          </cell>
          <cell r="I495" t="str">
            <v>v-d</v>
          </cell>
        </row>
        <row r="496">
          <cell r="A496" t="str">
            <v>PEC-02 PORTEZUELO/NF</v>
          </cell>
          <cell r="B496" t="str">
            <v>03661779</v>
          </cell>
          <cell r="C496" t="str">
            <v>MEDICION DE NIVELES FREATICOS (PAT EIA)</v>
          </cell>
          <cell r="D496" t="str">
            <v>PEC-02 PORTEZUELO</v>
          </cell>
          <cell r="E496" t="str">
            <v>NF</v>
          </cell>
          <cell r="F496" t="str">
            <v>2026-04-08</v>
          </cell>
          <cell r="G496" t="str">
            <v>2026-04-21</v>
          </cell>
          <cell r="H496" t="str">
            <v>SIGVA</v>
          </cell>
          <cell r="I496" t="str">
            <v>te</v>
          </cell>
        </row>
        <row r="497">
          <cell r="A497" t="str">
            <v>PEP-02  PORTEZUELO/NF</v>
          </cell>
          <cell r="B497" t="str">
            <v>03661780</v>
          </cell>
          <cell r="C497" t="str">
            <v>MEDICION DE NIVELES FREATICOS (PAT EIA)</v>
          </cell>
          <cell r="D497" t="str">
            <v>PEP-02  PORTEZUELO</v>
          </cell>
          <cell r="E497" t="str">
            <v>NF</v>
          </cell>
          <cell r="F497" t="str">
            <v>2026-04-08</v>
          </cell>
          <cell r="G497" t="str">
            <v>2026-04-21</v>
          </cell>
          <cell r="H497" t="str">
            <v>SIGVA</v>
          </cell>
          <cell r="I497" t="str">
            <v>te</v>
          </cell>
        </row>
        <row r="498">
          <cell r="A498" t="str">
            <v>PPC-04 COPOSA NORTE/NF</v>
          </cell>
          <cell r="B498" t="str">
            <v>03661781</v>
          </cell>
          <cell r="C498" t="str">
            <v>MEDICION DE NIVELES FREATICOS (PAT EIA)</v>
          </cell>
          <cell r="D498" t="str">
            <v>PPC-04 COPOSA NORTE</v>
          </cell>
          <cell r="E498" t="str">
            <v>NF</v>
          </cell>
          <cell r="F498" t="str">
            <v>2026-04-08</v>
          </cell>
          <cell r="G498" t="str">
            <v>2026-04-14</v>
          </cell>
          <cell r="H498" t="str">
            <v>SIGVA</v>
          </cell>
        </row>
        <row r="499">
          <cell r="A499" t="str">
            <v>PPC-08 COPOSA NORTE/NF</v>
          </cell>
          <cell r="B499" t="str">
            <v>03661782</v>
          </cell>
          <cell r="C499" t="str">
            <v>MEDICION DE NIVELES FREATICOS (PAT EIA)</v>
          </cell>
          <cell r="D499" t="str">
            <v>PPC-08 COPOSA NORTE</v>
          </cell>
          <cell r="E499" t="str">
            <v>NF</v>
          </cell>
          <cell r="F499" t="str">
            <v>2026-04-08</v>
          </cell>
          <cell r="G499" t="str">
            <v>2026-04-14</v>
          </cell>
          <cell r="H499" t="str">
            <v>SIGVA</v>
          </cell>
        </row>
        <row r="500">
          <cell r="A500" t="str">
            <v>PPC-01A COPOSA NORTE/NF</v>
          </cell>
          <cell r="B500" t="str">
            <v>03661783</v>
          </cell>
          <cell r="C500" t="str">
            <v>MEDICION DE NIVELES FREATICOS (PAT EIA)</v>
          </cell>
          <cell r="D500" t="str">
            <v>PPC-01A COPOSA NORTE</v>
          </cell>
          <cell r="E500" t="str">
            <v>NF</v>
          </cell>
          <cell r="F500" t="str">
            <v>2026-04-08</v>
          </cell>
          <cell r="G500" t="str">
            <v>2026-04-21</v>
          </cell>
          <cell r="H500" t="str">
            <v>SIGVA</v>
          </cell>
        </row>
        <row r="501">
          <cell r="A501" t="str">
            <v>PPC-02 COPOSA NORTE/NF</v>
          </cell>
          <cell r="B501" t="str">
            <v>03661784</v>
          </cell>
          <cell r="C501" t="str">
            <v>MEDICION DE NIVELES FREATICOS (PAT EIA)</v>
          </cell>
          <cell r="D501" t="str">
            <v>PPC-02 COPOSA NORTE</v>
          </cell>
          <cell r="E501" t="str">
            <v>NF</v>
          </cell>
          <cell r="F501" t="str">
            <v>2026-04-08</v>
          </cell>
          <cell r="G501" t="str">
            <v>2026-04-21</v>
          </cell>
          <cell r="H501" t="str">
            <v>SIGVA</v>
          </cell>
        </row>
        <row r="502">
          <cell r="A502" t="str">
            <v>PPC-07 COPOSA NORTE/NF</v>
          </cell>
          <cell r="B502" t="str">
            <v>03661785</v>
          </cell>
          <cell r="C502" t="str">
            <v>MEDICION DE NIVELES FREATICOS (PAT EIA)</v>
          </cell>
          <cell r="D502" t="str">
            <v>PPC-07 COPOSA NORTE</v>
          </cell>
          <cell r="E502" t="str">
            <v>NF</v>
          </cell>
          <cell r="F502" t="str">
            <v>2026-04-08</v>
          </cell>
          <cell r="G502" t="str">
            <v>2026-04-21</v>
          </cell>
          <cell r="H502" t="str">
            <v>SIGVA</v>
          </cell>
        </row>
        <row r="503">
          <cell r="A503" t="str">
            <v>PPC-09 COPOSA NORTE/NF</v>
          </cell>
          <cell r="B503" t="str">
            <v>03661786</v>
          </cell>
          <cell r="C503" t="str">
            <v>MEDICION DE NIVELES FREATICOS (PAT EIA)</v>
          </cell>
          <cell r="D503" t="str">
            <v>PPC-09 COPOSA NORTE</v>
          </cell>
          <cell r="E503" t="str">
            <v>NF</v>
          </cell>
          <cell r="F503" t="str">
            <v>2026-04-08</v>
          </cell>
          <cell r="G503" t="str">
            <v>2026-04-21</v>
          </cell>
          <cell r="H503" t="str">
            <v>SIGVA</v>
          </cell>
        </row>
        <row r="504">
          <cell r="A504" t="str">
            <v>PPC-10 COPOSA NORTE/NF</v>
          </cell>
          <cell r="B504" t="str">
            <v>03661787</v>
          </cell>
          <cell r="C504" t="str">
            <v>MEDICION DE NIVELES FREATICOS (PAT EIA)</v>
          </cell>
          <cell r="D504" t="str">
            <v>PPC-10 COPOSA NORTE</v>
          </cell>
          <cell r="E504" t="str">
            <v>NF</v>
          </cell>
          <cell r="F504" t="str">
            <v>2026-04-08</v>
          </cell>
          <cell r="G504" t="str">
            <v>2026-04-21</v>
          </cell>
          <cell r="H504" t="str">
            <v>SIGVA</v>
          </cell>
        </row>
        <row r="505">
          <cell r="A505" t="str">
            <v>PPC-14 COPOSA NORTE/NF</v>
          </cell>
          <cell r="B505" t="str">
            <v>03661788</v>
          </cell>
          <cell r="C505" t="str">
            <v>MEDICION DE NIVELES FREATICOS (PAT EIA)</v>
          </cell>
          <cell r="D505" t="str">
            <v>PPC-14 COPOSA NORTE</v>
          </cell>
          <cell r="E505" t="str">
            <v>NF</v>
          </cell>
          <cell r="F505" t="str">
            <v>2026-04-08</v>
          </cell>
          <cell r="G505" t="str">
            <v>2026-04-21</v>
          </cell>
          <cell r="H505" t="str">
            <v>SIGVA</v>
          </cell>
        </row>
        <row r="506">
          <cell r="A506" t="str">
            <v>PPC-15 COPOSA NORTE/NF</v>
          </cell>
          <cell r="B506" t="str">
            <v>03661789</v>
          </cell>
          <cell r="C506" t="str">
            <v>MEDICION DE NIVELES FREATICOS (PAT EIA)</v>
          </cell>
          <cell r="D506" t="str">
            <v>PPC-15 COPOSA NORTE</v>
          </cell>
          <cell r="E506" t="str">
            <v>NF</v>
          </cell>
          <cell r="F506" t="str">
            <v>2026-04-08</v>
          </cell>
          <cell r="G506" t="str">
            <v>2026-04-21</v>
          </cell>
          <cell r="H506" t="str">
            <v>SIGVA</v>
          </cell>
        </row>
        <row r="507">
          <cell r="A507" t="str">
            <v>PPC-20 COPOSA NORTE/NF</v>
          </cell>
          <cell r="B507" t="str">
            <v>03661790</v>
          </cell>
          <cell r="C507" t="str">
            <v>MEDICION DE NIVELES FREATICOS (PAT EIA)</v>
          </cell>
          <cell r="D507" t="str">
            <v>PPC-20 COPOSA NORTE</v>
          </cell>
          <cell r="E507" t="str">
            <v>NF</v>
          </cell>
          <cell r="F507" t="str">
            <v>2026-04-08</v>
          </cell>
          <cell r="G507" t="str">
            <v>2026-04-21</v>
          </cell>
          <cell r="H507" t="str">
            <v>SIGVA</v>
          </cell>
        </row>
        <row r="508">
          <cell r="A508" t="str">
            <v>PPC-21 COPOSA NORTE/NF</v>
          </cell>
          <cell r="B508" t="str">
            <v>03661791</v>
          </cell>
          <cell r="C508" t="str">
            <v>MEDICION DE NIVELES FREATICOS (PAT EIA)</v>
          </cell>
          <cell r="D508" t="str">
            <v>PPC-21 COPOSA NORTE</v>
          </cell>
          <cell r="E508" t="str">
            <v>NF</v>
          </cell>
          <cell r="F508" t="str">
            <v>2026-04-08</v>
          </cell>
          <cell r="G508" t="str">
            <v>2026-04-21</v>
          </cell>
          <cell r="H508" t="str">
            <v>SIGVA</v>
          </cell>
        </row>
        <row r="509">
          <cell r="A509" t="str">
            <v>PPC-29 COPOSA NORTE/NF</v>
          </cell>
          <cell r="B509" t="str">
            <v>03661792</v>
          </cell>
          <cell r="C509" t="str">
            <v>MEDICION DE NIVELES FREATICOS (PAT EIA)</v>
          </cell>
          <cell r="D509" t="str">
            <v>PPC-29 COPOSA NORTE</v>
          </cell>
          <cell r="E509" t="str">
            <v>NF</v>
          </cell>
          <cell r="F509" t="str">
            <v>2026-04-08</v>
          </cell>
          <cell r="G509" t="str">
            <v>2026-04-21</v>
          </cell>
          <cell r="H509" t="str">
            <v>SIGVA</v>
          </cell>
        </row>
        <row r="510">
          <cell r="A510" t="str">
            <v>QDH-1E HUINQUINTIPA (INT. RAJO ROSARIO )/ASUP</v>
          </cell>
          <cell r="B510" t="str">
            <v>03661793</v>
          </cell>
          <cell r="C510" t="str">
            <v>MUESTREO MANUAL DE AGUAS SUPERFICIALES</v>
          </cell>
          <cell r="D510" t="str">
            <v>QDH-1E HUINQUINTIPA (INT. RAJO ROSARIO )</v>
          </cell>
          <cell r="E510" t="str">
            <v>ASUP</v>
          </cell>
          <cell r="F510" t="str">
            <v>2026-04-08</v>
          </cell>
          <cell r="G510" t="str">
            <v>2026-04-14</v>
          </cell>
          <cell r="H510" t="str">
            <v>SIGVA</v>
          </cell>
          <cell r="I510" t="str">
            <v>domingo</v>
          </cell>
        </row>
        <row r="511">
          <cell r="A511" t="str">
            <v>QDH-1E PISC. HUINQUIN. (INT. RAJO ROSA )/ASUP</v>
          </cell>
          <cell r="B511" t="str">
            <v>03661794</v>
          </cell>
          <cell r="C511" t="str">
            <v>MUESTREO M. AGUAS SUPERF. (PdC)</v>
          </cell>
          <cell r="D511" t="str">
            <v>QDH-1E PISC. HUINQUIN. (INT. RAJO ROSA )</v>
          </cell>
          <cell r="E511" t="str">
            <v>ASUP</v>
          </cell>
          <cell r="F511" t="str">
            <v>2026-04-08</v>
          </cell>
          <cell r="G511" t="str">
            <v>2026-04-14</v>
          </cell>
          <cell r="H511" t="str">
            <v>SIGVA</v>
          </cell>
          <cell r="I511" t="str">
            <v>domingo</v>
          </cell>
        </row>
        <row r="512">
          <cell r="A512" t="str">
            <v>QSD-1 HUINQUINTIPA (INT. RAJO ROSARIO )/ASUP</v>
          </cell>
          <cell r="B512" t="str">
            <v>03661795</v>
          </cell>
          <cell r="C512" t="str">
            <v>MUESTREO MANUAL DE AGUAS SUPERFICIALES</v>
          </cell>
          <cell r="D512" t="str">
            <v>QSD-1 HUINQUINTIPA (INT. RAJO ROSARIO )</v>
          </cell>
          <cell r="E512" t="str">
            <v>ASUP</v>
          </cell>
          <cell r="F512" t="str">
            <v>2026-04-08</v>
          </cell>
          <cell r="G512" t="str">
            <v>2026-04-14</v>
          </cell>
          <cell r="H512" t="str">
            <v>SIGVA</v>
          </cell>
          <cell r="I512" t="str">
            <v>domingo</v>
          </cell>
        </row>
        <row r="513">
          <cell r="A513" t="str">
            <v>QSD-1 PISC. HUINQUIN. (INT. RAJO ROSA )/ASUP</v>
          </cell>
          <cell r="B513" t="str">
            <v>03661796</v>
          </cell>
          <cell r="C513" t="str">
            <v>MUESTREO M. AGUAS SUPERF. (PdC)</v>
          </cell>
          <cell r="D513" t="str">
            <v>QSD-1 PISC. HUINQUIN. (INT. RAJO ROSA )</v>
          </cell>
          <cell r="E513" t="str">
            <v>ASUP</v>
          </cell>
          <cell r="F513" t="str">
            <v>2026-04-08</v>
          </cell>
          <cell r="G513" t="str">
            <v>2026-04-14</v>
          </cell>
          <cell r="H513" t="str">
            <v>SIGVA</v>
          </cell>
          <cell r="I513" t="str">
            <v>domingo</v>
          </cell>
        </row>
        <row r="514">
          <cell r="A514" t="str">
            <v>SH-01 PUERTO COLLAHUASI/ASUB</v>
          </cell>
          <cell r="B514" t="str">
            <v>03661797</v>
          </cell>
          <cell r="C514" t="str">
            <v>MUESTREO MANUAL DE AGUAS SUBTERRÁNEAS</v>
          </cell>
          <cell r="D514" t="str">
            <v>SH-01 PUERTO COLLAHUASI</v>
          </cell>
          <cell r="E514" t="str">
            <v>ASUB</v>
          </cell>
          <cell r="F514" t="str">
            <v>2026-04-08</v>
          </cell>
          <cell r="G514" t="str">
            <v>2026-04-14</v>
          </cell>
          <cell r="H514" t="str">
            <v>SIGVA</v>
          </cell>
          <cell r="I514" t="str">
            <v>ta</v>
          </cell>
        </row>
        <row r="515">
          <cell r="A515" t="str">
            <v>SH-02B PUERTO COLLAHUASI/ASUB</v>
          </cell>
          <cell r="B515" t="str">
            <v>03661798</v>
          </cell>
          <cell r="C515" t="str">
            <v>MUESTREO MANUAL DE AGUAS SUBTERRÁNEAS</v>
          </cell>
          <cell r="D515" t="str">
            <v>SH-02B PUERTO COLLAHUASI</v>
          </cell>
          <cell r="E515" t="str">
            <v>ASUB</v>
          </cell>
          <cell r="F515" t="str">
            <v>2026-04-08</v>
          </cell>
          <cell r="G515" t="str">
            <v>2026-04-14</v>
          </cell>
          <cell r="H515" t="str">
            <v>SIGVA</v>
          </cell>
          <cell r="I515" t="str">
            <v>ta</v>
          </cell>
        </row>
        <row r="516">
          <cell r="A516" t="str">
            <v>SH-06 PUERTO COLLAHUASI/ASUB</v>
          </cell>
          <cell r="B516" t="str">
            <v>03661799</v>
          </cell>
          <cell r="C516" t="str">
            <v>MUESTREO MANUAL DE AGUAS SUBTERRÁNEAS</v>
          </cell>
          <cell r="D516" t="str">
            <v>SH-06 PUERTO COLLAHUASI</v>
          </cell>
          <cell r="E516" t="str">
            <v>ASUB</v>
          </cell>
          <cell r="F516" t="str">
            <v>2026-04-08</v>
          </cell>
          <cell r="G516" t="str">
            <v>2026-04-14</v>
          </cell>
          <cell r="H516" t="str">
            <v>SIGVA</v>
          </cell>
          <cell r="I516" t="str">
            <v>ta</v>
          </cell>
        </row>
        <row r="517">
          <cell r="A517" t="str">
            <v>SH-07 PUERTO COLLAHUASI/ASUB</v>
          </cell>
          <cell r="B517" t="str">
            <v>03661800</v>
          </cell>
          <cell r="C517" t="str">
            <v>MUESTREO MANUAL DE AGUAS SUBTERRÁNEAS</v>
          </cell>
          <cell r="D517" t="str">
            <v>SH-07 PUERTO COLLAHUASI</v>
          </cell>
          <cell r="E517" t="str">
            <v>ASUB</v>
          </cell>
          <cell r="F517" t="str">
            <v>2026-04-08</v>
          </cell>
          <cell r="G517" t="str">
            <v>2026-04-14</v>
          </cell>
          <cell r="H517" t="str">
            <v>SIGVA</v>
          </cell>
          <cell r="I517" t="str">
            <v>ta</v>
          </cell>
        </row>
        <row r="518">
          <cell r="A518" t="str">
            <v>SH-08 PUERTO COLLAHUASI/ASUB</v>
          </cell>
          <cell r="B518" t="str">
            <v>03661801</v>
          </cell>
          <cell r="C518" t="str">
            <v>MUESTREO MANUAL DE AGUAS SUBTERRÁNEAS</v>
          </cell>
          <cell r="D518" t="str">
            <v>SH-08 PUERTO COLLAHUASI</v>
          </cell>
          <cell r="E518" t="str">
            <v>ASUB</v>
          </cell>
          <cell r="F518" t="str">
            <v>2026-04-08</v>
          </cell>
          <cell r="G518" t="str">
            <v>2026-04-14</v>
          </cell>
          <cell r="H518" t="str">
            <v>SIGVA</v>
          </cell>
          <cell r="I518" t="str">
            <v>ta</v>
          </cell>
        </row>
        <row r="519">
          <cell r="A519" t="str">
            <v>SH-21 PUERTO COLLAHUASI/NF</v>
          </cell>
          <cell r="B519" t="str">
            <v>03661802</v>
          </cell>
          <cell r="C519" t="str">
            <v>MEDICION DE NIVELES FREATICOS</v>
          </cell>
          <cell r="D519" t="str">
            <v>SH-21 PUERTO COLLAHUASI</v>
          </cell>
          <cell r="E519" t="str">
            <v>NF</v>
          </cell>
          <cell r="F519" t="str">
            <v>2026-04-08</v>
          </cell>
          <cell r="G519" t="str">
            <v>2026-04-14</v>
          </cell>
          <cell r="H519" t="str">
            <v>SIGVA</v>
          </cell>
          <cell r="I519" t="str">
            <v>ta</v>
          </cell>
        </row>
        <row r="520">
          <cell r="A520" t="str">
            <v>SH-21 PUERTO COLLAHUASI/ASUB</v>
          </cell>
          <cell r="B520" t="str">
            <v>03661803</v>
          </cell>
          <cell r="C520" t="str">
            <v>MUESTREO MANUAL DE AGUAS SUBTERRÁNEAS</v>
          </cell>
          <cell r="D520" t="str">
            <v>SH-21 PUERTO COLLAHUASI</v>
          </cell>
          <cell r="E520" t="str">
            <v>ASUB</v>
          </cell>
          <cell r="F520" t="str">
            <v>2026-04-08</v>
          </cell>
          <cell r="G520" t="str">
            <v>2026-04-14</v>
          </cell>
          <cell r="H520" t="str">
            <v>SIGVA</v>
          </cell>
          <cell r="I520" t="str">
            <v>ta</v>
          </cell>
        </row>
        <row r="521">
          <cell r="A521" t="str">
            <v>SH-01 PUERTO COLLAHUASI/NF</v>
          </cell>
          <cell r="B521" t="str">
            <v>03661804</v>
          </cell>
          <cell r="C521" t="str">
            <v>MEDICION DE NIVELES FREATICOS</v>
          </cell>
          <cell r="D521" t="str">
            <v>SH-01 PUERTO COLLAHUASI</v>
          </cell>
          <cell r="E521" t="str">
            <v>NF</v>
          </cell>
          <cell r="F521" t="str">
            <v>2026-04-08</v>
          </cell>
          <cell r="G521" t="str">
            <v>2026-04-14</v>
          </cell>
          <cell r="H521" t="str">
            <v>SIGVA</v>
          </cell>
          <cell r="I521" t="str">
            <v>ta</v>
          </cell>
        </row>
        <row r="522">
          <cell r="A522" t="str">
            <v>PIEZ-11 UJINA/NF</v>
          </cell>
          <cell r="B522" t="str">
            <v>03661805</v>
          </cell>
          <cell r="C522" t="str">
            <v>MEDICION DE NIVELES FREATICOS</v>
          </cell>
          <cell r="D522" t="str">
            <v>PIEZ-11 UJINA</v>
          </cell>
          <cell r="E522" t="str">
            <v>NF</v>
          </cell>
          <cell r="F522" t="str">
            <v>2026-04-08</v>
          </cell>
          <cell r="G522" t="str">
            <v>2026-04-14</v>
          </cell>
          <cell r="H522" t="str">
            <v>SIGVA</v>
          </cell>
          <cell r="I522" t="str">
            <v>v-d</v>
          </cell>
        </row>
        <row r="523">
          <cell r="A523" t="str">
            <v>PPC-07 COPOSA NORTE/ASUB</v>
          </cell>
          <cell r="B523" t="str">
            <v>03661806</v>
          </cell>
          <cell r="C523" t="str">
            <v>MUESTREO MANUAL DE AGUAS SUBTERRÁNEAS</v>
          </cell>
          <cell r="D523" t="str">
            <v>PPC-07 COPOSA NORTE</v>
          </cell>
          <cell r="E523" t="str">
            <v>ASUB</v>
          </cell>
          <cell r="F523" t="str">
            <v>2026-04-08</v>
          </cell>
          <cell r="G523" t="str">
            <v>2026-04-14</v>
          </cell>
          <cell r="H523" t="str">
            <v>SIGVA</v>
          </cell>
        </row>
        <row r="524">
          <cell r="A524" t="str">
            <v>PPC-09 COPOSA NORTE/ASUB</v>
          </cell>
          <cell r="B524" t="str">
            <v>03661807</v>
          </cell>
          <cell r="C524" t="str">
            <v>MUESTREO MANUAL DE AGUAS SUBTERRÁNEAS</v>
          </cell>
          <cell r="D524" t="str">
            <v>PPC-09 COPOSA NORTE</v>
          </cell>
          <cell r="E524" t="str">
            <v>ASUB</v>
          </cell>
          <cell r="F524" t="str">
            <v>2026-04-08</v>
          </cell>
          <cell r="G524" t="str">
            <v>2026-04-14</v>
          </cell>
          <cell r="H524" t="str">
            <v>SIGVA</v>
          </cell>
        </row>
        <row r="525">
          <cell r="A525" t="str">
            <v>PPC-10 COPOSA NORTE/ASUB</v>
          </cell>
          <cell r="B525" t="str">
            <v>03661808</v>
          </cell>
          <cell r="C525" t="str">
            <v>MUESTREO MANUAL DE AGUAS SUBTERRÁNEAS</v>
          </cell>
          <cell r="D525" t="str">
            <v>PPC-10 COPOSA NORTE</v>
          </cell>
          <cell r="E525" t="str">
            <v>ASUB</v>
          </cell>
          <cell r="F525" t="str">
            <v>2026-04-08</v>
          </cell>
          <cell r="G525" t="str">
            <v>2026-04-14</v>
          </cell>
          <cell r="H525" t="str">
            <v>SIGVA</v>
          </cell>
        </row>
        <row r="526">
          <cell r="A526" t="str">
            <v>PPC-14 COPOSA NORTE/ASUB</v>
          </cell>
          <cell r="B526" t="str">
            <v>03661809</v>
          </cell>
          <cell r="C526" t="str">
            <v>MUESTREO MANUAL DE AGUAS SUBTERRÁNEAS</v>
          </cell>
          <cell r="D526" t="str">
            <v>PPC-14 COPOSA NORTE</v>
          </cell>
          <cell r="E526" t="str">
            <v>ASUB</v>
          </cell>
          <cell r="F526" t="str">
            <v>2026-04-08</v>
          </cell>
          <cell r="G526" t="str">
            <v>2026-04-14</v>
          </cell>
          <cell r="H526" t="str">
            <v>SIGVA</v>
          </cell>
        </row>
        <row r="527">
          <cell r="A527" t="str">
            <v>PPC-15 COPOSA NORTE/ASUB</v>
          </cell>
          <cell r="B527" t="str">
            <v>03661810</v>
          </cell>
          <cell r="C527" t="str">
            <v>MUESTREO MANUAL DE AGUAS SUBTERRÁNEAS</v>
          </cell>
          <cell r="D527" t="str">
            <v>PPC-15 COPOSA NORTE</v>
          </cell>
          <cell r="E527" t="str">
            <v>ASUB</v>
          </cell>
          <cell r="F527" t="str">
            <v>2026-04-08</v>
          </cell>
          <cell r="G527" t="str">
            <v>2026-04-14</v>
          </cell>
          <cell r="H527" t="str">
            <v>SIGVA</v>
          </cell>
        </row>
        <row r="528">
          <cell r="A528" t="str">
            <v>PPC-20 COPOSA NORTE/ASUB</v>
          </cell>
          <cell r="B528" t="str">
            <v>03661811</v>
          </cell>
          <cell r="C528" t="str">
            <v>MUESTREO MANUAL DE AGUAS SUBTERRÁNEAS</v>
          </cell>
          <cell r="D528" t="str">
            <v>PPC-20 COPOSA NORTE</v>
          </cell>
          <cell r="E528" t="str">
            <v>ASUB</v>
          </cell>
          <cell r="F528" t="str">
            <v>2026-04-08</v>
          </cell>
          <cell r="G528" t="str">
            <v>2026-04-14</v>
          </cell>
          <cell r="H528" t="str">
            <v>SIGVA</v>
          </cell>
        </row>
        <row r="529">
          <cell r="A529" t="str">
            <v>PPC-21 COPOSA NORTE/ASUB</v>
          </cell>
          <cell r="B529" t="str">
            <v>03661812</v>
          </cell>
          <cell r="C529" t="str">
            <v>MUESTREO MANUAL DE AGUAS SUBTERRÁNEAS</v>
          </cell>
          <cell r="D529" t="str">
            <v>PPC-21 COPOSA NORTE</v>
          </cell>
          <cell r="E529" t="str">
            <v>ASUB</v>
          </cell>
          <cell r="F529" t="str">
            <v>2026-04-08</v>
          </cell>
          <cell r="G529" t="str">
            <v>2026-04-14</v>
          </cell>
          <cell r="H529" t="str">
            <v>SIGVA</v>
          </cell>
        </row>
        <row r="530">
          <cell r="A530" t="str">
            <v>PPC-02 COPOSA NORTE/ASUB</v>
          </cell>
          <cell r="B530" t="str">
            <v>03661813</v>
          </cell>
          <cell r="C530" t="str">
            <v>MUESTREO MANUAL DE AGUAS SUBTERRÁNEAS</v>
          </cell>
          <cell r="D530" t="str">
            <v>PPC-02 COPOSA NORTE</v>
          </cell>
          <cell r="E530" t="str">
            <v>ASUB</v>
          </cell>
          <cell r="F530" t="str">
            <v>2026-04-08</v>
          </cell>
          <cell r="G530" t="str">
            <v>2026-04-14</v>
          </cell>
          <cell r="H530" t="str">
            <v>SIGVA</v>
          </cell>
        </row>
        <row r="531">
          <cell r="A531" t="str">
            <v>RPEC-02A COPOSA SUR/ASUB</v>
          </cell>
          <cell r="B531" t="str">
            <v>03661814</v>
          </cell>
          <cell r="C531" t="str">
            <v>MUESTREO MANUAL DE AGUAS SUBTERRÁNEAS</v>
          </cell>
          <cell r="D531" t="str">
            <v>RPEC-02A COPOSA SUR</v>
          </cell>
          <cell r="E531" t="str">
            <v>ASUB</v>
          </cell>
          <cell r="F531" t="str">
            <v>2026-04-08</v>
          </cell>
          <cell r="G531" t="str">
            <v>2026-04-14</v>
          </cell>
          <cell r="H531" t="str">
            <v>SIGVA</v>
          </cell>
          <cell r="I531" t="str">
            <v>viernes</v>
          </cell>
        </row>
        <row r="532">
          <cell r="A532" t="str">
            <v>RPEC-02A COPOSA SUR/NF</v>
          </cell>
          <cell r="B532" t="str">
            <v>03661815</v>
          </cell>
          <cell r="C532" t="str">
            <v>MEDICIÓN NIVELES FREÁTICOS</v>
          </cell>
          <cell r="D532" t="str">
            <v>RPEC-02A COPOSA SUR</v>
          </cell>
          <cell r="E532" t="str">
            <v>NF</v>
          </cell>
          <cell r="F532" t="str">
            <v>2026-04-08</v>
          </cell>
          <cell r="G532" t="str">
            <v>2026-04-14</v>
          </cell>
          <cell r="H532" t="str">
            <v>SIGVA</v>
          </cell>
          <cell r="I532" t="str">
            <v>viernes</v>
          </cell>
        </row>
        <row r="533">
          <cell r="A533" t="str">
            <v>PPC-03 COPOSA SUR/ASUB</v>
          </cell>
          <cell r="B533" t="str">
            <v>03661816</v>
          </cell>
          <cell r="C533" t="str">
            <v>MUESTREO MANUAL DE AGUAS SUBTERRÁNEAS</v>
          </cell>
          <cell r="D533" t="str">
            <v>PPC-03 COPOSA SUR</v>
          </cell>
          <cell r="E533" t="str">
            <v>ASUB</v>
          </cell>
          <cell r="F533" t="str">
            <v>2026-04-08</v>
          </cell>
          <cell r="G533" t="str">
            <v>2026-04-14</v>
          </cell>
          <cell r="H533" t="str">
            <v>SIGVA</v>
          </cell>
        </row>
        <row r="534">
          <cell r="A534" t="str">
            <v>PPC-03 COPOSA SUR/NF</v>
          </cell>
          <cell r="B534" t="str">
            <v>03661817</v>
          </cell>
          <cell r="C534" t="str">
            <v>MEDICION DE NIVELES FREATICOS</v>
          </cell>
          <cell r="D534" t="str">
            <v>PPC-03 COPOSA SUR</v>
          </cell>
          <cell r="E534" t="str">
            <v>NF</v>
          </cell>
          <cell r="F534" t="str">
            <v>2026-04-08</v>
          </cell>
          <cell r="G534" t="str">
            <v>2026-04-14</v>
          </cell>
          <cell r="H534" t="str">
            <v>SIGVA</v>
          </cell>
        </row>
        <row r="535">
          <cell r="A535" t="str">
            <v>PPC-23 COPOSA SUR/ASUB</v>
          </cell>
          <cell r="B535" t="str">
            <v>03661818</v>
          </cell>
          <cell r="C535" t="str">
            <v>MUESTREO MANUAL DE AGUAS SUBTERRÁNEAS</v>
          </cell>
          <cell r="D535" t="str">
            <v>PPC-23 COPOSA SUR</v>
          </cell>
          <cell r="E535" t="str">
            <v>ASUB</v>
          </cell>
          <cell r="F535" t="str">
            <v>2026-04-08</v>
          </cell>
          <cell r="G535" t="str">
            <v>2026-04-14</v>
          </cell>
          <cell r="H535" t="str">
            <v>SIGVA</v>
          </cell>
        </row>
        <row r="536">
          <cell r="A536" t="str">
            <v>PPC-23 COPOSA SUR/NF</v>
          </cell>
          <cell r="B536" t="str">
            <v>03661819</v>
          </cell>
          <cell r="C536" t="str">
            <v>MEDICION DE NIVELES FREATICOS</v>
          </cell>
          <cell r="D536" t="str">
            <v>PPC-23 COPOSA SUR</v>
          </cell>
          <cell r="E536" t="str">
            <v>NF</v>
          </cell>
          <cell r="F536" t="str">
            <v>2026-04-08</v>
          </cell>
          <cell r="G536" t="str">
            <v>2026-04-14</v>
          </cell>
          <cell r="H536" t="str">
            <v>SIGVA</v>
          </cell>
        </row>
        <row r="537">
          <cell r="A537" t="str">
            <v>PPC-18 COPOSA SUR/ASUB</v>
          </cell>
          <cell r="B537" t="str">
            <v>03661820</v>
          </cell>
          <cell r="C537" t="str">
            <v>MUESTREO MANUAL DE AGUAS SUBTERRÁNEAS</v>
          </cell>
          <cell r="D537" t="str">
            <v>PPC-18 COPOSA SUR</v>
          </cell>
          <cell r="E537" t="str">
            <v>ASUB</v>
          </cell>
          <cell r="F537" t="str">
            <v>2026-04-08</v>
          </cell>
          <cell r="G537" t="str">
            <v>2026-04-14</v>
          </cell>
          <cell r="H537" t="str">
            <v>SIGVA</v>
          </cell>
        </row>
        <row r="538">
          <cell r="A538" t="str">
            <v>PPC-18 COPOSA SUR/NF</v>
          </cell>
          <cell r="B538" t="str">
            <v>03661821</v>
          </cell>
          <cell r="C538" t="str">
            <v>MEDICION DE NIVELES FREATICOS</v>
          </cell>
          <cell r="D538" t="str">
            <v>PPC-18 COPOSA SUR</v>
          </cell>
          <cell r="E538" t="str">
            <v>NF</v>
          </cell>
          <cell r="F538" t="str">
            <v>2026-04-08</v>
          </cell>
          <cell r="G538" t="str">
            <v>2026-04-14</v>
          </cell>
          <cell r="H538" t="str">
            <v>SIGVA</v>
          </cell>
        </row>
        <row r="539">
          <cell r="A539" t="str">
            <v>PPC-27 COPOSA SUR/ASUB</v>
          </cell>
          <cell r="B539" t="str">
            <v>03661822</v>
          </cell>
          <cell r="C539" t="str">
            <v>MUESTREO MANUAL DE AGUAS SUBTERRÁNEAS</v>
          </cell>
          <cell r="D539" t="str">
            <v>PPC-27 COPOSA SUR</v>
          </cell>
          <cell r="E539" t="str">
            <v>ASUB</v>
          </cell>
          <cell r="F539" t="str">
            <v>2026-04-08</v>
          </cell>
          <cell r="G539" t="str">
            <v>2026-04-14</v>
          </cell>
          <cell r="H539" t="str">
            <v>SIGVA</v>
          </cell>
        </row>
        <row r="540">
          <cell r="A540" t="str">
            <v>PPC-27 COPOSA SUR/NF</v>
          </cell>
          <cell r="B540" t="str">
            <v>03661823</v>
          </cell>
          <cell r="C540" t="str">
            <v>MEDICION DE NIVELES FREATICOS</v>
          </cell>
          <cell r="D540" t="str">
            <v>PPC-27 COPOSA SUR</v>
          </cell>
          <cell r="E540" t="str">
            <v>NF</v>
          </cell>
          <cell r="F540" t="str">
            <v>2026-04-08</v>
          </cell>
          <cell r="G540" t="str">
            <v>2026-04-14</v>
          </cell>
          <cell r="H540" t="str">
            <v>SIGVA</v>
          </cell>
        </row>
        <row r="541">
          <cell r="A541" t="str">
            <v>PPC-28 COPOSA SUR/ASUB</v>
          </cell>
          <cell r="B541" t="str">
            <v>03661824</v>
          </cell>
          <cell r="C541" t="str">
            <v>MUESTREO MANUAL DE AGUAS SUBTERRÁNEAS</v>
          </cell>
          <cell r="D541" t="str">
            <v>PPC-28 COPOSA SUR</v>
          </cell>
          <cell r="E541" t="str">
            <v>ASUB</v>
          </cell>
          <cell r="F541" t="str">
            <v>2026-04-08</v>
          </cell>
          <cell r="G541" t="str">
            <v>2026-04-14</v>
          </cell>
          <cell r="H541" t="str">
            <v>SIGVA</v>
          </cell>
        </row>
        <row r="542">
          <cell r="A542" t="str">
            <v>PPC-28 COPOSA SUR/NF</v>
          </cell>
          <cell r="B542" t="str">
            <v>03661825</v>
          </cell>
          <cell r="C542" t="str">
            <v>MEDICION DE NIVELES FREATICOS</v>
          </cell>
          <cell r="D542" t="str">
            <v>PPC-28 COPOSA SUR</v>
          </cell>
          <cell r="E542" t="str">
            <v>NF</v>
          </cell>
          <cell r="F542" t="str">
            <v>2026-04-08</v>
          </cell>
          <cell r="G542" t="str">
            <v>2026-04-14</v>
          </cell>
          <cell r="H542" t="str">
            <v>SIGVA</v>
          </cell>
        </row>
        <row r="543">
          <cell r="A543" t="str">
            <v>PEP-01 PORTEZUELO/ASUB</v>
          </cell>
          <cell r="B543" t="str">
            <v>03661826</v>
          </cell>
          <cell r="C543" t="str">
            <v>MUESTREO MANUAL DE AGUAS SUBTERRÁNEAS</v>
          </cell>
          <cell r="D543" t="str">
            <v>PEP-01 PORTEZUELO</v>
          </cell>
          <cell r="E543" t="str">
            <v>ASUB</v>
          </cell>
          <cell r="F543" t="str">
            <v>2026-04-08</v>
          </cell>
          <cell r="G543" t="str">
            <v>2026-04-21</v>
          </cell>
          <cell r="H543" t="str">
            <v>SIGVA</v>
          </cell>
          <cell r="I543" t="str">
            <v>te</v>
          </cell>
        </row>
        <row r="544">
          <cell r="A544" t="str">
            <v>PEP-01 PORTEZUELO/NF</v>
          </cell>
          <cell r="B544" t="str">
            <v>03661827</v>
          </cell>
          <cell r="C544" t="str">
            <v>MEDICION DE NIVELES FREATICOS (PAT EIA)</v>
          </cell>
          <cell r="D544" t="str">
            <v>PEP-01 PORTEZUELO</v>
          </cell>
          <cell r="E544" t="str">
            <v>NF</v>
          </cell>
          <cell r="F544" t="str">
            <v>2026-04-08</v>
          </cell>
          <cell r="G544" t="str">
            <v>2026-04-21</v>
          </cell>
          <cell r="H544" t="str">
            <v>SIGVA</v>
          </cell>
          <cell r="I544" t="str">
            <v>te</v>
          </cell>
        </row>
        <row r="545">
          <cell r="A545" t="str">
            <v>PISCINA  DIQUE HUINQUINTIPA/ASUP</v>
          </cell>
          <cell r="B545" t="str">
            <v>03661828</v>
          </cell>
          <cell r="C545" t="str">
            <v>MUESTREO M. AGUAS SUPERF. (PdC)</v>
          </cell>
          <cell r="D545" t="str">
            <v>PISCINA  DIQUE HUINQUINTIPA</v>
          </cell>
          <cell r="E545" t="str">
            <v>ASUP</v>
          </cell>
          <cell r="F545" t="str">
            <v>2026-04-08</v>
          </cell>
          <cell r="G545" t="str">
            <v>2026-04-14</v>
          </cell>
          <cell r="H545" t="str">
            <v>SIGVA</v>
          </cell>
          <cell r="I545" t="str">
            <v>domingo</v>
          </cell>
        </row>
        <row r="546">
          <cell r="A546" t="str">
            <v>PISCINA DIQUE SAN DANIEL/ASUP</v>
          </cell>
          <cell r="B546" t="str">
            <v>03661829</v>
          </cell>
          <cell r="C546" t="str">
            <v>MUESTREO M. AGUAS SUPERF. (PdC)</v>
          </cell>
          <cell r="D546" t="str">
            <v>PISCINA DIQUE SAN DANIEL</v>
          </cell>
          <cell r="E546" t="str">
            <v>ASUP</v>
          </cell>
          <cell r="F546" t="str">
            <v>2026-04-08</v>
          </cell>
          <cell r="G546" t="str">
            <v>2026-04-14</v>
          </cell>
          <cell r="H546" t="str">
            <v>SIGVA</v>
          </cell>
          <cell r="I546" t="str">
            <v>domingo</v>
          </cell>
        </row>
        <row r="547">
          <cell r="A547" t="str">
            <v>RF-3 HUINQUINTIPA/NF</v>
          </cell>
          <cell r="B547" t="str">
            <v>03661830</v>
          </cell>
          <cell r="C547" t="str">
            <v>MEDICION DE NIVELES FREATICOS (PAT EIA)</v>
          </cell>
          <cell r="D547" t="str">
            <v>RF-3 HUINQUINTIPA</v>
          </cell>
          <cell r="E547" t="str">
            <v>NF</v>
          </cell>
          <cell r="F547" t="str">
            <v>2026-04-08</v>
          </cell>
          <cell r="G547" t="str">
            <v>2026-04-21</v>
          </cell>
          <cell r="H547" t="str">
            <v>SIGVA</v>
          </cell>
        </row>
        <row r="548">
          <cell r="A548" t="str">
            <v>RF-3 HUINQUINTIPA/ASUB</v>
          </cell>
          <cell r="B548" t="str">
            <v>03661831</v>
          </cell>
          <cell r="C548" t="str">
            <v>MUESTREO MANUAL DE AGUAS SUBTERRÁNEAS</v>
          </cell>
          <cell r="D548" t="str">
            <v>RF-3 HUINQUINTIPA</v>
          </cell>
          <cell r="E548" t="str">
            <v>ASUB</v>
          </cell>
          <cell r="F548" t="str">
            <v>2026-04-08</v>
          </cell>
          <cell r="G548" t="str">
            <v>2026-04-21</v>
          </cell>
          <cell r="H548" t="str">
            <v>SIGVA</v>
          </cell>
        </row>
        <row r="549">
          <cell r="A549" t="str">
            <v>OFICINAS  SI ENERGIA/HK</v>
          </cell>
          <cell r="B549" t="str">
            <v>03668500</v>
          </cell>
          <cell r="C549" t="str">
            <v>HOUSEKEEPING</v>
          </cell>
          <cell r="D549" t="str">
            <v>OFICINAS  SI ENERGIA</v>
          </cell>
          <cell r="E549" t="str">
            <v>HK</v>
          </cell>
          <cell r="F549" t="str">
            <v>2026-04-09</v>
          </cell>
          <cell r="G549" t="str">
            <v>2026-04-15</v>
          </cell>
          <cell r="H549" t="str">
            <v>SIGVA</v>
          </cell>
          <cell r="I549" t="str">
            <v>turno</v>
          </cell>
        </row>
        <row r="550">
          <cell r="A550" t="str">
            <v>BCON UJINA/AP</v>
          </cell>
          <cell r="B550" t="str">
            <v>03668501</v>
          </cell>
          <cell r="C550" t="str">
            <v>MONITOREO DE BAÑOS Y CASINOS</v>
          </cell>
          <cell r="D550" t="str">
            <v>BCON UJINA</v>
          </cell>
          <cell r="E550" t="str">
            <v>AP</v>
          </cell>
          <cell r="F550" t="str">
            <v>2026-04-09</v>
          </cell>
          <cell r="G550" t="str">
            <v>2026-04-15</v>
          </cell>
          <cell r="H550" t="str">
            <v>SIGVA</v>
          </cell>
          <cell r="I550" t="str">
            <v>turno</v>
          </cell>
        </row>
        <row r="551">
          <cell r="A551" t="str">
            <v>BGSO UJINA/AP</v>
          </cell>
          <cell r="B551" t="str">
            <v>03668502</v>
          </cell>
          <cell r="C551" t="str">
            <v>MONITOREO DE BAÑOS Y CASINOS</v>
          </cell>
          <cell r="D551" t="str">
            <v>BGSO UJINA</v>
          </cell>
          <cell r="E551" t="str">
            <v>AP</v>
          </cell>
          <cell r="F551" t="str">
            <v>2026-04-09</v>
          </cell>
          <cell r="G551" t="str">
            <v>2026-04-15</v>
          </cell>
          <cell r="H551" t="str">
            <v>SIGVA</v>
          </cell>
          <cell r="I551" t="str">
            <v>turno</v>
          </cell>
        </row>
        <row r="552">
          <cell r="A552" t="str">
            <v>ZANJA NORTE 2 PUERTO COLLAHUASI/NF</v>
          </cell>
          <cell r="B552" t="str">
            <v>03668503</v>
          </cell>
          <cell r="C552" t="str">
            <v>MEDICIÓN NIVELES FREÁTICOS</v>
          </cell>
          <cell r="D552" t="str">
            <v>ZANJA NORTE 2 PUERTO COLLAHUASI</v>
          </cell>
          <cell r="E552" t="str">
            <v>NF</v>
          </cell>
          <cell r="F552" t="str">
            <v>2026-04-09</v>
          </cell>
          <cell r="G552" t="str">
            <v>2026-04-15</v>
          </cell>
          <cell r="H552" t="str">
            <v>SIGVA</v>
          </cell>
          <cell r="I552" t="str">
            <v>puerto</v>
          </cell>
        </row>
        <row r="553">
          <cell r="A553" t="str">
            <v>PTAS PUERTO COLLAHUASI PUERTO COLLAHUASI/AR</v>
          </cell>
          <cell r="B553" t="str">
            <v>03668504</v>
          </cell>
          <cell r="C553" t="str">
            <v>MONITOREO AGUAS SERVIDAS</v>
          </cell>
          <cell r="D553" t="str">
            <v>PTAS PUERTO COLLAHUASI PUERTO COLLAHUASI</v>
          </cell>
          <cell r="E553" t="str">
            <v>AR</v>
          </cell>
          <cell r="F553" t="str">
            <v>2026-04-09</v>
          </cell>
          <cell r="G553" t="str">
            <v>2026-04-15</v>
          </cell>
          <cell r="H553" t="str">
            <v>SIGVA</v>
          </cell>
          <cell r="I553" t="str">
            <v>puerto</v>
          </cell>
        </row>
        <row r="554">
          <cell r="A554" t="str">
            <v>ZANJA NORTE 1 PUERTO COLLAHUASI/NF</v>
          </cell>
          <cell r="B554" t="str">
            <v>03668505</v>
          </cell>
          <cell r="C554" t="str">
            <v>MEDICIÓN NIVELES FREÁTICOS</v>
          </cell>
          <cell r="D554" t="str">
            <v>ZANJA NORTE 1 PUERTO COLLAHUASI</v>
          </cell>
          <cell r="E554" t="str">
            <v>NF</v>
          </cell>
          <cell r="F554" t="str">
            <v>2026-04-09</v>
          </cell>
          <cell r="G554" t="str">
            <v>2026-04-15</v>
          </cell>
          <cell r="H554" t="str">
            <v>SIGVA</v>
          </cell>
          <cell r="I554" t="str">
            <v>puerto</v>
          </cell>
        </row>
        <row r="555">
          <cell r="A555" t="str">
            <v>PTAS-C FALLA PABELLON/AR</v>
          </cell>
          <cell r="B555" t="str">
            <v>03668506</v>
          </cell>
          <cell r="C555" t="str">
            <v>MUESTREO PUNTUAL DE RIL AS</v>
          </cell>
          <cell r="D555" t="str">
            <v>PTAS-C FALLA PABELLON</v>
          </cell>
          <cell r="E555" t="str">
            <v>AR</v>
          </cell>
          <cell r="F555" t="str">
            <v>2026-04-09</v>
          </cell>
          <cell r="G555" t="str">
            <v>2026-04-15</v>
          </cell>
          <cell r="H555" t="str">
            <v>SIGVA</v>
          </cell>
          <cell r="I555" t="str">
            <v>turno</v>
          </cell>
        </row>
        <row r="556">
          <cell r="A556" t="str">
            <v>TK-505 FALLA PABELLON/AP</v>
          </cell>
          <cell r="B556" t="str">
            <v>03668507</v>
          </cell>
          <cell r="C556" t="str">
            <v>MONITOREO EN SALAS DE ESTACION Y TK</v>
          </cell>
          <cell r="D556" t="str">
            <v>TK-505 FALLA PABELLON</v>
          </cell>
          <cell r="E556" t="str">
            <v>AP</v>
          </cell>
          <cell r="F556" t="str">
            <v>2026-04-09</v>
          </cell>
          <cell r="G556" t="str">
            <v>2026-04-15</v>
          </cell>
          <cell r="H556" t="str">
            <v>SIGVA</v>
          </cell>
          <cell r="I556" t="str">
            <v>turno</v>
          </cell>
        </row>
        <row r="557">
          <cell r="A557" t="str">
            <v>CSW-02 JACHUCOPOSA/CAUDAL</v>
          </cell>
          <cell r="B557" t="str">
            <v>03668508</v>
          </cell>
          <cell r="C557" t="str">
            <v>MEDICIÓN CAUDALES</v>
          </cell>
          <cell r="D557" t="str">
            <v>CSW-02 JACHUCOPOSA</v>
          </cell>
          <cell r="E557" t="str">
            <v>CAUDAL</v>
          </cell>
          <cell r="F557" t="str">
            <v>2026-04-09</v>
          </cell>
          <cell r="G557" t="str">
            <v>2026-04-15</v>
          </cell>
          <cell r="H557" t="str">
            <v>SIGVA</v>
          </cell>
          <cell r="I557" t="str">
            <v>turno</v>
          </cell>
        </row>
        <row r="558">
          <cell r="A558" t="str">
            <v>BPCR ROSARIO/AP</v>
          </cell>
          <cell r="B558" t="str">
            <v>03668509</v>
          </cell>
          <cell r="C558" t="str">
            <v>MONITOREO DE BAÑOS Y CASINOS</v>
          </cell>
          <cell r="D558" t="str">
            <v>BPCR ROSARIO</v>
          </cell>
          <cell r="E558" t="str">
            <v>AP</v>
          </cell>
          <cell r="F558" t="str">
            <v>2026-04-09</v>
          </cell>
          <cell r="G558" t="str">
            <v>2026-04-15</v>
          </cell>
          <cell r="H558" t="str">
            <v>SIGVA</v>
          </cell>
          <cell r="I558" t="str">
            <v>turno</v>
          </cell>
        </row>
        <row r="559">
          <cell r="A559" t="str">
            <v>CMW-05B COPOSA NORTE/NF</v>
          </cell>
          <cell r="B559" t="str">
            <v>03668510</v>
          </cell>
          <cell r="C559" t="str">
            <v>MEDICION DE NIVELES FREATICOS (PAT EIA)</v>
          </cell>
          <cell r="D559" t="str">
            <v>CMW-05B COPOSA NORTE</v>
          </cell>
          <cell r="E559" t="str">
            <v>NF</v>
          </cell>
          <cell r="F559" t="str">
            <v>2026-04-09</v>
          </cell>
          <cell r="G559" t="str">
            <v>2026-04-15</v>
          </cell>
          <cell r="H559" t="str">
            <v>SIGVA</v>
          </cell>
        </row>
        <row r="560">
          <cell r="A560" t="str">
            <v>QDH-1E PISC. HUINQUIN. (INT. RAJO ROSA )/FOTOMETRO</v>
          </cell>
          <cell r="B560" t="str">
            <v>03668511</v>
          </cell>
          <cell r="C560" t="str">
            <v>MUESTREO  M. AGUAS  SUPERF (FOTOMETRO)</v>
          </cell>
          <cell r="D560" t="str">
            <v>QDH-1E PISC. HUINQUIN. (INT. RAJO ROSA )</v>
          </cell>
          <cell r="E560" t="str">
            <v>FOTOMETRO</v>
          </cell>
          <cell r="F560" t="str">
            <v>2026-04-09</v>
          </cell>
          <cell r="G560" t="str">
            <v>2026-04-15</v>
          </cell>
          <cell r="H560" t="str">
            <v>SIGVA</v>
          </cell>
          <cell r="I560" t="str">
            <v>domingo</v>
          </cell>
        </row>
        <row r="561">
          <cell r="A561" t="str">
            <v>QDH-2 HUINQUINTIPA/CAUDAL</v>
          </cell>
          <cell r="B561" t="str">
            <v>03668512</v>
          </cell>
          <cell r="C561" t="str">
            <v>MEDICIÓN CAUDALES</v>
          </cell>
          <cell r="D561" t="str">
            <v>QDH-2 HUINQUINTIPA</v>
          </cell>
          <cell r="E561" t="str">
            <v>CAUDAL</v>
          </cell>
          <cell r="F561" t="str">
            <v>2026-04-09</v>
          </cell>
          <cell r="G561" t="str">
            <v>2026-04-15</v>
          </cell>
          <cell r="H561" t="str">
            <v>SIGVA</v>
          </cell>
          <cell r="I561" t="str">
            <v>turno</v>
          </cell>
        </row>
        <row r="562">
          <cell r="A562" t="str">
            <v>QSD-1 PISC. HUINQUIN. (INT. RAJO ROSA )/FOTOMETRO</v>
          </cell>
          <cell r="B562" t="str">
            <v>03668513</v>
          </cell>
          <cell r="C562" t="str">
            <v>MUESTREO  M. AGUAS  SUPERF. (FOTOMETRO)</v>
          </cell>
          <cell r="D562" t="str">
            <v>QSD-1 PISC. HUINQUIN. (INT. RAJO ROSA )</v>
          </cell>
          <cell r="E562" t="str">
            <v>FOTOMETRO</v>
          </cell>
          <cell r="F562" t="str">
            <v>2026-04-09</v>
          </cell>
          <cell r="G562" t="str">
            <v>2026-04-15</v>
          </cell>
          <cell r="H562" t="str">
            <v>SIGVA</v>
          </cell>
          <cell r="I562" t="str">
            <v>domingo</v>
          </cell>
        </row>
        <row r="563">
          <cell r="A563" t="str">
            <v>QSN-1 SAN NICOLAS/CAUDAL</v>
          </cell>
          <cell r="B563" t="str">
            <v>03668514</v>
          </cell>
          <cell r="C563" t="str">
            <v>MEDICIÓN CAUDALES</v>
          </cell>
          <cell r="D563" t="str">
            <v>QSN-1 SAN NICOLAS</v>
          </cell>
          <cell r="E563" t="str">
            <v>CAUDAL</v>
          </cell>
          <cell r="F563" t="str">
            <v>2026-04-09</v>
          </cell>
          <cell r="G563" t="str">
            <v>2026-04-15</v>
          </cell>
          <cell r="H563" t="str">
            <v>SIGVA</v>
          </cell>
          <cell r="I563" t="str">
            <v>turno</v>
          </cell>
        </row>
        <row r="564">
          <cell r="A564" t="str">
            <v>SH-02B PUERTO COLLAHUASI/NF</v>
          </cell>
          <cell r="B564" t="str">
            <v>03668515</v>
          </cell>
          <cell r="C564" t="str">
            <v>MEDICIÓN NIVELES FREÁTICOS</v>
          </cell>
          <cell r="D564" t="str">
            <v>SH-02B PUERTO COLLAHUASI</v>
          </cell>
          <cell r="E564" t="str">
            <v>NF</v>
          </cell>
          <cell r="F564" t="str">
            <v>2026-04-09</v>
          </cell>
          <cell r="G564" t="str">
            <v>2026-04-15</v>
          </cell>
          <cell r="H564" t="str">
            <v>SIGVA</v>
          </cell>
          <cell r="I564" t="str">
            <v>puerto</v>
          </cell>
        </row>
        <row r="565">
          <cell r="A565" t="str">
            <v>SH-06 PUERTO COLLAHUASI/NF</v>
          </cell>
          <cell r="B565" t="str">
            <v>03668516</v>
          </cell>
          <cell r="C565" t="str">
            <v>MEDICIÓN NIVELES FREÁTICOS</v>
          </cell>
          <cell r="D565" t="str">
            <v>SH-06 PUERTO COLLAHUASI</v>
          </cell>
          <cell r="E565" t="str">
            <v>NF</v>
          </cell>
          <cell r="F565" t="str">
            <v>2026-04-09</v>
          </cell>
          <cell r="G565" t="str">
            <v>2026-04-15</v>
          </cell>
          <cell r="H565" t="str">
            <v>SIGVA</v>
          </cell>
          <cell r="I565" t="str">
            <v>puerto</v>
          </cell>
        </row>
        <row r="566">
          <cell r="A566" t="str">
            <v>SH-07 PUERTO COLLAHUASI/NF</v>
          </cell>
          <cell r="B566" t="str">
            <v>03668517</v>
          </cell>
          <cell r="C566" t="str">
            <v>MEDICIÓN NIVELES FREÁTICOS</v>
          </cell>
          <cell r="D566" t="str">
            <v>SH-07 PUERTO COLLAHUASI</v>
          </cell>
          <cell r="E566" t="str">
            <v>NF</v>
          </cell>
          <cell r="F566" t="str">
            <v>2026-04-09</v>
          </cell>
          <cell r="G566" t="str">
            <v>2026-04-15</v>
          </cell>
          <cell r="H566" t="str">
            <v>SIGVA</v>
          </cell>
          <cell r="I566" t="str">
            <v>puerto</v>
          </cell>
        </row>
        <row r="567">
          <cell r="A567" t="str">
            <v>SH-08 PUERTO COLLAHUASI/NF</v>
          </cell>
          <cell r="B567" t="str">
            <v>03668518</v>
          </cell>
          <cell r="C567" t="str">
            <v>MEDICIÓN NIVELES FREÁTICOS</v>
          </cell>
          <cell r="D567" t="str">
            <v>SH-08 PUERTO COLLAHUASI</v>
          </cell>
          <cell r="E567" t="str">
            <v>NF</v>
          </cell>
          <cell r="F567" t="str">
            <v>2026-04-09</v>
          </cell>
          <cell r="G567" t="str">
            <v>2026-04-15</v>
          </cell>
          <cell r="H567" t="str">
            <v>SIGVA</v>
          </cell>
          <cell r="I567" t="str">
            <v>puerto</v>
          </cell>
        </row>
        <row r="568">
          <cell r="A568" t="str">
            <v>SH-19 PUERTO COLLAHUASI/NF</v>
          </cell>
          <cell r="B568" t="str">
            <v>03668519</v>
          </cell>
          <cell r="C568" t="str">
            <v>MEDICIÓN NIVELES FREÁTICOS</v>
          </cell>
          <cell r="D568" t="str">
            <v>SH-19 PUERTO COLLAHUASI</v>
          </cell>
          <cell r="E568" t="str">
            <v>NF</v>
          </cell>
          <cell r="F568" t="str">
            <v>2026-04-09</v>
          </cell>
          <cell r="G568" t="str">
            <v>2026-04-15</v>
          </cell>
          <cell r="H568" t="str">
            <v>SIGVA</v>
          </cell>
          <cell r="I568" t="str">
            <v>puerto</v>
          </cell>
        </row>
        <row r="569">
          <cell r="A569" t="str">
            <v>CPC FALLA PABELLON/AP</v>
          </cell>
          <cell r="B569" t="str">
            <v>03668520</v>
          </cell>
          <cell r="C569" t="str">
            <v>MONITOREO DE BAÑOS Y CASINOS</v>
          </cell>
          <cell r="D569" t="str">
            <v>CPC FALLA PABELLON</v>
          </cell>
          <cell r="E569" t="str">
            <v>AP</v>
          </cell>
          <cell r="F569" t="str">
            <v>2026-04-09</v>
          </cell>
          <cell r="G569" t="str">
            <v>2026-04-15</v>
          </cell>
          <cell r="H569" t="str">
            <v>SIGVA</v>
          </cell>
          <cell r="I569" t="str">
            <v>turno</v>
          </cell>
        </row>
        <row r="570">
          <cell r="A570" t="str">
            <v>C-1000 UJINA/AP</v>
          </cell>
          <cell r="B570" t="str">
            <v>03668521</v>
          </cell>
          <cell r="C570" t="str">
            <v>MONITOREO DE BAÑOS Y CASINOS</v>
          </cell>
          <cell r="D570" t="str">
            <v>C-1000 UJINA</v>
          </cell>
          <cell r="E570" t="str">
            <v>AP</v>
          </cell>
          <cell r="F570" t="str">
            <v>2026-04-09</v>
          </cell>
          <cell r="G570" t="str">
            <v>2026-04-15</v>
          </cell>
          <cell r="H570" t="str">
            <v>SIGVA</v>
          </cell>
          <cell r="I570" t="str">
            <v>turno</v>
          </cell>
        </row>
        <row r="571">
          <cell r="A571" t="str">
            <v>MONITOREO DE BAÑOS Y CASINOS BCC/AP</v>
          </cell>
          <cell r="B571" t="str">
            <v>03668522</v>
          </cell>
          <cell r="C571" t="str">
            <v>MONITOREO DE BAÑOS Y CASINOS</v>
          </cell>
          <cell r="D571" t="str">
            <v>MONITOREO DE BAÑOS Y CASINOS BCC</v>
          </cell>
          <cell r="E571" t="str">
            <v>AP</v>
          </cell>
          <cell r="F571" t="str">
            <v>2026-04-09</v>
          </cell>
          <cell r="G571" t="str">
            <v>2026-04-15</v>
          </cell>
          <cell r="H571" t="str">
            <v>SIGVA</v>
          </cell>
          <cell r="I571" t="str">
            <v>turno</v>
          </cell>
        </row>
        <row r="572">
          <cell r="A572" t="str">
            <v>C-460 ROSARIO/AP</v>
          </cell>
          <cell r="B572" t="str">
            <v>03668523</v>
          </cell>
          <cell r="C572" t="str">
            <v>MONITOREO DE BAÑOS Y CASINOS</v>
          </cell>
          <cell r="D572" t="str">
            <v>C-460 ROSARIO</v>
          </cell>
          <cell r="E572" t="str">
            <v>AP</v>
          </cell>
          <cell r="F572" t="str">
            <v>2026-04-09</v>
          </cell>
          <cell r="G572" t="str">
            <v>2026-04-15</v>
          </cell>
          <cell r="H572" t="str">
            <v>SIGVA</v>
          </cell>
          <cell r="I572" t="str">
            <v>turno</v>
          </cell>
        </row>
        <row r="573">
          <cell r="A573" t="str">
            <v>CCD/AP</v>
          </cell>
          <cell r="B573" t="str">
            <v>03668524</v>
          </cell>
          <cell r="C573" t="str">
            <v>MONITOREO DE BAÑOS Y CASINOS</v>
          </cell>
          <cell r="D573" t="str">
            <v>CCD</v>
          </cell>
          <cell r="E573" t="str">
            <v>AP</v>
          </cell>
          <cell r="F573" t="str">
            <v>2026-04-09</v>
          </cell>
          <cell r="G573" t="str">
            <v>2026-04-15</v>
          </cell>
          <cell r="H573" t="str">
            <v>SIGVA</v>
          </cell>
          <cell r="I573" t="str">
            <v>turno</v>
          </cell>
        </row>
        <row r="574">
          <cell r="A574" t="str">
            <v>TK-1004 ROSARIO/AP</v>
          </cell>
          <cell r="B574" t="str">
            <v>03668525</v>
          </cell>
          <cell r="C574" t="str">
            <v>MONITOREO EN SALAS DE ESTACION Y TK</v>
          </cell>
          <cell r="D574" t="str">
            <v>TK-1004 ROSARIO</v>
          </cell>
          <cell r="E574" t="str">
            <v>AP</v>
          </cell>
          <cell r="F574" t="str">
            <v>2026-04-09</v>
          </cell>
          <cell r="G574" t="str">
            <v>2026-04-15</v>
          </cell>
          <cell r="H574" t="str">
            <v>SIGVA</v>
          </cell>
          <cell r="I574" t="str">
            <v>turno</v>
          </cell>
        </row>
        <row r="575">
          <cell r="A575" t="str">
            <v>TK-517 UJINA/AP</v>
          </cell>
          <cell r="B575" t="str">
            <v>03668526</v>
          </cell>
          <cell r="C575" t="str">
            <v>MONITOREO EN SALAS DE ESTACION Y TK</v>
          </cell>
          <cell r="D575" t="str">
            <v>TK-517 UJINA</v>
          </cell>
          <cell r="E575" t="str">
            <v>AP</v>
          </cell>
          <cell r="F575" t="str">
            <v>2026-04-09</v>
          </cell>
          <cell r="G575" t="str">
            <v>2026-04-15</v>
          </cell>
          <cell r="H575" t="str">
            <v>SIGVA</v>
          </cell>
          <cell r="I575" t="str">
            <v>turno</v>
          </cell>
        </row>
        <row r="576">
          <cell r="A576" t="str">
            <v>PTAS-M ROSARIO/AR</v>
          </cell>
          <cell r="B576" t="str">
            <v>03668527</v>
          </cell>
          <cell r="C576" t="str">
            <v>MUESTREO PUNTUAL DE RIL-AS</v>
          </cell>
          <cell r="D576" t="str">
            <v>PTAS-M ROSARIO</v>
          </cell>
          <cell r="E576" t="str">
            <v>AR</v>
          </cell>
          <cell r="F576" t="str">
            <v>2026-04-09</v>
          </cell>
          <cell r="G576" t="str">
            <v>2026-04-15</v>
          </cell>
          <cell r="H576" t="str">
            <v>SIGVA</v>
          </cell>
          <cell r="I576" t="str">
            <v>turno</v>
          </cell>
        </row>
        <row r="577">
          <cell r="A577" t="str">
            <v>BOR ROSARIO/AP</v>
          </cell>
          <cell r="B577" t="str">
            <v>03668528</v>
          </cell>
          <cell r="C577" t="str">
            <v>MONITOREO DE BAÑOS Y CASINOS</v>
          </cell>
          <cell r="D577" t="str">
            <v>BOR ROSARIO</v>
          </cell>
          <cell r="E577" t="str">
            <v>AP</v>
          </cell>
          <cell r="F577" t="str">
            <v>2026-04-09</v>
          </cell>
          <cell r="G577" t="str">
            <v>2026-04-15</v>
          </cell>
          <cell r="H577" t="str">
            <v>SIGVA</v>
          </cell>
          <cell r="I577" t="str">
            <v>turno</v>
          </cell>
        </row>
        <row r="578">
          <cell r="A578" t="str">
            <v>PISCINA  DIQUE HUINQUINTIPA/FOTOMETRO</v>
          </cell>
          <cell r="B578" t="str">
            <v>03668529</v>
          </cell>
          <cell r="C578" t="str">
            <v>MUESTREO  M. AGUAS  SUPERF (FOTOMETRO)</v>
          </cell>
          <cell r="D578" t="str">
            <v>PISCINA  DIQUE HUINQUINTIPA</v>
          </cell>
          <cell r="E578" t="str">
            <v>FOTOMETRO</v>
          </cell>
          <cell r="F578" t="str">
            <v>2026-04-09</v>
          </cell>
          <cell r="G578" t="str">
            <v>2026-04-15</v>
          </cell>
          <cell r="H578" t="str">
            <v>SIGVA</v>
          </cell>
          <cell r="I578" t="str">
            <v>domingo</v>
          </cell>
        </row>
        <row r="579">
          <cell r="A579" t="str">
            <v>PISCINA DIQUE SAN DANIEL/FOTOMETRO</v>
          </cell>
          <cell r="B579" t="str">
            <v>ES930PS103          0001</v>
          </cell>
          <cell r="C579" t="str">
            <v>MUESTREO  M. AGUAS  SUPERF. (FOTOMETRO)</v>
          </cell>
          <cell r="D579" t="str">
            <v>PISCINA DIQUE SAN DANIEL</v>
          </cell>
          <cell r="E579" t="str">
            <v>FOTOMETRO</v>
          </cell>
          <cell r="F579" t="str">
            <v>2026-04-09</v>
          </cell>
          <cell r="G579" t="str">
            <v>2026-04-15</v>
          </cell>
          <cell r="H579" t="str">
            <v>SIGVA</v>
          </cell>
          <cell r="I579" t="str">
            <v>domingo</v>
          </cell>
        </row>
        <row r="580">
          <cell r="A580" t="str">
            <v>CO-1/NF</v>
          </cell>
          <cell r="B580" t="str">
            <v>03668530</v>
          </cell>
          <cell r="C580" t="str">
            <v>MEDICION DE NIVELES FREATICOS</v>
          </cell>
          <cell r="D580" t="str">
            <v>CO-1</v>
          </cell>
          <cell r="E580" t="str">
            <v>NF</v>
          </cell>
          <cell r="F580" t="str">
            <v>2026-04-15</v>
          </cell>
          <cell r="G580" t="str">
            <v>2026-04-28</v>
          </cell>
          <cell r="H580" t="str">
            <v>SIGVA</v>
          </cell>
        </row>
        <row r="581">
          <cell r="A581" t="str">
            <v>CO-2/NF</v>
          </cell>
          <cell r="B581" t="str">
            <v>03668531</v>
          </cell>
          <cell r="C581" t="str">
            <v>MEDICION DE NIVELES FREATICOS</v>
          </cell>
          <cell r="D581" t="str">
            <v>CO-2</v>
          </cell>
          <cell r="E581" t="str">
            <v>NF</v>
          </cell>
          <cell r="F581" t="str">
            <v>2026-04-15</v>
          </cell>
          <cell r="G581" t="str">
            <v>2026-04-28</v>
          </cell>
          <cell r="H581" t="str">
            <v>SIGVA</v>
          </cell>
        </row>
        <row r="582">
          <cell r="A582" t="str">
            <v>R-A-1  COPOSA NORTE/NF</v>
          </cell>
          <cell r="B582" t="str">
            <v>03668532</v>
          </cell>
          <cell r="C582" t="str">
            <v>MEDICION DE NIVELES FREATICOS</v>
          </cell>
          <cell r="D582" t="str">
            <v>R-A-1  COPOSA NORTE</v>
          </cell>
          <cell r="E582" t="str">
            <v>NF</v>
          </cell>
          <cell r="F582" t="str">
            <v>2026-04-15</v>
          </cell>
          <cell r="G582" t="str">
            <v>2026-04-28</v>
          </cell>
          <cell r="H582" t="str">
            <v>SIGVA</v>
          </cell>
        </row>
        <row r="583">
          <cell r="A583" t="str">
            <v>R-B-1 COPOSA NORTE/NF</v>
          </cell>
          <cell r="B583" t="str">
            <v>03668533</v>
          </cell>
          <cell r="C583" t="str">
            <v>MEDICION DE NIVELES FREATICOS (PAT EIA)</v>
          </cell>
          <cell r="D583" t="str">
            <v>R-B-1 COPOSA NORTE</v>
          </cell>
          <cell r="E583" t="str">
            <v>NF</v>
          </cell>
          <cell r="F583" t="str">
            <v>2026-04-15</v>
          </cell>
          <cell r="G583" t="str">
            <v>2026-04-28</v>
          </cell>
          <cell r="H583" t="str">
            <v>SIGVA</v>
          </cell>
        </row>
        <row r="584">
          <cell r="A584" t="str">
            <v>R-B-2B COPOSA NORTE/NF</v>
          </cell>
          <cell r="B584" t="str">
            <v>03668534</v>
          </cell>
          <cell r="C584" t="str">
            <v>MEDICION DE NIVELES FREATICOS</v>
          </cell>
          <cell r="D584" t="str">
            <v>R-B-2B COPOSA NORTE</v>
          </cell>
          <cell r="E584" t="str">
            <v>NF</v>
          </cell>
          <cell r="F584" t="str">
            <v>2026-04-15</v>
          </cell>
          <cell r="G584" t="str">
            <v>2026-04-28</v>
          </cell>
          <cell r="H584" t="str">
            <v>SIGVA</v>
          </cell>
        </row>
        <row r="585">
          <cell r="A585" t="str">
            <v>R-D-1  COPOSA NORTE/NF</v>
          </cell>
          <cell r="B585" t="str">
            <v>03668535</v>
          </cell>
          <cell r="C585" t="str">
            <v>MEDICION DE NIVELES FREATICOS</v>
          </cell>
          <cell r="D585" t="str">
            <v>R-D-1  COPOSA NORTE</v>
          </cell>
          <cell r="E585" t="str">
            <v>NF</v>
          </cell>
          <cell r="F585" t="str">
            <v>2026-04-15</v>
          </cell>
          <cell r="G585" t="str">
            <v>2026-04-28</v>
          </cell>
          <cell r="H585" t="str">
            <v>SIGVA</v>
          </cell>
        </row>
        <row r="586">
          <cell r="A586" t="str">
            <v>R-D-2  COPOSA NORTE/NF</v>
          </cell>
          <cell r="B586" t="str">
            <v>03668536</v>
          </cell>
          <cell r="C586" t="str">
            <v>MEDICION DE NIVELES FREATICOS</v>
          </cell>
          <cell r="D586" t="str">
            <v>R-D-2  COPOSA NORTE</v>
          </cell>
          <cell r="E586" t="str">
            <v>NF</v>
          </cell>
          <cell r="F586" t="str">
            <v>2026-04-15</v>
          </cell>
          <cell r="G586" t="str">
            <v>2026-04-28</v>
          </cell>
          <cell r="H586" t="str">
            <v>SIGVA</v>
          </cell>
        </row>
        <row r="587">
          <cell r="A587" t="str">
            <v>POZO 11/NF</v>
          </cell>
          <cell r="B587" t="str">
            <v>03668537</v>
          </cell>
          <cell r="C587" t="str">
            <v>MEDICION DE NIVELES FREATICOS</v>
          </cell>
          <cell r="D587" t="str">
            <v>POZO 11</v>
          </cell>
          <cell r="E587" t="str">
            <v>NF</v>
          </cell>
          <cell r="F587" t="str">
            <v>2026-04-15</v>
          </cell>
          <cell r="G587" t="str">
            <v>2026-04-28</v>
          </cell>
          <cell r="H587" t="str">
            <v>SIGVA</v>
          </cell>
        </row>
        <row r="588">
          <cell r="A588" t="str">
            <v>POZO 11/ASUB</v>
          </cell>
          <cell r="B588" t="str">
            <v>03668538</v>
          </cell>
          <cell r="C588" t="str">
            <v>MUESTREO MANUAL DE AGUAS SUBTERRÁNEAS</v>
          </cell>
          <cell r="D588" t="str">
            <v>POZO 11</v>
          </cell>
          <cell r="E588" t="str">
            <v>ASUB</v>
          </cell>
          <cell r="F588" t="str">
            <v>2026-04-15</v>
          </cell>
          <cell r="G588" t="str">
            <v>2026-04-28</v>
          </cell>
          <cell r="H588" t="str">
            <v>SIGVA</v>
          </cell>
        </row>
        <row r="589">
          <cell r="A589" t="str">
            <v>CMA-27 JACHUCOPOSA/NF</v>
          </cell>
          <cell r="B589" t="str">
            <v>03668539</v>
          </cell>
          <cell r="C589" t="str">
            <v>MEDICION DE NIVELES FREATICOS (PAT EIA)</v>
          </cell>
          <cell r="D589" t="str">
            <v>CMA-27 JACHUCOPOSA</v>
          </cell>
          <cell r="E589" t="str">
            <v>NF</v>
          </cell>
          <cell r="F589" t="str">
            <v>2026-04-15</v>
          </cell>
          <cell r="G589" t="str">
            <v>2026-04-28</v>
          </cell>
          <cell r="H589" t="str">
            <v>SIGVA</v>
          </cell>
        </row>
        <row r="590">
          <cell r="A590" t="str">
            <v>CMW-32 COPOSA CENTRO/NF</v>
          </cell>
          <cell r="B590" t="str">
            <v>03668540</v>
          </cell>
          <cell r="C590" t="str">
            <v>MEDICION DE NIVELES FREATICOS</v>
          </cell>
          <cell r="D590" t="str">
            <v>CMW-32 COPOSA CENTRO</v>
          </cell>
          <cell r="E590" t="str">
            <v>NF</v>
          </cell>
          <cell r="F590" t="str">
            <v>2026-04-15</v>
          </cell>
          <cell r="G590" t="str">
            <v>2026-04-28</v>
          </cell>
          <cell r="H590" t="str">
            <v>SIGVANC</v>
          </cell>
        </row>
        <row r="591">
          <cell r="A591" t="str">
            <v>CMW-08 COPOSA CENTRO/NF</v>
          </cell>
          <cell r="B591" t="str">
            <v>03668541</v>
          </cell>
          <cell r="C591" t="str">
            <v>MEDICION NIVELES FREATICOS (PAT EIA y Pd</v>
          </cell>
          <cell r="D591" t="str">
            <v>CMW-08 COPOSA CENTRO</v>
          </cell>
          <cell r="E591" t="str">
            <v>NF</v>
          </cell>
          <cell r="F591" t="str">
            <v>2026-04-15</v>
          </cell>
          <cell r="G591" t="str">
            <v>2026-04-28</v>
          </cell>
          <cell r="H591" t="str">
            <v>SIGVA</v>
          </cell>
        </row>
        <row r="592">
          <cell r="A592" t="str">
            <v>CMW-11 COPOSA CENTRO/NF</v>
          </cell>
          <cell r="B592" t="str">
            <v>03668542</v>
          </cell>
          <cell r="C592" t="str">
            <v>MEDICION DE NIVELES FREATICOS ( PAT  PdC</v>
          </cell>
          <cell r="D592" t="str">
            <v>CMW-11 COPOSA CENTRO</v>
          </cell>
          <cell r="E592" t="str">
            <v>NF</v>
          </cell>
          <cell r="F592" t="str">
            <v>2026-04-15</v>
          </cell>
          <cell r="G592" t="str">
            <v>2026-04-28</v>
          </cell>
          <cell r="H592" t="str">
            <v>SIGVA</v>
          </cell>
        </row>
        <row r="593">
          <cell r="A593" t="str">
            <v>CMW-15 COPOSA CENTRO/NF</v>
          </cell>
          <cell r="B593" t="str">
            <v>03668543</v>
          </cell>
          <cell r="C593" t="str">
            <v>MEDICION DE NIVELES FREATICOS (PAT EIA y</v>
          </cell>
          <cell r="D593" t="str">
            <v>CMW-15 COPOSA CENTRO</v>
          </cell>
          <cell r="E593" t="str">
            <v>NF</v>
          </cell>
          <cell r="F593" t="str">
            <v>2026-04-15</v>
          </cell>
          <cell r="G593" t="str">
            <v>2026-04-28</v>
          </cell>
          <cell r="H593" t="str">
            <v>SIGVA</v>
          </cell>
        </row>
        <row r="594">
          <cell r="A594" t="str">
            <v>CMW-18 COPOSA CENTRO/NF</v>
          </cell>
          <cell r="B594" t="str">
            <v>03668544</v>
          </cell>
          <cell r="C594" t="str">
            <v>MEDICION DE NIVELES FREATICOS ( PAT  PdC</v>
          </cell>
          <cell r="D594" t="str">
            <v>CMW-18 COPOSA CENTRO</v>
          </cell>
          <cell r="E594" t="str">
            <v>NF</v>
          </cell>
          <cell r="F594" t="str">
            <v>2026-04-15</v>
          </cell>
          <cell r="G594" t="str">
            <v>2026-04-28</v>
          </cell>
          <cell r="H594" t="str">
            <v>SIGVA</v>
          </cell>
        </row>
        <row r="595">
          <cell r="A595" t="str">
            <v>CMW-20 COPOSA CENTRO/NF</v>
          </cell>
          <cell r="B595" t="str">
            <v>03668545</v>
          </cell>
          <cell r="C595" t="str">
            <v>MEDICION DE NIVELES FREATICOS</v>
          </cell>
          <cell r="D595" t="str">
            <v>CMW-20 COPOSA CENTRO</v>
          </cell>
          <cell r="E595" t="str">
            <v>NF</v>
          </cell>
          <cell r="F595" t="str">
            <v>2026-04-15</v>
          </cell>
          <cell r="G595" t="str">
            <v>2026-04-28</v>
          </cell>
          <cell r="H595" t="str">
            <v>SIGVA</v>
          </cell>
        </row>
        <row r="596">
          <cell r="A596" t="str">
            <v>CMW-23 COPOSA CENTRO/NF</v>
          </cell>
          <cell r="B596" t="str">
            <v>03668546</v>
          </cell>
          <cell r="C596" t="str">
            <v>MEDICION DE NIVELES FREATICOS (PAT EIA y</v>
          </cell>
          <cell r="D596" t="str">
            <v>CMW-23 COPOSA CENTRO</v>
          </cell>
          <cell r="E596" t="str">
            <v>NF</v>
          </cell>
          <cell r="F596" t="str">
            <v>2026-04-15</v>
          </cell>
          <cell r="G596" t="str">
            <v>2026-04-28</v>
          </cell>
          <cell r="H596" t="str">
            <v>SIGVA</v>
          </cell>
        </row>
        <row r="597">
          <cell r="A597" t="str">
            <v>CMW-03 COPOSA NORTE/NF</v>
          </cell>
          <cell r="B597" t="str">
            <v>03668547</v>
          </cell>
          <cell r="C597" t="str">
            <v>MEDICION DE NIVELES FREATICOS (PAT PdC)</v>
          </cell>
          <cell r="D597" t="str">
            <v>CMW-03 COPOSA NORTE</v>
          </cell>
          <cell r="E597" t="str">
            <v>NF</v>
          </cell>
          <cell r="F597" t="str">
            <v>2026-04-15</v>
          </cell>
          <cell r="G597" t="str">
            <v>2026-04-28</v>
          </cell>
          <cell r="H597" t="str">
            <v>SIGVA</v>
          </cell>
        </row>
        <row r="598">
          <cell r="A598" t="str">
            <v>MITIGACION JACHUCOPOSA (CP-03M)/ASUB</v>
          </cell>
          <cell r="B598" t="str">
            <v>03668548</v>
          </cell>
          <cell r="C598" t="str">
            <v>MUESTREO MANUAL DE AGUAS SUBTERRÁNEAS</v>
          </cell>
          <cell r="D598" t="str">
            <v>MITIGACION JACHUCOPOSA (CP-03M)</v>
          </cell>
          <cell r="E598" t="str">
            <v>ASUB</v>
          </cell>
          <cell r="F598" t="str">
            <v>2026-04-15</v>
          </cell>
          <cell r="G598" t="str">
            <v>2026-04-21</v>
          </cell>
          <cell r="H598" t="str">
            <v>SIGVA</v>
          </cell>
        </row>
        <row r="599">
          <cell r="A599" t="str">
            <v>CP-01-I FALLA PABELLON/NF</v>
          </cell>
          <cell r="B599" t="str">
            <v>03668549</v>
          </cell>
          <cell r="C599" t="str">
            <v>MEDICION DE NIVELES FREATICOS</v>
          </cell>
          <cell r="D599" t="str">
            <v>CP-01-I FALLA PABELLON</v>
          </cell>
          <cell r="E599" t="str">
            <v>NF</v>
          </cell>
          <cell r="F599" t="str">
            <v>2026-04-15</v>
          </cell>
          <cell r="G599" t="str">
            <v>2026-04-21</v>
          </cell>
          <cell r="H599" t="str">
            <v>SIGVA</v>
          </cell>
          <cell r="I599" t="str">
            <v>te</v>
          </cell>
        </row>
        <row r="600">
          <cell r="A600" t="str">
            <v>CP-02-C FALLA PABELLON/NF</v>
          </cell>
          <cell r="B600" t="str">
            <v>03668550</v>
          </cell>
          <cell r="C600" t="str">
            <v>MEDICION DE NIVELES FREATICOS</v>
          </cell>
          <cell r="D600" t="str">
            <v>CP-02-C FALLA PABELLON</v>
          </cell>
          <cell r="E600" t="str">
            <v>NF</v>
          </cell>
          <cell r="F600" t="str">
            <v>2026-04-15</v>
          </cell>
          <cell r="G600" t="str">
            <v>2026-04-21</v>
          </cell>
          <cell r="H600" t="str">
            <v>SIGVA</v>
          </cell>
          <cell r="I600" t="str">
            <v>te</v>
          </cell>
        </row>
        <row r="601">
          <cell r="A601" t="str">
            <v>CP-03-M FALLA PABELLON/NF</v>
          </cell>
          <cell r="B601" t="str">
            <v>03668551</v>
          </cell>
          <cell r="C601" t="str">
            <v>MEDICION DE NIVELES FREATICOS</v>
          </cell>
          <cell r="D601" t="str">
            <v>CP-03-M FALLA PABELLON</v>
          </cell>
          <cell r="E601" t="str">
            <v>NF</v>
          </cell>
          <cell r="F601" t="str">
            <v>2026-04-15</v>
          </cell>
          <cell r="G601" t="str">
            <v>2026-04-21</v>
          </cell>
          <cell r="H601" t="str">
            <v>SIGVA</v>
          </cell>
          <cell r="I601" t="str">
            <v>te</v>
          </cell>
        </row>
        <row r="602">
          <cell r="A602" t="str">
            <v>CP-04-L FALLA PABELLON/NF</v>
          </cell>
          <cell r="B602" t="str">
            <v>03668552</v>
          </cell>
          <cell r="C602" t="str">
            <v>MEDICION DE NIVELES FREATICOS</v>
          </cell>
          <cell r="D602" t="str">
            <v>CP-04-L FALLA PABELLON</v>
          </cell>
          <cell r="E602" t="str">
            <v>NF</v>
          </cell>
          <cell r="F602" t="str">
            <v>2026-04-15</v>
          </cell>
          <cell r="G602" t="str">
            <v>2026-04-21</v>
          </cell>
          <cell r="H602" t="str">
            <v>SIGVA</v>
          </cell>
          <cell r="I602" t="str">
            <v>te</v>
          </cell>
        </row>
        <row r="603">
          <cell r="A603" t="str">
            <v>CP-05-H FALLA PABELLON/NF</v>
          </cell>
          <cell r="B603" t="str">
            <v>03668553</v>
          </cell>
          <cell r="C603" t="str">
            <v>MEDICION DE NIVELES FREATICOS</v>
          </cell>
          <cell r="D603" t="str">
            <v>CP-05-H FALLA PABELLON</v>
          </cell>
          <cell r="E603" t="str">
            <v>NF</v>
          </cell>
          <cell r="F603" t="str">
            <v>2026-04-15</v>
          </cell>
          <cell r="G603" t="str">
            <v>2026-04-21</v>
          </cell>
          <cell r="H603" t="str">
            <v>SIGVA</v>
          </cell>
          <cell r="I603" t="str">
            <v>te</v>
          </cell>
        </row>
        <row r="604">
          <cell r="A604" t="str">
            <v>CP-06-J FALLA PABELLON/NF</v>
          </cell>
          <cell r="B604" t="str">
            <v>03668554</v>
          </cell>
          <cell r="C604" t="str">
            <v>MEDICION DE NIVELES FREATICOS</v>
          </cell>
          <cell r="D604" t="str">
            <v>CP-06-J FALLA PABELLON</v>
          </cell>
          <cell r="E604" t="str">
            <v>NF</v>
          </cell>
          <cell r="F604" t="str">
            <v>2026-04-15</v>
          </cell>
          <cell r="G604" t="str">
            <v>2026-04-21</v>
          </cell>
          <cell r="H604" t="str">
            <v>SIGVA</v>
          </cell>
          <cell r="I604" t="str">
            <v>te</v>
          </cell>
        </row>
        <row r="605">
          <cell r="A605" t="str">
            <v>CP-07-F FALLA PABELLON/NF</v>
          </cell>
          <cell r="B605" t="str">
            <v>03668555</v>
          </cell>
          <cell r="C605" t="str">
            <v>MEDICION DE NIVELES FREATICOS</v>
          </cell>
          <cell r="D605" t="str">
            <v>CP-07-F FALLA PABELLON</v>
          </cell>
          <cell r="E605" t="str">
            <v>NF</v>
          </cell>
          <cell r="F605" t="str">
            <v>2026-04-15</v>
          </cell>
          <cell r="G605" t="str">
            <v>2026-04-21</v>
          </cell>
          <cell r="H605" t="str">
            <v>SIGVA</v>
          </cell>
          <cell r="I605" t="str">
            <v>te</v>
          </cell>
        </row>
        <row r="606">
          <cell r="A606" t="str">
            <v>CP-08-D FALLA PABELLON/NF</v>
          </cell>
          <cell r="B606" t="str">
            <v>03668556</v>
          </cell>
          <cell r="C606" t="str">
            <v>MEDICION DE NIVELES FREATICOS</v>
          </cell>
          <cell r="D606" t="str">
            <v>CP-08-D FALLA PABELLON</v>
          </cell>
          <cell r="E606" t="str">
            <v>NF</v>
          </cell>
          <cell r="F606" t="str">
            <v>2026-04-15</v>
          </cell>
          <cell r="G606" t="str">
            <v>2026-04-21</v>
          </cell>
          <cell r="H606" t="str">
            <v>SIGVA</v>
          </cell>
          <cell r="I606" t="str">
            <v>te</v>
          </cell>
        </row>
        <row r="607">
          <cell r="A607" t="str">
            <v>CP-09-G FALLA PABELLON/NF</v>
          </cell>
          <cell r="B607" t="str">
            <v>03668557</v>
          </cell>
          <cell r="C607" t="str">
            <v>MEDICION DE NIVELES FREATICOS</v>
          </cell>
          <cell r="D607" t="str">
            <v>CP-09-G FALLA PABELLON</v>
          </cell>
          <cell r="E607" t="str">
            <v>NF</v>
          </cell>
          <cell r="F607" t="str">
            <v>2026-04-15</v>
          </cell>
          <cell r="G607" t="str">
            <v>2026-04-21</v>
          </cell>
          <cell r="H607" t="str">
            <v>SIGVA</v>
          </cell>
          <cell r="I607" t="str">
            <v>te</v>
          </cell>
        </row>
        <row r="608">
          <cell r="A608" t="str">
            <v>CP-10-B FALLA PABELLON/NF</v>
          </cell>
          <cell r="B608" t="str">
            <v>03668558</v>
          </cell>
          <cell r="C608" t="str">
            <v>MEDICION DE NIVELES FREATICOS</v>
          </cell>
          <cell r="D608" t="str">
            <v>CP-10-B FALLA PABELLON</v>
          </cell>
          <cell r="E608" t="str">
            <v>NF</v>
          </cell>
          <cell r="F608" t="str">
            <v>2026-04-15</v>
          </cell>
          <cell r="G608" t="str">
            <v>2026-04-21</v>
          </cell>
          <cell r="H608" t="str">
            <v>SIGVA</v>
          </cell>
          <cell r="I608" t="str">
            <v>te</v>
          </cell>
        </row>
        <row r="609">
          <cell r="A609" t="str">
            <v>CP-11-E FALLA PABELLON/NF</v>
          </cell>
          <cell r="B609" t="str">
            <v>03668559</v>
          </cell>
          <cell r="C609" t="str">
            <v>MEDICION DE NIVELES FREATICOS</v>
          </cell>
          <cell r="D609" t="str">
            <v>CP-11-E FALLA PABELLON</v>
          </cell>
          <cell r="E609" t="str">
            <v>NF</v>
          </cell>
          <cell r="F609" t="str">
            <v>2026-04-15</v>
          </cell>
          <cell r="G609" t="str">
            <v>2026-04-21</v>
          </cell>
          <cell r="H609" t="str">
            <v>SIGVA</v>
          </cell>
          <cell r="I609" t="str">
            <v>te</v>
          </cell>
        </row>
        <row r="610">
          <cell r="A610" t="str">
            <v>CP-12-K FALLA PABELLON/NF</v>
          </cell>
          <cell r="B610" t="str">
            <v>03668560</v>
          </cell>
          <cell r="C610" t="str">
            <v>MEDICION DE NIVELES FREATICOS</v>
          </cell>
          <cell r="D610" t="str">
            <v>CP-12-K FALLA PABELLON</v>
          </cell>
          <cell r="E610" t="str">
            <v>NF</v>
          </cell>
          <cell r="F610" t="str">
            <v>2026-04-15</v>
          </cell>
          <cell r="G610" t="str">
            <v>2026-04-21</v>
          </cell>
          <cell r="H610" t="str">
            <v>SIGVA</v>
          </cell>
          <cell r="I610" t="str">
            <v>te</v>
          </cell>
        </row>
        <row r="611">
          <cell r="A611" t="str">
            <v>CP-13-A FALLA PABELLON/NF</v>
          </cell>
          <cell r="B611" t="str">
            <v>03668561</v>
          </cell>
          <cell r="C611" t="str">
            <v>MEDICION DE NIVELES FREATICOS</v>
          </cell>
          <cell r="D611" t="str">
            <v>CP-13-A FALLA PABELLON</v>
          </cell>
          <cell r="E611" t="str">
            <v>NF</v>
          </cell>
          <cell r="F611" t="str">
            <v>2026-04-15</v>
          </cell>
          <cell r="G611" t="str">
            <v>2026-04-21</v>
          </cell>
          <cell r="H611" t="str">
            <v>SIGVA</v>
          </cell>
          <cell r="I611" t="str">
            <v>te</v>
          </cell>
        </row>
        <row r="612">
          <cell r="A612" t="str">
            <v>CPS-20 JACHUCOPOSA/NF</v>
          </cell>
          <cell r="B612" t="str">
            <v>03668562</v>
          </cell>
          <cell r="C612" t="str">
            <v>MEDICION DE NIVELES FREATICOS</v>
          </cell>
          <cell r="D612" t="str">
            <v>CPS-20 JACHUCOPOSA</v>
          </cell>
          <cell r="E612" t="str">
            <v>NF</v>
          </cell>
          <cell r="F612" t="str">
            <v>2026-04-15</v>
          </cell>
          <cell r="G612" t="str">
            <v>2026-04-21</v>
          </cell>
          <cell r="H612" t="str">
            <v>SIGVA</v>
          </cell>
          <cell r="I612" t="str">
            <v>te</v>
          </cell>
        </row>
        <row r="613">
          <cell r="A613" t="str">
            <v>CPS-23 JACHUCOPOSA/NF</v>
          </cell>
          <cell r="B613" t="str">
            <v>03668563</v>
          </cell>
          <cell r="C613" t="str">
            <v>MEDICION DE NIVELES FREATICOS</v>
          </cell>
          <cell r="D613" t="str">
            <v>CPS-23 JACHUCOPOSA</v>
          </cell>
          <cell r="E613" t="str">
            <v>NF</v>
          </cell>
          <cell r="F613" t="str">
            <v>2026-04-15</v>
          </cell>
          <cell r="G613" t="str">
            <v>2026-04-21</v>
          </cell>
          <cell r="H613" t="str">
            <v>SIGVA</v>
          </cell>
          <cell r="I613" t="str">
            <v>te</v>
          </cell>
        </row>
        <row r="614">
          <cell r="A614" t="str">
            <v>CPS-54 JACHUCOPOSA/NF</v>
          </cell>
          <cell r="B614" t="str">
            <v>03668564</v>
          </cell>
          <cell r="C614" t="str">
            <v>MEDICION DE NIVELES FREATICOS</v>
          </cell>
          <cell r="D614" t="str">
            <v>CPS-54 JACHUCOPOSA</v>
          </cell>
          <cell r="E614" t="str">
            <v>NF</v>
          </cell>
          <cell r="F614" t="str">
            <v>2026-04-15</v>
          </cell>
          <cell r="G614" t="str">
            <v>2026-04-21</v>
          </cell>
          <cell r="H614" t="str">
            <v>SIGVA</v>
          </cell>
          <cell r="I614" t="str">
            <v>te</v>
          </cell>
        </row>
        <row r="615">
          <cell r="A615" t="str">
            <v>CPS-55 JACHUCOPOSA/NF</v>
          </cell>
          <cell r="B615" t="str">
            <v>03668565</v>
          </cell>
          <cell r="C615" t="str">
            <v>MEDICION DE NIVELES FREATICOS</v>
          </cell>
          <cell r="D615" t="str">
            <v>CPS-55 JACHUCOPOSA</v>
          </cell>
          <cell r="E615" t="str">
            <v>NF</v>
          </cell>
          <cell r="F615" t="str">
            <v>2026-04-15</v>
          </cell>
          <cell r="G615" t="str">
            <v>2026-04-21</v>
          </cell>
          <cell r="H615" t="str">
            <v>SIGVA</v>
          </cell>
          <cell r="I615" t="str">
            <v>te</v>
          </cell>
        </row>
        <row r="616">
          <cell r="A616" t="str">
            <v>CPZ-08C JACHUCOPOSA/NF</v>
          </cell>
          <cell r="B616" t="str">
            <v>03668566</v>
          </cell>
          <cell r="C616" t="str">
            <v>MEDICION DE NIVELES FREATICOS</v>
          </cell>
          <cell r="D616" t="str">
            <v>CPZ-08C JACHUCOPOSA</v>
          </cell>
          <cell r="E616" t="str">
            <v>NF</v>
          </cell>
          <cell r="F616" t="str">
            <v>2026-04-15</v>
          </cell>
          <cell r="G616" t="str">
            <v>2026-04-21</v>
          </cell>
          <cell r="H616" t="str">
            <v>SIGVA</v>
          </cell>
          <cell r="I616" t="str">
            <v>te</v>
          </cell>
        </row>
        <row r="617">
          <cell r="A617" t="str">
            <v>CPZ-04A  JACHUCOPOSA/NF</v>
          </cell>
          <cell r="B617" t="str">
            <v>03668567</v>
          </cell>
          <cell r="C617" t="str">
            <v>MEDICION DE NIVELES FREATICOS (PAT EIA)</v>
          </cell>
          <cell r="D617" t="str">
            <v>CPZ-04A  JACHUCOPOSA</v>
          </cell>
          <cell r="E617" t="str">
            <v>NF</v>
          </cell>
          <cell r="F617" t="str">
            <v>2026-04-15</v>
          </cell>
          <cell r="G617" t="str">
            <v>2026-04-28</v>
          </cell>
          <cell r="H617" t="str">
            <v>SIGVA</v>
          </cell>
        </row>
        <row r="618">
          <cell r="A618" t="str">
            <v>CPZ-04B JACHUCOPOSA/NF</v>
          </cell>
          <cell r="B618" t="str">
            <v>03668568</v>
          </cell>
          <cell r="C618" t="str">
            <v>MEDICION DE NIVELES FREATICOS (PAT EIA)</v>
          </cell>
          <cell r="D618" t="str">
            <v>CPZ-04B JACHUCOPOSA</v>
          </cell>
          <cell r="E618" t="str">
            <v>NF</v>
          </cell>
          <cell r="F618" t="str">
            <v>2026-04-15</v>
          </cell>
          <cell r="G618" t="str">
            <v>2026-04-28</v>
          </cell>
          <cell r="H618" t="str">
            <v>SIGVA</v>
          </cell>
        </row>
        <row r="619">
          <cell r="A619" t="str">
            <v>CPZ-05A JACHUCOPOSA/NF</v>
          </cell>
          <cell r="B619" t="str">
            <v>03668569</v>
          </cell>
          <cell r="C619" t="str">
            <v>MEDICION DE NIVELES FREATICOS (PAT EIA)</v>
          </cell>
          <cell r="D619" t="str">
            <v>CPZ-05A JACHUCOPOSA</v>
          </cell>
          <cell r="E619" t="str">
            <v>NF</v>
          </cell>
          <cell r="F619" t="str">
            <v>2026-04-15</v>
          </cell>
          <cell r="G619" t="str">
            <v>2026-04-28</v>
          </cell>
          <cell r="H619" t="str">
            <v>SIGVA</v>
          </cell>
        </row>
        <row r="620">
          <cell r="A620" t="str">
            <v>CPZ-05B JACHUCOPOSA/NF</v>
          </cell>
          <cell r="B620" t="str">
            <v>03668570</v>
          </cell>
          <cell r="C620" t="str">
            <v>MEDICION DE NIVELES FREATICOS (PAT EIA)</v>
          </cell>
          <cell r="D620" t="str">
            <v>CPZ-05B JACHUCOPOSA</v>
          </cell>
          <cell r="E620" t="str">
            <v>NF</v>
          </cell>
          <cell r="F620" t="str">
            <v>2026-04-15</v>
          </cell>
          <cell r="G620" t="str">
            <v>2026-04-28</v>
          </cell>
          <cell r="H620" t="str">
            <v>SIGVA</v>
          </cell>
        </row>
        <row r="621">
          <cell r="A621" t="str">
            <v>CPZ-06A JACHUCOPOSA/NF</v>
          </cell>
          <cell r="B621" t="str">
            <v>03668571</v>
          </cell>
          <cell r="C621" t="str">
            <v>MEDICION DE NIVELES FREATICOS (PAT EIA)</v>
          </cell>
          <cell r="D621" t="str">
            <v>CPZ-06A JACHUCOPOSA</v>
          </cell>
          <cell r="E621" t="str">
            <v>NF</v>
          </cell>
          <cell r="F621" t="str">
            <v>2026-04-15</v>
          </cell>
          <cell r="G621" t="str">
            <v>2026-04-28</v>
          </cell>
          <cell r="H621" t="str">
            <v>SIGVA</v>
          </cell>
        </row>
        <row r="622">
          <cell r="A622" t="str">
            <v>CPZ-06B JACHUCOPOSA/NF</v>
          </cell>
          <cell r="B622" t="str">
            <v>03668572</v>
          </cell>
          <cell r="C622" t="str">
            <v>MEDICION DE NIVELES FREATICOS (PAT EIA)</v>
          </cell>
          <cell r="D622" t="str">
            <v>CPZ-06B JACHUCOPOSA</v>
          </cell>
          <cell r="E622" t="str">
            <v>NF</v>
          </cell>
          <cell r="F622" t="str">
            <v>2026-04-15</v>
          </cell>
          <cell r="G622" t="str">
            <v>2026-04-28</v>
          </cell>
          <cell r="H622" t="str">
            <v>SIGVA</v>
          </cell>
        </row>
        <row r="623">
          <cell r="A623" t="str">
            <v>CPZ-10  FALLA PABELLON/NF</v>
          </cell>
          <cell r="B623" t="str">
            <v>03668573</v>
          </cell>
          <cell r="C623" t="str">
            <v>MEDICION DE NIVELES FREATICOS (PAT EIA)</v>
          </cell>
          <cell r="D623" t="str">
            <v>CPZ-10  FALLA PABELLON</v>
          </cell>
          <cell r="E623" t="str">
            <v>NF</v>
          </cell>
          <cell r="F623" t="str">
            <v>2026-04-15</v>
          </cell>
          <cell r="G623" t="str">
            <v>2026-04-28</v>
          </cell>
          <cell r="H623" t="str">
            <v>SIGVA</v>
          </cell>
        </row>
        <row r="624">
          <cell r="A624" t="str">
            <v>CPZ-07A JACHUCOPOSA/NF</v>
          </cell>
          <cell r="B624" t="str">
            <v>03668574</v>
          </cell>
          <cell r="C624" t="str">
            <v>MEDICION DE NIVELES FREATICOS</v>
          </cell>
          <cell r="D624" t="str">
            <v>CPZ-07A JACHUCOPOSA</v>
          </cell>
          <cell r="E624" t="str">
            <v>NF</v>
          </cell>
          <cell r="F624" t="str">
            <v>2026-04-15</v>
          </cell>
          <cell r="G624" t="str">
            <v>2026-04-21</v>
          </cell>
          <cell r="H624" t="str">
            <v>SIGVA</v>
          </cell>
        </row>
        <row r="625">
          <cell r="A625" t="str">
            <v>CWE-12 JACHUCOPOSA/NF</v>
          </cell>
          <cell r="B625" t="str">
            <v>03668575</v>
          </cell>
          <cell r="C625" t="str">
            <v>MEDICION DE NIVELES FREATICOS</v>
          </cell>
          <cell r="D625" t="str">
            <v>CWE-12 JACHUCOPOSA</v>
          </cell>
          <cell r="E625" t="str">
            <v>NF</v>
          </cell>
          <cell r="F625" t="str">
            <v>2026-04-15</v>
          </cell>
          <cell r="G625" t="str">
            <v>2026-04-21</v>
          </cell>
          <cell r="H625" t="str">
            <v>SIGVA</v>
          </cell>
        </row>
        <row r="626">
          <cell r="A626" t="str">
            <v>CWE-25 (1) COPOSA NORTE/NF</v>
          </cell>
          <cell r="B626" t="str">
            <v>03668576</v>
          </cell>
          <cell r="C626" t="str">
            <v>MEDICION DE NIVELES FREATICOS (PAT EIA y</v>
          </cell>
          <cell r="D626" t="str">
            <v>CWE-25 (1) COPOSA NORTE</v>
          </cell>
          <cell r="E626" t="str">
            <v>NF</v>
          </cell>
          <cell r="F626" t="str">
            <v>2026-04-15</v>
          </cell>
          <cell r="G626" t="str">
            <v>2026-04-28</v>
          </cell>
          <cell r="H626" t="str">
            <v>SIGVA</v>
          </cell>
        </row>
        <row r="627">
          <cell r="A627" t="str">
            <v>CWE-38 COPOSA NORTE/ASUB</v>
          </cell>
          <cell r="B627" t="str">
            <v>03668577</v>
          </cell>
          <cell r="C627" t="str">
            <v>MUESTREO MANUAL DE AGUAS SUBTERRÁNEAS</v>
          </cell>
          <cell r="D627" t="str">
            <v>CWE-38 COPOSA NORTE</v>
          </cell>
          <cell r="E627" t="str">
            <v>ASUB</v>
          </cell>
          <cell r="F627" t="str">
            <v>2026-04-15</v>
          </cell>
          <cell r="G627" t="str">
            <v>2026-04-28</v>
          </cell>
          <cell r="H627" t="str">
            <v>SIGVA</v>
          </cell>
        </row>
        <row r="628">
          <cell r="A628" t="str">
            <v>CWE-20 COPOSA SUR/NF</v>
          </cell>
          <cell r="B628" t="str">
            <v>03668578</v>
          </cell>
          <cell r="C628" t="str">
            <v>MEDICION DE NIVELES FREATICOS (PAT  EIA)</v>
          </cell>
          <cell r="D628" t="str">
            <v>CWE-20 COPOSA SUR</v>
          </cell>
          <cell r="E628" t="str">
            <v>NF</v>
          </cell>
          <cell r="F628" t="str">
            <v>2026-04-15</v>
          </cell>
          <cell r="G628" t="str">
            <v>2026-04-28</v>
          </cell>
          <cell r="H628" t="str">
            <v>SIGVA</v>
          </cell>
        </row>
        <row r="629">
          <cell r="A629" t="str">
            <v>CWE-01 FALLA PABELLON/ASUB</v>
          </cell>
          <cell r="B629" t="str">
            <v>03668579</v>
          </cell>
          <cell r="C629" t="str">
            <v>MUESTREO MANUAL DE AGUAS SUBTERRÁNEAS</v>
          </cell>
          <cell r="D629" t="str">
            <v>CWE-01 FALLA PABELLON</v>
          </cell>
          <cell r="E629" t="str">
            <v>ASUB</v>
          </cell>
          <cell r="F629" t="str">
            <v>2026-04-15</v>
          </cell>
          <cell r="G629" t="str">
            <v>2026-04-21</v>
          </cell>
          <cell r="H629" t="str">
            <v>SIGVA</v>
          </cell>
        </row>
        <row r="630">
          <cell r="A630" t="str">
            <v>CWE-05 FALLA PABELLON/NF</v>
          </cell>
          <cell r="B630" t="str">
            <v>03668580</v>
          </cell>
          <cell r="C630" t="str">
            <v>MEDICION DE NIVELES FREATICOS (PAT EIA)</v>
          </cell>
          <cell r="D630" t="str">
            <v>CWE-05 FALLA PABELLON</v>
          </cell>
          <cell r="E630" t="str">
            <v>NF</v>
          </cell>
          <cell r="F630" t="str">
            <v>2026-04-15</v>
          </cell>
          <cell r="G630" t="str">
            <v>2026-04-28</v>
          </cell>
          <cell r="H630" t="str">
            <v>SIGVA</v>
          </cell>
        </row>
        <row r="631">
          <cell r="A631" t="str">
            <v>CWE-06 FALLA PABELLON/ASUB</v>
          </cell>
          <cell r="B631" t="str">
            <v>03668581</v>
          </cell>
          <cell r="C631" t="str">
            <v>MUESTREO MANUAL DE AGUAS SUBTERRÁNEAS</v>
          </cell>
          <cell r="D631" t="str">
            <v>CWE-06 FALLA PABELLON</v>
          </cell>
          <cell r="E631" t="str">
            <v>ASUB</v>
          </cell>
          <cell r="F631" t="str">
            <v>2026-04-15</v>
          </cell>
          <cell r="G631" t="str">
            <v>2026-04-21</v>
          </cell>
          <cell r="H631" t="str">
            <v>SIGVA</v>
          </cell>
        </row>
        <row r="632">
          <cell r="A632" t="str">
            <v>CWE-10A FALLA PABELLON/NF</v>
          </cell>
          <cell r="B632" t="str">
            <v>03668582</v>
          </cell>
          <cell r="C632" t="str">
            <v>MEDICION DE NIVELES FREATICOS</v>
          </cell>
          <cell r="D632" t="str">
            <v>CWE-10A FALLA PABELLON</v>
          </cell>
          <cell r="E632" t="str">
            <v>NF</v>
          </cell>
          <cell r="F632" t="str">
            <v>2026-04-15</v>
          </cell>
          <cell r="G632" t="str">
            <v>2026-04-28</v>
          </cell>
          <cell r="H632" t="str">
            <v>SIGVA</v>
          </cell>
        </row>
        <row r="633">
          <cell r="A633" t="str">
            <v>CWE-10B FALLA PABELLON/NF</v>
          </cell>
          <cell r="B633" t="str">
            <v>03668583</v>
          </cell>
          <cell r="C633" t="str">
            <v>MEDICION DE NIVELES FREATICOS</v>
          </cell>
          <cell r="D633" t="str">
            <v>CWE-10B FALLA PABELLON</v>
          </cell>
          <cell r="E633" t="str">
            <v>NF</v>
          </cell>
          <cell r="F633" t="str">
            <v>2026-04-15</v>
          </cell>
          <cell r="G633" t="str">
            <v>2026-04-28</v>
          </cell>
          <cell r="H633" t="str">
            <v>SIGVA</v>
          </cell>
        </row>
        <row r="634">
          <cell r="A634" t="str">
            <v>CWE-12 JACHUCOPOSA/ASUB</v>
          </cell>
          <cell r="B634" t="str">
            <v>03668584</v>
          </cell>
          <cell r="C634" t="str">
            <v>MUESTREO MANUAL DE AGUAS SUBTERRÁNEAS</v>
          </cell>
          <cell r="D634" t="str">
            <v>CWE-12 JACHUCOPOSA</v>
          </cell>
          <cell r="E634" t="str">
            <v>ASUB</v>
          </cell>
          <cell r="F634" t="str">
            <v>2026-04-15</v>
          </cell>
          <cell r="G634" t="str">
            <v>2026-04-21</v>
          </cell>
          <cell r="H634" t="str">
            <v>SIGVA</v>
          </cell>
        </row>
        <row r="635">
          <cell r="A635" t="str">
            <v>CWE-19 JACHUCOPOSA/ASUB</v>
          </cell>
          <cell r="B635" t="str">
            <v>03668585</v>
          </cell>
          <cell r="C635" t="str">
            <v>MUESTREO MANUAL DE AGUAS SUBTERRÁNEAS</v>
          </cell>
          <cell r="D635" t="str">
            <v>CWE-19 JACHUCOPOSA</v>
          </cell>
          <cell r="E635" t="str">
            <v>ASUB</v>
          </cell>
          <cell r="F635" t="str">
            <v>2026-04-15</v>
          </cell>
          <cell r="G635" t="str">
            <v>2026-04-21</v>
          </cell>
          <cell r="H635" t="str">
            <v>SIGVA</v>
          </cell>
        </row>
        <row r="636">
          <cell r="A636" t="str">
            <v>CWE-21 JACHUCOPOSA/NF</v>
          </cell>
          <cell r="B636" t="str">
            <v>03668586</v>
          </cell>
          <cell r="C636" t="str">
            <v>MEDICION DE NIVELES FREATICOS (PAT PdC)</v>
          </cell>
          <cell r="D636" t="str">
            <v>CWE-21 JACHUCOPOSA</v>
          </cell>
          <cell r="E636" t="str">
            <v>NF</v>
          </cell>
          <cell r="F636" t="str">
            <v>2026-04-15</v>
          </cell>
          <cell r="G636" t="str">
            <v>2026-04-28</v>
          </cell>
          <cell r="H636" t="str">
            <v>SIGVA</v>
          </cell>
        </row>
        <row r="637">
          <cell r="A637" t="str">
            <v>CWE-34 JACHUCOPOSA/ASUB</v>
          </cell>
          <cell r="B637" t="str">
            <v>03668587</v>
          </cell>
          <cell r="C637" t="str">
            <v>MUESTREO MANUAL DE AGUAS SUBTERRÁNEAS</v>
          </cell>
          <cell r="D637" t="str">
            <v>CWE-34 JACHUCOPOSA</v>
          </cell>
          <cell r="E637" t="str">
            <v>ASUB</v>
          </cell>
          <cell r="F637" t="str">
            <v>2026-04-15</v>
          </cell>
          <cell r="G637" t="str">
            <v>2026-04-28</v>
          </cell>
          <cell r="H637" t="str">
            <v>SIGVA</v>
          </cell>
        </row>
        <row r="638">
          <cell r="A638" t="str">
            <v>CWE-38 COPOSA NORTE/NF</v>
          </cell>
          <cell r="B638" t="str">
            <v>03668588</v>
          </cell>
          <cell r="C638" t="str">
            <v>MEDICION DE NIVELES FREATICOS (PAT EIA y</v>
          </cell>
          <cell r="D638" t="str">
            <v>CWE-38 COPOSA NORTE</v>
          </cell>
          <cell r="E638" t="str">
            <v>NF</v>
          </cell>
          <cell r="F638" t="str">
            <v>2026-04-15</v>
          </cell>
          <cell r="G638" t="str">
            <v>2026-04-28</v>
          </cell>
          <cell r="H638" t="str">
            <v>SIGVA</v>
          </cell>
        </row>
        <row r="639">
          <cell r="A639" t="str">
            <v>CWE-19  JACHUCOPOSA/NF</v>
          </cell>
          <cell r="B639" t="str">
            <v>03668589</v>
          </cell>
          <cell r="C639" t="str">
            <v>MEDICION DE NIVELES FREATICOS (PAT EIA y</v>
          </cell>
          <cell r="D639" t="str">
            <v>CWE-19  JACHUCOPOSA</v>
          </cell>
          <cell r="E639" t="str">
            <v>NF</v>
          </cell>
          <cell r="F639" t="str">
            <v>2026-04-15</v>
          </cell>
          <cell r="G639" t="str">
            <v>2026-04-28</v>
          </cell>
          <cell r="H639" t="str">
            <v>SIGVA</v>
          </cell>
        </row>
        <row r="640">
          <cell r="A640" t="str">
            <v>CWE-34 JACHUCOPOSA/NF</v>
          </cell>
          <cell r="B640" t="str">
            <v>03668590</v>
          </cell>
          <cell r="C640" t="str">
            <v>MEDICION DE NIVELES FREATICOS</v>
          </cell>
          <cell r="D640" t="str">
            <v>CWE-34 JACHUCOPOSA</v>
          </cell>
          <cell r="E640" t="str">
            <v>NF</v>
          </cell>
          <cell r="F640" t="str">
            <v>2026-04-15</v>
          </cell>
          <cell r="G640" t="str">
            <v>2026-04-28</v>
          </cell>
          <cell r="H640" t="str">
            <v>SIGVA</v>
          </cell>
        </row>
        <row r="641">
          <cell r="A641" t="str">
            <v>CWE-01 FALLA PABELLON/NF</v>
          </cell>
          <cell r="B641" t="str">
            <v>03668591</v>
          </cell>
          <cell r="C641" t="str">
            <v>MEDICION DE NIVELES FREATICOS</v>
          </cell>
          <cell r="D641" t="str">
            <v>CWE-01 FALLA PABELLON</v>
          </cell>
          <cell r="E641" t="str">
            <v>NF</v>
          </cell>
          <cell r="F641" t="str">
            <v>2026-04-15</v>
          </cell>
          <cell r="G641" t="str">
            <v>2026-04-21</v>
          </cell>
          <cell r="H641" t="str">
            <v>SIGVA</v>
          </cell>
        </row>
        <row r="642">
          <cell r="A642" t="str">
            <v>CWE-06 FALLA PABELLON/NF</v>
          </cell>
          <cell r="B642" t="str">
            <v>03668592</v>
          </cell>
          <cell r="C642" t="str">
            <v>MEDICION DE NIVELES FREATICOS</v>
          </cell>
          <cell r="D642" t="str">
            <v>CWE-06 FALLA PABELLON</v>
          </cell>
          <cell r="E642" t="str">
            <v>NF</v>
          </cell>
          <cell r="F642" t="str">
            <v>2026-04-15</v>
          </cell>
          <cell r="G642" t="str">
            <v>2026-04-21</v>
          </cell>
          <cell r="H642" t="str">
            <v>SIGVA</v>
          </cell>
        </row>
        <row r="643">
          <cell r="A643" t="str">
            <v>CWP-01 FALLA PABELLON/NF</v>
          </cell>
          <cell r="B643" t="str">
            <v>03668593</v>
          </cell>
          <cell r="C643" t="str">
            <v>MEDICION DE NIVELES FREATICOS (PAT EIA)</v>
          </cell>
          <cell r="D643" t="str">
            <v>CWP-01 FALLA PABELLON</v>
          </cell>
          <cell r="E643" t="str">
            <v>NF</v>
          </cell>
          <cell r="F643" t="str">
            <v>2026-04-15</v>
          </cell>
          <cell r="G643" t="str">
            <v>2026-04-28</v>
          </cell>
          <cell r="H643" t="str">
            <v>SIGVA</v>
          </cell>
        </row>
        <row r="644">
          <cell r="A644" t="str">
            <v>CWP-14 FALLA PABELLON/ASUB</v>
          </cell>
          <cell r="B644" t="str">
            <v>03668594</v>
          </cell>
          <cell r="C644" t="str">
            <v>MUESTREO MANUAL DE AGUAS SUBTERRÁNEAS</v>
          </cell>
          <cell r="D644" t="str">
            <v>CWP-14 FALLA PABELLON</v>
          </cell>
          <cell r="E644" t="str">
            <v>ASUB</v>
          </cell>
          <cell r="F644" t="str">
            <v>2026-04-15</v>
          </cell>
          <cell r="G644" t="str">
            <v>2026-04-21</v>
          </cell>
          <cell r="H644" t="str">
            <v>SIGVA</v>
          </cell>
        </row>
        <row r="645">
          <cell r="A645" t="str">
            <v>CWP-14 FALLA PABELLON/NF</v>
          </cell>
          <cell r="B645" t="str">
            <v>03668595</v>
          </cell>
          <cell r="C645" t="str">
            <v>MEDICION DE NIVELES FREATICOS</v>
          </cell>
          <cell r="D645" t="str">
            <v>CWP-14 FALLA PABELLON</v>
          </cell>
          <cell r="E645" t="str">
            <v>NF</v>
          </cell>
          <cell r="F645" t="str">
            <v>2026-04-15</v>
          </cell>
          <cell r="G645" t="str">
            <v>2026-04-21</v>
          </cell>
          <cell r="H645" t="str">
            <v>SIGVA</v>
          </cell>
        </row>
        <row r="646">
          <cell r="A646" t="str">
            <v>DEC-06B COPOSA SUR/NF</v>
          </cell>
          <cell r="B646" t="str">
            <v>03668596</v>
          </cell>
          <cell r="C646" t="str">
            <v>MEDICION DE NIVELES FREATICOS</v>
          </cell>
          <cell r="D646" t="str">
            <v>DEC-06B COPOSA SUR</v>
          </cell>
          <cell r="E646" t="str">
            <v>NF</v>
          </cell>
          <cell r="F646" t="str">
            <v>2026-04-15</v>
          </cell>
          <cell r="G646" t="str">
            <v>2026-04-21</v>
          </cell>
          <cell r="H646" t="str">
            <v>SIGVANC</v>
          </cell>
        </row>
        <row r="647">
          <cell r="A647" t="str">
            <v>DPEC-04 COPOSA NORTE/NF</v>
          </cell>
          <cell r="B647" t="str">
            <v>03668597</v>
          </cell>
          <cell r="C647" t="str">
            <v>MEDICION DE NIVELES FREATICOS (PAT EIA y</v>
          </cell>
          <cell r="D647" t="str">
            <v>DPEC-04 COPOSA NORTE</v>
          </cell>
          <cell r="E647" t="str">
            <v>NF</v>
          </cell>
          <cell r="F647" t="str">
            <v>2026-04-15</v>
          </cell>
          <cell r="G647" t="str">
            <v>2026-04-28</v>
          </cell>
          <cell r="H647" t="str">
            <v>SIGVA</v>
          </cell>
        </row>
        <row r="648">
          <cell r="A648" t="str">
            <v>DPEC-07 COPOSA SUR/NF</v>
          </cell>
          <cell r="B648" t="str">
            <v>03668598</v>
          </cell>
          <cell r="C648" t="str">
            <v>MEDICION DE NIVELES FREATICOS</v>
          </cell>
          <cell r="D648" t="str">
            <v>DPEC-07 COPOSA SUR</v>
          </cell>
          <cell r="E648" t="str">
            <v>NF</v>
          </cell>
          <cell r="F648" t="str">
            <v>2026-04-15</v>
          </cell>
          <cell r="G648" t="str">
            <v>2026-04-28</v>
          </cell>
          <cell r="H648" t="str">
            <v>SIGVANC</v>
          </cell>
        </row>
        <row r="649">
          <cell r="A649" t="str">
            <v>JCC-4 JACHUCOPOSA/ASUP</v>
          </cell>
          <cell r="B649" t="str">
            <v>03668599</v>
          </cell>
          <cell r="C649" t="str">
            <v>MUESTREO MANUAL DE AGUAS SUPERFICIALES</v>
          </cell>
          <cell r="D649" t="str">
            <v>JCC-4 JACHUCOPOSA</v>
          </cell>
          <cell r="E649" t="str">
            <v>ASUP</v>
          </cell>
          <cell r="F649" t="str">
            <v>2026-04-15</v>
          </cell>
          <cell r="G649" t="str">
            <v>2026-04-21</v>
          </cell>
          <cell r="H649" t="str">
            <v>SIGVA</v>
          </cell>
        </row>
        <row r="650">
          <cell r="A650" t="str">
            <v>JCC-5 JACHUCOPOSA/ASUP</v>
          </cell>
          <cell r="B650" t="str">
            <v>03668600</v>
          </cell>
          <cell r="C650" t="str">
            <v>MUESTREO MANUAL DE AGUAS SUPERFICIALES</v>
          </cell>
          <cell r="D650" t="str">
            <v>JCC-5 JACHUCOPOSA</v>
          </cell>
          <cell r="E650" t="str">
            <v>ASUP</v>
          </cell>
          <cell r="F650" t="str">
            <v>2026-04-15</v>
          </cell>
          <cell r="G650" t="str">
            <v>2026-04-21</v>
          </cell>
          <cell r="H650" t="str">
            <v>SIGVA</v>
          </cell>
        </row>
        <row r="651">
          <cell r="A651" t="str">
            <v>M-12 LIXIVIACIÓN/ASUB</v>
          </cell>
          <cell r="B651" t="str">
            <v>03668601</v>
          </cell>
          <cell r="C651" t="str">
            <v>MUESTREO MANUAL DE AGUAS SUBTERRÁNEAS</v>
          </cell>
          <cell r="D651" t="str">
            <v>M-12 LIXIVIACIÓN</v>
          </cell>
          <cell r="E651" t="str">
            <v>ASUB</v>
          </cell>
          <cell r="F651" t="str">
            <v>2026-04-15</v>
          </cell>
          <cell r="G651" t="str">
            <v>2026-04-21</v>
          </cell>
          <cell r="H651" t="str">
            <v>SIGVA</v>
          </cell>
        </row>
        <row r="652">
          <cell r="A652" t="str">
            <v>M-12 LIXIVIACIÓN/NF</v>
          </cell>
          <cell r="B652" t="str">
            <v>03668602</v>
          </cell>
          <cell r="C652" t="str">
            <v>MEDICION DE NIVELES FREATICOS</v>
          </cell>
          <cell r="D652" t="str">
            <v>M-12 LIXIVIACIÓN</v>
          </cell>
          <cell r="E652" t="str">
            <v>NF</v>
          </cell>
          <cell r="F652" t="str">
            <v>2026-04-15</v>
          </cell>
          <cell r="G652" t="str">
            <v>2026-04-21</v>
          </cell>
          <cell r="H652" t="str">
            <v>SIGVA</v>
          </cell>
        </row>
        <row r="653">
          <cell r="A653" t="str">
            <v>MA-08 FALLA PABELLON/ASUB</v>
          </cell>
          <cell r="B653" t="str">
            <v>03668603</v>
          </cell>
          <cell r="C653" t="str">
            <v>MUESTREO MANUAL DE AGUAS SUBTERRÁNEAS</v>
          </cell>
          <cell r="D653" t="str">
            <v>MA-08 FALLA PABELLON</v>
          </cell>
          <cell r="E653" t="str">
            <v>ASUB</v>
          </cell>
          <cell r="F653" t="str">
            <v>2026-04-15</v>
          </cell>
          <cell r="G653" t="str">
            <v>2026-04-21</v>
          </cell>
          <cell r="H653" t="str">
            <v>SIGVANC</v>
          </cell>
        </row>
        <row r="654">
          <cell r="A654" t="str">
            <v>MAU-01B LIXIVIACIÓN/ASUB</v>
          </cell>
          <cell r="B654" t="str">
            <v>03668604</v>
          </cell>
          <cell r="C654" t="str">
            <v>MUESTREO MANUAL DE AGUAS SUBTERRÁNEAS</v>
          </cell>
          <cell r="D654" t="str">
            <v>MAU-01B LIXIVIACIÓN</v>
          </cell>
          <cell r="E654" t="str">
            <v>ASUB</v>
          </cell>
          <cell r="F654" t="str">
            <v>2026-04-15</v>
          </cell>
          <cell r="G654" t="str">
            <v>2026-04-21</v>
          </cell>
          <cell r="H654" t="str">
            <v>SIGVA</v>
          </cell>
        </row>
        <row r="655">
          <cell r="A655" t="str">
            <v>MAU-12 LIXIVIACIÓN/ASUB</v>
          </cell>
          <cell r="B655" t="str">
            <v>03668605</v>
          </cell>
          <cell r="C655" t="str">
            <v>MUESTREO MANUAL DE AGUAS SUBTERRÁNEAS</v>
          </cell>
          <cell r="D655" t="str">
            <v>MAU-12 LIXIVIACIÓN</v>
          </cell>
          <cell r="E655" t="str">
            <v>ASUB</v>
          </cell>
          <cell r="F655" t="str">
            <v>2026-04-15</v>
          </cell>
          <cell r="G655" t="str">
            <v>2026-04-21</v>
          </cell>
          <cell r="H655" t="str">
            <v>SIGVA</v>
          </cell>
        </row>
        <row r="656">
          <cell r="A656" t="str">
            <v>MAU-01B LIXIVIACIÓN/NF</v>
          </cell>
          <cell r="B656" t="str">
            <v>03668606</v>
          </cell>
          <cell r="C656" t="str">
            <v>MEDICION DE NIVELES FREATICOS</v>
          </cell>
          <cell r="D656" t="str">
            <v>MAU-01B LIXIVIACIÓN</v>
          </cell>
          <cell r="E656" t="str">
            <v>NF</v>
          </cell>
          <cell r="F656" t="str">
            <v>2026-04-15</v>
          </cell>
          <cell r="G656" t="str">
            <v>2026-04-21</v>
          </cell>
          <cell r="H656" t="str">
            <v>SIGVA</v>
          </cell>
        </row>
        <row r="657">
          <cell r="A657" t="str">
            <v>MAU-12 LIXIVIACIÓN/NF</v>
          </cell>
          <cell r="B657" t="str">
            <v>03668607</v>
          </cell>
          <cell r="C657" t="str">
            <v>MEDICION DE NIVELES FREATICOS</v>
          </cell>
          <cell r="D657" t="str">
            <v>MAU-12 LIXIVIACIÓN</v>
          </cell>
          <cell r="E657" t="str">
            <v>NF</v>
          </cell>
          <cell r="F657" t="str">
            <v>2026-04-15</v>
          </cell>
          <cell r="G657" t="str">
            <v>2026-04-21</v>
          </cell>
          <cell r="H657" t="str">
            <v>SIGVA</v>
          </cell>
        </row>
        <row r="658">
          <cell r="A658" t="str">
            <v>MTP-11 LIXIVIACIÓN/NF</v>
          </cell>
          <cell r="B658" t="str">
            <v>03668608</v>
          </cell>
          <cell r="C658" t="str">
            <v>MEDICION DE NIVELES FREATICOS</v>
          </cell>
          <cell r="D658" t="str">
            <v>MTP-11 LIXIVIACIÓN</v>
          </cell>
          <cell r="E658" t="str">
            <v>NF</v>
          </cell>
          <cell r="F658" t="str">
            <v>2026-04-15</v>
          </cell>
          <cell r="G658" t="str">
            <v>2026-04-21</v>
          </cell>
          <cell r="H658" t="str">
            <v>SIGVA</v>
          </cell>
        </row>
        <row r="659">
          <cell r="A659" t="str">
            <v>MTP-11 LIXIVIACIÓN/ASUB</v>
          </cell>
          <cell r="B659" t="str">
            <v>03668609</v>
          </cell>
          <cell r="C659" t="str">
            <v>MUESTREO MANUAL DE AGUAS SUBTERRÁNEAS</v>
          </cell>
          <cell r="D659" t="str">
            <v>MTP-11 LIXIVIACIÓN</v>
          </cell>
          <cell r="E659" t="str">
            <v>ASUB</v>
          </cell>
          <cell r="F659" t="str">
            <v>2026-04-15</v>
          </cell>
          <cell r="G659" t="str">
            <v>2026-04-21</v>
          </cell>
          <cell r="H659" t="str">
            <v>SIGVA</v>
          </cell>
        </row>
        <row r="660">
          <cell r="A660" t="str">
            <v>MTP-15 TRANQUE/NF</v>
          </cell>
          <cell r="B660" t="str">
            <v>03668610</v>
          </cell>
          <cell r="C660" t="str">
            <v>MEDICION DE NIVELES FREATICOS</v>
          </cell>
          <cell r="D660" t="str">
            <v>MTP-15 TRANQUE</v>
          </cell>
          <cell r="E660" t="str">
            <v>NF</v>
          </cell>
          <cell r="F660" t="str">
            <v>2026-04-15</v>
          </cell>
          <cell r="G660" t="str">
            <v>2026-04-21</v>
          </cell>
          <cell r="H660" t="str">
            <v>SIGVA</v>
          </cell>
        </row>
        <row r="661">
          <cell r="A661" t="str">
            <v>MTP-16 TRANQUE/ASUB</v>
          </cell>
          <cell r="B661" t="str">
            <v>03668611</v>
          </cell>
          <cell r="C661" t="str">
            <v>MUESTREO MANUAL DE AGUAS SUBTERRÁNEAS</v>
          </cell>
          <cell r="D661" t="str">
            <v>MTP-16 TRANQUE</v>
          </cell>
          <cell r="E661" t="str">
            <v>ASUB</v>
          </cell>
          <cell r="F661" t="str">
            <v>2026-04-15</v>
          </cell>
          <cell r="G661" t="str">
            <v>2026-04-21</v>
          </cell>
          <cell r="H661" t="str">
            <v>SIGVA</v>
          </cell>
        </row>
        <row r="662">
          <cell r="A662" t="str">
            <v>MTP-20 TRANQUE/NF</v>
          </cell>
          <cell r="B662" t="str">
            <v>03668612</v>
          </cell>
          <cell r="C662" t="str">
            <v>MEDICION DE NIVELES FREATICOS</v>
          </cell>
          <cell r="D662" t="str">
            <v>MTP-20 TRANQUE</v>
          </cell>
          <cell r="E662" t="str">
            <v>NF</v>
          </cell>
          <cell r="F662" t="str">
            <v>2026-04-15</v>
          </cell>
          <cell r="G662" t="str">
            <v>2026-04-21</v>
          </cell>
          <cell r="H662" t="str">
            <v>SIGVA</v>
          </cell>
        </row>
        <row r="663">
          <cell r="A663" t="str">
            <v>MTP-16 TRANQUE/NF</v>
          </cell>
          <cell r="B663" t="str">
            <v>03668613</v>
          </cell>
          <cell r="C663" t="str">
            <v>MEDICION DE NIVELES FREATICOS</v>
          </cell>
          <cell r="D663" t="str">
            <v>MTP-16 TRANQUE</v>
          </cell>
          <cell r="E663" t="str">
            <v>NF</v>
          </cell>
          <cell r="F663" t="str">
            <v>2026-04-15</v>
          </cell>
          <cell r="G663" t="str">
            <v>2026-04-21</v>
          </cell>
          <cell r="H663" t="str">
            <v>SIGVA</v>
          </cell>
        </row>
        <row r="664">
          <cell r="A664" t="str">
            <v>PC-04 COPOSA CENTRO/NF</v>
          </cell>
          <cell r="B664" t="str">
            <v>03668614</v>
          </cell>
          <cell r="C664" t="str">
            <v>MEDICION DE NIVELES FREATICOS (PAT  PdC)</v>
          </cell>
          <cell r="D664" t="str">
            <v>PC-04 COPOSA CENTRO</v>
          </cell>
          <cell r="E664" t="str">
            <v>NF</v>
          </cell>
          <cell r="F664" t="str">
            <v>2026-04-15</v>
          </cell>
          <cell r="G664" t="str">
            <v>2026-04-28</v>
          </cell>
          <cell r="H664" t="str">
            <v>SIGVA</v>
          </cell>
        </row>
        <row r="665">
          <cell r="A665" t="str">
            <v>PC-05 JACHUCOPOSA/NF</v>
          </cell>
          <cell r="B665" t="str">
            <v>03668615</v>
          </cell>
          <cell r="C665" t="str">
            <v>MEDICION DE NIVELES FREATICOS (PAT PdC)</v>
          </cell>
          <cell r="D665" t="str">
            <v>PC-05 JACHUCOPOSA</v>
          </cell>
          <cell r="E665" t="str">
            <v>NF</v>
          </cell>
          <cell r="F665" t="str">
            <v>2026-04-15</v>
          </cell>
          <cell r="G665" t="str">
            <v>2026-04-28</v>
          </cell>
          <cell r="H665" t="str">
            <v>SIGVA</v>
          </cell>
        </row>
        <row r="666">
          <cell r="A666" t="str">
            <v>PDS-01 COPOSA CENTRO/NF</v>
          </cell>
          <cell r="B666" t="str">
            <v>03668616</v>
          </cell>
          <cell r="C666" t="str">
            <v>MEDICION DE NIVELES FREATICOS (PAT EIA y</v>
          </cell>
          <cell r="D666" t="str">
            <v>PDS-01 COPOSA CENTRO</v>
          </cell>
          <cell r="E666" t="str">
            <v>NF</v>
          </cell>
          <cell r="F666" t="str">
            <v>2026-04-15</v>
          </cell>
          <cell r="G666" t="str">
            <v>2026-04-28</v>
          </cell>
          <cell r="H666" t="str">
            <v>SIGVA</v>
          </cell>
        </row>
        <row r="667">
          <cell r="A667" t="str">
            <v>PDC-01 COPOSA NORTE/NF</v>
          </cell>
          <cell r="B667" t="str">
            <v>03668617</v>
          </cell>
          <cell r="C667" t="str">
            <v>MEDICION DE NIVELES FREATICOS (PAT PdC)</v>
          </cell>
          <cell r="D667" t="str">
            <v>PDC-01 COPOSA NORTE</v>
          </cell>
          <cell r="E667" t="str">
            <v>NF</v>
          </cell>
          <cell r="F667" t="str">
            <v>2026-04-15</v>
          </cell>
          <cell r="G667" t="str">
            <v>2026-04-28</v>
          </cell>
          <cell r="H667" t="str">
            <v>SIGVA</v>
          </cell>
        </row>
        <row r="668">
          <cell r="A668" t="str">
            <v>PEC-01 PORTEZUELO/NF</v>
          </cell>
          <cell r="B668" t="str">
            <v>03668618</v>
          </cell>
          <cell r="C668" t="str">
            <v>MEDICION DE NIVELES FREATICOS (PAT EIA)</v>
          </cell>
          <cell r="D668" t="str">
            <v>PEC-01 PORTEZUELO</v>
          </cell>
          <cell r="E668" t="str">
            <v>NF</v>
          </cell>
          <cell r="F668" t="str">
            <v>2026-04-15</v>
          </cell>
          <cell r="G668" t="str">
            <v>2026-04-28</v>
          </cell>
          <cell r="H668" t="str">
            <v>SIGVA</v>
          </cell>
        </row>
        <row r="669">
          <cell r="A669" t="str">
            <v>PMA-03 UJINA/ASUB</v>
          </cell>
          <cell r="B669" t="str">
            <v>03668619</v>
          </cell>
          <cell r="C669" t="str">
            <v>MUESTREO MANUAL DE AGUAS SUBTERRÁNEAS</v>
          </cell>
          <cell r="D669" t="str">
            <v>PMA-03 UJINA</v>
          </cell>
          <cell r="E669" t="str">
            <v>ASUB</v>
          </cell>
          <cell r="F669" t="str">
            <v>2026-04-15</v>
          </cell>
          <cell r="G669" t="str">
            <v>2026-04-28</v>
          </cell>
          <cell r="H669" t="str">
            <v>SIGVA</v>
          </cell>
        </row>
        <row r="670">
          <cell r="A670" t="str">
            <v>PMA-03 UJINA/NF</v>
          </cell>
          <cell r="B670" t="str">
            <v>03668620</v>
          </cell>
          <cell r="C670" t="str">
            <v>MEDICION DE NIVELES FREATICOS</v>
          </cell>
          <cell r="D670" t="str">
            <v>PMA-03 UJINA</v>
          </cell>
          <cell r="E670" t="str">
            <v>NF</v>
          </cell>
          <cell r="F670" t="str">
            <v>2026-04-15</v>
          </cell>
          <cell r="G670" t="str">
            <v>2026-04-21</v>
          </cell>
          <cell r="H670" t="str">
            <v>SIGVA</v>
          </cell>
        </row>
        <row r="671">
          <cell r="A671" t="str">
            <v>PPC-16 COPOSA NORTE/NF</v>
          </cell>
          <cell r="B671" t="str">
            <v>03668621</v>
          </cell>
          <cell r="C671" t="str">
            <v>MEDICION DE NIVELES FREATICOS (PAT EIA y</v>
          </cell>
          <cell r="D671" t="str">
            <v>PPC-16 COPOSA NORTE</v>
          </cell>
          <cell r="E671" t="str">
            <v>NF</v>
          </cell>
          <cell r="F671" t="str">
            <v>2026-04-15</v>
          </cell>
          <cell r="G671" t="str">
            <v>2026-04-28</v>
          </cell>
          <cell r="H671" t="str">
            <v>SIGVA</v>
          </cell>
        </row>
        <row r="672">
          <cell r="A672" t="str">
            <v>PPC-19 COPOSA NORTE/NF</v>
          </cell>
          <cell r="B672" t="str">
            <v>03668622</v>
          </cell>
          <cell r="C672" t="str">
            <v>MEDICION DE NIVELES FREATICOS (PAT EIA)</v>
          </cell>
          <cell r="D672" t="str">
            <v>PPC-19 COPOSA NORTE</v>
          </cell>
          <cell r="E672" t="str">
            <v>NF</v>
          </cell>
          <cell r="F672" t="str">
            <v>2026-04-15</v>
          </cell>
          <cell r="G672" t="str">
            <v>2026-04-28</v>
          </cell>
          <cell r="H672" t="str">
            <v>SIGVA</v>
          </cell>
        </row>
        <row r="673">
          <cell r="A673" t="str">
            <v>PPS-01 COPOSA CENTRO/NF</v>
          </cell>
          <cell r="B673" t="str">
            <v>03668623</v>
          </cell>
          <cell r="C673" t="str">
            <v>MEDICION DE NIVELES FREATICOS (PAT EIA y</v>
          </cell>
          <cell r="D673" t="str">
            <v>PPS-01 COPOSA CENTRO</v>
          </cell>
          <cell r="E673" t="str">
            <v>NF</v>
          </cell>
          <cell r="F673" t="str">
            <v>2026-04-15</v>
          </cell>
          <cell r="G673" t="str">
            <v>2026-04-28</v>
          </cell>
          <cell r="H673" t="str">
            <v>SIGVA</v>
          </cell>
        </row>
        <row r="674">
          <cell r="A674" t="str">
            <v>PPS-02B COPOSA CENTRO/NF</v>
          </cell>
          <cell r="B674" t="str">
            <v>03668624</v>
          </cell>
          <cell r="C674" t="str">
            <v>MEDICION DE NIVELES FREATICOS (PAT EIA y</v>
          </cell>
          <cell r="D674" t="str">
            <v>PPS-02B COPOSA CENTRO</v>
          </cell>
          <cell r="E674" t="str">
            <v>NF</v>
          </cell>
          <cell r="F674" t="str">
            <v>2026-04-15</v>
          </cell>
          <cell r="G674" t="str">
            <v>2026-04-28</v>
          </cell>
          <cell r="H674" t="str">
            <v>SIGVA</v>
          </cell>
        </row>
        <row r="675">
          <cell r="A675" t="str">
            <v>PQY-02 YABRICOYITA/NF</v>
          </cell>
          <cell r="B675" t="str">
            <v>03668625</v>
          </cell>
          <cell r="C675" t="str">
            <v>MEDICION DE NIVELES FREATICOS</v>
          </cell>
          <cell r="D675" t="str">
            <v>PQY-02 YABRICOYITA</v>
          </cell>
          <cell r="E675" t="str">
            <v>NF</v>
          </cell>
          <cell r="F675" t="str">
            <v>2026-04-15</v>
          </cell>
          <cell r="G675" t="str">
            <v>2026-04-21</v>
          </cell>
          <cell r="H675" t="str">
            <v>SIGVA</v>
          </cell>
        </row>
        <row r="676">
          <cell r="A676" t="str">
            <v>PQY-03 YABRICOYITA/NF</v>
          </cell>
          <cell r="B676" t="str">
            <v>03668626</v>
          </cell>
          <cell r="C676" t="str">
            <v>MEDICION DE NIVELES FREATICOS</v>
          </cell>
          <cell r="D676" t="str">
            <v>PQY-03 YABRICOYITA</v>
          </cell>
          <cell r="E676" t="str">
            <v>NF</v>
          </cell>
          <cell r="F676" t="str">
            <v>2026-04-15</v>
          </cell>
          <cell r="G676" t="str">
            <v>2026-04-21</v>
          </cell>
          <cell r="H676" t="str">
            <v>SIGVA</v>
          </cell>
        </row>
        <row r="677">
          <cell r="A677" t="str">
            <v>QDH-1E PISC. HUINQUIN. (INT. RAJO ROSA )/CAUDAL</v>
          </cell>
          <cell r="B677" t="str">
            <v>03668627</v>
          </cell>
          <cell r="C677" t="str">
            <v>MEDICIÓN DE CAUDALES</v>
          </cell>
          <cell r="D677" t="str">
            <v>QDH-1E PISC. HUINQUIN. (INT. RAJO ROSA )</v>
          </cell>
          <cell r="E677" t="str">
            <v>CAUDAL</v>
          </cell>
          <cell r="F677" t="str">
            <v>2026-04-15</v>
          </cell>
          <cell r="G677" t="str">
            <v>2026-04-21</v>
          </cell>
          <cell r="H677" t="str">
            <v>SIGVA</v>
          </cell>
        </row>
        <row r="678">
          <cell r="A678" t="str">
            <v>QSD-1 PISC. HUINQUIN. (INT. RAJO ROSA )/CAUDAL</v>
          </cell>
          <cell r="B678" t="str">
            <v>03668628</v>
          </cell>
          <cell r="C678" t="str">
            <v>MEDICIÓN DE CAUDALES</v>
          </cell>
          <cell r="D678" t="str">
            <v>QSD-1 PISC. HUINQUIN. (INT. RAJO ROSA )</v>
          </cell>
          <cell r="E678" t="str">
            <v>CAUDAL</v>
          </cell>
          <cell r="F678" t="str">
            <v>2026-04-15</v>
          </cell>
          <cell r="G678" t="str">
            <v>2026-04-21</v>
          </cell>
          <cell r="H678" t="str">
            <v>SIGVA</v>
          </cell>
        </row>
        <row r="679">
          <cell r="A679" t="str">
            <v>QSN-1 HUINQUINTIPA/ASUP</v>
          </cell>
          <cell r="B679" t="str">
            <v>03668629</v>
          </cell>
          <cell r="C679" t="str">
            <v>MUESTREO MANUAL DE AGUAS SUPERFICIALES</v>
          </cell>
          <cell r="D679" t="str">
            <v>QSN-1 HUINQUINTIPA</v>
          </cell>
          <cell r="E679" t="str">
            <v>ASUP</v>
          </cell>
          <cell r="F679" t="str">
            <v>2026-04-15</v>
          </cell>
          <cell r="G679" t="str">
            <v>2026-04-28</v>
          </cell>
          <cell r="H679" t="str">
            <v>SIGVA</v>
          </cell>
        </row>
        <row r="680">
          <cell r="A680" t="str">
            <v>SCE-03 COPOSA NORTE/NF</v>
          </cell>
          <cell r="B680" t="str">
            <v>03668630</v>
          </cell>
          <cell r="C680" t="str">
            <v>MEDICION DE NIVELES FREATICOS (PAT EIA y</v>
          </cell>
          <cell r="D680" t="str">
            <v>SCE-03 COPOSA NORTE</v>
          </cell>
          <cell r="E680" t="str">
            <v>NF</v>
          </cell>
          <cell r="F680" t="str">
            <v>2026-04-15</v>
          </cell>
          <cell r="G680" t="str">
            <v>2026-04-28</v>
          </cell>
          <cell r="H680" t="str">
            <v>SIGVA</v>
          </cell>
        </row>
        <row r="681">
          <cell r="A681" t="str">
            <v>SCE-01 JACHUCOPOSA/NF</v>
          </cell>
          <cell r="B681" t="str">
            <v>03668631</v>
          </cell>
          <cell r="C681" t="str">
            <v>MEDICION DE NIVELES FREATICOS (PAT EIA)</v>
          </cell>
          <cell r="D681" t="str">
            <v>SCE-01 JACHUCOPOSA</v>
          </cell>
          <cell r="E681" t="str">
            <v>NF</v>
          </cell>
          <cell r="F681" t="str">
            <v>2026-04-15</v>
          </cell>
          <cell r="G681" t="str">
            <v>2026-04-28</v>
          </cell>
          <cell r="H681" t="str">
            <v>SIGVA</v>
          </cell>
        </row>
        <row r="682">
          <cell r="A682" t="str">
            <v>SCE-02 JACHUCOPOSA/NF</v>
          </cell>
          <cell r="B682" t="str">
            <v>03668632</v>
          </cell>
          <cell r="C682" t="str">
            <v>MEDICION DE NIVELES FREATICOS (PAT EIA)</v>
          </cell>
          <cell r="D682" t="str">
            <v>SCE-02 JACHUCOPOSA</v>
          </cell>
          <cell r="E682" t="str">
            <v>NF</v>
          </cell>
          <cell r="F682" t="str">
            <v>2026-04-15</v>
          </cell>
          <cell r="G682" t="str">
            <v>2026-04-28</v>
          </cell>
          <cell r="H682" t="str">
            <v>SIGVA</v>
          </cell>
        </row>
        <row r="683">
          <cell r="A683" t="str">
            <v>SH-19 PUERTO COLLAHUASI/ASUB</v>
          </cell>
          <cell r="B683" t="str">
            <v>03668633</v>
          </cell>
          <cell r="C683" t="str">
            <v>MUESTREO MANUAL DE AGUAS SUBTERRÁNEAS</v>
          </cell>
          <cell r="D683" t="str">
            <v>SH-19 PUERTO COLLAHUASI</v>
          </cell>
          <cell r="E683" t="str">
            <v>ASUB</v>
          </cell>
          <cell r="F683" t="str">
            <v>2026-04-15</v>
          </cell>
          <cell r="G683" t="str">
            <v>2026-04-21</v>
          </cell>
          <cell r="H683" t="str">
            <v>SIGVA</v>
          </cell>
        </row>
        <row r="684">
          <cell r="A684" t="str">
            <v>SH-20 PUERTO COLLAHUASI/ASUB</v>
          </cell>
          <cell r="B684" t="str">
            <v>03668634</v>
          </cell>
          <cell r="C684" t="str">
            <v>MUESTREO MANUAL DE AGUAS SUBTERRÁNEAS</v>
          </cell>
          <cell r="D684" t="str">
            <v>SH-20 PUERTO COLLAHUASI</v>
          </cell>
          <cell r="E684" t="str">
            <v>ASUB</v>
          </cell>
          <cell r="F684" t="str">
            <v>2026-04-15</v>
          </cell>
          <cell r="G684" t="str">
            <v>2026-04-21</v>
          </cell>
          <cell r="H684" t="str">
            <v>SIGVA</v>
          </cell>
        </row>
        <row r="685">
          <cell r="A685" t="str">
            <v>SH-22 PUERTO COLLAHUASI/ASUB</v>
          </cell>
          <cell r="B685" t="str">
            <v>03668635</v>
          </cell>
          <cell r="C685" t="str">
            <v>MUESTREO MANUAL DE AGUAS SUBTERRÁNEAS</v>
          </cell>
          <cell r="D685" t="str">
            <v>SH-22 PUERTO COLLAHUASI</v>
          </cell>
          <cell r="E685" t="str">
            <v>ASUB</v>
          </cell>
          <cell r="F685" t="str">
            <v>2026-04-15</v>
          </cell>
          <cell r="G685" t="str">
            <v>2026-04-21</v>
          </cell>
          <cell r="H685" t="str">
            <v>SIGVA</v>
          </cell>
        </row>
        <row r="686">
          <cell r="A686" t="str">
            <v>SH-23 PUERTO COLLAHUASI/ASUB</v>
          </cell>
          <cell r="B686" t="str">
            <v>03668636</v>
          </cell>
          <cell r="C686" t="str">
            <v>MUESTREO MANUAL DE AGUAS SUBTERRÁNEAS</v>
          </cell>
          <cell r="D686" t="str">
            <v>SH-23 PUERTO COLLAHUASI</v>
          </cell>
          <cell r="E686" t="str">
            <v>ASUB</v>
          </cell>
          <cell r="F686" t="str">
            <v>2026-04-15</v>
          </cell>
          <cell r="G686" t="str">
            <v>2026-04-21</v>
          </cell>
          <cell r="H686" t="str">
            <v>SIGVA</v>
          </cell>
        </row>
        <row r="687">
          <cell r="A687" t="str">
            <v>SH-20 PUERTO COLLAHUASI/NF</v>
          </cell>
          <cell r="B687" t="str">
            <v>03668637</v>
          </cell>
          <cell r="C687" t="str">
            <v>MEDICION DE NIVELES FREATICOS</v>
          </cell>
          <cell r="D687" t="str">
            <v>SH-20 PUERTO COLLAHUASI</v>
          </cell>
          <cell r="E687" t="str">
            <v>NF</v>
          </cell>
          <cell r="F687" t="str">
            <v>2026-04-15</v>
          </cell>
          <cell r="G687" t="str">
            <v>2026-04-21</v>
          </cell>
          <cell r="H687" t="str">
            <v>SIGVA</v>
          </cell>
        </row>
        <row r="688">
          <cell r="A688" t="str">
            <v>SH-22 PUERTO COLLAHUASI/NF</v>
          </cell>
          <cell r="B688" t="str">
            <v>03668638</v>
          </cell>
          <cell r="C688" t="str">
            <v>MEDICION DE NIVELES FREATICOS</v>
          </cell>
          <cell r="D688" t="str">
            <v>SH-22 PUERTO COLLAHUASI</v>
          </cell>
          <cell r="E688" t="str">
            <v>NF</v>
          </cell>
          <cell r="F688" t="str">
            <v>2026-04-15</v>
          </cell>
          <cell r="G688" t="str">
            <v>2026-04-21</v>
          </cell>
          <cell r="H688" t="str">
            <v>SIGVA</v>
          </cell>
        </row>
        <row r="689">
          <cell r="A689" t="str">
            <v>SH-23 PUERTO COLLAHUASI/NF</v>
          </cell>
          <cell r="B689" t="str">
            <v>03668639</v>
          </cell>
          <cell r="C689" t="str">
            <v>MEDICION DE NIVELES FREATICOS</v>
          </cell>
          <cell r="D689" t="str">
            <v>SH-23 PUERTO COLLAHUASI</v>
          </cell>
          <cell r="E689" t="str">
            <v>NF</v>
          </cell>
          <cell r="F689" t="str">
            <v>2026-04-15</v>
          </cell>
          <cell r="G689" t="str">
            <v>2026-04-21</v>
          </cell>
          <cell r="H689" t="str">
            <v>SIGVA</v>
          </cell>
        </row>
        <row r="690">
          <cell r="A690" t="str">
            <v>Piscina P2 ROSARIO/ASUP</v>
          </cell>
          <cell r="B690" t="str">
            <v>03668640</v>
          </cell>
          <cell r="C690" t="str">
            <v>MUESTREO MANUAL DE AGUAS SUPERFICIALES</v>
          </cell>
          <cell r="D690" t="str">
            <v>Piscina P2 ROSARIO</v>
          </cell>
          <cell r="E690" t="str">
            <v>ASUP</v>
          </cell>
          <cell r="F690" t="str">
            <v>2026-04-15</v>
          </cell>
          <cell r="G690" t="str">
            <v>2026-04-21</v>
          </cell>
          <cell r="H690" t="str">
            <v>SIGVA</v>
          </cell>
        </row>
        <row r="691">
          <cell r="A691" t="str">
            <v>ARR- 1 (Piscina P2)/ASUP</v>
          </cell>
          <cell r="B691" t="str">
            <v>03668641</v>
          </cell>
          <cell r="C691" t="str">
            <v>MUESTREO MANUAL DE AGUAS SUPERFICIALES</v>
          </cell>
          <cell r="D691" t="str">
            <v>ARR- 1 (Piscina P2)</v>
          </cell>
          <cell r="E691" t="str">
            <v>ASUP</v>
          </cell>
          <cell r="F691" t="str">
            <v>2026-04-15</v>
          </cell>
          <cell r="G691" t="str">
            <v>2026-04-21</v>
          </cell>
          <cell r="H691" t="str">
            <v>SIGVA</v>
          </cell>
        </row>
        <row r="692">
          <cell r="A692" t="str">
            <v>PUNTERA 4 CHICLLA/ASUB</v>
          </cell>
          <cell r="B692" t="str">
            <v>03668642</v>
          </cell>
          <cell r="C692" t="str">
            <v>MUESTREO MANUAL DE AGUAS SUBTERRÁNEAS</v>
          </cell>
          <cell r="D692" t="str">
            <v>PUNTERA 4 CHICLLA</v>
          </cell>
          <cell r="E692" t="str">
            <v>ASUB</v>
          </cell>
          <cell r="F692" t="str">
            <v>2026-04-15</v>
          </cell>
          <cell r="G692" t="str">
            <v>2026-04-28</v>
          </cell>
          <cell r="H692" t="str">
            <v>SIGVA</v>
          </cell>
        </row>
        <row r="693">
          <cell r="A693" t="str">
            <v>PUNTERA 4 CHICLLA/NF</v>
          </cell>
          <cell r="B693" t="str">
            <v>03668643</v>
          </cell>
          <cell r="C693" t="str">
            <v>MEDICIÓN NIVELES FREÁTICOS</v>
          </cell>
          <cell r="D693" t="str">
            <v>PUNTERA 4 CHICLLA</v>
          </cell>
          <cell r="E693" t="str">
            <v>NF</v>
          </cell>
          <cell r="F693" t="str">
            <v>2026-04-15</v>
          </cell>
          <cell r="G693" t="str">
            <v>2026-04-28</v>
          </cell>
          <cell r="H693" t="str">
            <v>SIGVA</v>
          </cell>
        </row>
        <row r="694">
          <cell r="A694" t="str">
            <v>AFO-RF1/CAUDAL</v>
          </cell>
          <cell r="B694" t="str">
            <v>03668644</v>
          </cell>
          <cell r="C694" t="str">
            <v>MEDICIÓN DE CAUDALES</v>
          </cell>
          <cell r="D694" t="str">
            <v>AFO-RF1</v>
          </cell>
          <cell r="E694" t="str">
            <v>CAUDAL</v>
          </cell>
          <cell r="F694" t="str">
            <v>2026-04-15</v>
          </cell>
          <cell r="G694" t="str">
            <v>2026-04-28</v>
          </cell>
          <cell r="H694" t="str">
            <v>SIGVA</v>
          </cell>
        </row>
        <row r="695">
          <cell r="A695" t="str">
            <v>Piscina P3 ROSARIO/ASUP</v>
          </cell>
          <cell r="B695" t="str">
            <v>03668645</v>
          </cell>
          <cell r="C695" t="str">
            <v>MUESTREO MANUAL DE AGUAS SUPERFICIALES</v>
          </cell>
          <cell r="D695" t="str">
            <v>Piscina P3 ROSARIO</v>
          </cell>
          <cell r="E695" t="str">
            <v>ASUP</v>
          </cell>
          <cell r="F695" t="str">
            <v>2026-04-15</v>
          </cell>
          <cell r="G695" t="str">
            <v>2026-04-21</v>
          </cell>
          <cell r="H695" t="str">
            <v>SIGVA</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3"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W1046192"/>
  <sheetViews>
    <sheetView tabSelected="1" zoomScaleNormal="100" zoomScaleSheetLayoutView="100" workbookViewId="0">
      <pane xSplit="73" ySplit="9" topLeftCell="BY57" activePane="bottomRight" state="frozen"/>
      <selection pane="topRight" activeCell="BV1" sqref="BV1"/>
      <selection pane="bottomLeft" activeCell="A10" sqref="A10"/>
      <selection pane="bottomRight" activeCell="CQ830" sqref="CQ830"/>
    </sheetView>
  </sheetViews>
  <sheetFormatPr baseColWidth="10" defaultColWidth="11.3984375" defaultRowHeight="14.25" customHeight="1"/>
  <cols>
    <col width="18.8984375" customWidth="1" style="137" min="1" max="1"/>
    <col hidden="1" width="29.898437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11.69921875" customWidth="1" style="66" min="65" max="65"/>
    <col width="21.3984375" customWidth="1" style="78" min="66" max="66"/>
    <col width="15.09765625" customWidth="1" style="66" min="67" max="67"/>
    <col width="20.296875" customWidth="1" style="66" min="68" max="68"/>
    <col width="10.8984375" customWidth="1" style="66" min="69" max="71"/>
    <col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3"/>
    <col width="8.09765625" customWidth="1" style="78" min="104" max="104"/>
    <col width="2.296875" customWidth="1" style="78" min="105" max="113"/>
    <col width="6" customWidth="1" style="66" min="114" max="114"/>
    <col width="7.09765625" bestFit="1" customWidth="1" style="94" min="115" max="115"/>
    <col width="5.3984375" bestFit="1" customWidth="1" style="94" min="116" max="116"/>
    <col width="4.59765625" customWidth="1" style="66" min="117" max="117"/>
    <col width="6.8984375" customWidth="1" style="94" min="118" max="119"/>
    <col width="6.69921875" customWidth="1" min="123" max="123"/>
    <col width="27.59765625" customWidth="1" min="124" max="124"/>
  </cols>
  <sheetData>
    <row r="1" ht="12.5" customHeight="1" thickBot="1">
      <c r="BU1" s="80" t="inlineStr">
        <is>
          <t>FILTRADO1</t>
        </is>
      </c>
      <c r="BV1" s="7">
        <f>SUBTOTAL(9,BV10:BV1067)</f>
        <v/>
      </c>
      <c r="BW1" s="7">
        <f>SUBTOTAL(9,BW10:BW1067)</f>
        <v/>
      </c>
      <c r="BX1" s="7">
        <f>SUBTOTAL(9,BX10:BX1067)</f>
        <v/>
      </c>
      <c r="BY1" s="7">
        <f>SUBTOTAL(9,BY10:BY1067)</f>
        <v/>
      </c>
      <c r="BZ1" s="7">
        <f>SUBTOTAL(9,BZ10:BZ1067)</f>
        <v/>
      </c>
      <c r="CA1" s="7">
        <f>SUBTOTAL(9,CA10:CA1067)</f>
        <v/>
      </c>
      <c r="CB1" s="7">
        <f>SUBTOTAL(9,CB10:CB1067)</f>
        <v/>
      </c>
      <c r="CC1" s="7">
        <f>SUBTOTAL(9,CC10:CC1067)</f>
        <v/>
      </c>
      <c r="CD1" s="7">
        <f>SUBTOTAL(9,CD10:CD1067)</f>
        <v/>
      </c>
      <c r="CE1" s="7">
        <f>SUBTOTAL(9,CE10:CE1067)</f>
        <v/>
      </c>
      <c r="CF1" s="7">
        <f>SUBTOTAL(9,CF10:CF1067)</f>
        <v/>
      </c>
      <c r="CG1" s="7">
        <f>SUBTOTAL(9,CG10:CG1067)</f>
        <v/>
      </c>
      <c r="CH1" s="7">
        <f>SUBTOTAL(9,CH10:CH1067)</f>
        <v/>
      </c>
      <c r="CI1" s="7">
        <f>SUBTOTAL(9,CI10:CI1067)</f>
        <v/>
      </c>
      <c r="CJ1" s="7">
        <f>SUBTOTAL(9,CJ10:CJ1067)</f>
        <v/>
      </c>
      <c r="CK1" s="7">
        <f>SUBTOTAL(9,CK10:CK1067)</f>
        <v/>
      </c>
      <c r="CL1" s="7">
        <f>SUBTOTAL(9,CL10:CL1067)</f>
        <v/>
      </c>
      <c r="CM1" s="7">
        <f>SUBTOTAL(9,CM10:CM1067)</f>
        <v/>
      </c>
      <c r="CN1" s="7">
        <f>SUBTOTAL(9,CN10:CN1067)</f>
        <v/>
      </c>
      <c r="CO1" s="7">
        <f>SUBTOTAL(9,CO10:CO1067)</f>
        <v/>
      </c>
      <c r="CP1" s="7">
        <f>SUBTOTAL(9,CP10:CP1067)</f>
        <v/>
      </c>
      <c r="CQ1" s="7">
        <f>SUBTOTAL(9,CQ10:CQ1067)</f>
        <v/>
      </c>
      <c r="CR1" s="7">
        <f>SUBTOTAL(9,CR10:CR1067)</f>
        <v/>
      </c>
      <c r="CS1" s="7">
        <f>SUBTOTAL(9,CS10:CS1067)</f>
        <v/>
      </c>
      <c r="CT1" s="7">
        <f>SUBTOTAL(9,CT10:CT1067)</f>
        <v/>
      </c>
      <c r="CU1" s="7">
        <f>SUBTOTAL(9,CU10:CU1067)</f>
        <v/>
      </c>
      <c r="CV1" s="7">
        <f>SUBTOTAL(9,CV10:CV1067)</f>
        <v/>
      </c>
      <c r="CW1" s="7">
        <f>SUBTOTAL(9,CW10:CW1067)</f>
        <v/>
      </c>
      <c r="CX1" s="7">
        <f>SUBTOTAL(9,CX10:CX1067)</f>
        <v/>
      </c>
      <c r="CY1" s="7">
        <f>SUBTOTAL(9,CY10:CY1067)</f>
        <v/>
      </c>
      <c r="CZ1" s="160">
        <f>SUBTOTAL(9,CZ10:CZ1067)</f>
        <v/>
      </c>
      <c r="DK1" s="366" t="inlineStr">
        <is>
          <t>SIMBOLOGIA</t>
        </is>
      </c>
      <c r="DL1" s="367" t="n"/>
      <c r="DM1" s="367" t="n"/>
      <c r="DN1" s="367" t="n"/>
      <c r="DO1" s="367" t="n"/>
      <c r="DP1" s="367" t="n"/>
      <c r="DQ1" s="367" t="n"/>
      <c r="DR1" s="367" t="n"/>
      <c r="DS1" s="367" t="n"/>
      <c r="DT1" s="368" t="n"/>
    </row>
    <row r="2" ht="12" customHeight="1">
      <c r="BU2" s="80" t="inlineStr">
        <is>
          <t>TODOS</t>
        </is>
      </c>
      <c r="BV2" s="7">
        <f>COUNTA(BV10:BV1067)</f>
        <v/>
      </c>
      <c r="BW2" s="7">
        <f>COUNTA(BW10:BW1067)</f>
        <v/>
      </c>
      <c r="BX2" s="7">
        <f>COUNTA(BX10:BX1067)</f>
        <v/>
      </c>
      <c r="BY2" s="7">
        <f>COUNTA(BY10:BY1067)</f>
        <v/>
      </c>
      <c r="BZ2" s="7">
        <f>COUNTA(BZ10:BZ1067)</f>
        <v/>
      </c>
      <c r="CA2" s="7">
        <f>COUNTA(CA10:CA1067)</f>
        <v/>
      </c>
      <c r="CB2" s="7">
        <f>COUNTA(CB10:CB1067)</f>
        <v/>
      </c>
      <c r="CC2" s="7">
        <f>COUNTA(CC10:CC1067)</f>
        <v/>
      </c>
      <c r="CD2" s="7">
        <f>COUNTA(CD10:CD1067)</f>
        <v/>
      </c>
      <c r="CE2" s="7">
        <f>COUNTA(CE10:CE1067)</f>
        <v/>
      </c>
      <c r="CF2" s="7">
        <f>COUNTA(CF10:CF1067)</f>
        <v/>
      </c>
      <c r="CG2" s="7">
        <f>COUNTA(CG10:CG1067)</f>
        <v/>
      </c>
      <c r="CH2" s="7">
        <f>COUNTA(CH10:CH1067)</f>
        <v/>
      </c>
      <c r="CI2" s="7">
        <f>COUNTA(CI10:CI1067)</f>
        <v/>
      </c>
      <c r="CJ2" s="7">
        <f>COUNTA(CJ10:CJ1067)</f>
        <v/>
      </c>
      <c r="CK2" s="7">
        <f>COUNTA(CK10:CK1067)</f>
        <v/>
      </c>
      <c r="CL2" s="7">
        <f>COUNTA(CL10:CL1067)</f>
        <v/>
      </c>
      <c r="CM2" s="7">
        <f>COUNTA(CM10:CM1067)</f>
        <v/>
      </c>
      <c r="CN2" s="7">
        <f>COUNTA(CN10:CN1067)</f>
        <v/>
      </c>
      <c r="CO2" s="7">
        <f>COUNTA(CO10:CO1067)</f>
        <v/>
      </c>
      <c r="CP2" s="7">
        <f>COUNTA(CP10:CP1067)</f>
        <v/>
      </c>
      <c r="CQ2" s="7">
        <f>COUNTA(CQ10:CQ1067)</f>
        <v/>
      </c>
      <c r="CR2" s="7">
        <f>COUNTA(CR10:CR1067)</f>
        <v/>
      </c>
      <c r="CS2" s="7">
        <f>COUNTA(CS10:CS1067)</f>
        <v/>
      </c>
      <c r="CT2" s="7">
        <f>COUNTA(CT10:CT1067)</f>
        <v/>
      </c>
      <c r="CU2" s="7">
        <f>COUNTA(CU10:CU1067)</f>
        <v/>
      </c>
      <c r="CV2" s="7">
        <f>COUNTA(CV10:CV1067)</f>
        <v/>
      </c>
      <c r="CW2" s="7">
        <f>COUNTA(CW10:CW1067)</f>
        <v/>
      </c>
      <c r="CX2" s="7">
        <f>COUNTA(CX10:CX1067)</f>
        <v/>
      </c>
      <c r="CY2" s="7">
        <f>COUNTA(CY10:CY1067)</f>
        <v/>
      </c>
      <c r="CZ2" s="160">
        <f>SUM(CZ10:CZ1055)</f>
        <v/>
      </c>
      <c r="DK2" s="85" t="inlineStr">
        <is>
          <t>M</t>
        </is>
      </c>
      <c r="DL2" s="112" t="inlineStr">
        <is>
          <t>MENSUAL</t>
        </is>
      </c>
      <c r="DM2" s="158" t="n"/>
      <c r="DN2" s="88" t="inlineStr">
        <is>
          <t>2M</t>
        </is>
      </c>
      <c r="DO2" s="112" t="inlineStr">
        <is>
          <t>2 VECES X MES</t>
        </is>
      </c>
      <c r="DP2" s="83" t="n"/>
      <c r="DQ2" s="91" t="inlineStr">
        <is>
          <t>S</t>
        </is>
      </c>
      <c r="DR2" s="84" t="inlineStr">
        <is>
          <t>SEMANAL</t>
        </is>
      </c>
      <c r="DS2" s="91" t="inlineStr">
        <is>
          <t>TF</t>
        </is>
      </c>
      <c r="DT2" s="84" t="inlineStr">
        <is>
          <t>Trimestral partiendo en febrero</t>
        </is>
      </c>
    </row>
    <row r="3" ht="12" customHeight="1">
      <c r="BV3" s="352" t="inlineStr">
        <is>
          <t>R</t>
        </is>
      </c>
      <c r="BW3" t="inlineStr">
        <is>
          <t>REALIZADO</t>
        </is>
      </c>
      <c r="CE3" s="81" t="n"/>
      <c r="CF3" s="174" t="inlineStr">
        <is>
          <t>T1</t>
        </is>
      </c>
      <c r="CG3" t="inlineStr">
        <is>
          <t>Turno 1</t>
        </is>
      </c>
      <c r="CH3" t="inlineStr">
        <is>
          <t>Osvalso Zepeda</t>
        </is>
      </c>
      <c r="CO3" s="142" t="n">
        <v>1</v>
      </c>
      <c r="CP3" t="inlineStr">
        <is>
          <t>SIN CALIDAD</t>
        </is>
      </c>
      <c r="CR3" s="163" t="n">
        <v>1</v>
      </c>
      <c r="CS3" s="78" t="inlineStr">
        <is>
          <t>FOTOMETRO</t>
        </is>
      </c>
      <c r="DK3" s="86" t="inlineStr">
        <is>
          <t xml:space="preserve">T </t>
        </is>
      </c>
      <c r="DL3" s="113" t="inlineStr">
        <is>
          <t>TRIMESTRAL</t>
        </is>
      </c>
      <c r="DM3" s="61" t="n"/>
      <c r="DN3" s="89" t="inlineStr">
        <is>
          <t>2S</t>
        </is>
      </c>
      <c r="DO3" s="113" t="inlineStr">
        <is>
          <t>2 VECES X SEMAN</t>
        </is>
      </c>
      <c r="DP3" s="7" t="n"/>
      <c r="DQ3" s="92" t="inlineStr">
        <is>
          <t>A</t>
        </is>
      </c>
      <c r="DR3" s="38" t="inlineStr">
        <is>
          <t>ANUAL</t>
        </is>
      </c>
      <c r="DS3" s="92" t="inlineStr">
        <is>
          <t>STRAL</t>
        </is>
      </c>
      <c r="DT3" s="38" t="inlineStr">
        <is>
          <t>SEMESTRAL</t>
        </is>
      </c>
    </row>
    <row r="4" ht="12.5" customHeight="1" thickBot="1">
      <c r="BP4" s="66" t="inlineStr"/>
      <c r="BV4" s="352" t="inlineStr">
        <is>
          <t>S</t>
        </is>
      </c>
      <c r="BW4" t="inlineStr">
        <is>
          <t>SUSPENSIÓN</t>
        </is>
      </c>
      <c r="CE4" s="79" t="n"/>
      <c r="CF4" s="175" t="inlineStr">
        <is>
          <t>T2</t>
        </is>
      </c>
      <c r="CG4" t="inlineStr">
        <is>
          <t>Turno 2</t>
        </is>
      </c>
      <c r="CH4" t="inlineStr">
        <is>
          <t>Patricio Ramirez</t>
        </is>
      </c>
      <c r="CO4" s="107" t="n">
        <v>1</v>
      </c>
      <c r="CP4" t="inlineStr">
        <is>
          <t>CALIDAD</t>
        </is>
      </c>
      <c r="CS4" s="78" t="n"/>
      <c r="DK4" s="87" t="inlineStr">
        <is>
          <t>B</t>
        </is>
      </c>
      <c r="DL4" s="114" t="inlineStr">
        <is>
          <t>BIMESTRAL</t>
        </is>
      </c>
      <c r="DM4" s="159" t="n"/>
      <c r="DN4" s="90" t="inlineStr">
        <is>
          <t>D</t>
        </is>
      </c>
      <c r="DO4" s="156" t="inlineStr">
        <is>
          <t>DIARIO</t>
        </is>
      </c>
      <c r="DP4" s="34" t="n"/>
      <c r="DQ4" s="93" t="inlineStr">
        <is>
          <t>N/A</t>
        </is>
      </c>
      <c r="DR4" s="33" t="inlineStr">
        <is>
          <t>No aplica</t>
        </is>
      </c>
      <c r="DS4" s="93" t="n"/>
      <c r="DT4" s="33" t="n"/>
    </row>
    <row r="5" ht="10.5" customHeight="1" thickBot="1">
      <c r="BV5" s="71" t="n"/>
      <c r="BZ5" t="inlineStr">
        <is>
          <t>PISC</t>
        </is>
      </c>
      <c r="CB5" s="176" t="n"/>
      <c r="CC5" s="176" t="n"/>
      <c r="CD5" s="176" t="n"/>
      <c r="CE5" s="176" t="n"/>
      <c r="CF5" s="176" t="n"/>
      <c r="CG5" s="176" t="n"/>
      <c r="CH5" s="176" t="n"/>
      <c r="CI5" s="176" t="n"/>
      <c r="CJ5" s="176" t="n"/>
      <c r="CK5" s="176" t="n"/>
      <c r="CL5" s="176" t="n"/>
      <c r="CM5" s="176" t="n"/>
      <c r="CN5" s="176" t="n"/>
      <c r="CO5" s="176" t="n"/>
      <c r="CP5" s="176" t="n"/>
      <c r="CQ5" s="176" t="n"/>
      <c r="CR5" s="176" t="n"/>
      <c r="CS5" s="176" t="n"/>
      <c r="CT5" s="176" t="n"/>
      <c r="CU5" s="176" t="n"/>
      <c r="CV5" s="176" t="n"/>
      <c r="CW5" s="176" t="n"/>
      <c r="CX5" s="176" t="n"/>
      <c r="CY5" s="176" t="n"/>
      <c r="DA5" s="257" t="inlineStr">
        <is>
          <t>PMAP</t>
        </is>
      </c>
      <c r="DB5" s="369" t="n"/>
      <c r="DC5" s="369" t="n"/>
      <c r="DD5" s="369" t="n"/>
      <c r="DE5" s="369" t="n"/>
      <c r="DF5" s="369" t="n"/>
      <c r="DG5" s="369" t="n"/>
      <c r="DH5" s="369" t="n"/>
      <c r="DI5" s="108" t="n"/>
      <c r="DK5" s="87" t="inlineStr">
        <is>
          <t>TD</t>
        </is>
      </c>
      <c r="DL5" s="114" t="inlineStr">
        <is>
          <t>TRIMESTRAL DESFASADO</t>
        </is>
      </c>
      <c r="DM5" s="159" t="n"/>
      <c r="DN5" s="90" t="n"/>
      <c r="DO5" s="156" t="n"/>
      <c r="DP5" s="34" t="n"/>
      <c r="DQ5" s="93" t="n"/>
      <c r="DR5" s="33" t="n"/>
      <c r="DS5" s="64" t="n"/>
    </row>
    <row r="6" ht="15.65" customHeight="1" thickBot="1">
      <c r="A6" s="138" t="n"/>
      <c r="B6" s="150"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79" t="n"/>
      <c r="CA6" s="179" t="n"/>
      <c r="CB6" s="82" t="n"/>
      <c r="CC6" s="140" t="n"/>
      <c r="CD6" s="82" t="n"/>
      <c r="CE6" s="140" t="n"/>
      <c r="CF6" s="140" t="n"/>
      <c r="CG6" s="82" t="n"/>
      <c r="CH6" s="82" t="n"/>
      <c r="CI6" s="140" t="n"/>
      <c r="CJ6" s="82" t="n"/>
      <c r="CK6" s="82" t="n"/>
      <c r="CL6" s="82" t="n"/>
      <c r="CM6" s="82" t="n"/>
      <c r="CN6" s="82" t="n"/>
      <c r="CO6" s="82" t="n"/>
      <c r="CP6" s="82" t="n"/>
      <c r="CQ6" s="141" t="n"/>
      <c r="CR6" s="141" t="n"/>
      <c r="CS6" s="141" t="n"/>
      <c r="CT6" s="141" t="n"/>
      <c r="CU6" s="141" t="n"/>
      <c r="CV6" s="141" t="n"/>
      <c r="CW6" s="141" t="n"/>
      <c r="CX6" s="141" t="n"/>
      <c r="CY6" s="141" t="n"/>
      <c r="DA6" s="172" t="inlineStr">
        <is>
          <t>X</t>
        </is>
      </c>
      <c r="DB6" s="172" t="n"/>
      <c r="DC6" s="172" t="inlineStr">
        <is>
          <t>X</t>
        </is>
      </c>
      <c r="DD6" s="172" t="n"/>
      <c r="DE6" s="172" t="n"/>
      <c r="DF6" s="172" t="n"/>
      <c r="DG6" s="172" t="inlineStr">
        <is>
          <t>X</t>
        </is>
      </c>
      <c r="DH6" s="172" t="n"/>
      <c r="DI6" s="173" t="inlineStr">
        <is>
          <t>X</t>
        </is>
      </c>
    </row>
    <row r="7" ht="84.65000000000001" customHeight="1" thickBot="1">
      <c r="A7" s="264" t="inlineStr">
        <is>
          <t>CÓDIGO</t>
        </is>
      </c>
      <c r="B7" s="267" t="inlineStr">
        <is>
          <t>CÓDIGO MST</t>
        </is>
      </c>
      <c r="C7" s="270" t="inlineStr">
        <is>
          <t>NIVEL (31705/2023)</t>
        </is>
      </c>
      <c r="D7" s="261" t="inlineStr">
        <is>
          <t>COMPROMISO FINAL</t>
        </is>
      </c>
      <c r="E7" s="272" t="inlineStr">
        <is>
          <t>COMPROMETIDO
RCA 20219900112</t>
        </is>
      </c>
      <c r="F7" s="272" t="inlineStr">
        <is>
          <t>COMPROMETIDO 
RCA ANTERIORES -SERVICIO SALUD</t>
        </is>
      </c>
      <c r="G7" s="272" t="inlineStr">
        <is>
          <t>COMPROMETIDO PDC</t>
        </is>
      </c>
      <c r="H7" s="272" t="inlineStr">
        <is>
          <t>COORDENADA
ESTE (m)</t>
        </is>
      </c>
      <c r="I7" s="272" t="inlineStr">
        <is>
          <t>COORDENADA 
NORTE (m)</t>
        </is>
      </c>
      <c r="J7" s="272" t="inlineStr">
        <is>
          <t>ESTADO PUNTO DE MONITOREO</t>
        </is>
      </c>
      <c r="K7" s="272" t="inlineStr">
        <is>
          <t>REQUIERE MEDICIÓN CONTINUA PARA NIVEL</t>
        </is>
      </c>
      <c r="L7" s="272" t="inlineStr">
        <is>
          <t>MATRIZ</t>
        </is>
      </c>
      <c r="M7" s="272" t="inlineStr">
        <is>
          <t>MACROZONA</t>
        </is>
      </c>
      <c r="N7" s="272" t="inlineStr">
        <is>
          <t>DESCRIPCIÓN</t>
        </is>
      </c>
      <c r="O7" s="272" t="inlineStr">
        <is>
          <t>ÁREA UBICACIÓN</t>
        </is>
      </c>
      <c r="P7" s="258" t="inlineStr">
        <is>
          <t>NIVEL
RCA 20219900112</t>
        </is>
      </c>
      <c r="Q7" s="258" t="inlineStr">
        <is>
          <t>FRECUENCIA 
NIVEL 1
RCA 20219900112</t>
        </is>
      </c>
      <c r="R7" s="258" t="inlineStr">
        <is>
          <t>FRECUENCIA 
NIVEL 2
RCA 20219900112</t>
        </is>
      </c>
      <c r="S7" s="258" t="inlineStr">
        <is>
          <t>FRECUENCIA 
NIVEL 3
RCA 20219900112</t>
        </is>
      </c>
      <c r="T7" s="258" t="inlineStr">
        <is>
          <t>NIVEL 
ANTERIOR</t>
        </is>
      </c>
      <c r="U7" s="258" t="inlineStr">
        <is>
          <t>FRECUENCIA 
NIVEL ANTERIOR</t>
        </is>
      </c>
      <c r="V7" s="261" t="inlineStr">
        <is>
          <t>NIVEL FREÁTICO
TERRENO</t>
        </is>
      </c>
      <c r="W7" s="261" t="inlineStr">
        <is>
          <t>FRECUENCIA NIVEL FREÁTICO
TERRENO - RESTRICTIVA</t>
        </is>
      </c>
      <c r="X7" s="258" t="inlineStr">
        <is>
          <t>CAUDAL DE BOMBEO
RCA 20219900112</t>
        </is>
      </c>
      <c r="Y7" s="258" t="inlineStr">
        <is>
          <t>FRECUENCIA 
CAUDAL DE BOMBEO
RCA 20219900112</t>
        </is>
      </c>
      <c r="Z7" s="258" t="inlineStr">
        <is>
          <t>CAUDAL DE BOMBEO 
ANTERIOR</t>
        </is>
      </c>
      <c r="AA7" s="258" t="inlineStr">
        <is>
          <t>FRECUENCIA 
CAUDAL DE BOMBEO 
ANTERIOR</t>
        </is>
      </c>
      <c r="AB7" s="261" t="inlineStr">
        <is>
          <t>CAUDAL DE BOMBEO
TERRENO</t>
        </is>
      </c>
      <c r="AC7" s="261" t="inlineStr">
        <is>
          <t>FRECUENCIA CAUDAL DE BOMBEO
TERRENO - RESTRICTIVA</t>
        </is>
      </c>
      <c r="AD7" s="258" t="inlineStr">
        <is>
          <t>CAUDAL 
VOLUMÉTRICO
RCA 20219900112</t>
        </is>
      </c>
      <c r="AE7" s="258" t="inlineStr">
        <is>
          <t>FRECUENCIA 
CAUDAL VOLUMÉTRICO 1
RCA 20219900112</t>
        </is>
      </c>
      <c r="AF7" s="258" t="inlineStr">
        <is>
          <t>FRECUENCIA
 CAUDAL VOLUMÉTRICO 2
RCA 20219900112</t>
        </is>
      </c>
      <c r="AG7" s="258" t="inlineStr">
        <is>
          <t>CAUDAL VOLÚMETRICO 
ANTERIOR</t>
        </is>
      </c>
      <c r="AH7" s="258" t="inlineStr">
        <is>
          <t>FRECUENCIA
 CAUDAL VOLUMÉTRICO
ANTERIOR</t>
        </is>
      </c>
      <c r="AI7" s="261" t="inlineStr">
        <is>
          <t>CAUDAL VOLUMÉTRICO
TERRENO</t>
        </is>
      </c>
      <c r="AJ7" s="261" t="inlineStr">
        <is>
          <t>FRECUENCIA CAUDAL VOLUMÉTRICO 
TERRENO- RESTRICTIVA</t>
        </is>
      </c>
      <c r="AK7" s="258" t="inlineStr">
        <is>
          <t>CALIDAD DE AGUA
RCA 20219900112</t>
        </is>
      </c>
      <c r="AL7" s="258" t="inlineStr">
        <is>
          <t>FRECUENCIA 
CALIDAD DE AGUA 1
RCA 20219900112</t>
        </is>
      </c>
      <c r="AM7" s="258" t="inlineStr">
        <is>
          <t>FRECUENCIA 
CALIDAD DE AGUA 2
RCA 20219900112</t>
        </is>
      </c>
      <c r="AN7" s="258" t="inlineStr">
        <is>
          <t>CALIDAD DE AGUA
ANTERIOR
PLAN 1</t>
        </is>
      </c>
      <c r="AO7" s="258" t="inlineStr">
        <is>
          <t>FRECUENCIA 
CALIDAD DE AGUA
ANTERIOR
PLAN 1</t>
        </is>
      </c>
      <c r="AP7" s="258" t="inlineStr">
        <is>
          <t>CALIDAD DE AGUA
 ANTERIOR
PLAN 2</t>
        </is>
      </c>
      <c r="AQ7" s="258" t="inlineStr">
        <is>
          <t>FRECUENCIA 
CALIDAD DE AGUA ANTERIOR
PLAN 2</t>
        </is>
      </c>
      <c r="AR7" s="258" t="inlineStr">
        <is>
          <t>CALIDAD DE AGUA
ANTERIOR
PLAN 3</t>
        </is>
      </c>
      <c r="AS7" s="258" t="inlineStr">
        <is>
          <t>FRECUENCIA 
CALIDAD DE AGUA
ANTERIOR
PLAN 3</t>
        </is>
      </c>
      <c r="AT7" s="261" t="inlineStr">
        <is>
          <t>CALIDAD DE AGUA
TERRENO</t>
        </is>
      </c>
      <c r="AU7" s="261" t="inlineStr">
        <is>
          <t>FRECUENCIA CALIDAD DE AGUA
TERRENO- RESTRICTIVA</t>
        </is>
      </c>
      <c r="AV7" s="258" t="inlineStr">
        <is>
          <t>OTRAS VARIABLES
RCA 20219900112</t>
        </is>
      </c>
      <c r="AW7" s="258" t="inlineStr">
        <is>
          <t>FRECUENCIA 
OTRAS VARIABLES
RCA 20219900112</t>
        </is>
      </c>
      <c r="AX7" s="258" t="inlineStr">
        <is>
          <t>OTRAS VARIABLES
ANTERIOR
PLAN 1</t>
        </is>
      </c>
      <c r="AY7" s="258" t="inlineStr">
        <is>
          <t>FRECUENCIA 
OTRAS VARIABLES 
ANTERIOR
PLAN 1</t>
        </is>
      </c>
      <c r="AZ7" s="258" t="inlineStr">
        <is>
          <t>OTRAS VARIABLES
ANTERIOR
PLAN 2</t>
        </is>
      </c>
      <c r="BA7" s="258" t="inlineStr">
        <is>
          <t>FRECUENCIA 
OTRAS VARIABLES 
ANTERIOR
PLAN 2</t>
        </is>
      </c>
      <c r="BB7" s="258" t="inlineStr">
        <is>
          <t>OTRAS VARIABLES
ANTERIOR
PLAN 3</t>
        </is>
      </c>
      <c r="BC7" s="258" t="inlineStr">
        <is>
          <t>FRECUENCIA 
OTRAS VARIABLES 
ANTERIOR
PLAN 3</t>
        </is>
      </c>
      <c r="BD7" s="261" t="inlineStr">
        <is>
          <t>OTRAS VARIABLES
TERRENO</t>
        </is>
      </c>
      <c r="BE7" s="261" t="inlineStr">
        <is>
          <t>FRECUENCIA 
OTRAS VARIABLES
TERRENO- RESTRICTIVA</t>
        </is>
      </c>
      <c r="BF7" s="258" t="inlineStr">
        <is>
          <t>REPORTE A LA AUTORIDAD - COMUNIDAD</t>
        </is>
      </c>
      <c r="BG7" s="258" t="inlineStr">
        <is>
          <t>COMPROMISO CORRESPONDE A:</t>
        </is>
      </c>
      <c r="BH7" s="258" t="inlineStr">
        <is>
          <t>RCA</t>
        </is>
      </c>
      <c r="BI7" s="258" t="inlineStr">
        <is>
          <t>OBSERVACIONES</t>
        </is>
      </c>
      <c r="BJ7" s="258" t="inlineStr">
        <is>
          <t>FECHA DE MODIFICACIÓN</t>
        </is>
      </c>
      <c r="BK7" s="275" t="inlineStr">
        <is>
          <t>TAG</t>
        </is>
      </c>
      <c r="BL7" s="275" t="inlineStr">
        <is>
          <t>GERENCIA</t>
        </is>
      </c>
      <c r="BM7" s="278" t="inlineStr">
        <is>
          <t>MATRIZ TERRENO</t>
        </is>
      </c>
      <c r="BN7" s="278" t="inlineStr">
        <is>
          <t>UBICACIÓN</t>
        </is>
      </c>
      <c r="BO7" s="275" t="inlineStr">
        <is>
          <t>COMPROMETIDO</t>
        </is>
      </c>
      <c r="BP7" s="280" t="inlineStr">
        <is>
          <t>CONECTOR</t>
        </is>
      </c>
      <c r="BQ7" s="278" t="inlineStr">
        <is>
          <t>Ots</t>
        </is>
      </c>
      <c r="BR7" s="278" t="inlineStr">
        <is>
          <t>FECHA INICIO  OT</t>
        </is>
      </c>
      <c r="BS7" s="278" t="inlineStr">
        <is>
          <t>FECHA TERMINO OT</t>
        </is>
      </c>
      <c r="BT7" s="297" t="inlineStr">
        <is>
          <t>SOLICITUDES ESPECIALES</t>
        </is>
      </c>
      <c r="BU7" s="297" t="inlineStr">
        <is>
          <t>OBS TERRENO</t>
        </is>
      </c>
      <c r="BV7" s="221" t="inlineStr">
        <is>
          <t>PMAP Y MP</t>
        </is>
      </c>
      <c r="BW7" s="222" t="inlineStr">
        <is>
          <t>MP-FLUJOMETROS</t>
        </is>
      </c>
      <c r="BX7" s="222" t="inlineStr">
        <is>
          <t>Michincha</t>
        </is>
      </c>
      <c r="BY7" s="222" t="inlineStr">
        <is>
          <t>Lixi</t>
        </is>
      </c>
      <c r="BZ7" s="222" t="inlineStr">
        <is>
          <t>P3, LIXI, PAF YABRI-CAYA</t>
        </is>
      </c>
      <c r="CA7" s="222" t="inlineStr">
        <is>
          <t>Michincha, LIXI, PAF SALLIHUINCA</t>
        </is>
      </c>
      <c r="CB7" s="222" t="inlineStr">
        <is>
          <t>JACHU CMA, POTABLES</t>
        </is>
      </c>
      <c r="CC7" s="222" t="n"/>
      <c r="CD7" s="221" t="inlineStr">
        <is>
          <t>MP</t>
        </is>
      </c>
      <c r="CE7" s="221" t="inlineStr">
        <is>
          <t>MP</t>
        </is>
      </c>
      <c r="CF7" s="221" t="inlineStr">
        <is>
          <t>CENTRO</t>
        </is>
      </c>
      <c r="CG7" s="221" t="inlineStr">
        <is>
          <t>PAF TAMENTICA</t>
        </is>
      </c>
      <c r="CH7" s="221" t="inlineStr">
        <is>
          <t>PAF TAMENTICA</t>
        </is>
      </c>
      <c r="CI7" s="221" t="inlineStr">
        <is>
          <t>PAF TAMENTICA</t>
        </is>
      </c>
      <c r="CJ7" s="221" t="inlineStr">
        <is>
          <t>tranque, jachu</t>
        </is>
      </c>
      <c r="CK7" s="222" t="inlineStr">
        <is>
          <t>tfalla</t>
        </is>
      </c>
      <c r="CL7" s="222" t="inlineStr">
        <is>
          <t xml:space="preserve">sur, PORTEZUELO </t>
        </is>
      </c>
      <c r="CM7" s="222" t="inlineStr">
        <is>
          <t>tnorte</t>
        </is>
      </c>
      <c r="CN7" s="222" t="inlineStr">
        <is>
          <t>P2-P3-ARR-1</t>
        </is>
      </c>
      <c r="CO7" s="222" t="inlineStr">
        <is>
          <t>pmap cto, NORTE 54</t>
        </is>
      </c>
      <c r="CP7" s="222" t="inlineStr">
        <is>
          <t>t,pmap cto</t>
        </is>
      </c>
      <c r="CQ7" s="222" t="inlineStr">
        <is>
          <t>pmap jachu</t>
        </is>
      </c>
      <c r="CR7" s="221" t="inlineStr">
        <is>
          <t>POTABLES</t>
        </is>
      </c>
      <c r="CS7" s="221" t="inlineStr">
        <is>
          <t>t,pmap cto, CHICLLA</t>
        </is>
      </c>
      <c r="CT7" s="221" t="inlineStr">
        <is>
          <t>centro</t>
        </is>
      </c>
      <c r="CU7" s="221" t="inlineStr">
        <is>
          <t>CEUSIS</t>
        </is>
      </c>
      <c r="CV7" s="221" t="inlineStr">
        <is>
          <t>t,sur, lixi</t>
        </is>
      </c>
      <c r="CW7" s="221" t="inlineStr">
        <is>
          <t>copaquire, michi</t>
        </is>
      </c>
      <c r="CX7" s="221" t="n"/>
      <c r="CY7" s="222" t="inlineStr">
        <is>
          <t>t</t>
        </is>
      </c>
      <c r="CZ7" s="300" t="inlineStr">
        <is>
          <t>CONTADOR</t>
        </is>
      </c>
      <c r="DA7" s="303" t="inlineStr">
        <is>
          <t>JACHUCOPOSA</t>
        </is>
      </c>
      <c r="DB7" s="328" t="inlineStr">
        <is>
          <t>HUATACONDO</t>
        </is>
      </c>
      <c r="DC7" s="282" t="inlineStr">
        <is>
          <t>SALLIHUINCA</t>
        </is>
      </c>
      <c r="DD7" s="285" t="inlineStr">
        <is>
          <t>AIA NACIENTE COLLAHUASI</t>
        </is>
      </c>
      <c r="DE7" s="288" t="inlineStr">
        <is>
          <t>COPAQUIRE SEGOVIA</t>
        </is>
      </c>
      <c r="DF7" s="291" t="inlineStr">
        <is>
          <t>AGI COPAQUIRE</t>
        </is>
      </c>
      <c r="DG7" s="294" t="inlineStr">
        <is>
          <t>TAMENTICA</t>
        </is>
      </c>
      <c r="DH7" s="339" t="inlineStr">
        <is>
          <t>CHICLLA</t>
        </is>
      </c>
      <c r="DI7" s="310" t="inlineStr">
        <is>
          <t>YABRICOYITA Y CAYA</t>
        </is>
      </c>
      <c r="DJ7" s="313" t="inlineStr">
        <is>
          <t>SIN CALIDAD
(Nivel - Caudal - Cloro)</t>
        </is>
      </c>
      <c r="DK7" s="316" t="inlineStr">
        <is>
          <t>DIA INICIO OT</t>
        </is>
      </c>
      <c r="DL7" s="319" t="inlineStr">
        <is>
          <t>DIA FIN OT</t>
        </is>
      </c>
      <c r="DM7" s="322" t="inlineStr">
        <is>
          <t>CALIDAD</t>
        </is>
      </c>
      <c r="DN7" s="325" t="inlineStr">
        <is>
          <t>DIA INICIO OT</t>
        </is>
      </c>
      <c r="DO7" s="307" t="inlineStr">
        <is>
          <t>DIA FIN OT</t>
        </is>
      </c>
    </row>
    <row r="8" ht="15" customHeight="1">
      <c r="A8" s="370" t="n"/>
      <c r="B8" s="171" t="n"/>
      <c r="C8" s="371" t="n"/>
      <c r="D8" s="371" t="n"/>
      <c r="E8" s="371" t="n"/>
      <c r="F8" s="371" t="n"/>
      <c r="G8" s="371" t="n"/>
      <c r="H8" s="371" t="n"/>
      <c r="I8" s="371" t="n"/>
      <c r="J8" s="371" t="n"/>
      <c r="K8" s="371" t="n"/>
      <c r="L8" s="371" t="n"/>
      <c r="M8" s="371" t="n"/>
      <c r="N8" s="371" t="n"/>
      <c r="O8" s="371" t="n"/>
      <c r="P8" s="371" t="n"/>
      <c r="Q8" s="371" t="n"/>
      <c r="R8" s="371" t="n"/>
      <c r="S8" s="371" t="n"/>
      <c r="T8" s="371" t="n"/>
      <c r="U8" s="371" t="n"/>
      <c r="V8" s="371" t="n"/>
      <c r="W8" s="371" t="n"/>
      <c r="X8" s="371" t="n"/>
      <c r="Y8" s="371" t="n"/>
      <c r="Z8" s="371" t="n"/>
      <c r="AA8" s="371" t="n"/>
      <c r="AB8" s="371" t="n"/>
      <c r="AC8" s="371" t="n"/>
      <c r="AD8" s="371" t="n"/>
      <c r="AE8" s="371" t="n"/>
      <c r="AF8" s="371" t="n"/>
      <c r="AG8" s="371" t="n"/>
      <c r="AH8" s="371" t="n"/>
      <c r="AI8" s="371" t="n"/>
      <c r="AJ8" s="371" t="n"/>
      <c r="AK8" s="371" t="n"/>
      <c r="AL8" s="371" t="n"/>
      <c r="AM8" s="371" t="n"/>
      <c r="AN8" s="371" t="n"/>
      <c r="AO8" s="371" t="n"/>
      <c r="AP8" s="371" t="n"/>
      <c r="AQ8" s="371" t="n"/>
      <c r="AR8" s="371" t="n"/>
      <c r="AS8" s="371" t="n"/>
      <c r="AT8" s="371" t="n"/>
      <c r="AU8" s="371" t="n"/>
      <c r="AV8" s="371" t="n"/>
      <c r="AW8" s="371" t="n"/>
      <c r="AX8" s="371" t="n"/>
      <c r="AY8" s="371" t="n"/>
      <c r="AZ8" s="371" t="n"/>
      <c r="BA8" s="371" t="n"/>
      <c r="BB8" s="371" t="n"/>
      <c r="BC8" s="371" t="n"/>
      <c r="BD8" s="371" t="n"/>
      <c r="BE8" s="371" t="n"/>
      <c r="BF8" s="371" t="n"/>
      <c r="BG8" s="371" t="n"/>
      <c r="BH8" s="371" t="n"/>
      <c r="BI8" s="371" t="n"/>
      <c r="BJ8" s="371" t="n"/>
      <c r="BK8" s="371" t="n"/>
      <c r="BL8" s="371" t="n"/>
      <c r="BM8" s="371" t="n"/>
      <c r="BN8" s="371" t="n"/>
      <c r="BO8" s="371" t="n"/>
      <c r="BP8" s="371" t="n"/>
      <c r="BQ8" s="371" t="n"/>
      <c r="BR8" s="371" t="n"/>
      <c r="BS8" s="371" t="n"/>
      <c r="BT8" s="372" t="n"/>
      <c r="BU8" s="372" t="n"/>
      <c r="BV8" s="223" t="inlineStr">
        <is>
          <t>W</t>
        </is>
      </c>
      <c r="BW8" s="223" t="inlineStr">
        <is>
          <t>J</t>
        </is>
      </c>
      <c r="BX8" s="224" t="inlineStr">
        <is>
          <t>V</t>
        </is>
      </c>
      <c r="BY8" s="224" t="inlineStr">
        <is>
          <t>S</t>
        </is>
      </c>
      <c r="BZ8" s="224" t="inlineStr">
        <is>
          <t>D</t>
        </is>
      </c>
      <c r="CA8" s="225" t="inlineStr">
        <is>
          <t>L</t>
        </is>
      </c>
      <c r="CB8" s="223" t="inlineStr">
        <is>
          <t xml:space="preserve">M </t>
        </is>
      </c>
      <c r="CC8" s="223" t="inlineStr">
        <is>
          <t>W</t>
        </is>
      </c>
      <c r="CD8" s="223" t="inlineStr">
        <is>
          <t>J</t>
        </is>
      </c>
      <c r="CE8" s="223" t="inlineStr">
        <is>
          <t>V</t>
        </is>
      </c>
      <c r="CF8" s="223" t="inlineStr">
        <is>
          <t>S</t>
        </is>
      </c>
      <c r="CG8" s="224" t="inlineStr">
        <is>
          <t>D</t>
        </is>
      </c>
      <c r="CH8" s="225" t="inlineStr">
        <is>
          <t>L</t>
        </is>
      </c>
      <c r="CI8" s="223" t="inlineStr">
        <is>
          <t xml:space="preserve">M </t>
        </is>
      </c>
      <c r="CJ8" s="223" t="inlineStr">
        <is>
          <t>W</t>
        </is>
      </c>
      <c r="CK8" s="223" t="inlineStr">
        <is>
          <t>J</t>
        </is>
      </c>
      <c r="CL8" s="223" t="inlineStr">
        <is>
          <t>V</t>
        </is>
      </c>
      <c r="CM8" s="223" t="inlineStr">
        <is>
          <t>S</t>
        </is>
      </c>
      <c r="CN8" s="224" t="inlineStr">
        <is>
          <t>D</t>
        </is>
      </c>
      <c r="CO8" s="225" t="inlineStr">
        <is>
          <t>L</t>
        </is>
      </c>
      <c r="CP8" s="223" t="inlineStr">
        <is>
          <t xml:space="preserve">M </t>
        </is>
      </c>
      <c r="CQ8" s="223" t="inlineStr">
        <is>
          <t>W</t>
        </is>
      </c>
      <c r="CR8" s="223" t="inlineStr">
        <is>
          <t>J</t>
        </is>
      </c>
      <c r="CS8" s="223" t="inlineStr">
        <is>
          <t>V</t>
        </is>
      </c>
      <c r="CT8" s="223" t="inlineStr">
        <is>
          <t>S</t>
        </is>
      </c>
      <c r="CU8" s="224" t="inlineStr">
        <is>
          <t>D</t>
        </is>
      </c>
      <c r="CV8" s="225" t="inlineStr">
        <is>
          <t>L</t>
        </is>
      </c>
      <c r="CW8" s="223" t="inlineStr">
        <is>
          <t xml:space="preserve">M </t>
        </is>
      </c>
      <c r="CX8" s="223" t="inlineStr">
        <is>
          <t>W</t>
        </is>
      </c>
      <c r="CY8" s="223" t="inlineStr">
        <is>
          <t>J</t>
        </is>
      </c>
      <c r="CZ8" s="171" t="n"/>
      <c r="DA8" s="372" t="n"/>
      <c r="DB8" s="371" t="n"/>
      <c r="DC8" s="371" t="n"/>
      <c r="DD8" s="371" t="n"/>
      <c r="DE8" s="371" t="n"/>
      <c r="DF8" s="371" t="n"/>
      <c r="DG8" s="371" t="n"/>
      <c r="DH8" s="371" t="n"/>
      <c r="DI8" s="371" t="n"/>
      <c r="DJ8" s="371" t="n"/>
      <c r="DK8" s="371" t="n"/>
      <c r="DL8" s="371" t="n"/>
      <c r="DM8" s="371" t="n"/>
      <c r="DN8" s="371" t="n"/>
      <c r="DO8" s="373" t="n"/>
    </row>
    <row r="9" ht="13.5" customHeight="1">
      <c r="A9" s="374" t="n"/>
      <c r="B9" s="375" t="n"/>
      <c r="C9" s="371" t="n"/>
      <c r="D9" s="376" t="n"/>
      <c r="E9" s="376" t="n"/>
      <c r="F9" s="376" t="n"/>
      <c r="G9" s="376" t="n"/>
      <c r="H9" s="376" t="n"/>
      <c r="I9" s="376" t="n"/>
      <c r="J9" s="376" t="n"/>
      <c r="K9" s="376" t="n"/>
      <c r="L9" s="376" t="n"/>
      <c r="M9" s="376" t="n"/>
      <c r="N9" s="376" t="n"/>
      <c r="O9" s="376" t="n"/>
      <c r="P9" s="376" t="n"/>
      <c r="Q9" s="376" t="n"/>
      <c r="R9" s="376" t="n"/>
      <c r="S9" s="376" t="n"/>
      <c r="T9" s="376" t="n"/>
      <c r="U9" s="376" t="n"/>
      <c r="V9" s="376" t="n"/>
      <c r="W9" s="376" t="n"/>
      <c r="X9" s="376" t="n"/>
      <c r="Y9" s="376" t="n"/>
      <c r="Z9" s="376" t="n"/>
      <c r="AA9" s="376" t="n"/>
      <c r="AB9" s="376" t="n"/>
      <c r="AC9" s="376" t="n"/>
      <c r="AD9" s="376" t="n"/>
      <c r="AE9" s="376" t="n"/>
      <c r="AF9" s="376" t="n"/>
      <c r="AG9" s="376" t="n"/>
      <c r="AH9" s="376" t="n"/>
      <c r="AI9" s="376" t="n"/>
      <c r="AJ9" s="376" t="n"/>
      <c r="AK9" s="376" t="n"/>
      <c r="AL9" s="376" t="n"/>
      <c r="AM9" s="376" t="n"/>
      <c r="AN9" s="376" t="n"/>
      <c r="AO9" s="376" t="n"/>
      <c r="AP9" s="376" t="n"/>
      <c r="AQ9" s="376" t="n"/>
      <c r="AR9" s="376" t="n"/>
      <c r="AS9" s="376" t="n"/>
      <c r="AT9" s="376" t="n"/>
      <c r="AU9" s="376" t="n"/>
      <c r="AV9" s="376" t="n"/>
      <c r="AW9" s="376" t="n"/>
      <c r="AX9" s="376" t="n"/>
      <c r="AY9" s="376" t="n"/>
      <c r="AZ9" s="376" t="n"/>
      <c r="BA9" s="376" t="n"/>
      <c r="BB9" s="376" t="n"/>
      <c r="BC9" s="376" t="n"/>
      <c r="BD9" s="376" t="n"/>
      <c r="BE9" s="376" t="n"/>
      <c r="BF9" s="376" t="n"/>
      <c r="BG9" s="376" t="n"/>
      <c r="BH9" s="376" t="n"/>
      <c r="BI9" s="376" t="n"/>
      <c r="BJ9" s="376" t="n"/>
      <c r="BK9" s="376" t="n"/>
      <c r="BL9" s="376" t="n"/>
      <c r="BM9" s="371" t="n"/>
      <c r="BN9" s="371" t="n"/>
      <c r="BO9" s="376" t="n"/>
      <c r="BP9" s="371" t="n"/>
      <c r="BQ9" s="371" t="n"/>
      <c r="BR9" s="371" t="n"/>
      <c r="BS9" s="371" t="n"/>
      <c r="BT9" s="377" t="n"/>
      <c r="BU9" s="377" t="n"/>
      <c r="BV9" s="232" t="inlineStr">
        <is>
          <t>1</t>
        </is>
      </c>
      <c r="BW9" s="233" t="inlineStr">
        <is>
          <t>2</t>
        </is>
      </c>
      <c r="BX9" s="240" t="inlineStr">
        <is>
          <t>3</t>
        </is>
      </c>
      <c r="BY9" s="240" t="inlineStr">
        <is>
          <t>4</t>
        </is>
      </c>
      <c r="BZ9" s="233" t="inlineStr">
        <is>
          <t>5</t>
        </is>
      </c>
      <c r="CA9" s="233" t="inlineStr">
        <is>
          <t>6</t>
        </is>
      </c>
      <c r="CB9" s="233" t="inlineStr">
        <is>
          <t>7</t>
        </is>
      </c>
      <c r="CC9" s="232" t="inlineStr">
        <is>
          <t>8</t>
        </is>
      </c>
      <c r="CD9" s="233" t="inlineStr">
        <is>
          <t>9</t>
        </is>
      </c>
      <c r="CE9" s="233" t="inlineStr">
        <is>
          <t>10</t>
        </is>
      </c>
      <c r="CF9" s="233" t="inlineStr">
        <is>
          <t>11</t>
        </is>
      </c>
      <c r="CG9" s="233" t="inlineStr">
        <is>
          <t>12</t>
        </is>
      </c>
      <c r="CH9" s="233" t="inlineStr">
        <is>
          <t>13</t>
        </is>
      </c>
      <c r="CI9" s="233" t="inlineStr">
        <is>
          <t>14</t>
        </is>
      </c>
      <c r="CJ9" s="232" t="inlineStr">
        <is>
          <t>15</t>
        </is>
      </c>
      <c r="CK9" s="233" t="inlineStr">
        <is>
          <t>16</t>
        </is>
      </c>
      <c r="CL9" s="233" t="inlineStr">
        <is>
          <t>17</t>
        </is>
      </c>
      <c r="CM9" s="233" t="inlineStr">
        <is>
          <t>18</t>
        </is>
      </c>
      <c r="CN9" s="233" t="inlineStr">
        <is>
          <t>19</t>
        </is>
      </c>
      <c r="CO9" s="233" t="inlineStr">
        <is>
          <t>20</t>
        </is>
      </c>
      <c r="CP9" s="233" t="inlineStr">
        <is>
          <t>21</t>
        </is>
      </c>
      <c r="CQ9" s="232" t="inlineStr">
        <is>
          <t>22</t>
        </is>
      </c>
      <c r="CR9" s="233" t="inlineStr">
        <is>
          <t>23</t>
        </is>
      </c>
      <c r="CS9" s="233" t="inlineStr">
        <is>
          <t>24</t>
        </is>
      </c>
      <c r="CT9" s="233" t="inlineStr">
        <is>
          <t>25</t>
        </is>
      </c>
      <c r="CU9" s="232" t="inlineStr">
        <is>
          <t>26</t>
        </is>
      </c>
      <c r="CV9" s="233" t="inlineStr">
        <is>
          <t>27</t>
        </is>
      </c>
      <c r="CW9" s="233" t="n">
        <v>28</v>
      </c>
      <c r="CX9" s="233" t="n">
        <v>29</v>
      </c>
      <c r="CY9" s="233" t="n">
        <v>30</v>
      </c>
      <c r="CZ9" s="375" t="n"/>
      <c r="DA9" s="372" t="n"/>
      <c r="DB9" s="376" t="n"/>
      <c r="DC9" s="376" t="n"/>
      <c r="DD9" s="376" t="n"/>
      <c r="DE9" s="376" t="n"/>
      <c r="DF9" s="376" t="n"/>
      <c r="DG9" s="376" t="n"/>
      <c r="DH9" s="376" t="n"/>
      <c r="DI9" s="376" t="n"/>
      <c r="DJ9" s="376" t="n"/>
      <c r="DK9" s="376" t="n"/>
      <c r="DL9" s="376" t="n"/>
      <c r="DM9" s="376" t="n"/>
      <c r="DN9" s="376" t="n"/>
      <c r="DO9" s="378" t="n"/>
    </row>
    <row r="10" ht="13.5" customHeight="1">
      <c r="A10" s="203" t="inlineStr">
        <is>
          <t>BCC</t>
        </is>
      </c>
      <c r="B10" s="305" t="inlineStr">
        <is>
          <t>MONITOREO DE BAÑOS Y CASINOS BCC</t>
        </is>
      </c>
      <c r="C10" s="251"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2" t="inlineStr">
        <is>
          <t>541BÑ086</t>
        </is>
      </c>
      <c r="BL10" s="164"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06" t="n"/>
      <c r="BV10" s="142" t="inlineStr">
        <is>
          <t>R</t>
        </is>
      </c>
      <c r="BW10" s="142" t="n">
        <v>1</v>
      </c>
      <c r="BX10" s="142" t="n">
        <v>1</v>
      </c>
      <c r="BY10" s="142" t="n">
        <v>1</v>
      </c>
      <c r="BZ10" s="142" t="n">
        <v>1</v>
      </c>
      <c r="CA10" s="142" t="n">
        <v>1</v>
      </c>
      <c r="CB10" s="142" t="n">
        <v>1</v>
      </c>
      <c r="CC10" s="142" t="n">
        <v>1</v>
      </c>
      <c r="CD10" s="142" t="n">
        <v>1</v>
      </c>
      <c r="CE10" s="142" t="n">
        <v>1</v>
      </c>
      <c r="CF10" s="142" t="n">
        <v>1</v>
      </c>
      <c r="CG10" s="142" t="n">
        <v>1</v>
      </c>
      <c r="CH10" s="142" t="n">
        <v>1</v>
      </c>
      <c r="CI10" s="142" t="n">
        <v>1</v>
      </c>
      <c r="CJ10" s="142" t="n">
        <v>1</v>
      </c>
      <c r="CK10" s="142" t="n">
        <v>1</v>
      </c>
      <c r="CL10" s="142" t="n">
        <v>1</v>
      </c>
      <c r="CM10" s="142" t="n">
        <v>1</v>
      </c>
      <c r="CN10" s="142" t="n">
        <v>1</v>
      </c>
      <c r="CO10" s="142" t="n">
        <v>1</v>
      </c>
      <c r="CP10" s="142" t="n">
        <v>1</v>
      </c>
      <c r="CQ10" s="142" t="n">
        <v>1</v>
      </c>
      <c r="CR10" s="142" t="n">
        <v>1</v>
      </c>
      <c r="CS10" s="142" t="n">
        <v>1</v>
      </c>
      <c r="CT10" s="142" t="n">
        <v>1</v>
      </c>
      <c r="CU10" s="142" t="n">
        <v>1</v>
      </c>
      <c r="CV10" s="142" t="n">
        <v>1</v>
      </c>
      <c r="CW10" s="142" t="n">
        <v>1</v>
      </c>
      <c r="CX10" s="142" t="n">
        <v>1</v>
      </c>
      <c r="CY10" s="142" t="n">
        <v>1</v>
      </c>
      <c r="CZ10" s="124">
        <f>+COUNTA(BV10:CY10)</f>
        <v/>
      </c>
      <c r="DA10" s="251" t="n"/>
      <c r="DB10" s="251" t="n"/>
      <c r="DC10" s="251" t="n"/>
      <c r="DD10" s="251" t="n"/>
      <c r="DE10" s="251" t="n"/>
      <c r="DF10" s="251" t="n"/>
      <c r="DG10" s="251" t="n"/>
      <c r="DH10" s="251" t="n"/>
      <c r="DI10" s="251" t="n"/>
      <c r="DJ10" s="337" t="inlineStr">
        <is>
          <t>D</t>
        </is>
      </c>
      <c r="DK10" s="337" t="inlineStr">
        <is>
          <t>R</t>
        </is>
      </c>
      <c r="DL10" s="337" t="inlineStr">
        <is>
          <t>R</t>
        </is>
      </c>
      <c r="DM10" s="251" t="n"/>
      <c r="DN10" s="95" t="n"/>
      <c r="DO10" s="95" t="n"/>
    </row>
    <row r="11" ht="13" customHeight="1">
      <c r="A11" s="203" t="inlineStr">
        <is>
          <t>BCC</t>
        </is>
      </c>
      <c r="B11" s="376" t="n"/>
      <c r="C11" s="376"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76" t="n"/>
      <c r="BL11" s="164"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77" t="n"/>
      <c r="BV11" s="105" t="n"/>
      <c r="BW11" s="105" t="n"/>
      <c r="BX11" s="105" t="n"/>
      <c r="BY11" s="7" t="n"/>
      <c r="BZ11" s="105" t="n"/>
      <c r="CA11" s="105" t="n"/>
      <c r="CB11" s="107" t="n">
        <v>1</v>
      </c>
      <c r="CC11" s="105" t="n"/>
      <c r="CD11" s="105" t="n"/>
      <c r="CE11" s="105" t="n"/>
      <c r="CF11" s="105" t="n"/>
      <c r="CG11" s="105" t="n"/>
      <c r="CH11" s="105" t="n"/>
      <c r="CI11" s="105" t="n"/>
      <c r="CJ11" s="105" t="n"/>
      <c r="CK11" s="105" t="n"/>
      <c r="CL11" s="105" t="n"/>
      <c r="CM11" s="105" t="n"/>
      <c r="CN11" s="105" t="n"/>
      <c r="CO11" s="105" t="n"/>
      <c r="CP11" s="105" t="n"/>
      <c r="CQ11" s="105" t="n"/>
      <c r="CR11" s="107" t="n">
        <v>1</v>
      </c>
      <c r="CS11" s="105" t="n"/>
      <c r="CT11" s="105" t="n"/>
      <c r="CU11" s="105" t="n"/>
      <c r="CV11" s="105" t="n"/>
      <c r="CW11" s="105" t="n"/>
      <c r="CX11" s="105" t="n"/>
      <c r="CY11" s="105" t="n"/>
      <c r="CZ11" s="124">
        <f>+COUNTA(BV11:CY11)</f>
        <v/>
      </c>
      <c r="DA11" s="251" t="n"/>
      <c r="DB11" s="251" t="n"/>
      <c r="DC11" s="251" t="n"/>
      <c r="DD11" s="251" t="n"/>
      <c r="DE11" s="251" t="n"/>
      <c r="DF11" s="251" t="n"/>
      <c r="DG11" s="251" t="n"/>
      <c r="DH11" s="251" t="n"/>
      <c r="DI11" s="251" t="n"/>
      <c r="DJ11" s="337" t="n"/>
      <c r="DK11" s="337" t="n"/>
      <c r="DL11" s="337" t="n"/>
      <c r="DM11" s="337" t="inlineStr">
        <is>
          <t>2M-A</t>
        </is>
      </c>
      <c r="DN11" s="157" t="inlineStr">
        <is>
          <t>5-23</t>
        </is>
      </c>
      <c r="DO11" s="157" t="inlineStr">
        <is>
          <t>11-29</t>
        </is>
      </c>
    </row>
    <row r="12" ht="13" customHeight="1">
      <c r="A12" s="204" t="inlineStr">
        <is>
          <t>BCON</t>
        </is>
      </c>
      <c r="B12" s="305" t="inlineStr">
        <is>
          <t>BCON UJINA</t>
        </is>
      </c>
      <c r="C12" s="251"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5" t="n"/>
      <c r="AL12" s="7" t="n"/>
      <c r="AM12" s="7" t="n"/>
      <c r="AN12" s="165" t="n"/>
      <c r="AO12" s="7" t="n"/>
      <c r="AP12" s="165" t="n"/>
      <c r="AQ12" s="7" t="n"/>
      <c r="AR12" s="165" t="n"/>
      <c r="AS12" s="7" t="n"/>
      <c r="AT12" s="7" t="n"/>
      <c r="AU12" s="7" t="n"/>
      <c r="AV12" s="165" t="n"/>
      <c r="AW12" s="7" t="n"/>
      <c r="AX12" s="7" t="n"/>
      <c r="AY12" s="7" t="n"/>
      <c r="AZ12" s="7" t="n"/>
      <c r="BA12" s="7" t="n"/>
      <c r="BB12" s="7" t="n"/>
      <c r="BC12" s="7" t="n"/>
      <c r="BD12" s="7" t="n"/>
      <c r="BE12" s="7" t="n"/>
      <c r="BF12" s="7" t="n"/>
      <c r="BG12" s="7" t="n"/>
      <c r="BH12" s="7" t="n"/>
      <c r="BI12" s="7" t="n"/>
      <c r="BJ12" s="7" t="n"/>
      <c r="BK12" s="252" t="inlineStr">
        <is>
          <t>140BÑ054</t>
        </is>
      </c>
      <c r="BL12" s="164"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06" t="n"/>
      <c r="BV12" s="142" t="inlineStr">
        <is>
          <t>R</t>
        </is>
      </c>
      <c r="BW12" s="142" t="n">
        <v>1</v>
      </c>
      <c r="BX12" s="142" t="n">
        <v>1</v>
      </c>
      <c r="BY12" s="142" t="n">
        <v>1</v>
      </c>
      <c r="BZ12" s="142" t="n">
        <v>1</v>
      </c>
      <c r="CA12" s="142" t="n">
        <v>1</v>
      </c>
      <c r="CB12" s="142" t="n">
        <v>1</v>
      </c>
      <c r="CC12" s="142" t="n">
        <v>1</v>
      </c>
      <c r="CD12" s="142" t="n">
        <v>1</v>
      </c>
      <c r="CE12" s="142" t="n">
        <v>1</v>
      </c>
      <c r="CF12" s="142" t="n">
        <v>1</v>
      </c>
      <c r="CG12" s="142" t="n">
        <v>1</v>
      </c>
      <c r="CH12" s="142" t="n">
        <v>1</v>
      </c>
      <c r="CI12" s="142" t="n">
        <v>1</v>
      </c>
      <c r="CJ12" s="142" t="n">
        <v>1</v>
      </c>
      <c r="CK12" s="142" t="n">
        <v>1</v>
      </c>
      <c r="CL12" s="142" t="n">
        <v>1</v>
      </c>
      <c r="CM12" s="142" t="n">
        <v>1</v>
      </c>
      <c r="CN12" s="142" t="n">
        <v>1</v>
      </c>
      <c r="CO12" s="142" t="n">
        <v>1</v>
      </c>
      <c r="CP12" s="142" t="n">
        <v>1</v>
      </c>
      <c r="CQ12" s="142" t="n">
        <v>1</v>
      </c>
      <c r="CR12" s="142" t="n">
        <v>1</v>
      </c>
      <c r="CS12" s="142" t="n">
        <v>1</v>
      </c>
      <c r="CT12" s="142" t="n">
        <v>1</v>
      </c>
      <c r="CU12" s="142" t="n">
        <v>1</v>
      </c>
      <c r="CV12" s="142" t="n">
        <v>1</v>
      </c>
      <c r="CW12" s="142" t="n">
        <v>1</v>
      </c>
      <c r="CX12" s="142" t="n">
        <v>1</v>
      </c>
      <c r="CY12" s="142" t="n">
        <v>1</v>
      </c>
      <c r="CZ12" s="124">
        <f>+COUNTA(BV12:CY12)</f>
        <v/>
      </c>
      <c r="DA12" s="251" t="n"/>
      <c r="DB12" s="251" t="n"/>
      <c r="DC12" s="251" t="n"/>
      <c r="DD12" s="251" t="n"/>
      <c r="DE12" s="251" t="n"/>
      <c r="DF12" s="251" t="n"/>
      <c r="DG12" s="251" t="n"/>
      <c r="DH12" s="251" t="n"/>
      <c r="DI12" s="251" t="n"/>
      <c r="DJ12" s="337" t="inlineStr">
        <is>
          <t>D</t>
        </is>
      </c>
      <c r="DK12" s="337" t="inlineStr">
        <is>
          <t>R</t>
        </is>
      </c>
      <c r="DL12" s="337" t="inlineStr">
        <is>
          <t>R</t>
        </is>
      </c>
      <c r="DM12" s="337" t="n"/>
      <c r="DN12" s="157" t="n"/>
      <c r="DO12" s="157" t="n"/>
    </row>
    <row r="13" ht="13" customHeight="1">
      <c r="A13" s="204" t="inlineStr">
        <is>
          <t>BCON</t>
        </is>
      </c>
      <c r="B13" s="376" t="n"/>
      <c r="C13" s="376"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76" t="n"/>
      <c r="BL13" s="164"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77" t="n"/>
      <c r="BV13" s="105" t="n"/>
      <c r="BW13" s="105" t="n"/>
      <c r="BX13" s="105" t="n"/>
      <c r="BY13" s="7" t="n"/>
      <c r="BZ13" s="105" t="n"/>
      <c r="CA13" s="105" t="n"/>
      <c r="CB13" s="107" t="n">
        <v>1</v>
      </c>
      <c r="CC13" s="105" t="n"/>
      <c r="CD13" s="105" t="n"/>
      <c r="CE13" s="105" t="n"/>
      <c r="CF13" s="105" t="n"/>
      <c r="CG13" s="105" t="n"/>
      <c r="CH13" s="105" t="n"/>
      <c r="CI13" s="105" t="n"/>
      <c r="CJ13" s="105" t="n"/>
      <c r="CK13" s="105" t="n"/>
      <c r="CL13" s="105" t="n"/>
      <c r="CM13" s="105" t="n"/>
      <c r="CN13" s="105" t="n"/>
      <c r="CO13" s="105" t="n"/>
      <c r="CP13" s="105" t="n"/>
      <c r="CQ13" s="105" t="n"/>
      <c r="CR13" s="107" t="n">
        <v>1</v>
      </c>
      <c r="CS13" s="105" t="n"/>
      <c r="CT13" s="105" t="n"/>
      <c r="CU13" s="105" t="n"/>
      <c r="CV13" s="105" t="n"/>
      <c r="CW13" s="105" t="n"/>
      <c r="CX13" s="105" t="n"/>
      <c r="CY13" s="105" t="n"/>
      <c r="CZ13" s="124">
        <f>+COUNTA(BV13:CY13)</f>
        <v/>
      </c>
      <c r="DA13" s="251" t="n"/>
      <c r="DB13" s="251" t="n"/>
      <c r="DC13" s="251" t="n"/>
      <c r="DD13" s="251" t="n"/>
      <c r="DE13" s="251" t="n"/>
      <c r="DF13" s="251" t="n"/>
      <c r="DG13" s="251" t="n"/>
      <c r="DH13" s="251" t="n"/>
      <c r="DI13" s="251" t="n"/>
      <c r="DJ13" s="337" t="n"/>
      <c r="DK13" s="337" t="n"/>
      <c r="DL13" s="337" t="n"/>
      <c r="DM13" s="337" t="inlineStr">
        <is>
          <t>2M-A</t>
        </is>
      </c>
      <c r="DN13" s="157" t="inlineStr">
        <is>
          <t>5-23</t>
        </is>
      </c>
      <c r="DO13" s="157" t="inlineStr">
        <is>
          <t>11-29</t>
        </is>
      </c>
    </row>
    <row r="14" ht="13" customHeight="1">
      <c r="A14" s="203" t="inlineStr">
        <is>
          <t>BGSO</t>
        </is>
      </c>
      <c r="B14" s="305" t="inlineStr">
        <is>
          <t>BGSO UJINA</t>
        </is>
      </c>
      <c r="C14" s="251"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5" t="n"/>
      <c r="AL14" s="7" t="n"/>
      <c r="AM14" s="7" t="n"/>
      <c r="AN14" s="165" t="n"/>
      <c r="AO14" s="7" t="n"/>
      <c r="AP14" s="165" t="n"/>
      <c r="AQ14" s="7" t="n"/>
      <c r="AR14" s="165" t="n"/>
      <c r="AS14" s="7" t="n"/>
      <c r="AT14" s="7" t="n"/>
      <c r="AU14" s="7" t="n"/>
      <c r="AV14" s="165" t="n"/>
      <c r="AW14" s="7" t="n"/>
      <c r="AX14" s="7" t="n"/>
      <c r="AY14" s="7" t="n"/>
      <c r="AZ14" s="7" t="n"/>
      <c r="BA14" s="7" t="n"/>
      <c r="BB14" s="7" t="n"/>
      <c r="BC14" s="7" t="n"/>
      <c r="BD14" s="7" t="n"/>
      <c r="BE14" s="7" t="n"/>
      <c r="BF14" s="7" t="n"/>
      <c r="BG14" s="7" t="n"/>
      <c r="BH14" s="7" t="n"/>
      <c r="BI14" s="7" t="n"/>
      <c r="BJ14" s="7" t="n"/>
      <c r="BK14" s="252" t="inlineStr">
        <is>
          <t>140BÑ076</t>
        </is>
      </c>
      <c r="BL14" s="164"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06" t="n"/>
      <c r="BV14" s="142" t="inlineStr">
        <is>
          <t>R</t>
        </is>
      </c>
      <c r="BW14" s="142" t="n">
        <v>1</v>
      </c>
      <c r="BX14" s="142" t="n">
        <v>1</v>
      </c>
      <c r="BY14" s="142" t="n">
        <v>1</v>
      </c>
      <c r="BZ14" s="142" t="n">
        <v>1</v>
      </c>
      <c r="CA14" s="142" t="n">
        <v>1</v>
      </c>
      <c r="CB14" s="142" t="n">
        <v>1</v>
      </c>
      <c r="CC14" s="142" t="n">
        <v>1</v>
      </c>
      <c r="CD14" s="142" t="n">
        <v>1</v>
      </c>
      <c r="CE14" s="142" t="n">
        <v>1</v>
      </c>
      <c r="CF14" s="142" t="n">
        <v>1</v>
      </c>
      <c r="CG14" s="142" t="n">
        <v>1</v>
      </c>
      <c r="CH14" s="142" t="n">
        <v>1</v>
      </c>
      <c r="CI14" s="142" t="n">
        <v>1</v>
      </c>
      <c r="CJ14" s="142" t="n">
        <v>1</v>
      </c>
      <c r="CK14" s="142" t="n">
        <v>1</v>
      </c>
      <c r="CL14" s="142" t="n">
        <v>1</v>
      </c>
      <c r="CM14" s="142" t="n">
        <v>1</v>
      </c>
      <c r="CN14" s="142" t="n">
        <v>1</v>
      </c>
      <c r="CO14" s="142" t="n">
        <v>1</v>
      </c>
      <c r="CP14" s="142" t="n">
        <v>1</v>
      </c>
      <c r="CQ14" s="142" t="n">
        <v>1</v>
      </c>
      <c r="CR14" s="142" t="n">
        <v>1</v>
      </c>
      <c r="CS14" s="142" t="n">
        <v>1</v>
      </c>
      <c r="CT14" s="142" t="n">
        <v>1</v>
      </c>
      <c r="CU14" s="142" t="n">
        <v>1</v>
      </c>
      <c r="CV14" s="142" t="n">
        <v>1</v>
      </c>
      <c r="CW14" s="142" t="n">
        <v>1</v>
      </c>
      <c r="CX14" s="142" t="n">
        <v>1</v>
      </c>
      <c r="CY14" s="142" t="n">
        <v>1</v>
      </c>
      <c r="CZ14" s="124">
        <f>+COUNTA(BV14:CY14)</f>
        <v/>
      </c>
      <c r="DA14" s="251" t="n"/>
      <c r="DB14" s="251" t="n"/>
      <c r="DC14" s="251" t="n"/>
      <c r="DD14" s="251" t="n"/>
      <c r="DE14" s="251" t="n"/>
      <c r="DF14" s="251" t="n"/>
      <c r="DG14" s="251" t="n"/>
      <c r="DH14" s="251" t="n"/>
      <c r="DI14" s="251" t="n"/>
      <c r="DJ14" s="337" t="inlineStr">
        <is>
          <t>D</t>
        </is>
      </c>
      <c r="DK14" s="337" t="inlineStr">
        <is>
          <t>R</t>
        </is>
      </c>
      <c r="DL14" s="337" t="inlineStr">
        <is>
          <t>R</t>
        </is>
      </c>
      <c r="DM14" s="337" t="n"/>
      <c r="DN14" s="157" t="n"/>
      <c r="DO14" s="157" t="n"/>
    </row>
    <row r="15" ht="13" customHeight="1">
      <c r="A15" s="203" t="inlineStr">
        <is>
          <t>BGSO</t>
        </is>
      </c>
      <c r="B15" s="376" t="n"/>
      <c r="C15" s="376"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76" t="n"/>
      <c r="BL15" s="164"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77" t="n"/>
      <c r="BV15" s="105" t="n"/>
      <c r="BW15" s="105" t="n"/>
      <c r="BX15" s="105" t="n"/>
      <c r="BY15" s="7" t="n"/>
      <c r="BZ15" s="105" t="n"/>
      <c r="CA15" s="105" t="n"/>
      <c r="CB15" s="107" t="n">
        <v>1</v>
      </c>
      <c r="CC15" s="105" t="n"/>
      <c r="CD15" s="105" t="n"/>
      <c r="CE15" s="105" t="n"/>
      <c r="CF15" s="105" t="n"/>
      <c r="CG15" s="105" t="n"/>
      <c r="CH15" s="105" t="n"/>
      <c r="CI15" s="105" t="n"/>
      <c r="CJ15" s="105" t="n"/>
      <c r="CK15" s="105" t="n"/>
      <c r="CL15" s="105" t="n"/>
      <c r="CM15" s="105" t="n"/>
      <c r="CN15" s="105" t="n"/>
      <c r="CO15" s="105" t="n"/>
      <c r="CP15" s="105" t="n"/>
      <c r="CQ15" s="105" t="n"/>
      <c r="CR15" s="107" t="n">
        <v>1</v>
      </c>
      <c r="CS15" s="105" t="n"/>
      <c r="CT15" s="105" t="n"/>
      <c r="CU15" s="105" t="n"/>
      <c r="CV15" s="105" t="n"/>
      <c r="CW15" s="105" t="n"/>
      <c r="CX15" s="105" t="n"/>
      <c r="CY15" s="105" t="n"/>
      <c r="CZ15" s="124">
        <f>+COUNTA(BV15:CY15)</f>
        <v/>
      </c>
      <c r="DA15" s="251" t="n"/>
      <c r="DB15" s="251" t="n"/>
      <c r="DC15" s="251" t="n"/>
      <c r="DD15" s="251" t="n"/>
      <c r="DE15" s="251" t="n"/>
      <c r="DF15" s="251" t="n"/>
      <c r="DG15" s="251" t="n"/>
      <c r="DH15" s="251" t="n"/>
      <c r="DI15" s="251" t="n"/>
      <c r="DJ15" s="337" t="n"/>
      <c r="DK15" s="337" t="n"/>
      <c r="DL15" s="337" t="n"/>
      <c r="DM15" s="337" t="inlineStr">
        <is>
          <t>2M-A</t>
        </is>
      </c>
      <c r="DN15" s="157" t="inlineStr">
        <is>
          <t>5-23</t>
        </is>
      </c>
      <c r="DO15" s="157" t="inlineStr">
        <is>
          <t>11-29</t>
        </is>
      </c>
    </row>
    <row r="16" ht="13" customHeight="1">
      <c r="A16" s="203" t="inlineStr">
        <is>
          <t>BOR</t>
        </is>
      </c>
      <c r="B16" s="305" t="inlineStr">
        <is>
          <t>BOR ROSARIO</t>
        </is>
      </c>
      <c r="C16" s="251"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5" t="n"/>
      <c r="AL16" s="7" t="n"/>
      <c r="AM16" s="7" t="n"/>
      <c r="AN16" s="165" t="n"/>
      <c r="AO16" s="7" t="n"/>
      <c r="AP16" s="165" t="n"/>
      <c r="AQ16" s="7" t="n"/>
      <c r="AR16" s="165" t="n"/>
      <c r="AS16" s="7" t="n"/>
      <c r="AT16" s="7" t="n"/>
      <c r="AU16" s="7" t="n"/>
      <c r="AV16" s="165" t="n"/>
      <c r="AW16" s="7" t="n"/>
      <c r="AX16" s="7" t="n"/>
      <c r="AY16" s="7" t="n"/>
      <c r="AZ16" s="7" t="n"/>
      <c r="BA16" s="7" t="n"/>
      <c r="BB16" s="7" t="n"/>
      <c r="BC16" s="7" t="n"/>
      <c r="BD16" s="7" t="n"/>
      <c r="BE16" s="7" t="n"/>
      <c r="BF16" s="7" t="n"/>
      <c r="BG16" s="7" t="n"/>
      <c r="BH16" s="7" t="n"/>
      <c r="BI16" s="7" t="n"/>
      <c r="BJ16" s="7" t="n"/>
      <c r="BK16" s="252" t="inlineStr">
        <is>
          <t>920BÑ020</t>
        </is>
      </c>
      <c r="BL16" s="164"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06" t="n"/>
      <c r="BV16" s="142" t="inlineStr">
        <is>
          <t>R</t>
        </is>
      </c>
      <c r="BW16" s="142" t="n">
        <v>1</v>
      </c>
      <c r="BX16" s="142" t="n">
        <v>1</v>
      </c>
      <c r="BY16" s="142" t="n">
        <v>1</v>
      </c>
      <c r="BZ16" s="142" t="n">
        <v>1</v>
      </c>
      <c r="CA16" s="142" t="n">
        <v>1</v>
      </c>
      <c r="CB16" s="142" t="n">
        <v>1</v>
      </c>
      <c r="CC16" s="142" t="n">
        <v>1</v>
      </c>
      <c r="CD16" s="142" t="n">
        <v>1</v>
      </c>
      <c r="CE16" s="142" t="n">
        <v>1</v>
      </c>
      <c r="CF16" s="142" t="n">
        <v>1</v>
      </c>
      <c r="CG16" s="142" t="n">
        <v>1</v>
      </c>
      <c r="CH16" s="142" t="n">
        <v>1</v>
      </c>
      <c r="CI16" s="142" t="n">
        <v>1</v>
      </c>
      <c r="CJ16" s="142" t="n">
        <v>1</v>
      </c>
      <c r="CK16" s="142" t="n">
        <v>1</v>
      </c>
      <c r="CL16" s="142" t="n">
        <v>1</v>
      </c>
      <c r="CM16" s="142" t="n">
        <v>1</v>
      </c>
      <c r="CN16" s="142" t="n">
        <v>1</v>
      </c>
      <c r="CO16" s="142" t="n">
        <v>1</v>
      </c>
      <c r="CP16" s="142" t="n">
        <v>1</v>
      </c>
      <c r="CQ16" s="142" t="n">
        <v>1</v>
      </c>
      <c r="CR16" s="142" t="n">
        <v>1</v>
      </c>
      <c r="CS16" s="142" t="n">
        <v>1</v>
      </c>
      <c r="CT16" s="142" t="n">
        <v>1</v>
      </c>
      <c r="CU16" s="142" t="n">
        <v>1</v>
      </c>
      <c r="CV16" s="142" t="n">
        <v>1</v>
      </c>
      <c r="CW16" s="142" t="n">
        <v>1</v>
      </c>
      <c r="CX16" s="142" t="n">
        <v>1</v>
      </c>
      <c r="CY16" s="142" t="n">
        <v>1</v>
      </c>
      <c r="CZ16" s="124">
        <f>+COUNTA(BV16:CY16)</f>
        <v/>
      </c>
      <c r="DA16" s="251" t="n"/>
      <c r="DB16" s="251" t="n"/>
      <c r="DC16" s="251" t="n"/>
      <c r="DD16" s="251" t="n"/>
      <c r="DE16" s="251" t="n"/>
      <c r="DF16" s="251" t="n"/>
      <c r="DG16" s="251" t="n"/>
      <c r="DH16" s="251" t="n"/>
      <c r="DI16" s="251" t="n"/>
      <c r="DJ16" s="337" t="inlineStr">
        <is>
          <t>D</t>
        </is>
      </c>
      <c r="DK16" s="337" t="inlineStr">
        <is>
          <t>R</t>
        </is>
      </c>
      <c r="DL16" s="337" t="inlineStr">
        <is>
          <t>R</t>
        </is>
      </c>
      <c r="DM16" s="337" t="n"/>
      <c r="DN16" s="157" t="n"/>
      <c r="DO16" s="157" t="n"/>
    </row>
    <row r="17" ht="13" customHeight="1">
      <c r="A17" s="203" t="inlineStr">
        <is>
          <t>BOR</t>
        </is>
      </c>
      <c r="B17" s="376" t="n"/>
      <c r="C17" s="376"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76" t="n"/>
      <c r="BL17" s="164"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77" t="n"/>
      <c r="BV17" s="105" t="n"/>
      <c r="BW17" s="105" t="n"/>
      <c r="BX17" s="105" t="n"/>
      <c r="BY17" s="7" t="n"/>
      <c r="BZ17" s="105" t="n"/>
      <c r="CA17" s="105" t="n"/>
      <c r="CB17" s="107" t="n">
        <v>1</v>
      </c>
      <c r="CC17" s="105" t="n"/>
      <c r="CD17" s="105" t="n"/>
      <c r="CE17" s="105" t="n"/>
      <c r="CF17" s="105" t="n"/>
      <c r="CG17" s="105" t="n"/>
      <c r="CH17" s="105" t="n"/>
      <c r="CI17" s="105" t="n"/>
      <c r="CJ17" s="105" t="n"/>
      <c r="CK17" s="105" t="n"/>
      <c r="CL17" s="105" t="n"/>
      <c r="CM17" s="105" t="n"/>
      <c r="CN17" s="105" t="n"/>
      <c r="CO17" s="105" t="n"/>
      <c r="CP17" s="105" t="n"/>
      <c r="CQ17" s="105" t="n"/>
      <c r="CR17" s="107" t="n">
        <v>1</v>
      </c>
      <c r="CS17" s="105" t="n"/>
      <c r="CT17" s="105" t="n"/>
      <c r="CU17" s="105" t="n"/>
      <c r="CV17" s="105" t="n"/>
      <c r="CW17" s="105" t="n"/>
      <c r="CX17" s="105" t="n"/>
      <c r="CY17" s="105" t="n"/>
      <c r="CZ17" s="124">
        <f>+COUNTA(BV17:CY17)</f>
        <v/>
      </c>
      <c r="DA17" s="251" t="n"/>
      <c r="DB17" s="251" t="n"/>
      <c r="DC17" s="251" t="n"/>
      <c r="DD17" s="251" t="n"/>
      <c r="DE17" s="251" t="n"/>
      <c r="DF17" s="251" t="n"/>
      <c r="DG17" s="251" t="n"/>
      <c r="DH17" s="251" t="n"/>
      <c r="DI17" s="251" t="n"/>
      <c r="DJ17" s="337" t="n"/>
      <c r="DK17" s="337" t="n"/>
      <c r="DL17" s="337" t="n"/>
      <c r="DM17" s="337" t="inlineStr">
        <is>
          <t>2M-A</t>
        </is>
      </c>
      <c r="DN17" s="157" t="inlineStr">
        <is>
          <t>5-23</t>
        </is>
      </c>
      <c r="DO17" s="157" t="inlineStr">
        <is>
          <t>11-29</t>
        </is>
      </c>
    </row>
    <row r="18" ht="13" customHeight="1">
      <c r="A18" s="203" t="inlineStr">
        <is>
          <t>BPCR</t>
        </is>
      </c>
      <c r="B18" s="305" t="inlineStr">
        <is>
          <t>BPCR ROSARIO</t>
        </is>
      </c>
      <c r="C18" s="251"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5" t="n"/>
      <c r="AL18" s="7" t="n"/>
      <c r="AM18" s="7" t="n"/>
      <c r="AN18" s="165" t="n"/>
      <c r="AO18" s="7" t="n"/>
      <c r="AP18" s="165" t="n"/>
      <c r="AQ18" s="7" t="n"/>
      <c r="AR18" s="165" t="n"/>
      <c r="AS18" s="7" t="n"/>
      <c r="AT18" s="7" t="n"/>
      <c r="AU18" s="7" t="n"/>
      <c r="AV18" s="165" t="n"/>
      <c r="AW18" s="7" t="n"/>
      <c r="AX18" s="7" t="n"/>
      <c r="AY18" s="7" t="n"/>
      <c r="AZ18" s="7" t="n"/>
      <c r="BA18" s="7" t="n"/>
      <c r="BB18" s="7" t="n"/>
      <c r="BC18" s="7" t="n"/>
      <c r="BD18" s="7" t="n"/>
      <c r="BE18" s="7" t="n"/>
      <c r="BF18" s="7" t="n"/>
      <c r="BG18" s="7" t="n"/>
      <c r="BH18" s="7" t="n"/>
      <c r="BI18" s="7" t="n"/>
      <c r="BJ18" s="7" t="n"/>
      <c r="BK18" s="252" t="inlineStr">
        <is>
          <t>532MABPCR</t>
        </is>
      </c>
      <c r="BL18" s="164"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06" t="n"/>
      <c r="BV18" s="142" t="inlineStr">
        <is>
          <t>R</t>
        </is>
      </c>
      <c r="BW18" s="142" t="n">
        <v>1</v>
      </c>
      <c r="BX18" s="142" t="n">
        <v>1</v>
      </c>
      <c r="BY18" s="142" t="n">
        <v>1</v>
      </c>
      <c r="BZ18" s="142" t="n">
        <v>1</v>
      </c>
      <c r="CA18" s="142" t="n">
        <v>1</v>
      </c>
      <c r="CB18" s="142" t="n">
        <v>1</v>
      </c>
      <c r="CC18" s="142" t="n">
        <v>1</v>
      </c>
      <c r="CD18" s="142" t="n">
        <v>1</v>
      </c>
      <c r="CE18" s="142" t="n">
        <v>1</v>
      </c>
      <c r="CF18" s="142" t="n">
        <v>1</v>
      </c>
      <c r="CG18" s="142" t="n">
        <v>1</v>
      </c>
      <c r="CH18" s="142" t="n">
        <v>1</v>
      </c>
      <c r="CI18" s="142" t="n">
        <v>1</v>
      </c>
      <c r="CJ18" s="142" t="n">
        <v>1</v>
      </c>
      <c r="CK18" s="142" t="n">
        <v>1</v>
      </c>
      <c r="CL18" s="142" t="n">
        <v>1</v>
      </c>
      <c r="CM18" s="142" t="n">
        <v>1</v>
      </c>
      <c r="CN18" s="142" t="n">
        <v>1</v>
      </c>
      <c r="CO18" s="142" t="n">
        <v>1</v>
      </c>
      <c r="CP18" s="142" t="n">
        <v>1</v>
      </c>
      <c r="CQ18" s="142" t="n">
        <v>1</v>
      </c>
      <c r="CR18" s="142" t="n">
        <v>1</v>
      </c>
      <c r="CS18" s="142" t="n">
        <v>1</v>
      </c>
      <c r="CT18" s="142" t="n">
        <v>1</v>
      </c>
      <c r="CU18" s="142" t="n">
        <v>1</v>
      </c>
      <c r="CV18" s="142" t="n">
        <v>1</v>
      </c>
      <c r="CW18" s="142" t="n">
        <v>1</v>
      </c>
      <c r="CX18" s="142" t="n">
        <v>1</v>
      </c>
      <c r="CY18" s="142" t="n">
        <v>1</v>
      </c>
      <c r="CZ18" s="124">
        <f>+COUNTA(BV18:CY18)</f>
        <v/>
      </c>
      <c r="DA18" s="251" t="n"/>
      <c r="DB18" s="251" t="n"/>
      <c r="DC18" s="251" t="n"/>
      <c r="DD18" s="251" t="n"/>
      <c r="DE18" s="251" t="n"/>
      <c r="DF18" s="251" t="n"/>
      <c r="DG18" s="251" t="n"/>
      <c r="DH18" s="251" t="n"/>
      <c r="DI18" s="251" t="n"/>
      <c r="DJ18" s="337" t="inlineStr">
        <is>
          <t>D</t>
        </is>
      </c>
      <c r="DK18" s="337" t="inlineStr">
        <is>
          <t>R</t>
        </is>
      </c>
      <c r="DL18" s="337" t="inlineStr">
        <is>
          <t>R</t>
        </is>
      </c>
      <c r="DM18" s="337" t="n"/>
      <c r="DN18" s="157" t="n"/>
      <c r="DO18" s="157" t="n"/>
    </row>
    <row r="19" ht="13" customHeight="1">
      <c r="A19" s="203" t="inlineStr">
        <is>
          <t>BPCR</t>
        </is>
      </c>
      <c r="B19" s="376" t="n"/>
      <c r="C19" s="376"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76" t="n"/>
      <c r="BL19" s="164"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77" t="n"/>
      <c r="BV19" s="105" t="n"/>
      <c r="BW19" s="105" t="n"/>
      <c r="BX19" s="105" t="n"/>
      <c r="BY19" s="7" t="n"/>
      <c r="BZ19" s="105" t="n"/>
      <c r="CA19" s="105" t="n"/>
      <c r="CB19" s="107" t="n">
        <v>1</v>
      </c>
      <c r="CC19" s="105" t="n"/>
      <c r="CD19" s="105" t="n"/>
      <c r="CE19" s="105" t="n"/>
      <c r="CF19" s="105" t="n"/>
      <c r="CG19" s="105" t="n"/>
      <c r="CH19" s="105" t="n"/>
      <c r="CI19" s="105" t="n"/>
      <c r="CJ19" s="105" t="n"/>
      <c r="CK19" s="105" t="n"/>
      <c r="CL19" s="105" t="n"/>
      <c r="CM19" s="105" t="n"/>
      <c r="CN19" s="105" t="n"/>
      <c r="CO19" s="105" t="n"/>
      <c r="CP19" s="105" t="n"/>
      <c r="CQ19" s="105" t="n"/>
      <c r="CR19" s="107" t="n">
        <v>1</v>
      </c>
      <c r="CS19" s="105" t="n"/>
      <c r="CT19" s="105" t="n"/>
      <c r="CU19" s="105" t="n"/>
      <c r="CV19" s="105" t="n"/>
      <c r="CW19" s="105" t="n"/>
      <c r="CX19" s="105" t="n"/>
      <c r="CY19" s="7" t="n"/>
      <c r="CZ19" s="124">
        <f>+COUNTA(BV19:CY19)</f>
        <v/>
      </c>
      <c r="DA19" s="251" t="n"/>
      <c r="DB19" s="251" t="n"/>
      <c r="DC19" s="251" t="n"/>
      <c r="DD19" s="251" t="n"/>
      <c r="DE19" s="251" t="n"/>
      <c r="DF19" s="251" t="n"/>
      <c r="DG19" s="251" t="n"/>
      <c r="DH19" s="251" t="n"/>
      <c r="DI19" s="251" t="n"/>
      <c r="DJ19" s="337" t="n"/>
      <c r="DK19" s="337" t="n"/>
      <c r="DL19" s="337" t="n"/>
      <c r="DM19" s="337" t="inlineStr">
        <is>
          <t>2M-A</t>
        </is>
      </c>
      <c r="DN19" s="157" t="inlineStr">
        <is>
          <t>5-23</t>
        </is>
      </c>
      <c r="DO19" s="157" t="inlineStr">
        <is>
          <t>11-29</t>
        </is>
      </c>
    </row>
    <row r="20" ht="13" customHeight="1">
      <c r="A20" s="203" t="inlineStr">
        <is>
          <t>C-1000</t>
        </is>
      </c>
      <c r="B20" s="305" t="inlineStr">
        <is>
          <t>C-1000 UJINA</t>
        </is>
      </c>
      <c r="C20" s="251"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5" t="n"/>
      <c r="AL20" s="7" t="n"/>
      <c r="AM20" s="7" t="n"/>
      <c r="AN20" s="165" t="n"/>
      <c r="AO20" s="7" t="n"/>
      <c r="AP20" s="165" t="n"/>
      <c r="AQ20" s="7" t="n"/>
      <c r="AR20" s="165" t="n"/>
      <c r="AS20" s="7" t="n"/>
      <c r="AT20" s="7" t="n"/>
      <c r="AU20" s="7" t="n"/>
      <c r="AV20" s="165" t="n"/>
      <c r="AW20" s="7" t="n"/>
      <c r="AX20" s="7" t="n"/>
      <c r="AY20" s="7" t="n"/>
      <c r="AZ20" s="7" t="n"/>
      <c r="BA20" s="7" t="n"/>
      <c r="BB20" s="7" t="n"/>
      <c r="BC20" s="7" t="n"/>
      <c r="BD20" s="7" t="n"/>
      <c r="BE20" s="7" t="n"/>
      <c r="BF20" s="7" t="n"/>
      <c r="BG20" s="7" t="n"/>
      <c r="BH20" s="7" t="n"/>
      <c r="BI20" s="7" t="n"/>
      <c r="BJ20" s="7" t="n"/>
      <c r="BK20" s="252" t="inlineStr">
        <is>
          <t>541BD2010</t>
        </is>
      </c>
      <c r="BL20" s="164"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06" t="n"/>
      <c r="BV20" s="142" t="inlineStr">
        <is>
          <t>R</t>
        </is>
      </c>
      <c r="BW20" s="142" t="n">
        <v>1</v>
      </c>
      <c r="BX20" s="142" t="n">
        <v>1</v>
      </c>
      <c r="BY20" s="142" t="n">
        <v>1</v>
      </c>
      <c r="BZ20" s="142" t="n">
        <v>1</v>
      </c>
      <c r="CA20" s="142" t="n">
        <v>1</v>
      </c>
      <c r="CB20" s="142" t="n">
        <v>1</v>
      </c>
      <c r="CC20" s="142" t="n">
        <v>1</v>
      </c>
      <c r="CD20" s="142" t="n">
        <v>1</v>
      </c>
      <c r="CE20" s="142" t="n">
        <v>1</v>
      </c>
      <c r="CF20" s="142" t="n">
        <v>1</v>
      </c>
      <c r="CG20" s="142" t="n">
        <v>1</v>
      </c>
      <c r="CH20" s="142" t="n">
        <v>1</v>
      </c>
      <c r="CI20" s="142" t="n">
        <v>1</v>
      </c>
      <c r="CJ20" s="142" t="n">
        <v>1</v>
      </c>
      <c r="CK20" s="142" t="n">
        <v>1</v>
      </c>
      <c r="CL20" s="142" t="n">
        <v>1</v>
      </c>
      <c r="CM20" s="142" t="n">
        <v>1</v>
      </c>
      <c r="CN20" s="142" t="n">
        <v>1</v>
      </c>
      <c r="CO20" s="142" t="n">
        <v>1</v>
      </c>
      <c r="CP20" s="142" t="n">
        <v>1</v>
      </c>
      <c r="CQ20" s="142" t="n">
        <v>1</v>
      </c>
      <c r="CR20" s="142" t="n">
        <v>1</v>
      </c>
      <c r="CS20" s="142" t="n">
        <v>1</v>
      </c>
      <c r="CT20" s="142" t="n">
        <v>1</v>
      </c>
      <c r="CU20" s="142" t="n">
        <v>1</v>
      </c>
      <c r="CV20" s="142" t="n">
        <v>1</v>
      </c>
      <c r="CW20" s="142" t="n">
        <v>1</v>
      </c>
      <c r="CX20" s="142" t="n"/>
      <c r="CY20" s="142" t="n">
        <v>1</v>
      </c>
      <c r="CZ20" s="124">
        <f>+COUNTA(BV20:CY20)</f>
        <v/>
      </c>
      <c r="DA20" s="251" t="n"/>
      <c r="DB20" s="251" t="n"/>
      <c r="DC20" s="251" t="n"/>
      <c r="DD20" s="251" t="n"/>
      <c r="DE20" s="251" t="n"/>
      <c r="DF20" s="251" t="n"/>
      <c r="DG20" s="251" t="n"/>
      <c r="DH20" s="251" t="n"/>
      <c r="DI20" s="251" t="n"/>
      <c r="DJ20" s="337" t="inlineStr">
        <is>
          <t>D</t>
        </is>
      </c>
      <c r="DK20" s="337" t="inlineStr">
        <is>
          <t>R</t>
        </is>
      </c>
      <c r="DL20" s="337" t="inlineStr">
        <is>
          <t>R</t>
        </is>
      </c>
      <c r="DM20" s="337" t="n"/>
      <c r="DN20" s="157" t="n"/>
      <c r="DO20" s="157" t="n"/>
    </row>
    <row r="21" ht="13" customHeight="1">
      <c r="A21" s="203" t="inlineStr">
        <is>
          <t>C-1000</t>
        </is>
      </c>
      <c r="B21" s="376" t="n"/>
      <c r="C21" s="376"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76" t="n"/>
      <c r="BL21" s="164"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77" t="n"/>
      <c r="BV21" s="105" t="n"/>
      <c r="BW21" s="105" t="n"/>
      <c r="BX21" s="105" t="n"/>
      <c r="BY21" s="7" t="n"/>
      <c r="BZ21" s="105" t="n"/>
      <c r="CA21" s="105" t="n"/>
      <c r="CB21" s="107" t="n">
        <v>1</v>
      </c>
      <c r="CC21" s="105" t="n"/>
      <c r="CD21" s="105" t="n"/>
      <c r="CE21" s="105" t="n"/>
      <c r="CF21" s="105" t="n"/>
      <c r="CG21" s="105" t="n"/>
      <c r="CH21" s="105" t="n"/>
      <c r="CI21" s="105" t="n"/>
      <c r="CJ21" s="105" t="n"/>
      <c r="CK21" s="105" t="n"/>
      <c r="CL21" s="105" t="n"/>
      <c r="CM21" s="105" t="n"/>
      <c r="CN21" s="105" t="n"/>
      <c r="CO21" s="105" t="n"/>
      <c r="CP21" s="105" t="n"/>
      <c r="CQ21" s="105" t="n"/>
      <c r="CR21" s="107" t="n">
        <v>1</v>
      </c>
      <c r="CS21" s="105" t="n"/>
      <c r="CT21" s="105" t="n"/>
      <c r="CU21" s="105" t="n"/>
      <c r="CV21" s="105" t="n"/>
      <c r="CW21" s="105" t="n"/>
      <c r="CX21" s="105" t="n"/>
      <c r="CY21" s="105" t="n"/>
      <c r="CZ21" s="124">
        <f>+COUNTA(BV21:CY21)</f>
        <v/>
      </c>
      <c r="DA21" s="251" t="n"/>
      <c r="DB21" s="251" t="n"/>
      <c r="DC21" s="251" t="n"/>
      <c r="DD21" s="251" t="n"/>
      <c r="DE21" s="251" t="n"/>
      <c r="DF21" s="251" t="n"/>
      <c r="DG21" s="251" t="n"/>
      <c r="DH21" s="251" t="n"/>
      <c r="DI21" s="251" t="n"/>
      <c r="DJ21" s="337" t="n"/>
      <c r="DK21" s="337" t="n"/>
      <c r="DL21" s="337" t="n"/>
      <c r="DM21" s="337" t="inlineStr">
        <is>
          <t>2M-A</t>
        </is>
      </c>
      <c r="DN21" s="157" t="inlineStr">
        <is>
          <t>5-23</t>
        </is>
      </c>
      <c r="DO21" s="157" t="inlineStr">
        <is>
          <t>11-29</t>
        </is>
      </c>
    </row>
    <row r="22" ht="13" customHeight="1">
      <c r="A22" s="203" t="inlineStr">
        <is>
          <t>C-460</t>
        </is>
      </c>
      <c r="B22" s="305" t="inlineStr">
        <is>
          <t>C-460 ROSARIO</t>
        </is>
      </c>
      <c r="C22" s="251"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5" t="n"/>
      <c r="AL22" s="7" t="n"/>
      <c r="AM22" s="7" t="n"/>
      <c r="AN22" s="165" t="n"/>
      <c r="AO22" s="7" t="n"/>
      <c r="AP22" s="165" t="n"/>
      <c r="AQ22" s="7" t="n"/>
      <c r="AR22" s="165" t="n"/>
      <c r="AS22" s="7" t="n"/>
      <c r="AT22" s="7" t="n"/>
      <c r="AU22" s="7" t="n"/>
      <c r="AV22" s="165" t="n"/>
      <c r="AW22" s="7" t="n"/>
      <c r="AX22" s="7" t="n"/>
      <c r="AY22" s="7" t="n"/>
      <c r="AZ22" s="7" t="n"/>
      <c r="BA22" s="7" t="n"/>
      <c r="BB22" s="7" t="n"/>
      <c r="BC22" s="7" t="n"/>
      <c r="BD22" s="7" t="n"/>
      <c r="BE22" s="7" t="n"/>
      <c r="BF22" s="7" t="n"/>
      <c r="BG22" s="7" t="n"/>
      <c r="BH22" s="7" t="n"/>
      <c r="BI22" s="7" t="n"/>
      <c r="BJ22" s="7" t="n"/>
      <c r="BK22" s="252" t="inlineStr">
        <is>
          <t>541BÑ086</t>
        </is>
      </c>
      <c r="BL22" s="164"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06" t="n"/>
      <c r="BV22" s="142" t="inlineStr">
        <is>
          <t>R</t>
        </is>
      </c>
      <c r="BW22" s="142" t="n">
        <v>1</v>
      </c>
      <c r="BX22" s="142" t="n">
        <v>1</v>
      </c>
      <c r="BY22" s="142" t="n">
        <v>1</v>
      </c>
      <c r="BZ22" s="142" t="n">
        <v>1</v>
      </c>
      <c r="CA22" s="142" t="n">
        <v>1</v>
      </c>
      <c r="CB22" s="142" t="n">
        <v>1</v>
      </c>
      <c r="CC22" s="142" t="n">
        <v>1</v>
      </c>
      <c r="CD22" s="142" t="n">
        <v>1</v>
      </c>
      <c r="CE22" s="142" t="n">
        <v>1</v>
      </c>
      <c r="CF22" s="142" t="n">
        <v>1</v>
      </c>
      <c r="CG22" s="142" t="n">
        <v>1</v>
      </c>
      <c r="CH22" s="142" t="n">
        <v>1</v>
      </c>
      <c r="CI22" s="142" t="n">
        <v>1</v>
      </c>
      <c r="CJ22" s="142" t="n">
        <v>1</v>
      </c>
      <c r="CK22" s="142" t="n">
        <v>1</v>
      </c>
      <c r="CL22" s="142" t="n">
        <v>1</v>
      </c>
      <c r="CM22" s="142" t="n">
        <v>1</v>
      </c>
      <c r="CN22" s="142" t="n">
        <v>1</v>
      </c>
      <c r="CO22" s="142" t="n">
        <v>1</v>
      </c>
      <c r="CP22" s="142" t="n">
        <v>1</v>
      </c>
      <c r="CQ22" s="142" t="n">
        <v>1</v>
      </c>
      <c r="CR22" s="142" t="n">
        <v>1</v>
      </c>
      <c r="CS22" s="142" t="n">
        <v>1</v>
      </c>
      <c r="CT22" s="142" t="n">
        <v>1</v>
      </c>
      <c r="CU22" s="142" t="n">
        <v>1</v>
      </c>
      <c r="CV22" s="142" t="n">
        <v>1</v>
      </c>
      <c r="CW22" s="142" t="n">
        <v>1</v>
      </c>
      <c r="CX22" s="142" t="n">
        <v>1</v>
      </c>
      <c r="CY22" s="142" t="n">
        <v>1</v>
      </c>
      <c r="CZ22" s="124">
        <f>+COUNTA(BV22:CY22)</f>
        <v/>
      </c>
      <c r="DA22" s="251" t="n"/>
      <c r="DB22" s="251" t="n"/>
      <c r="DC22" s="251" t="n"/>
      <c r="DD22" s="251" t="n"/>
      <c r="DE22" s="251" t="n"/>
      <c r="DF22" s="251" t="n"/>
      <c r="DG22" s="251" t="n"/>
      <c r="DH22" s="251" t="n"/>
      <c r="DI22" s="251" t="n"/>
      <c r="DJ22" s="337" t="inlineStr">
        <is>
          <t>D</t>
        </is>
      </c>
      <c r="DK22" s="337" t="inlineStr">
        <is>
          <t>R</t>
        </is>
      </c>
      <c r="DL22" s="337" t="inlineStr">
        <is>
          <t>R</t>
        </is>
      </c>
      <c r="DM22" s="337" t="n"/>
      <c r="DN22" s="157" t="n"/>
      <c r="DO22" s="157" t="n"/>
    </row>
    <row r="23" ht="13" customHeight="1">
      <c r="A23" s="203" t="inlineStr">
        <is>
          <t>C-460</t>
        </is>
      </c>
      <c r="B23" s="376" t="n"/>
      <c r="C23" s="376"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76" t="n"/>
      <c r="BL23" s="164"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77" t="n"/>
      <c r="BV23" s="105" t="n"/>
      <c r="BW23" s="105" t="n"/>
      <c r="BX23" s="105" t="n"/>
      <c r="BY23" s="7" t="n"/>
      <c r="BZ23" s="105" t="n"/>
      <c r="CA23" s="105" t="n"/>
      <c r="CB23" s="107" t="n">
        <v>1</v>
      </c>
      <c r="CC23" s="105" t="n"/>
      <c r="CD23" s="105" t="n"/>
      <c r="CE23" s="105" t="n"/>
      <c r="CF23" s="105" t="n"/>
      <c r="CG23" s="105" t="n"/>
      <c r="CH23" s="105" t="n"/>
      <c r="CI23" s="105" t="n"/>
      <c r="CJ23" s="105" t="n"/>
      <c r="CK23" s="105" t="n"/>
      <c r="CL23" s="105" t="n"/>
      <c r="CM23" s="105" t="n"/>
      <c r="CN23" s="105" t="n"/>
      <c r="CO23" s="105" t="n"/>
      <c r="CP23" s="105" t="n"/>
      <c r="CQ23" s="105" t="n"/>
      <c r="CR23" s="107" t="n">
        <v>1</v>
      </c>
      <c r="CS23" s="105" t="n"/>
      <c r="CT23" s="105" t="n"/>
      <c r="CU23" s="105" t="n"/>
      <c r="CV23" s="105" t="n"/>
      <c r="CW23" s="105" t="n"/>
      <c r="CX23" s="105" t="n"/>
      <c r="CY23" s="7" t="n"/>
      <c r="CZ23" s="124">
        <f>+COUNTA(BV23:CY23)</f>
        <v/>
      </c>
      <c r="DA23" s="251" t="n"/>
      <c r="DB23" s="251" t="n"/>
      <c r="DC23" s="251" t="n"/>
      <c r="DD23" s="251" t="n"/>
      <c r="DE23" s="251" t="n"/>
      <c r="DF23" s="251" t="n"/>
      <c r="DG23" s="251" t="n"/>
      <c r="DH23" s="251" t="n"/>
      <c r="DI23" s="251" t="n"/>
      <c r="DJ23" s="337" t="n"/>
      <c r="DK23" s="337" t="n"/>
      <c r="DL23" s="337" t="n"/>
      <c r="DM23" s="337" t="inlineStr">
        <is>
          <t>2M-A</t>
        </is>
      </c>
      <c r="DN23" s="157" t="inlineStr">
        <is>
          <t>5-23</t>
        </is>
      </c>
      <c r="DO23" s="157" t="inlineStr">
        <is>
          <t>11-29</t>
        </is>
      </c>
    </row>
    <row r="24" ht="13" customHeight="1">
      <c r="A24" s="203" t="inlineStr">
        <is>
          <t>CCD</t>
        </is>
      </c>
      <c r="B24" s="305" t="inlineStr">
        <is>
          <t>CCD</t>
        </is>
      </c>
      <c r="C24" s="251"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5" t="n"/>
      <c r="AL24" s="7" t="n"/>
      <c r="AM24" s="7" t="n"/>
      <c r="AN24" s="165" t="n"/>
      <c r="AO24" s="7" t="n"/>
      <c r="AP24" s="165" t="n"/>
      <c r="AQ24" s="7" t="n"/>
      <c r="AR24" s="165" t="n"/>
      <c r="AS24" s="7" t="n"/>
      <c r="AT24" s="7" t="n"/>
      <c r="AU24" s="7" t="n"/>
      <c r="AV24" s="165" t="n"/>
      <c r="AW24" s="7" t="n"/>
      <c r="AX24" s="7" t="n"/>
      <c r="AY24" s="7" t="n"/>
      <c r="AZ24" s="7" t="n"/>
      <c r="BA24" s="7" t="n"/>
      <c r="BB24" s="7" t="n"/>
      <c r="BC24" s="7" t="n"/>
      <c r="BD24" s="7" t="n"/>
      <c r="BE24" s="7" t="n"/>
      <c r="BF24" s="7" t="n"/>
      <c r="BG24" s="7" t="n"/>
      <c r="BH24" s="7" t="n"/>
      <c r="BI24" s="7" t="n"/>
      <c r="BJ24" s="7" t="n"/>
      <c r="BK24" s="252" t="inlineStr">
        <is>
          <t>541BÑ123</t>
        </is>
      </c>
      <c r="BL24" s="164"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06" t="n"/>
      <c r="BV24" s="142" t="inlineStr">
        <is>
          <t>R</t>
        </is>
      </c>
      <c r="BW24" s="142" t="n">
        <v>1</v>
      </c>
      <c r="BX24" s="142" t="n">
        <v>1</v>
      </c>
      <c r="BY24" s="142" t="n">
        <v>1</v>
      </c>
      <c r="BZ24" s="142" t="n">
        <v>1</v>
      </c>
      <c r="CA24" s="142" t="n">
        <v>1</v>
      </c>
      <c r="CB24" s="142" t="n">
        <v>1</v>
      </c>
      <c r="CC24" s="142" t="n">
        <v>1</v>
      </c>
      <c r="CD24" s="142" t="n">
        <v>1</v>
      </c>
      <c r="CE24" s="142" t="n">
        <v>1</v>
      </c>
      <c r="CF24" s="142" t="n">
        <v>1</v>
      </c>
      <c r="CG24" s="142" t="n">
        <v>1</v>
      </c>
      <c r="CH24" s="142" t="n">
        <v>1</v>
      </c>
      <c r="CI24" s="142" t="n">
        <v>1</v>
      </c>
      <c r="CJ24" s="142" t="n">
        <v>1</v>
      </c>
      <c r="CK24" s="142" t="n">
        <v>1</v>
      </c>
      <c r="CL24" s="142" t="n">
        <v>1</v>
      </c>
      <c r="CM24" s="142" t="n">
        <v>1</v>
      </c>
      <c r="CN24" s="142" t="n">
        <v>1</v>
      </c>
      <c r="CO24" s="142" t="n">
        <v>1</v>
      </c>
      <c r="CP24" s="142" t="n">
        <v>1</v>
      </c>
      <c r="CQ24" s="142" t="n">
        <v>1</v>
      </c>
      <c r="CR24" s="142" t="n">
        <v>1</v>
      </c>
      <c r="CS24" s="142" t="n">
        <v>1</v>
      </c>
      <c r="CT24" s="142" t="n">
        <v>1</v>
      </c>
      <c r="CU24" s="142" t="n">
        <v>1</v>
      </c>
      <c r="CV24" s="142" t="n">
        <v>1</v>
      </c>
      <c r="CW24" s="142" t="n">
        <v>1</v>
      </c>
      <c r="CX24" s="142" t="n">
        <v>1</v>
      </c>
      <c r="CY24" s="142" t="n">
        <v>1</v>
      </c>
      <c r="CZ24" s="124">
        <f>+COUNTA(BV24:CY24)</f>
        <v/>
      </c>
      <c r="DA24" s="251" t="n"/>
      <c r="DB24" s="251" t="n"/>
      <c r="DC24" s="251" t="n"/>
      <c r="DD24" s="251" t="n"/>
      <c r="DE24" s="251" t="n"/>
      <c r="DF24" s="251" t="n"/>
      <c r="DG24" s="251" t="n"/>
      <c r="DH24" s="251" t="n"/>
      <c r="DI24" s="251" t="n"/>
      <c r="DJ24" s="337" t="inlineStr">
        <is>
          <t>D</t>
        </is>
      </c>
      <c r="DK24" s="337" t="inlineStr">
        <is>
          <t>R</t>
        </is>
      </c>
      <c r="DL24" s="337" t="inlineStr">
        <is>
          <t>R</t>
        </is>
      </c>
      <c r="DM24" s="337" t="n"/>
      <c r="DN24" s="157" t="n"/>
      <c r="DO24" s="157" t="n"/>
    </row>
    <row r="25" ht="13" customHeight="1">
      <c r="A25" s="203" t="inlineStr">
        <is>
          <t>CCD</t>
        </is>
      </c>
      <c r="B25" s="376" t="n"/>
      <c r="C25" s="376"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76" t="n"/>
      <c r="BL25" s="164"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77" t="n"/>
      <c r="BV25" s="105" t="n"/>
      <c r="BW25" s="105" t="n"/>
      <c r="BX25" s="105" t="n"/>
      <c r="BY25" s="7" t="n"/>
      <c r="BZ25" s="105" t="n"/>
      <c r="CA25" s="105" t="n"/>
      <c r="CB25" s="107" t="n">
        <v>1</v>
      </c>
      <c r="CC25" s="105" t="n"/>
      <c r="CD25" s="105" t="n"/>
      <c r="CE25" s="105" t="n"/>
      <c r="CF25" s="105" t="n"/>
      <c r="CG25" s="105" t="n"/>
      <c r="CH25" s="105" t="n"/>
      <c r="CI25" s="105" t="n"/>
      <c r="CJ25" s="105" t="n"/>
      <c r="CK25" s="105" t="n"/>
      <c r="CL25" s="105" t="n"/>
      <c r="CM25" s="105" t="n"/>
      <c r="CN25" s="105" t="n"/>
      <c r="CO25" s="105" t="n"/>
      <c r="CP25" s="105" t="n"/>
      <c r="CQ25" s="105" t="n"/>
      <c r="CR25" s="107" t="n">
        <v>1</v>
      </c>
      <c r="CS25" s="105" t="n"/>
      <c r="CT25" s="105" t="n"/>
      <c r="CU25" s="105" t="n"/>
      <c r="CV25" s="105" t="n"/>
      <c r="CW25" s="105" t="n"/>
      <c r="CX25" s="105" t="n"/>
      <c r="CY25" s="105" t="n"/>
      <c r="CZ25" s="124">
        <f>+COUNTA(BV25:CY25)</f>
        <v/>
      </c>
      <c r="DA25" s="251" t="n"/>
      <c r="DB25" s="251" t="n"/>
      <c r="DC25" s="251" t="n"/>
      <c r="DD25" s="251" t="n"/>
      <c r="DE25" s="251" t="n"/>
      <c r="DF25" s="251" t="n"/>
      <c r="DG25" s="251" t="n"/>
      <c r="DH25" s="251" t="n"/>
      <c r="DI25" s="251" t="n"/>
      <c r="DJ25" s="337" t="n"/>
      <c r="DK25" s="337" t="n"/>
      <c r="DL25" s="337" t="n"/>
      <c r="DM25" s="337" t="inlineStr">
        <is>
          <t>2M-A</t>
        </is>
      </c>
      <c r="DN25" s="157" t="inlineStr">
        <is>
          <t>5-23</t>
        </is>
      </c>
      <c r="DO25" s="157" t="inlineStr">
        <is>
          <t>11-29</t>
        </is>
      </c>
    </row>
    <row r="26" ht="13" customHeight="1">
      <c r="A26" s="203" t="inlineStr">
        <is>
          <t>CPC</t>
        </is>
      </c>
      <c r="B26" s="305" t="inlineStr">
        <is>
          <t>CPC FALLA PABELLON</t>
        </is>
      </c>
      <c r="C26" s="251"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5" t="n"/>
      <c r="AL26" s="7" t="n"/>
      <c r="AM26" s="7" t="n"/>
      <c r="AN26" s="165" t="n"/>
      <c r="AO26" s="7" t="n"/>
      <c r="AP26" s="165" t="n"/>
      <c r="AQ26" s="7" t="n"/>
      <c r="AR26" s="165" t="n"/>
      <c r="AS26" s="7" t="n"/>
      <c r="AT26" s="7" t="n"/>
      <c r="AU26" s="7" t="n"/>
      <c r="AV26" s="165" t="n"/>
      <c r="AW26" s="7" t="n"/>
      <c r="AX26" s="7" t="n"/>
      <c r="AY26" s="7" t="n"/>
      <c r="AZ26" s="7" t="n"/>
      <c r="BA26" s="7" t="n"/>
      <c r="BB26" s="7" t="n"/>
      <c r="BC26" s="7" t="n"/>
      <c r="BD26" s="7" t="n"/>
      <c r="BE26" s="7" t="n"/>
      <c r="BF26" s="7" t="n"/>
      <c r="BG26" s="7" t="n"/>
      <c r="BH26" s="7" t="n"/>
      <c r="BI26" s="7" t="n"/>
      <c r="BJ26" s="7" t="n"/>
      <c r="BK26" s="252" t="inlineStr">
        <is>
          <t>541BD1001</t>
        </is>
      </c>
      <c r="BL26" s="164"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06" t="n"/>
      <c r="BV26" s="142" t="inlineStr">
        <is>
          <t>R</t>
        </is>
      </c>
      <c r="BW26" s="142" t="n">
        <v>1</v>
      </c>
      <c r="BX26" s="142" t="n">
        <v>1</v>
      </c>
      <c r="BY26" s="142" t="n">
        <v>1</v>
      </c>
      <c r="BZ26" s="142" t="n">
        <v>1</v>
      </c>
      <c r="CA26" s="142" t="n">
        <v>1</v>
      </c>
      <c r="CB26" s="142" t="n">
        <v>1</v>
      </c>
      <c r="CC26" s="142" t="n">
        <v>1</v>
      </c>
      <c r="CD26" s="142" t="n">
        <v>1</v>
      </c>
      <c r="CE26" s="142" t="n">
        <v>1</v>
      </c>
      <c r="CF26" s="142" t="n">
        <v>1</v>
      </c>
      <c r="CG26" s="142" t="n">
        <v>1</v>
      </c>
      <c r="CH26" s="142" t="n">
        <v>1</v>
      </c>
      <c r="CI26" s="142" t="n">
        <v>1</v>
      </c>
      <c r="CJ26" s="142" t="n">
        <v>1</v>
      </c>
      <c r="CK26" s="142" t="n">
        <v>1</v>
      </c>
      <c r="CL26" s="142" t="n">
        <v>1</v>
      </c>
      <c r="CM26" s="142" t="n">
        <v>1</v>
      </c>
      <c r="CN26" s="142" t="n">
        <v>1</v>
      </c>
      <c r="CO26" s="142" t="n">
        <v>1</v>
      </c>
      <c r="CP26" s="142" t="n">
        <v>1</v>
      </c>
      <c r="CQ26" s="142" t="n">
        <v>1</v>
      </c>
      <c r="CR26" s="142" t="n">
        <v>1</v>
      </c>
      <c r="CS26" s="142" t="n">
        <v>1</v>
      </c>
      <c r="CT26" s="142" t="n">
        <v>1</v>
      </c>
      <c r="CU26" s="142" t="n">
        <v>1</v>
      </c>
      <c r="CV26" s="142" t="n">
        <v>1</v>
      </c>
      <c r="CW26" s="142" t="n">
        <v>1</v>
      </c>
      <c r="CX26" s="142" t="n">
        <v>1</v>
      </c>
      <c r="CY26" s="142" t="n">
        <v>1</v>
      </c>
      <c r="CZ26" s="124">
        <f>+COUNTA(BV26:CY26)</f>
        <v/>
      </c>
      <c r="DA26" s="251" t="n"/>
      <c r="DB26" s="251" t="n"/>
      <c r="DC26" s="251" t="n"/>
      <c r="DD26" s="251" t="n"/>
      <c r="DE26" s="251" t="n"/>
      <c r="DF26" s="251" t="n"/>
      <c r="DG26" s="251" t="n"/>
      <c r="DH26" s="251" t="n"/>
      <c r="DI26" s="251" t="n"/>
      <c r="DJ26" s="337" t="inlineStr">
        <is>
          <t>D</t>
        </is>
      </c>
      <c r="DK26" s="337" t="inlineStr">
        <is>
          <t>R</t>
        </is>
      </c>
      <c r="DL26" s="337" t="inlineStr">
        <is>
          <t>R</t>
        </is>
      </c>
      <c r="DM26" s="337" t="n"/>
      <c r="DN26" s="157" t="n"/>
      <c r="DO26" s="157" t="n"/>
    </row>
    <row r="27" ht="13" customHeight="1">
      <c r="A27" s="203" t="inlineStr">
        <is>
          <t>CPC</t>
        </is>
      </c>
      <c r="B27" s="376" t="n"/>
      <c r="C27" s="376"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76" t="n"/>
      <c r="BL27" s="164"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77" t="n"/>
      <c r="BV27" s="105" t="n"/>
      <c r="BW27" s="105" t="n"/>
      <c r="BX27" s="105" t="n"/>
      <c r="BY27" s="7" t="n"/>
      <c r="BZ27" s="105" t="n"/>
      <c r="CA27" s="105" t="n"/>
      <c r="CB27" s="107" t="n">
        <v>1</v>
      </c>
      <c r="CC27" s="105" t="n"/>
      <c r="CD27" s="105" t="n"/>
      <c r="CE27" s="105" t="n"/>
      <c r="CF27" s="105" t="n"/>
      <c r="CG27" s="105" t="n"/>
      <c r="CH27" s="105" t="n"/>
      <c r="CI27" s="105" t="n"/>
      <c r="CJ27" s="105" t="n"/>
      <c r="CK27" s="105" t="n"/>
      <c r="CL27" s="105" t="n"/>
      <c r="CM27" s="105" t="n"/>
      <c r="CN27" s="105" t="n"/>
      <c r="CO27" s="105" t="n"/>
      <c r="CP27" s="105" t="n"/>
      <c r="CQ27" s="105" t="n"/>
      <c r="CR27" s="107" t="n">
        <v>1</v>
      </c>
      <c r="CS27" s="105" t="n"/>
      <c r="CT27" s="105" t="n"/>
      <c r="CU27" s="105" t="n"/>
      <c r="CV27" s="105" t="n"/>
      <c r="CW27" s="105" t="n"/>
      <c r="CX27" s="105" t="n"/>
      <c r="CY27" s="105" t="n"/>
      <c r="CZ27" s="124">
        <f>+COUNTA(BV27:CY27)</f>
        <v/>
      </c>
      <c r="DA27" s="251" t="n"/>
      <c r="DB27" s="251" t="n"/>
      <c r="DC27" s="251" t="n"/>
      <c r="DD27" s="251" t="n"/>
      <c r="DE27" s="251" t="n"/>
      <c r="DF27" s="251" t="n"/>
      <c r="DG27" s="251" t="n"/>
      <c r="DH27" s="251" t="n"/>
      <c r="DI27" s="251" t="n"/>
      <c r="DJ27" s="337" t="n"/>
      <c r="DK27" s="337" t="n"/>
      <c r="DL27" s="337" t="n"/>
      <c r="DM27" s="337" t="inlineStr">
        <is>
          <t>2M-A</t>
        </is>
      </c>
      <c r="DN27" s="157" t="inlineStr">
        <is>
          <t>5-23</t>
        </is>
      </c>
      <c r="DO27" s="157" t="inlineStr">
        <is>
          <t>11-29</t>
        </is>
      </c>
    </row>
    <row r="28" ht="13" customHeight="1">
      <c r="A28" s="203" t="inlineStr">
        <is>
          <t>TK-1004</t>
        </is>
      </c>
      <c r="B28" s="305" t="inlineStr">
        <is>
          <t>TK-1004 ROSARIO</t>
        </is>
      </c>
      <c r="C28" s="251"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5" t="n"/>
      <c r="AL28" s="7" t="n"/>
      <c r="AM28" s="7" t="n"/>
      <c r="AN28" s="165" t="n"/>
      <c r="AO28" s="7" t="n"/>
      <c r="AP28" s="165" t="n"/>
      <c r="AQ28" s="7" t="n"/>
      <c r="AR28" s="165" t="n"/>
      <c r="AS28" s="7" t="n"/>
      <c r="AT28" s="7" t="n"/>
      <c r="AU28" s="7" t="n"/>
      <c r="AV28" s="165" t="n"/>
      <c r="AW28" s="7" t="n"/>
      <c r="AX28" s="7" t="n"/>
      <c r="AY28" s="7" t="n"/>
      <c r="AZ28" s="7" t="n"/>
      <c r="BA28" s="7" t="n"/>
      <c r="BB28" s="7" t="n"/>
      <c r="BC28" s="7" t="n"/>
      <c r="BD28" s="7" t="n"/>
      <c r="BE28" s="7" t="n"/>
      <c r="BF28" s="7" t="n"/>
      <c r="BG28" s="7" t="n"/>
      <c r="BH28" s="7" t="n"/>
      <c r="BI28" s="7" t="n"/>
      <c r="BJ28" s="7" t="n"/>
      <c r="BK28" s="252" t="inlineStr">
        <is>
          <t>600TK1004</t>
        </is>
      </c>
      <c r="BL28" s="252"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06" t="inlineStr">
        <is>
          <t>consultar por mantenciones de TK</t>
        </is>
      </c>
      <c r="BV28" s="142" t="inlineStr">
        <is>
          <t>R</t>
        </is>
      </c>
      <c r="BW28" s="142" t="n">
        <v>1</v>
      </c>
      <c r="BX28" s="142" t="n">
        <v>1</v>
      </c>
      <c r="BY28" s="142" t="n">
        <v>1</v>
      </c>
      <c r="BZ28" s="142" t="n">
        <v>1</v>
      </c>
      <c r="CA28" s="142" t="n">
        <v>1</v>
      </c>
      <c r="CB28" s="142" t="n">
        <v>1</v>
      </c>
      <c r="CC28" s="142" t="n">
        <v>1</v>
      </c>
      <c r="CD28" s="142" t="n">
        <v>1</v>
      </c>
      <c r="CE28" s="142" t="n">
        <v>1</v>
      </c>
      <c r="CF28" s="142" t="n">
        <v>1</v>
      </c>
      <c r="CG28" s="142" t="n">
        <v>1</v>
      </c>
      <c r="CH28" s="142" t="n">
        <v>1</v>
      </c>
      <c r="CI28" s="142" t="n">
        <v>1</v>
      </c>
      <c r="CJ28" s="142" t="n">
        <v>1</v>
      </c>
      <c r="CK28" s="142" t="n">
        <v>1</v>
      </c>
      <c r="CL28" s="142" t="n">
        <v>1</v>
      </c>
      <c r="CM28" s="142" t="n">
        <v>1</v>
      </c>
      <c r="CN28" s="142" t="n">
        <v>1</v>
      </c>
      <c r="CO28" s="142" t="n">
        <v>1</v>
      </c>
      <c r="CP28" s="142" t="n">
        <v>1</v>
      </c>
      <c r="CQ28" s="142" t="n">
        <v>1</v>
      </c>
      <c r="CR28" s="142" t="n">
        <v>1</v>
      </c>
      <c r="CS28" s="142" t="n">
        <v>1</v>
      </c>
      <c r="CT28" s="142" t="n">
        <v>1</v>
      </c>
      <c r="CU28" s="142" t="n">
        <v>1</v>
      </c>
      <c r="CV28" s="142" t="n"/>
      <c r="CW28" s="142" t="n">
        <v>1</v>
      </c>
      <c r="CX28" s="142" t="n">
        <v>1</v>
      </c>
      <c r="CY28" s="142" t="n">
        <v>1</v>
      </c>
      <c r="CZ28" s="124">
        <f>+COUNTA(BV28:CY28)</f>
        <v/>
      </c>
      <c r="DA28" s="251" t="n"/>
      <c r="DB28" s="251" t="n"/>
      <c r="DC28" s="251" t="n"/>
      <c r="DD28" s="251" t="n"/>
      <c r="DE28" s="251" t="n"/>
      <c r="DF28" s="251" t="n"/>
      <c r="DG28" s="251" t="n"/>
      <c r="DH28" s="251" t="n"/>
      <c r="DI28" s="251" t="n"/>
      <c r="DJ28" s="337" t="inlineStr">
        <is>
          <t>D</t>
        </is>
      </c>
      <c r="DK28" s="337" t="inlineStr">
        <is>
          <t>R</t>
        </is>
      </c>
      <c r="DL28" s="337" t="inlineStr">
        <is>
          <t>R</t>
        </is>
      </c>
      <c r="DM28" s="337" t="n"/>
      <c r="DN28" s="157" t="n"/>
      <c r="DO28" s="157" t="n"/>
    </row>
    <row r="29" ht="13" customHeight="1">
      <c r="A29" s="203" t="inlineStr">
        <is>
          <t>TK-1004</t>
        </is>
      </c>
      <c r="B29" s="376" t="n"/>
      <c r="C29" s="376"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76" t="n"/>
      <c r="BL29" s="252"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77" t="n"/>
      <c r="BV29" s="105" t="n"/>
      <c r="BW29" s="105" t="n"/>
      <c r="BX29" s="105" t="n"/>
      <c r="BY29" s="7" t="n"/>
      <c r="BZ29" s="105" t="n"/>
      <c r="CA29" s="105" t="n"/>
      <c r="CB29" s="107" t="n">
        <v>1</v>
      </c>
      <c r="CC29" s="105" t="n"/>
      <c r="CD29" s="105" t="n"/>
      <c r="CE29" s="105" t="n"/>
      <c r="CF29" s="105" t="n"/>
      <c r="CG29" s="105" t="n"/>
      <c r="CH29" s="105" t="n"/>
      <c r="CI29" s="105" t="n"/>
      <c r="CJ29" s="105" t="n"/>
      <c r="CK29" s="105" t="n"/>
      <c r="CL29" s="105" t="n"/>
      <c r="CM29" s="105" t="n"/>
      <c r="CN29" s="105" t="n"/>
      <c r="CO29" s="105" t="n"/>
      <c r="CP29" s="105" t="n"/>
      <c r="CQ29" s="105" t="n"/>
      <c r="CR29" s="107" t="n">
        <v>1</v>
      </c>
      <c r="CS29" s="105" t="n"/>
      <c r="CT29" s="105" t="n"/>
      <c r="CU29" s="105" t="n"/>
      <c r="CV29" s="105" t="n"/>
      <c r="CW29" s="105" t="n"/>
      <c r="CX29" s="105" t="n"/>
      <c r="CY29" s="7" t="n"/>
      <c r="CZ29" s="124">
        <f>+COUNTA(BV29:CY29)</f>
        <v/>
      </c>
      <c r="DA29" s="251" t="n"/>
      <c r="DB29" s="251" t="n"/>
      <c r="DC29" s="251" t="n"/>
      <c r="DD29" s="251" t="n"/>
      <c r="DE29" s="251" t="n"/>
      <c r="DF29" s="251" t="n"/>
      <c r="DG29" s="251" t="n"/>
      <c r="DH29" s="251" t="n"/>
      <c r="DI29" s="251" t="n"/>
      <c r="DJ29" s="337" t="n"/>
      <c r="DK29" s="337" t="n"/>
      <c r="DL29" s="337" t="n"/>
      <c r="DM29" s="337" t="inlineStr">
        <is>
          <t>2M-A</t>
        </is>
      </c>
      <c r="DN29" s="157" t="inlineStr">
        <is>
          <t>5-23</t>
        </is>
      </c>
      <c r="DO29" s="157" t="inlineStr">
        <is>
          <t>11-29</t>
        </is>
      </c>
    </row>
    <row r="30" ht="13" customHeight="1">
      <c r="A30" s="203" t="inlineStr">
        <is>
          <t>TK-505</t>
        </is>
      </c>
      <c r="B30" s="305" t="inlineStr">
        <is>
          <t>TK-505 FALLA PABELLON</t>
        </is>
      </c>
      <c r="C30" s="251"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2" t="inlineStr">
        <is>
          <t>530ZP101</t>
        </is>
      </c>
      <c r="BL30" s="252"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06" t="inlineStr">
        <is>
          <t>consultar por mantenciones de TK</t>
        </is>
      </c>
      <c r="BV30" s="142" t="inlineStr">
        <is>
          <t>R</t>
        </is>
      </c>
      <c r="BW30" s="142" t="n">
        <v>1</v>
      </c>
      <c r="BX30" s="142" t="n">
        <v>1</v>
      </c>
      <c r="BY30" s="142" t="n">
        <v>1</v>
      </c>
      <c r="BZ30" s="142" t="n">
        <v>1</v>
      </c>
      <c r="CA30" s="142" t="n">
        <v>1</v>
      </c>
      <c r="CB30" s="142" t="n">
        <v>1</v>
      </c>
      <c r="CC30" s="142" t="n">
        <v>1</v>
      </c>
      <c r="CD30" s="142" t="n">
        <v>1</v>
      </c>
      <c r="CE30" s="142" t="n">
        <v>1</v>
      </c>
      <c r="CF30" s="142" t="n">
        <v>1</v>
      </c>
      <c r="CG30" s="142" t="n">
        <v>1</v>
      </c>
      <c r="CH30" s="142" t="n">
        <v>1</v>
      </c>
      <c r="CI30" s="142" t="n">
        <v>1</v>
      </c>
      <c r="CJ30" s="142" t="n">
        <v>1</v>
      </c>
      <c r="CK30" s="142" t="n">
        <v>1</v>
      </c>
      <c r="CL30" s="142" t="n">
        <v>1</v>
      </c>
      <c r="CM30" s="142" t="n">
        <v>1</v>
      </c>
      <c r="CN30" s="142" t="n">
        <v>1</v>
      </c>
      <c r="CO30" s="142" t="n">
        <v>1</v>
      </c>
      <c r="CP30" s="142" t="n">
        <v>1</v>
      </c>
      <c r="CQ30" s="142" t="n">
        <v>1</v>
      </c>
      <c r="CR30" s="142" t="n">
        <v>1</v>
      </c>
      <c r="CS30" s="142" t="n">
        <v>1</v>
      </c>
      <c r="CT30" s="142" t="n">
        <v>1</v>
      </c>
      <c r="CU30" s="142" t="n">
        <v>1</v>
      </c>
      <c r="CV30" s="142" t="n">
        <v>1</v>
      </c>
      <c r="CW30" s="142" t="n">
        <v>1</v>
      </c>
      <c r="CX30" s="142" t="n">
        <v>1</v>
      </c>
      <c r="CY30" s="142" t="n">
        <v>1</v>
      </c>
      <c r="CZ30" s="124">
        <f>+COUNTA(BV30:CY30)</f>
        <v/>
      </c>
      <c r="DA30" s="251" t="n"/>
      <c r="DB30" s="251" t="n"/>
      <c r="DC30" s="251" t="n"/>
      <c r="DD30" s="251" t="n"/>
      <c r="DE30" s="251" t="n"/>
      <c r="DF30" s="251" t="n"/>
      <c r="DG30" s="251" t="n"/>
      <c r="DH30" s="251" t="n"/>
      <c r="DI30" s="251" t="n"/>
      <c r="DJ30" s="337" t="inlineStr">
        <is>
          <t>D</t>
        </is>
      </c>
      <c r="DK30" s="337" t="inlineStr">
        <is>
          <t>R</t>
        </is>
      </c>
      <c r="DL30" s="337" t="inlineStr">
        <is>
          <t>R</t>
        </is>
      </c>
      <c r="DM30" s="337" t="n"/>
      <c r="DN30" s="157" t="n"/>
      <c r="DO30" s="157" t="n"/>
    </row>
    <row r="31" ht="13" customHeight="1">
      <c r="A31" s="203" t="inlineStr">
        <is>
          <t>TK-505</t>
        </is>
      </c>
      <c r="B31" s="376" t="n"/>
      <c r="C31" s="376"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76" t="n"/>
      <c r="BL31" s="252"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77" t="n"/>
      <c r="BV31" s="105" t="n"/>
      <c r="BW31" s="105" t="n"/>
      <c r="BX31" s="105" t="n"/>
      <c r="BY31" s="7" t="n"/>
      <c r="BZ31" s="105" t="n"/>
      <c r="CA31" s="105" t="n"/>
      <c r="CB31" s="107" t="n">
        <v>1</v>
      </c>
      <c r="CC31" s="7" t="n"/>
      <c r="CD31" s="7" t="n"/>
      <c r="CE31" s="7" t="n"/>
      <c r="CF31" s="7" t="n"/>
      <c r="CG31" s="105" t="n"/>
      <c r="CH31" s="105" t="n"/>
      <c r="CI31" s="105" t="n"/>
      <c r="CJ31" s="105" t="n"/>
      <c r="CK31" s="105" t="n"/>
      <c r="CL31" s="105" t="n"/>
      <c r="CM31" s="105" t="n"/>
      <c r="CN31" s="105" t="n"/>
      <c r="CO31" s="105" t="n"/>
      <c r="CP31" s="105" t="n"/>
      <c r="CQ31" s="105" t="n"/>
      <c r="CR31" s="107" t="n">
        <v>1</v>
      </c>
      <c r="CS31" s="105" t="n"/>
      <c r="CT31" s="105" t="n"/>
      <c r="CU31" s="105" t="n"/>
      <c r="CV31" s="105" t="n"/>
      <c r="CW31" s="105" t="n"/>
      <c r="CX31" s="105" t="n"/>
      <c r="CY31" s="105" t="n"/>
      <c r="CZ31" s="124">
        <f>+COUNTA(BV31:CY31)</f>
        <v/>
      </c>
      <c r="DA31" s="251" t="n"/>
      <c r="DB31" s="251" t="n"/>
      <c r="DC31" s="251" t="n"/>
      <c r="DD31" s="251" t="n"/>
      <c r="DE31" s="251" t="n"/>
      <c r="DF31" s="251" t="n"/>
      <c r="DG31" s="251" t="n"/>
      <c r="DH31" s="251" t="n"/>
      <c r="DI31" s="251" t="n"/>
      <c r="DJ31" s="337" t="n"/>
      <c r="DK31" s="337" t="n"/>
      <c r="DL31" s="337" t="n"/>
      <c r="DM31" s="337" t="inlineStr">
        <is>
          <t>2M-A</t>
        </is>
      </c>
      <c r="DN31" s="157" t="inlineStr">
        <is>
          <t>5-23</t>
        </is>
      </c>
      <c r="DO31" s="157" t="inlineStr">
        <is>
          <t>11-29</t>
        </is>
      </c>
    </row>
    <row r="32" ht="13" customHeight="1">
      <c r="A32" s="203" t="inlineStr">
        <is>
          <t>TK-517</t>
        </is>
      </c>
      <c r="B32" s="305" t="inlineStr">
        <is>
          <t>TK-517 UJINA</t>
        </is>
      </c>
      <c r="C32" s="251"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2" t="inlineStr">
        <is>
          <t>610TK517</t>
        </is>
      </c>
      <c r="BL32" s="252"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06" t="inlineStr">
        <is>
          <t>consultar por mantenciones de TK</t>
        </is>
      </c>
      <c r="BV32" s="142" t="inlineStr">
        <is>
          <t>R</t>
        </is>
      </c>
      <c r="BW32" s="142" t="n">
        <v>1</v>
      </c>
      <c r="BX32" s="142" t="n">
        <v>1</v>
      </c>
      <c r="BY32" s="142" t="n">
        <v>1</v>
      </c>
      <c r="BZ32" s="142" t="n">
        <v>1</v>
      </c>
      <c r="CA32" s="142" t="n">
        <v>1</v>
      </c>
      <c r="CB32" s="142" t="n">
        <v>1</v>
      </c>
      <c r="CC32" s="142" t="n">
        <v>1</v>
      </c>
      <c r="CD32" s="142" t="n">
        <v>1</v>
      </c>
      <c r="CE32" s="142" t="n">
        <v>1</v>
      </c>
      <c r="CF32" s="142" t="n">
        <v>1</v>
      </c>
      <c r="CG32" s="142" t="n">
        <v>1</v>
      </c>
      <c r="CH32" s="142" t="n">
        <v>1</v>
      </c>
      <c r="CI32" s="142" t="n">
        <v>1</v>
      </c>
      <c r="CJ32" s="142" t="n">
        <v>1</v>
      </c>
      <c r="CK32" s="142" t="n">
        <v>1</v>
      </c>
      <c r="CL32" s="142" t="n">
        <v>1</v>
      </c>
      <c r="CM32" s="142" t="n">
        <v>1</v>
      </c>
      <c r="CN32" s="142" t="n">
        <v>1</v>
      </c>
      <c r="CO32" s="142" t="n">
        <v>1</v>
      </c>
      <c r="CP32" s="142" t="n">
        <v>1</v>
      </c>
      <c r="CQ32" s="142" t="n">
        <v>1</v>
      </c>
      <c r="CR32" s="142" t="n">
        <v>1</v>
      </c>
      <c r="CS32" s="142" t="n">
        <v>1</v>
      </c>
      <c r="CT32" s="142" t="n">
        <v>1</v>
      </c>
      <c r="CU32" s="142" t="n">
        <v>1</v>
      </c>
      <c r="CV32" s="142" t="n">
        <v>1</v>
      </c>
      <c r="CW32" s="142" t="n">
        <v>1</v>
      </c>
      <c r="CX32" s="142" t="n">
        <v>1</v>
      </c>
      <c r="CY32" s="142" t="n">
        <v>1</v>
      </c>
      <c r="CZ32" s="124">
        <f>+COUNTA(BV32:CY32)</f>
        <v/>
      </c>
      <c r="DA32" s="251" t="n"/>
      <c r="DB32" s="251" t="n"/>
      <c r="DC32" s="251" t="n"/>
      <c r="DD32" s="251" t="n"/>
      <c r="DE32" s="251" t="n"/>
      <c r="DF32" s="251" t="n"/>
      <c r="DG32" s="251" t="n"/>
      <c r="DH32" s="251" t="n"/>
      <c r="DI32" s="251" t="n"/>
      <c r="DJ32" s="337" t="inlineStr">
        <is>
          <t>D</t>
        </is>
      </c>
      <c r="DK32" s="337" t="inlineStr">
        <is>
          <t>R</t>
        </is>
      </c>
      <c r="DL32" s="337" t="inlineStr">
        <is>
          <t>R</t>
        </is>
      </c>
      <c r="DM32" s="337" t="n"/>
      <c r="DN32" s="157" t="n"/>
      <c r="DO32" s="157" t="n"/>
    </row>
    <row r="33" ht="13" customHeight="1">
      <c r="A33" s="203" t="inlineStr">
        <is>
          <t>TK-517</t>
        </is>
      </c>
      <c r="B33" s="376" t="n"/>
      <c r="C33" s="376"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76" t="n"/>
      <c r="BL33" s="252"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77" t="n"/>
      <c r="BV33" s="105" t="n"/>
      <c r="BW33" s="105" t="n"/>
      <c r="BX33" s="105" t="n"/>
      <c r="BY33" s="125" t="n"/>
      <c r="BZ33" s="105" t="n"/>
      <c r="CA33" s="106" t="n"/>
      <c r="CB33" s="107" t="n">
        <v>1</v>
      </c>
      <c r="CC33" s="125" t="n"/>
      <c r="CD33" s="125" t="n"/>
      <c r="CE33" s="125" t="n"/>
      <c r="CF33" s="125" t="n"/>
      <c r="CG33" s="105" t="n"/>
      <c r="CH33" s="105" t="n"/>
      <c r="CI33" s="105" t="n"/>
      <c r="CJ33" s="105" t="n"/>
      <c r="CK33" s="105" t="n"/>
      <c r="CL33" s="105" t="n"/>
      <c r="CM33" s="105" t="n"/>
      <c r="CN33" s="105" t="n"/>
      <c r="CO33" s="105" t="n"/>
      <c r="CP33" s="105" t="n"/>
      <c r="CQ33" s="105" t="n"/>
      <c r="CR33" s="107" t="n">
        <v>1</v>
      </c>
      <c r="CS33" s="105" t="n"/>
      <c r="CT33" s="105" t="n"/>
      <c r="CU33" s="105" t="n"/>
      <c r="CV33" s="105" t="n"/>
      <c r="CW33" s="125" t="n"/>
      <c r="CX33" s="125" t="n"/>
      <c r="CY33" s="125" t="n"/>
      <c r="CZ33" s="124">
        <f>+COUNTA(BV33:CY33)</f>
        <v/>
      </c>
      <c r="DA33" s="251" t="n"/>
      <c r="DB33" s="251" t="n"/>
      <c r="DC33" s="251" t="n"/>
      <c r="DD33" s="251" t="n"/>
      <c r="DE33" s="251" t="n"/>
      <c r="DF33" s="251" t="n"/>
      <c r="DG33" s="251" t="n"/>
      <c r="DH33" s="251" t="n"/>
      <c r="DI33" s="251" t="n"/>
      <c r="DJ33" s="337" t="n"/>
      <c r="DK33" s="337" t="n"/>
      <c r="DL33" s="337" t="n"/>
      <c r="DM33" s="337" t="inlineStr">
        <is>
          <t>2M-A</t>
        </is>
      </c>
      <c r="DN33" s="157" t="inlineStr">
        <is>
          <t>5-23</t>
        </is>
      </c>
      <c r="DO33" s="157" t="inlineStr">
        <is>
          <t>11-29</t>
        </is>
      </c>
    </row>
    <row r="34" ht="13" customHeight="1">
      <c r="A34" s="203" t="inlineStr">
        <is>
          <t>CGP</t>
        </is>
      </c>
      <c r="B34" s="305" t="inlineStr">
        <is>
          <t>CGP PUERTO COLLAHUASI</t>
        </is>
      </c>
      <c r="C34" s="251"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2" t="inlineStr">
        <is>
          <t>300SI400</t>
        </is>
      </c>
      <c r="BL34" s="252"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06" t="n"/>
      <c r="BV34" s="142" t="inlineStr">
        <is>
          <t>R</t>
        </is>
      </c>
      <c r="BW34" s="105" t="n"/>
      <c r="BX34" s="105" t="n"/>
      <c r="BY34" s="7" t="n"/>
      <c r="BZ34" s="125" t="n"/>
      <c r="CA34" s="125" t="n"/>
      <c r="CB34" s="105" t="n"/>
      <c r="CC34" s="125" t="n"/>
      <c r="CD34" s="105" t="n"/>
      <c r="CE34" s="105" t="n"/>
      <c r="CF34" s="105" t="n"/>
      <c r="CG34" s="105" t="n"/>
      <c r="CH34" s="105" t="n"/>
      <c r="CI34" s="105" t="n"/>
      <c r="CJ34" s="142" t="n">
        <v>1</v>
      </c>
      <c r="CK34" s="105" t="n"/>
      <c r="CL34" s="105" t="n"/>
      <c r="CM34" s="105" t="n"/>
      <c r="CN34" s="105" t="n"/>
      <c r="CO34" s="125" t="n"/>
      <c r="CP34" s="105" t="n"/>
      <c r="CQ34" s="105" t="n"/>
      <c r="CR34" s="105" t="n"/>
      <c r="CS34" s="105" t="n"/>
      <c r="CT34" s="105" t="n"/>
      <c r="CU34" s="105" t="n"/>
      <c r="CV34" s="105" t="n"/>
      <c r="CW34" s="105" t="n"/>
      <c r="CX34" s="105" t="n"/>
      <c r="CY34" s="125" t="n"/>
      <c r="CZ34" s="124">
        <f>+COUNTA(BV34:CY34)</f>
        <v/>
      </c>
      <c r="DA34" s="251" t="n"/>
      <c r="DB34" s="251" t="n"/>
      <c r="DC34" s="251" t="n"/>
      <c r="DD34" s="251" t="n"/>
      <c r="DE34" s="251" t="n"/>
      <c r="DF34" s="251" t="n"/>
      <c r="DG34" s="251" t="n"/>
      <c r="DH34" s="251" t="n"/>
      <c r="DI34" s="251" t="n"/>
      <c r="DJ34" s="337" t="inlineStr">
        <is>
          <t>2M</t>
        </is>
      </c>
      <c r="DK34" s="337" t="inlineStr">
        <is>
          <t>R</t>
        </is>
      </c>
      <c r="DL34" s="337" t="inlineStr">
        <is>
          <t>R</t>
        </is>
      </c>
      <c r="DM34" s="337" t="n"/>
      <c r="DN34" s="157" t="n"/>
      <c r="DO34" s="157" t="n"/>
    </row>
    <row r="35" ht="13" customHeight="1">
      <c r="A35" s="203" t="inlineStr">
        <is>
          <t>CGP</t>
        </is>
      </c>
      <c r="B35" s="376" t="n"/>
      <c r="C35" s="376"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76" t="n"/>
      <c r="BL35" s="252"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77" t="n"/>
      <c r="BV35" s="107" t="inlineStr">
        <is>
          <t>R</t>
        </is>
      </c>
      <c r="BW35" s="105" t="n"/>
      <c r="BX35" s="106" t="n"/>
      <c r="BY35" s="7" t="n"/>
      <c r="BZ35" s="125" t="n"/>
      <c r="CA35" s="125" t="n"/>
      <c r="CB35" s="106" t="n"/>
      <c r="CC35" s="125" t="n"/>
      <c r="CD35" s="105" t="n"/>
      <c r="CE35" s="105" t="n"/>
      <c r="CF35" s="105" t="n"/>
      <c r="CG35" s="105" t="n"/>
      <c r="CH35" s="105" t="n"/>
      <c r="CI35" s="105" t="n"/>
      <c r="CJ35" s="107" t="n">
        <v>1</v>
      </c>
      <c r="CK35" s="106" t="n"/>
      <c r="CL35" s="106" t="n"/>
      <c r="CM35" s="106" t="n"/>
      <c r="CN35" s="105" t="n"/>
      <c r="CO35" s="125" t="n"/>
      <c r="CP35" s="106" t="n"/>
      <c r="CQ35" s="106" t="n"/>
      <c r="CR35" s="105" t="n"/>
      <c r="CS35" s="105" t="n"/>
      <c r="CT35" s="105" t="n"/>
      <c r="CU35" s="105" t="n"/>
      <c r="CV35" s="105" t="n"/>
      <c r="CW35" s="105" t="n"/>
      <c r="CX35" s="105" t="n"/>
      <c r="CY35" s="125" t="n"/>
      <c r="CZ35" s="124">
        <f>+COUNTA(BV35:CY35)</f>
        <v/>
      </c>
      <c r="DA35" s="251" t="n"/>
      <c r="DB35" s="251" t="n"/>
      <c r="DC35" s="251" t="n"/>
      <c r="DD35" s="251" t="n"/>
      <c r="DE35" s="251" t="n"/>
      <c r="DF35" s="251" t="n"/>
      <c r="DG35" s="251" t="n"/>
      <c r="DH35" s="251" t="n"/>
      <c r="DI35" s="251" t="n"/>
      <c r="DJ35" s="337" t="n"/>
      <c r="DK35" s="337" t="n"/>
      <c r="DL35" s="337" t="n"/>
      <c r="DM35" s="337" t="inlineStr">
        <is>
          <t>2M-A</t>
        </is>
      </c>
      <c r="DN35" s="337" t="inlineStr">
        <is>
          <t>R</t>
        </is>
      </c>
      <c r="DO35" s="337" t="inlineStr">
        <is>
          <t>R</t>
        </is>
      </c>
    </row>
    <row r="36" ht="13" customHeight="1">
      <c r="A36" s="203" t="inlineStr">
        <is>
          <t>CPPCHE</t>
        </is>
      </c>
      <c r="B36" s="305" t="inlineStr">
        <is>
          <t>CPPCHE PUERTO COLLAHUASI</t>
        </is>
      </c>
      <c r="C36" s="251"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2" t="inlineStr">
        <is>
          <t>300SI400</t>
        </is>
      </c>
      <c r="BL36" s="252"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06" t="n"/>
      <c r="BV36" s="142" t="inlineStr">
        <is>
          <t>R</t>
        </is>
      </c>
      <c r="BW36" s="105" t="n"/>
      <c r="BX36" s="105" t="n"/>
      <c r="BY36" s="7" t="n"/>
      <c r="BZ36" s="125" t="n"/>
      <c r="CA36" s="125" t="n"/>
      <c r="CB36" s="105" t="n"/>
      <c r="CC36" s="125" t="n"/>
      <c r="CD36" s="105" t="n"/>
      <c r="CE36" s="105" t="n"/>
      <c r="CF36" s="105" t="n"/>
      <c r="CG36" s="105" t="n"/>
      <c r="CH36" s="105" t="n"/>
      <c r="CI36" s="105" t="n"/>
      <c r="CJ36" s="142" t="n">
        <v>1</v>
      </c>
      <c r="CK36" s="105" t="n"/>
      <c r="CL36" s="105" t="n"/>
      <c r="CM36" s="105" t="n"/>
      <c r="CN36" s="105" t="n"/>
      <c r="CO36" s="125" t="n"/>
      <c r="CP36" s="105" t="n"/>
      <c r="CQ36" s="105" t="n"/>
      <c r="CR36" s="105" t="n"/>
      <c r="CS36" s="105" t="n"/>
      <c r="CT36" s="105" t="n"/>
      <c r="CU36" s="105" t="n"/>
      <c r="CV36" s="105" t="n"/>
      <c r="CW36" s="105" t="n"/>
      <c r="CX36" s="105" t="n"/>
      <c r="CY36" s="125" t="n"/>
      <c r="CZ36" s="124">
        <f>+COUNTA(BV36:CY36)</f>
        <v/>
      </c>
      <c r="DA36" s="251" t="n"/>
      <c r="DB36" s="251" t="n"/>
      <c r="DC36" s="251" t="n"/>
      <c r="DD36" s="251" t="n"/>
      <c r="DE36" s="251" t="n"/>
      <c r="DF36" s="251" t="n"/>
      <c r="DG36" s="251" t="n"/>
      <c r="DH36" s="251" t="n"/>
      <c r="DI36" s="251" t="n"/>
      <c r="DJ36" s="337" t="inlineStr">
        <is>
          <t>2M</t>
        </is>
      </c>
      <c r="DK36" s="337" t="inlineStr">
        <is>
          <t>R</t>
        </is>
      </c>
      <c r="DL36" s="337" t="inlineStr">
        <is>
          <t>R</t>
        </is>
      </c>
      <c r="DM36" s="337" t="n"/>
      <c r="DN36" s="337" t="n"/>
      <c r="DO36" s="337" t="n"/>
    </row>
    <row r="37" ht="14.5" customHeight="1">
      <c r="A37" s="203" t="inlineStr">
        <is>
          <t>CPPCHE</t>
        </is>
      </c>
      <c r="B37" s="376" t="n"/>
      <c r="C37" s="376"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76" t="n"/>
      <c r="BL37" s="252"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77" t="n"/>
      <c r="BV37" s="107" t="inlineStr">
        <is>
          <t>R</t>
        </is>
      </c>
      <c r="BW37" s="105" t="n"/>
      <c r="BX37" s="106" t="n"/>
      <c r="BY37" s="7" t="n"/>
      <c r="BZ37" s="125" t="n"/>
      <c r="CA37" s="125" t="n"/>
      <c r="CB37" s="106" t="n"/>
      <c r="CC37" s="125" t="n"/>
      <c r="CD37" s="105" t="n"/>
      <c r="CE37" s="105" t="n"/>
      <c r="CF37" s="105" t="n"/>
      <c r="CG37" s="105" t="n"/>
      <c r="CH37" s="105" t="n"/>
      <c r="CI37" s="105" t="n"/>
      <c r="CJ37" s="107" t="n">
        <v>1</v>
      </c>
      <c r="CK37" s="106" t="n"/>
      <c r="CL37" s="106" t="n"/>
      <c r="CM37" s="106" t="n"/>
      <c r="CN37" s="105" t="n"/>
      <c r="CO37" s="125" t="n"/>
      <c r="CP37" s="106" t="n"/>
      <c r="CQ37" s="106" t="n"/>
      <c r="CR37" s="105" t="n"/>
      <c r="CS37" s="105" t="n"/>
      <c r="CT37" s="105" t="n"/>
      <c r="CU37" s="105" t="n"/>
      <c r="CV37" s="105" t="n"/>
      <c r="CW37" s="105" t="n"/>
      <c r="CX37" s="105" t="n"/>
      <c r="CY37" s="125" t="n"/>
      <c r="CZ37" s="124">
        <f>+COUNTA(BV37:CY37)</f>
        <v/>
      </c>
      <c r="DA37" s="251" t="n"/>
      <c r="DB37" s="251" t="n"/>
      <c r="DC37" s="251" t="n"/>
      <c r="DD37" s="251" t="n"/>
      <c r="DE37" s="251" t="n"/>
      <c r="DF37" s="251" t="n"/>
      <c r="DG37" s="251" t="n"/>
      <c r="DH37" s="251" t="n"/>
      <c r="DI37" s="251" t="n"/>
      <c r="DJ37" s="337" t="n"/>
      <c r="DK37" s="337" t="n"/>
      <c r="DL37" s="337" t="n"/>
      <c r="DM37" s="337" t="inlineStr">
        <is>
          <t>2M-A</t>
        </is>
      </c>
      <c r="DN37" s="337" t="inlineStr">
        <is>
          <t>R</t>
        </is>
      </c>
      <c r="DO37" s="337" t="inlineStr">
        <is>
          <t>R</t>
        </is>
      </c>
    </row>
    <row r="38" ht="13" customHeight="1">
      <c r="A38" s="203" t="inlineStr">
        <is>
          <t>SALA DE CAMBIOS</t>
        </is>
      </c>
      <c r="B38" s="305" t="inlineStr">
        <is>
          <t>SALA DE CAMBIOS PUERTO COLLAHUASI</t>
        </is>
      </c>
      <c r="C38" s="251"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2" t="inlineStr">
        <is>
          <t>300SI400</t>
        </is>
      </c>
      <c r="BL38" s="252"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06" t="n"/>
      <c r="BV38" s="142" t="inlineStr">
        <is>
          <t>R</t>
        </is>
      </c>
      <c r="BW38" s="105" t="n"/>
      <c r="BX38" s="105" t="n"/>
      <c r="BY38" s="7" t="n"/>
      <c r="BZ38" s="125" t="n"/>
      <c r="CA38" s="125" t="n"/>
      <c r="CB38" s="105" t="n"/>
      <c r="CC38" s="125" t="n"/>
      <c r="CD38" s="105" t="n"/>
      <c r="CE38" s="105" t="n"/>
      <c r="CF38" s="105" t="n"/>
      <c r="CG38" s="105" t="n"/>
      <c r="CH38" s="105" t="n"/>
      <c r="CI38" s="105" t="n"/>
      <c r="CJ38" s="142" t="n">
        <v>1</v>
      </c>
      <c r="CK38" s="105" t="n"/>
      <c r="CL38" s="105" t="n"/>
      <c r="CM38" s="105" t="n"/>
      <c r="CN38" s="105" t="n"/>
      <c r="CO38" s="125" t="n"/>
      <c r="CP38" s="105" t="n"/>
      <c r="CQ38" s="105" t="n"/>
      <c r="CR38" s="105" t="n"/>
      <c r="CS38" s="105" t="n"/>
      <c r="CT38" s="105" t="n"/>
      <c r="CU38" s="105" t="n"/>
      <c r="CV38" s="105" t="n"/>
      <c r="CW38" s="105" t="n"/>
      <c r="CX38" s="105" t="n"/>
      <c r="CY38" s="125" t="n"/>
      <c r="CZ38" s="124">
        <f>+COUNTA(BV38:CY38)</f>
        <v/>
      </c>
      <c r="DA38" s="251" t="n"/>
      <c r="DB38" s="251" t="n"/>
      <c r="DC38" s="251" t="n"/>
      <c r="DD38" s="251" t="n"/>
      <c r="DE38" s="251" t="n"/>
      <c r="DF38" s="251" t="n"/>
      <c r="DG38" s="251" t="n"/>
      <c r="DH38" s="251" t="n"/>
      <c r="DI38" s="251" t="n"/>
      <c r="DJ38" s="337" t="inlineStr">
        <is>
          <t>2M</t>
        </is>
      </c>
      <c r="DK38" s="157" t="inlineStr">
        <is>
          <t>R</t>
        </is>
      </c>
      <c r="DL38" s="157" t="inlineStr">
        <is>
          <t>R</t>
        </is>
      </c>
      <c r="DM38" s="337" t="n"/>
      <c r="DN38" s="337" t="n"/>
      <c r="DO38" s="337" t="n"/>
    </row>
    <row r="39" ht="13.5" customHeight="1">
      <c r="A39" s="203" t="inlineStr">
        <is>
          <t>SALA DE CAMBIOS</t>
        </is>
      </c>
      <c r="B39" s="376" t="n"/>
      <c r="C39" s="376"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76" t="n"/>
      <c r="BL39" s="252"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77" t="n"/>
      <c r="BV39" s="107" t="inlineStr">
        <is>
          <t>R</t>
        </is>
      </c>
      <c r="BW39" s="105" t="n"/>
      <c r="BX39" s="106" t="n"/>
      <c r="BY39" s="7" t="n"/>
      <c r="BZ39" s="125" t="n"/>
      <c r="CA39" s="125" t="n"/>
      <c r="CB39" s="106" t="n"/>
      <c r="CC39" s="125" t="n"/>
      <c r="CD39" s="105" t="n"/>
      <c r="CE39" s="105" t="n"/>
      <c r="CF39" s="105" t="n"/>
      <c r="CG39" s="105" t="n"/>
      <c r="CH39" s="105" t="n"/>
      <c r="CI39" s="105" t="n"/>
      <c r="CJ39" s="107" t="n">
        <v>1</v>
      </c>
      <c r="CK39" s="106" t="n"/>
      <c r="CL39" s="106" t="n"/>
      <c r="CM39" s="106" t="n"/>
      <c r="CN39" s="105" t="n"/>
      <c r="CO39" s="125" t="n"/>
      <c r="CP39" s="106" t="n"/>
      <c r="CQ39" s="106" t="n"/>
      <c r="CR39" s="105" t="n"/>
      <c r="CS39" s="105" t="n"/>
      <c r="CT39" s="105" t="n"/>
      <c r="CU39" s="105" t="n"/>
      <c r="CV39" s="105" t="n"/>
      <c r="CW39" s="105" t="n"/>
      <c r="CX39" s="105" t="n"/>
      <c r="CY39" s="125" t="n"/>
      <c r="CZ39" s="124">
        <f>+COUNTA(BV39:CY39)</f>
        <v/>
      </c>
      <c r="DA39" s="251" t="n"/>
      <c r="DB39" s="251" t="n"/>
      <c r="DC39" s="251" t="n"/>
      <c r="DD39" s="251" t="n"/>
      <c r="DE39" s="251" t="n"/>
      <c r="DF39" s="251" t="n"/>
      <c r="DG39" s="251" t="n"/>
      <c r="DH39" s="251" t="n"/>
      <c r="DI39" s="251" t="n"/>
      <c r="DJ39" s="337" t="n"/>
      <c r="DK39" s="157" t="n"/>
      <c r="DL39" s="157" t="n"/>
      <c r="DM39" s="337" t="inlineStr">
        <is>
          <t>2M-A</t>
        </is>
      </c>
      <c r="DN39" s="157" t="inlineStr">
        <is>
          <t>R</t>
        </is>
      </c>
      <c r="DO39" s="157" t="inlineStr">
        <is>
          <t>R</t>
        </is>
      </c>
    </row>
    <row r="40" ht="13" customHeight="1">
      <c r="A40" s="203" t="inlineStr">
        <is>
          <t>TK-002</t>
        </is>
      </c>
      <c r="B40" s="305" t="inlineStr">
        <is>
          <t>TK-002 PUERTO COLLAHUASI</t>
        </is>
      </c>
      <c r="C40" s="251"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2" t="inlineStr">
        <is>
          <t>350ZP104</t>
        </is>
      </c>
      <c r="BL40" s="252"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06" t="n"/>
      <c r="BV40" s="142" t="inlineStr">
        <is>
          <t>R</t>
        </is>
      </c>
      <c r="BW40" s="105" t="n"/>
      <c r="BX40" s="105" t="n"/>
      <c r="BY40" s="7" t="n"/>
      <c r="BZ40" s="125" t="n"/>
      <c r="CA40" s="125" t="n"/>
      <c r="CB40" s="105" t="n"/>
      <c r="CC40" s="125" t="n"/>
      <c r="CD40" s="105" t="n"/>
      <c r="CE40" s="105" t="n"/>
      <c r="CF40" s="105" t="n"/>
      <c r="CG40" s="105" t="n"/>
      <c r="CH40" s="105" t="n"/>
      <c r="CI40" s="105" t="n"/>
      <c r="CJ40" s="142" t="n">
        <v>1</v>
      </c>
      <c r="CK40" s="105" t="n"/>
      <c r="CL40" s="105" t="n"/>
      <c r="CM40" s="105" t="n"/>
      <c r="CN40" s="105" t="n"/>
      <c r="CO40" s="125" t="n"/>
      <c r="CP40" s="105" t="n"/>
      <c r="CQ40" s="105" t="n"/>
      <c r="CR40" s="105" t="n"/>
      <c r="CS40" s="105" t="n"/>
      <c r="CT40" s="105" t="n"/>
      <c r="CU40" s="105" t="n"/>
      <c r="CV40" s="105" t="n"/>
      <c r="CW40" s="105" t="n"/>
      <c r="CX40" s="105" t="n"/>
      <c r="CY40" s="125" t="n"/>
      <c r="CZ40" s="124">
        <f>+COUNTA(BV40:CY40)</f>
        <v/>
      </c>
      <c r="DA40" s="251" t="n"/>
      <c r="DB40" s="251" t="n"/>
      <c r="DC40" s="251" t="n"/>
      <c r="DD40" s="251" t="n"/>
      <c r="DE40" s="251" t="n"/>
      <c r="DF40" s="251" t="n"/>
      <c r="DG40" s="251" t="n"/>
      <c r="DH40" s="251" t="n"/>
      <c r="DI40" s="251" t="n"/>
      <c r="DJ40" s="337" t="inlineStr">
        <is>
          <t>2M</t>
        </is>
      </c>
      <c r="DK40" s="157" t="inlineStr">
        <is>
          <t>R</t>
        </is>
      </c>
      <c r="DL40" s="157" t="inlineStr">
        <is>
          <t>R</t>
        </is>
      </c>
      <c r="DM40" s="337" t="n"/>
      <c r="DN40" s="157" t="n"/>
      <c r="DO40" s="157" t="n"/>
    </row>
    <row r="41" ht="13" customHeight="1">
      <c r="A41" s="203" t="inlineStr">
        <is>
          <t>TK-002</t>
        </is>
      </c>
      <c r="B41" s="376" t="n"/>
      <c r="C41" s="376"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76" t="n"/>
      <c r="BL41" s="252"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77" t="n"/>
      <c r="BV41" s="107" t="inlineStr">
        <is>
          <t>R</t>
        </is>
      </c>
      <c r="BW41" s="105" t="n"/>
      <c r="BX41" s="106" t="n"/>
      <c r="BY41" s="7" t="n"/>
      <c r="BZ41" s="125" t="n"/>
      <c r="CA41" s="125" t="n"/>
      <c r="CB41" s="106" t="n"/>
      <c r="CC41" s="125" t="n"/>
      <c r="CD41" s="105" t="n"/>
      <c r="CE41" s="105" t="n"/>
      <c r="CF41" s="105" t="n"/>
      <c r="CG41" s="105" t="n"/>
      <c r="CH41" s="105" t="n"/>
      <c r="CI41" s="105" t="n"/>
      <c r="CJ41" s="107" t="n">
        <v>1</v>
      </c>
      <c r="CK41" s="106" t="n"/>
      <c r="CL41" s="106" t="n"/>
      <c r="CM41" s="106" t="n"/>
      <c r="CN41" s="105" t="n"/>
      <c r="CO41" s="125" t="n"/>
      <c r="CP41" s="106" t="n"/>
      <c r="CQ41" s="106" t="n"/>
      <c r="CR41" s="105" t="n"/>
      <c r="CS41" s="105" t="n"/>
      <c r="CT41" s="105" t="n"/>
      <c r="CU41" s="105" t="n"/>
      <c r="CV41" s="105" t="n"/>
      <c r="CW41" s="105" t="n"/>
      <c r="CX41" s="105" t="n"/>
      <c r="CY41" s="125" t="n"/>
      <c r="CZ41" s="124">
        <f>+COUNTA(BV41:CY41)</f>
        <v/>
      </c>
      <c r="DA41" s="251" t="n"/>
      <c r="DB41" s="251" t="n"/>
      <c r="DC41" s="251" t="n"/>
      <c r="DD41" s="251" t="n"/>
      <c r="DE41" s="251" t="n"/>
      <c r="DF41" s="251" t="n"/>
      <c r="DG41" s="251" t="n"/>
      <c r="DH41" s="251" t="n"/>
      <c r="DI41" s="251" t="n"/>
      <c r="DJ41" s="337" t="n"/>
      <c r="DK41" s="157" t="n"/>
      <c r="DL41" s="157" t="n"/>
      <c r="DM41" s="337" t="inlineStr">
        <is>
          <t>2M-A</t>
        </is>
      </c>
      <c r="DN41" s="157" t="inlineStr">
        <is>
          <t>R</t>
        </is>
      </c>
      <c r="DO41" s="157" t="inlineStr">
        <is>
          <t>R</t>
        </is>
      </c>
    </row>
    <row r="42" ht="13" customHeight="1">
      <c r="A42" s="203" t="inlineStr">
        <is>
          <t>FAD</t>
        </is>
      </c>
      <c r="B42" s="305"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1" t="inlineStr">
        <is>
          <t>300FO002</t>
        </is>
      </c>
      <c r="BL42" s="61" t="inlineStr">
        <is>
          <t>PUERTO</t>
        </is>
      </c>
      <c r="BM42" s="251" t="inlineStr">
        <is>
          <t>AR</t>
        </is>
      </c>
      <c r="BN42" s="337" t="inlineStr">
        <is>
          <t>Puerto Collahuasi</t>
        </is>
      </c>
      <c r="BO42" s="251" t="inlineStr">
        <is>
          <t>SI</t>
        </is>
      </c>
      <c r="BP42" s="106" t="inlineStr">
        <is>
          <t>FAD PUERTO COLLAHUASI/AR</t>
        </is>
      </c>
      <c r="BQ42" s="106">
        <f>VLOOKUP(BP42,[1]AGUA!$1:$1048576,2,FALSE)</f>
        <v/>
      </c>
      <c r="BR42" s="106">
        <f>VLOOKUP(BP42,[1]AGUA!$1:$1048576,6,FALSE)</f>
        <v/>
      </c>
      <c r="BS42" s="106">
        <f>VLOOKUP(BP42,[1]AGUA!$1:$1048576,7,FALSE)</f>
        <v/>
      </c>
      <c r="BT42" s="106" t="n"/>
      <c r="BU42" s="181" t="n"/>
      <c r="BV42" s="107" t="n">
        <v>1</v>
      </c>
      <c r="BW42" s="125" t="n"/>
      <c r="BX42" s="125" t="n"/>
      <c r="BY42" s="125" t="n"/>
      <c r="BZ42" s="125" t="n"/>
      <c r="CA42" s="125"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5" t="n"/>
      <c r="CV42" s="125" t="n"/>
      <c r="CW42" s="105" t="n"/>
      <c r="CX42" s="105" t="n"/>
      <c r="CY42" s="105" t="n"/>
      <c r="CZ42" s="124">
        <f>+COUNTA(BV42:CY42)</f>
        <v/>
      </c>
      <c r="DA42" s="251" t="n"/>
      <c r="DB42" s="251" t="n"/>
      <c r="DC42" s="251" t="n"/>
      <c r="DD42" s="251" t="n"/>
      <c r="DE42" s="251" t="n"/>
      <c r="DF42" s="251" t="n"/>
      <c r="DG42" s="251" t="n"/>
      <c r="DH42" s="251" t="n"/>
      <c r="DI42" s="251" t="n"/>
      <c r="DJ42" s="251" t="n"/>
      <c r="DK42" s="251" t="n"/>
      <c r="DL42" s="95" t="n"/>
      <c r="DM42" s="251" t="inlineStr">
        <is>
          <t>M</t>
        </is>
      </c>
      <c r="DN42" s="95" t="n">
        <v>1</v>
      </c>
      <c r="DO42" s="95" t="n">
        <v>7</v>
      </c>
    </row>
    <row r="43" ht="12.65" customHeight="1">
      <c r="A43" s="203" t="inlineStr">
        <is>
          <t>PTAS Puerto Collahuasi</t>
        </is>
      </c>
      <c r="B43" s="305"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2" t="inlineStr">
        <is>
          <t>300SI400</t>
        </is>
      </c>
      <c r="BL43" s="61" t="inlineStr">
        <is>
          <t>PUERTO</t>
        </is>
      </c>
      <c r="BM43" s="251" t="inlineStr">
        <is>
          <t>AR</t>
        </is>
      </c>
      <c r="BN43" s="337" t="inlineStr">
        <is>
          <t>Puerto Collahuasi</t>
        </is>
      </c>
      <c r="BO43" s="251" t="inlineStr">
        <is>
          <t>SI</t>
        </is>
      </c>
      <c r="BP43" s="106" t="inlineStr">
        <is>
          <t>PTAS PUERTO COLLAHUASI PUERTO COLLAHUASI/AR</t>
        </is>
      </c>
      <c r="BQ43" s="106">
        <f>VLOOKUP(BP43,[1]AGUA!$1:$1048576,2,FALSE)</f>
        <v/>
      </c>
      <c r="BR43" s="106">
        <f>VLOOKUP(BP43,[1]AGUA!$1:$1048576,6,FALSE)</f>
        <v/>
      </c>
      <c r="BS43" s="106">
        <f>VLOOKUP(BP43,[1]AGUA!$1:$1048576,7,FALSE)</f>
        <v/>
      </c>
      <c r="BT43" s="106" t="n"/>
      <c r="BU43" s="181" t="n"/>
      <c r="BV43" s="107" t="inlineStr">
        <is>
          <t>R</t>
        </is>
      </c>
      <c r="BW43" s="105" t="n"/>
      <c r="BX43" s="106" t="n"/>
      <c r="BY43" s="105" t="n"/>
      <c r="BZ43" s="125" t="n"/>
      <c r="CA43" s="125" t="n"/>
      <c r="CB43" s="106" t="n"/>
      <c r="CC43" s="107" t="n">
        <v>1</v>
      </c>
      <c r="CD43" s="105" t="n"/>
      <c r="CE43" s="106" t="n"/>
      <c r="CF43" s="105" t="n"/>
      <c r="CG43" s="125" t="n"/>
      <c r="CH43" s="125" t="n"/>
      <c r="CI43" s="106" t="n"/>
      <c r="CJ43" s="107" t="n">
        <v>1</v>
      </c>
      <c r="CK43" s="106" t="n"/>
      <c r="CL43" s="106" t="n"/>
      <c r="CM43" s="105" t="n"/>
      <c r="CN43" s="125" t="n"/>
      <c r="CO43" s="125" t="n"/>
      <c r="CP43" s="106" t="n"/>
      <c r="CQ43" s="107" t="n">
        <v>1</v>
      </c>
      <c r="CR43" s="105" t="n"/>
      <c r="CS43" s="106" t="n"/>
      <c r="CT43" s="105" t="n"/>
      <c r="CU43" s="105" t="n"/>
      <c r="CV43" s="105" t="n"/>
      <c r="CW43" s="105" t="n"/>
      <c r="CX43" s="107" t="n">
        <v>1</v>
      </c>
      <c r="CY43" s="106" t="n"/>
      <c r="CZ43" s="124">
        <f>+COUNTA(BV43:CY43)</f>
        <v/>
      </c>
      <c r="DA43" s="251" t="n"/>
      <c r="DB43" s="251" t="n"/>
      <c r="DC43" s="251" t="n"/>
      <c r="DD43" s="251" t="n"/>
      <c r="DE43" s="251" t="n"/>
      <c r="DF43" s="251" t="n"/>
      <c r="DG43" s="251" t="n"/>
      <c r="DH43" s="251" t="n"/>
      <c r="DI43" s="251" t="n"/>
      <c r="DJ43" s="251" t="n"/>
      <c r="DK43" s="251" t="n"/>
      <c r="DL43" s="251" t="n"/>
      <c r="DM43" s="251" t="inlineStr">
        <is>
          <t>S</t>
        </is>
      </c>
      <c r="DN43" s="95" t="inlineStr">
        <is>
          <t>R</t>
        </is>
      </c>
      <c r="DO43" s="95" t="inlineStr">
        <is>
          <t>R</t>
        </is>
      </c>
    </row>
    <row r="44" ht="13" customHeight="1">
      <c r="A44" s="203" t="inlineStr">
        <is>
          <t xml:space="preserve">Efluente desaladora </t>
        </is>
      </c>
      <c r="B44" s="305"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2" t="n"/>
      <c r="BL44" s="61" t="inlineStr">
        <is>
          <t>PUERTO</t>
        </is>
      </c>
      <c r="BM44" s="251" t="n"/>
      <c r="BN44" s="337" t="inlineStr">
        <is>
          <t>Puerto Collahuasi</t>
        </is>
      </c>
      <c r="BO44" s="251" t="inlineStr">
        <is>
          <t>SI</t>
        </is>
      </c>
      <c r="BP44" s="106" t="n"/>
      <c r="BQ44" s="106">
        <f>VLOOKUP(BP44,[1]AGUA!$1:$1048576,2,FALSE)</f>
        <v/>
      </c>
      <c r="BR44" s="106">
        <f>VLOOKUP(BP44,[1]AGUA!$1:$1048576,6,FALSE)</f>
        <v/>
      </c>
      <c r="BS44" s="106">
        <f>VLOOKUP(BP44,[1]AGUA!$1:$1048576,7,FALSE)</f>
        <v/>
      </c>
      <c r="BT44" s="106" t="n"/>
      <c r="BU44" s="181" t="n"/>
      <c r="BV44" s="105" t="n"/>
      <c r="BW44" s="105" t="n"/>
      <c r="BX44" s="105" t="n"/>
      <c r="BY44" s="105" t="n"/>
      <c r="BZ44" s="105" t="n"/>
      <c r="CA44" s="105" t="n"/>
      <c r="CB44" s="105" t="n"/>
      <c r="CC44" s="105" t="n"/>
      <c r="CD44" s="105" t="n"/>
      <c r="CE44" s="105" t="n"/>
      <c r="CF44" s="105" t="n"/>
      <c r="CG44" s="105" t="n"/>
      <c r="CH44" s="105" t="n"/>
      <c r="CI44" s="105" t="n"/>
      <c r="CJ44" s="107" t="n">
        <v>1</v>
      </c>
      <c r="CK44" s="107" t="n">
        <v>1</v>
      </c>
      <c r="CL44" s="105" t="n"/>
      <c r="CM44" s="105" t="n"/>
      <c r="CN44" s="105" t="n"/>
      <c r="CO44" s="105" t="n"/>
      <c r="CP44" s="105" t="n"/>
      <c r="CQ44" s="107" t="n">
        <v>1</v>
      </c>
      <c r="CR44" s="107" t="n">
        <v>1</v>
      </c>
      <c r="CS44" s="106" t="n"/>
      <c r="CT44" s="106" t="n"/>
      <c r="CU44" s="106" t="n"/>
      <c r="CV44" s="125" t="n"/>
      <c r="CW44" s="105" t="n"/>
      <c r="CX44" s="107" t="n">
        <v>1</v>
      </c>
      <c r="CY44" s="107" t="n">
        <v>1</v>
      </c>
      <c r="CZ44" s="124">
        <f>+COUNTA(BV44:CY44)</f>
        <v/>
      </c>
      <c r="DA44" s="251" t="n"/>
      <c r="DB44" s="251" t="n"/>
      <c r="DC44" s="251" t="n"/>
      <c r="DD44" s="251" t="n"/>
      <c r="DE44" s="251" t="n"/>
      <c r="DF44" s="251" t="n"/>
      <c r="DG44" s="251" t="n"/>
      <c r="DH44" s="251" t="n"/>
      <c r="DI44" s="251" t="n"/>
      <c r="DJ44" s="251" t="n"/>
      <c r="DK44" s="251" t="n"/>
      <c r="DL44" s="251" t="n"/>
      <c r="DM44" s="251" t="n"/>
      <c r="DN44" s="95" t="n"/>
      <c r="DO44" s="95" t="n"/>
    </row>
    <row r="45" ht="12.65" customHeight="1">
      <c r="A45" s="203" t="inlineStr">
        <is>
          <t>ACTR</t>
        </is>
      </c>
      <c r="B45" s="305"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2" t="inlineStr">
        <is>
          <t>184PT005</t>
        </is>
      </c>
      <c r="BL45" s="61" t="inlineStr">
        <is>
          <t>GTAM</t>
        </is>
      </c>
      <c r="BM45" s="251" t="inlineStr">
        <is>
          <t>ASUP</t>
        </is>
      </c>
      <c r="BN45" s="337" t="inlineStr">
        <is>
          <t>Tranque</t>
        </is>
      </c>
      <c r="BO45" s="251"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05" t="n"/>
      <c r="BZ45" s="105" t="n"/>
      <c r="CA45" s="105" t="n"/>
      <c r="CB45" s="105" t="n"/>
      <c r="CC45" s="105" t="n"/>
      <c r="CD45" s="107" t="n">
        <v>1</v>
      </c>
      <c r="CE45" s="105" t="n"/>
      <c r="CF45" s="105" t="n"/>
      <c r="CG45" s="105" t="n"/>
      <c r="CH45" s="105" t="n"/>
      <c r="CI45" s="105" t="n"/>
      <c r="CJ45" s="105" t="n"/>
      <c r="CK45" s="105" t="n"/>
      <c r="CL45" s="105" t="n"/>
      <c r="CM45" s="105" t="n"/>
      <c r="CN45" s="105" t="n"/>
      <c r="CO45" s="105" t="n"/>
      <c r="CP45" s="105" t="n"/>
      <c r="CQ45" s="105" t="n"/>
      <c r="CR45" s="105" t="n"/>
      <c r="CS45" s="105" t="n"/>
      <c r="CT45" s="105" t="n"/>
      <c r="CU45" s="105" t="n"/>
      <c r="CV45" s="105" t="n"/>
      <c r="CW45" s="105" t="n"/>
      <c r="CX45" s="105" t="n"/>
      <c r="CY45" s="105" t="n"/>
      <c r="CZ45" s="124">
        <f>+COUNTA(BV45:CY45)</f>
        <v/>
      </c>
      <c r="DA45" s="251" t="n"/>
      <c r="DB45" s="251" t="n"/>
      <c r="DC45" s="251" t="n"/>
      <c r="DD45" s="251" t="n"/>
      <c r="DE45" s="251" t="n"/>
      <c r="DF45" s="251" t="n"/>
      <c r="DG45" s="251" t="n"/>
      <c r="DH45" s="251" t="n"/>
      <c r="DI45" s="251" t="n"/>
      <c r="DJ45" s="251" t="n"/>
      <c r="DK45" s="251" t="n"/>
      <c r="DL45" s="95" t="n"/>
      <c r="DM45" s="251" t="inlineStr">
        <is>
          <t>M</t>
        </is>
      </c>
      <c r="DN45" s="95" t="n">
        <v>8</v>
      </c>
      <c r="DO45" s="95" t="n">
        <v>14</v>
      </c>
    </row>
    <row r="46" ht="12" customHeight="1">
      <c r="A46" s="203" t="inlineStr">
        <is>
          <t>ADTR</t>
        </is>
      </c>
      <c r="B46" s="305"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1" t="inlineStr">
        <is>
          <t>184SU026</t>
        </is>
      </c>
      <c r="BL46" s="61" t="inlineStr">
        <is>
          <t>GTAM</t>
        </is>
      </c>
      <c r="BM46" s="251" t="inlineStr">
        <is>
          <t>ASUP</t>
        </is>
      </c>
      <c r="BN46" s="337" t="inlineStr">
        <is>
          <t>Tranque</t>
        </is>
      </c>
      <c r="BO46" s="251" t="inlineStr">
        <is>
          <t>SI</t>
        </is>
      </c>
      <c r="BP46" s="106" t="inlineStr">
        <is>
          <t>ADTR LIXIVIACIÓN/ASUB</t>
        </is>
      </c>
      <c r="BQ46" s="106">
        <f>VLOOKUP(BP46,[1]AGUA!$1:$1048576,2,FALSE)</f>
        <v/>
      </c>
      <c r="BR46" s="106">
        <f>VLOOKUP(BP46,[1]AGUA!$1:$1048576,6,FALSE)</f>
        <v/>
      </c>
      <c r="BS46" s="106">
        <f>VLOOKUP(BP46,[1]AGUA!$1:$1048576,7,FALSE)</f>
        <v/>
      </c>
      <c r="BT46" s="106" t="n"/>
      <c r="BU46" s="253" t="n"/>
      <c r="BV46" s="107" t="inlineStr">
        <is>
          <t>R</t>
        </is>
      </c>
      <c r="BW46" s="105" t="n"/>
      <c r="BX46" s="105" t="n"/>
      <c r="BY46" s="105" t="n"/>
      <c r="BZ46" s="105" t="n"/>
      <c r="CA46" s="105" t="n"/>
      <c r="CB46" s="105" t="n"/>
      <c r="CC46" s="105" t="n"/>
      <c r="CD46" s="105" t="n"/>
      <c r="CE46" s="105" t="n"/>
      <c r="CF46" s="105" t="n"/>
      <c r="CG46" s="105" t="n"/>
      <c r="CH46" s="105" t="n"/>
      <c r="CI46" s="105" t="n"/>
      <c r="CJ46" s="105" t="n"/>
      <c r="CK46" s="105" t="n"/>
      <c r="CL46" s="105" t="n"/>
      <c r="CM46" s="105" t="n"/>
      <c r="CN46" s="105" t="n"/>
      <c r="CO46" s="105" t="n"/>
      <c r="CP46" s="105" t="n"/>
      <c r="CQ46" s="105" t="n"/>
      <c r="CR46" s="105" t="n"/>
      <c r="CS46" s="105" t="n"/>
      <c r="CT46" s="105" t="n"/>
      <c r="CU46" s="105" t="n"/>
      <c r="CV46" s="105" t="n"/>
      <c r="CW46" s="105" t="n"/>
      <c r="CX46" s="105" t="n"/>
      <c r="CY46" s="105" t="n"/>
      <c r="CZ46" s="124">
        <f>+COUNTA(BV46:CY46)</f>
        <v/>
      </c>
      <c r="DA46" s="251" t="n"/>
      <c r="DB46" s="251" t="n"/>
      <c r="DC46" s="251" t="n"/>
      <c r="DD46" s="251" t="n"/>
      <c r="DE46" s="251" t="n"/>
      <c r="DF46" s="251" t="n"/>
      <c r="DG46" s="251" t="n"/>
      <c r="DH46" s="251" t="n"/>
      <c r="DI46" s="251" t="n"/>
      <c r="DJ46" s="251" t="n"/>
      <c r="DK46" s="251" t="n"/>
      <c r="DL46" s="95" t="n"/>
      <c r="DM46" s="251" t="inlineStr">
        <is>
          <t>M</t>
        </is>
      </c>
      <c r="DN46" s="95" t="n">
        <v>1</v>
      </c>
      <c r="DO46" s="95" t="n">
        <v>7</v>
      </c>
    </row>
    <row r="47" ht="13" customHeight="1">
      <c r="A47" s="203" t="inlineStr">
        <is>
          <t>ARR-01</t>
        </is>
      </c>
      <c r="B47" s="305"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2" t="inlineStr">
        <is>
          <t>532PD006</t>
        </is>
      </c>
      <c r="BL47" s="61" t="inlineStr">
        <is>
          <t>GTAM</t>
        </is>
      </c>
      <c r="BM47" s="168" t="inlineStr">
        <is>
          <t>ASUP</t>
        </is>
      </c>
      <c r="BN47" s="337" t="inlineStr">
        <is>
          <t>ROSARIO</t>
        </is>
      </c>
      <c r="BO47" s="251" t="inlineStr">
        <is>
          <t>SI</t>
        </is>
      </c>
      <c r="BP47" s="106" t="inlineStr">
        <is>
          <t>ARR- 1 (Piscina P2)/ASUP</t>
        </is>
      </c>
      <c r="BQ47" s="106">
        <f>VLOOKUP(BP47,[1]AGUA!$1:$1048576,2,FALSE)</f>
        <v/>
      </c>
      <c r="BR47" s="106">
        <f>VLOOKUP(BP47,[1]AGUA!$1:$1048576,6,FALSE)</f>
        <v/>
      </c>
      <c r="BS47" s="106">
        <f>VLOOKUP(BP47,[1]AGUA!$1:$1048576,7,FALSE)</f>
        <v/>
      </c>
      <c r="BT47" s="106" t="n"/>
      <c r="BU47" s="377" t="n"/>
      <c r="BV47" s="105" t="n"/>
      <c r="BW47" s="105" t="n"/>
      <c r="BX47" s="105" t="n"/>
      <c r="BY47" s="105" t="n"/>
      <c r="BZ47" s="105" t="n"/>
      <c r="CA47" s="105" t="n"/>
      <c r="CB47" s="105" t="n"/>
      <c r="CC47" s="105" t="n"/>
      <c r="CD47" s="105" t="n"/>
      <c r="CE47" s="105" t="n"/>
      <c r="CF47" s="105" t="n"/>
      <c r="CG47" s="105" t="n"/>
      <c r="CH47" s="105" t="n"/>
      <c r="CI47" s="105" t="n"/>
      <c r="CJ47" s="105" t="n"/>
      <c r="CK47" s="105" t="n"/>
      <c r="CL47" s="105" t="n"/>
      <c r="CM47" s="105" t="n"/>
      <c r="CN47" s="107" t="n">
        <v>1</v>
      </c>
      <c r="CO47" s="105" t="n"/>
      <c r="CP47" s="105" t="n"/>
      <c r="CQ47" s="105" t="n"/>
      <c r="CR47" s="105" t="n"/>
      <c r="CS47" s="105" t="n"/>
      <c r="CT47" s="105" t="n"/>
      <c r="CU47" s="105" t="n"/>
      <c r="CV47" s="105" t="n"/>
      <c r="CW47" s="105" t="n"/>
      <c r="CX47" s="105" t="n"/>
      <c r="CY47" s="105" t="n"/>
      <c r="CZ47" s="124">
        <f>+COUNTA(BV47:CY47)</f>
        <v/>
      </c>
      <c r="DA47" s="251" t="n"/>
      <c r="DB47" s="251" t="n"/>
      <c r="DC47" s="251" t="n"/>
      <c r="DD47" s="251" t="n"/>
      <c r="DE47" s="251" t="n"/>
      <c r="DF47" s="251" t="n"/>
      <c r="DG47" s="251" t="n"/>
      <c r="DH47" s="251" t="n"/>
      <c r="DI47" s="251" t="n"/>
      <c r="DJ47" s="251" t="inlineStr">
        <is>
          <t>T</t>
        </is>
      </c>
      <c r="DK47" s="251" t="n"/>
      <c r="DL47" s="95" t="n"/>
      <c r="DM47" s="251" t="inlineStr">
        <is>
          <t>T</t>
        </is>
      </c>
      <c r="DN47" s="95" t="n">
        <v>15</v>
      </c>
      <c r="DO47" s="95" t="n">
        <v>21</v>
      </c>
    </row>
    <row r="48" ht="13" customHeight="1">
      <c r="A48" s="205" t="inlineStr">
        <is>
          <t>CSW-02</t>
        </is>
      </c>
      <c r="B48" s="305" t="inlineStr">
        <is>
          <t>CSW-02 JACHUCOPOSA</t>
        </is>
      </c>
      <c r="C48" s="251"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1" t="inlineStr">
        <is>
          <t>532CSW02</t>
        </is>
      </c>
      <c r="BL48" s="7" t="inlineStr">
        <is>
          <t>GMAP-SIGA</t>
        </is>
      </c>
      <c r="BM48" s="251" t="inlineStr">
        <is>
          <t>CAUDAL</t>
        </is>
      </c>
      <c r="BN48" s="337" t="inlineStr">
        <is>
          <t>Jachucoposa</t>
        </is>
      </c>
      <c r="BO48" s="251" t="inlineStr">
        <is>
          <t>SI / PMAP</t>
        </is>
      </c>
      <c r="BP48" s="106" t="inlineStr">
        <is>
          <t>CSW-02 JACHUCOPOSA/CAUDAL</t>
        </is>
      </c>
      <c r="BQ48" s="106">
        <f>VLOOKUP(BP48,[1]AGUA!$1:$1048576,2,FALSE)</f>
        <v/>
      </c>
      <c r="BR48" s="106">
        <f>VLOOKUP(BP48,[1]AGUA!$1:$1048576,6,FALSE)</f>
        <v/>
      </c>
      <c r="BS48" s="106">
        <f>VLOOKUP(BP48,[1]AGUA!$1:$1048576,7,FALSE)</f>
        <v/>
      </c>
      <c r="BT48" s="106" t="n"/>
      <c r="BU48" s="253" t="n"/>
      <c r="BV48" s="105" t="n"/>
      <c r="BW48" s="105" t="n"/>
      <c r="BX48" s="105" t="n"/>
      <c r="BY48" s="234" t="n">
        <v>1</v>
      </c>
      <c r="BZ48" s="239" t="n"/>
      <c r="CA48" s="246" t="n"/>
      <c r="CB48" s="247" t="n">
        <v>1</v>
      </c>
      <c r="CC48" s="246" t="n"/>
      <c r="CD48" s="246" t="n"/>
      <c r="CE48" s="246" t="n"/>
      <c r="CF48" s="247" t="n">
        <v>1</v>
      </c>
      <c r="CG48" s="239" t="n"/>
      <c r="CH48" s="246" t="n"/>
      <c r="CI48" s="247" t="n">
        <v>1</v>
      </c>
      <c r="CJ48" s="246" t="n"/>
      <c r="CK48" s="246" t="n"/>
      <c r="CL48" s="246" t="n"/>
      <c r="CM48" s="247" t="n">
        <v>1</v>
      </c>
      <c r="CN48" s="239" t="n"/>
      <c r="CO48" s="246" t="n"/>
      <c r="CP48" s="247" t="n">
        <v>1</v>
      </c>
      <c r="CQ48" s="246" t="n"/>
      <c r="CR48" s="246" t="n"/>
      <c r="CS48" s="246" t="n"/>
      <c r="CT48" s="247" t="n">
        <v>1</v>
      </c>
      <c r="CU48" s="246" t="n"/>
      <c r="CV48" s="246" t="n"/>
      <c r="CW48" s="247" t="n">
        <v>1</v>
      </c>
      <c r="CX48" s="105" t="n"/>
      <c r="CY48" s="105" t="n"/>
      <c r="CZ48" s="124">
        <f>+COUNTA(BV48:CY48)</f>
        <v/>
      </c>
      <c r="DA48" s="206" t="n"/>
      <c r="DB48" s="251" t="n"/>
      <c r="DC48" s="251" t="n"/>
      <c r="DD48" s="251" t="n"/>
      <c r="DE48" s="251" t="n"/>
      <c r="DF48" s="251" t="n"/>
      <c r="DG48" s="251" t="n"/>
      <c r="DH48" s="251" t="n"/>
      <c r="DI48" s="251" t="n"/>
      <c r="DJ48" s="251" t="inlineStr">
        <is>
          <t>2S</t>
        </is>
      </c>
      <c r="DK48" s="251" t="inlineStr">
        <is>
          <t>R</t>
        </is>
      </c>
      <c r="DL48" s="95" t="inlineStr">
        <is>
          <t>R</t>
        </is>
      </c>
      <c r="DM48" s="251" t="n"/>
      <c r="DN48" s="95" t="n"/>
      <c r="DO48" s="95" t="n"/>
    </row>
    <row r="49" ht="12.5" customHeight="1">
      <c r="A49" s="205" t="inlineStr">
        <is>
          <t>CSW-02</t>
        </is>
      </c>
      <c r="B49" s="376" t="n"/>
      <c r="C49" s="376"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76" t="n"/>
      <c r="BL49" s="7" t="inlineStr">
        <is>
          <t>GMAP-SIGA</t>
        </is>
      </c>
      <c r="BM49" s="251" t="inlineStr">
        <is>
          <t>ASUP</t>
        </is>
      </c>
      <c r="BN49" s="337" t="inlineStr">
        <is>
          <t>Jachucoposa</t>
        </is>
      </c>
      <c r="BO49" s="251" t="inlineStr">
        <is>
          <t>SI / PMAP</t>
        </is>
      </c>
      <c r="BP49" s="106" t="inlineStr">
        <is>
          <t>CSW-02 JACHUCOPOSA/ASUP</t>
        </is>
      </c>
      <c r="BQ49" s="106">
        <f>VLOOKUP(BP49,[1]AGUA!$1:$1048576,2,FALSE)</f>
        <v/>
      </c>
      <c r="BR49" s="106">
        <f>VLOOKUP(BP49,[1]AGUA!$1:$1048576,6,FALSE)</f>
        <v/>
      </c>
      <c r="BS49" s="106">
        <f>VLOOKUP(BP49,[1]AGUA!$1:$1048576,7,FALSE)</f>
        <v/>
      </c>
      <c r="BT49" s="106" t="n"/>
      <c r="BU49" s="377" t="n"/>
      <c r="BV49" s="105" t="n"/>
      <c r="BW49" s="106" t="n"/>
      <c r="BX49" s="106" t="n"/>
      <c r="BY49" s="106" t="n"/>
      <c r="BZ49" s="239" t="n"/>
      <c r="CA49" s="248" t="n"/>
      <c r="CB49" s="245" t="n">
        <v>1</v>
      </c>
      <c r="CC49" s="246" t="n"/>
      <c r="CD49" s="246" t="n"/>
      <c r="CE49" s="246" t="n"/>
      <c r="CF49" s="246" t="n"/>
      <c r="CG49" s="246" t="n"/>
      <c r="CH49" s="246" t="n"/>
      <c r="CI49" s="246" t="n"/>
      <c r="CJ49" s="246" t="n"/>
      <c r="CK49" s="246" t="n"/>
      <c r="CL49" s="246" t="n"/>
      <c r="CM49" s="246" t="n"/>
      <c r="CN49" s="246" t="n"/>
      <c r="CO49" s="246" t="n"/>
      <c r="CP49" s="245" t="n">
        <v>1</v>
      </c>
      <c r="CQ49" s="246" t="n"/>
      <c r="CR49" s="246" t="n"/>
      <c r="CS49" s="246" t="n"/>
      <c r="CT49" s="246" t="n"/>
      <c r="CU49" s="246" t="n"/>
      <c r="CV49" s="246" t="n"/>
      <c r="CW49" s="246" t="n"/>
      <c r="CX49" s="105" t="n"/>
      <c r="CY49" s="105" t="n"/>
      <c r="CZ49" s="124">
        <f>+COUNTA(BV49:CY49)</f>
        <v/>
      </c>
      <c r="DA49" s="206" t="n"/>
      <c r="DB49" s="251" t="n"/>
      <c r="DC49" s="251" t="n"/>
      <c r="DD49" s="251" t="n"/>
      <c r="DE49" s="251" t="n"/>
      <c r="DF49" s="251" t="n"/>
      <c r="DG49" s="251" t="n"/>
      <c r="DH49" s="251" t="n"/>
      <c r="DI49" s="251" t="n"/>
      <c r="DJ49" s="251" t="n"/>
      <c r="DK49" s="251" t="n"/>
      <c r="DL49" s="95" t="n"/>
      <c r="DM49" s="251" t="inlineStr">
        <is>
          <t>M</t>
        </is>
      </c>
      <c r="DN49" s="95" t="n">
        <v>1</v>
      </c>
      <c r="DO49" s="95" t="n">
        <v>7</v>
      </c>
    </row>
    <row r="50" ht="12.65" customHeight="1">
      <c r="A50" s="204" t="inlineStr">
        <is>
          <t>CSW-05</t>
        </is>
      </c>
      <c r="B50" s="305" t="inlineStr">
        <is>
          <t>CSW-05  CHUSQUINA</t>
        </is>
      </c>
      <c r="C50" s="251"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1" t="inlineStr">
        <is>
          <t>532CSW05</t>
        </is>
      </c>
      <c r="BL50" s="7" t="inlineStr">
        <is>
          <t>GMAP-SIGA</t>
        </is>
      </c>
      <c r="BM50" s="251" t="inlineStr">
        <is>
          <t>CAUDAL</t>
        </is>
      </c>
      <c r="BN50" s="337" t="inlineStr">
        <is>
          <t>Chusquina</t>
        </is>
      </c>
      <c r="BO50" s="251" t="inlineStr">
        <is>
          <t>SI</t>
        </is>
      </c>
      <c r="BP50" s="106" t="inlineStr">
        <is>
          <t>CSW-05  CHUSQUINA/CAUDAL</t>
        </is>
      </c>
      <c r="BQ50" s="106">
        <f>VLOOKUP(BP50,[1]AGUA!$1:$1048576,2,FALSE)</f>
        <v/>
      </c>
      <c r="BR50" s="106">
        <f>VLOOKUP(BP50,[1]AGUA!$1:$1048576,6,FALSE)</f>
        <v/>
      </c>
      <c r="BS50" s="106">
        <f>VLOOKUP(BP50,[1]AGUA!$1:$1048576,7,FALSE)</f>
        <v/>
      </c>
      <c r="BT50" s="106" t="n"/>
      <c r="BU50" s="253" t="n"/>
      <c r="BV50" s="105" t="n"/>
      <c r="BW50" s="105" t="n"/>
      <c r="BX50" s="105" t="n"/>
      <c r="BY50" s="105" t="n"/>
      <c r="BZ50" s="105" t="n"/>
      <c r="CA50" s="105" t="n"/>
      <c r="CB50" s="105" t="n"/>
      <c r="CC50" s="142" t="n">
        <v>1</v>
      </c>
      <c r="CD50" s="105" t="n"/>
      <c r="CE50" s="105" t="n"/>
      <c r="CF50" s="105" t="n"/>
      <c r="CG50" s="105" t="n"/>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24">
        <f>+COUNTA(BV50:CY50)</f>
        <v/>
      </c>
      <c r="DA50" s="251" t="n"/>
      <c r="DB50" s="251" t="n"/>
      <c r="DC50" s="251" t="n"/>
      <c r="DD50" s="207" t="n"/>
      <c r="DE50" s="251" t="n"/>
      <c r="DF50" s="251" t="n"/>
      <c r="DG50" s="251" t="n"/>
      <c r="DH50" s="251" t="n"/>
      <c r="DI50" s="251" t="n"/>
      <c r="DJ50" s="251" t="inlineStr">
        <is>
          <t>M</t>
        </is>
      </c>
      <c r="DK50" s="251" t="n">
        <v>1</v>
      </c>
      <c r="DL50" s="95" t="n">
        <v>14</v>
      </c>
      <c r="DM50" s="251" t="n"/>
      <c r="DN50" s="95" t="n"/>
      <c r="DO50" s="95" t="n"/>
    </row>
    <row r="51" ht="11.15" customHeight="1">
      <c r="A51" s="204" t="inlineStr">
        <is>
          <t>CSW-05</t>
        </is>
      </c>
      <c r="B51" s="376" t="n"/>
      <c r="C51" s="376"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76" t="n"/>
      <c r="BL51" s="7" t="inlineStr">
        <is>
          <t>GMAP-SIGA</t>
        </is>
      </c>
      <c r="BM51" s="251" t="inlineStr">
        <is>
          <t>ASUP</t>
        </is>
      </c>
      <c r="BN51" s="337" t="inlineStr">
        <is>
          <t>Chusquina</t>
        </is>
      </c>
      <c r="BO51" s="251" t="inlineStr">
        <is>
          <t>SI</t>
        </is>
      </c>
      <c r="BP51" s="106" t="inlineStr">
        <is>
          <t>CSW-05  CHUSQUINA/ASUP</t>
        </is>
      </c>
      <c r="BQ51" s="106">
        <f>VLOOKUP(BP51,[1]AGUA!$1:$1048576,2,FALSE)</f>
        <v/>
      </c>
      <c r="BR51" s="106">
        <f>VLOOKUP(BP51,[1]AGUA!$1:$1048576,6,FALSE)</f>
        <v/>
      </c>
      <c r="BS51" s="106">
        <f>VLOOKUP(BP51,[1]AGUA!$1:$1048576,7,FALSE)</f>
        <v/>
      </c>
      <c r="BT51" s="106" t="n"/>
      <c r="BU51" s="377" t="n"/>
      <c r="BV51" s="105" t="n"/>
      <c r="BW51" s="105" t="n"/>
      <c r="BX51" s="105" t="n"/>
      <c r="BY51" s="105" t="n"/>
      <c r="BZ51" s="105" t="n"/>
      <c r="CA51" s="105" t="n"/>
      <c r="CB51" s="105" t="n"/>
      <c r="CC51" s="107" t="n">
        <v>1</v>
      </c>
      <c r="CD51" s="105" t="n"/>
      <c r="CE51" s="105" t="n"/>
      <c r="CF51" s="105" t="n"/>
      <c r="CG51" s="105" t="n"/>
      <c r="CH51" s="105" t="n"/>
      <c r="CI51" s="105" t="n"/>
      <c r="CJ51" s="105" t="n"/>
      <c r="CK51" s="105" t="n"/>
      <c r="CL51" s="105" t="n"/>
      <c r="CM51" s="105" t="n"/>
      <c r="CN51" s="105" t="n"/>
      <c r="CO51" s="105" t="n"/>
      <c r="CP51" s="105" t="n"/>
      <c r="CQ51" s="105" t="n"/>
      <c r="CR51" s="105" t="n"/>
      <c r="CS51" s="105" t="n"/>
      <c r="CT51" s="105" t="n"/>
      <c r="CU51" s="105" t="n"/>
      <c r="CV51" s="105" t="n"/>
      <c r="CW51" s="105" t="n"/>
      <c r="CX51" s="105" t="n"/>
      <c r="CY51" s="105" t="n"/>
      <c r="CZ51" s="124">
        <f>+COUNTA(BV51:CY51)</f>
        <v/>
      </c>
      <c r="DA51" s="251" t="n"/>
      <c r="DB51" s="251" t="n"/>
      <c r="DC51" s="251" t="n"/>
      <c r="DD51" s="207" t="n"/>
      <c r="DE51" s="251" t="n"/>
      <c r="DF51" s="251" t="n"/>
      <c r="DG51" s="251" t="n"/>
      <c r="DH51" s="251" t="n"/>
      <c r="DI51" s="251" t="n"/>
      <c r="DJ51" s="251" t="n"/>
      <c r="DK51" s="251" t="n"/>
      <c r="DL51" s="95" t="n"/>
      <c r="DM51" s="251" t="inlineStr">
        <is>
          <t>M</t>
        </is>
      </c>
      <c r="DN51" s="95" t="n">
        <v>1</v>
      </c>
      <c r="DO51" s="95" t="n">
        <v>14</v>
      </c>
    </row>
    <row r="52" ht="13" customHeight="1">
      <c r="A52" s="203" t="inlineStr">
        <is>
          <t>JCC-04</t>
        </is>
      </c>
      <c r="B52" s="305"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1" t="inlineStr">
        <is>
          <t>532MAJCC</t>
        </is>
      </c>
      <c r="BL52" s="61" t="inlineStr">
        <is>
          <t>GMAP-SIGA</t>
        </is>
      </c>
      <c r="BM52" s="168" t="inlineStr">
        <is>
          <t>ASUP</t>
        </is>
      </c>
      <c r="BN52" s="337" t="inlineStr">
        <is>
          <t>Jachucoposa</t>
        </is>
      </c>
      <c r="BO52" s="251"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5" t="n"/>
      <c r="CA52" s="105" t="n"/>
      <c r="CB52" s="105" t="n"/>
      <c r="CC52" s="105" t="n"/>
      <c r="CD52" s="105" t="n"/>
      <c r="CE52" s="105" t="n"/>
      <c r="CF52" s="105" t="n"/>
      <c r="CG52" s="105" t="n"/>
      <c r="CH52" s="105" t="n"/>
      <c r="CI52" s="105" t="n"/>
      <c r="CJ52" s="107" t="n">
        <v>1</v>
      </c>
      <c r="CL52" s="105" t="n"/>
      <c r="CM52" s="105" t="n"/>
      <c r="CN52" s="105" t="n"/>
      <c r="CO52" s="105" t="n"/>
      <c r="CQ52" s="105" t="n"/>
      <c r="CR52" s="105" t="n"/>
      <c r="CS52" s="105" t="n"/>
      <c r="CT52" s="105" t="n"/>
      <c r="CU52" s="105" t="n"/>
      <c r="CV52" s="105" t="n"/>
      <c r="CW52" s="105" t="n"/>
      <c r="CX52" s="105" t="n"/>
      <c r="CY52" s="105" t="n"/>
      <c r="CZ52" s="124">
        <f>+COUNTA(BV52:CY52)</f>
        <v/>
      </c>
      <c r="DA52" s="251" t="n"/>
      <c r="DB52" s="251" t="n"/>
      <c r="DC52" s="251" t="n"/>
      <c r="DD52" s="251" t="n"/>
      <c r="DE52" s="251" t="n"/>
      <c r="DF52" s="251" t="n"/>
      <c r="DG52" s="251" t="n"/>
      <c r="DH52" s="251" t="n"/>
      <c r="DI52" s="251" t="n"/>
      <c r="DJ52" s="251" t="n"/>
      <c r="DK52" s="251" t="n"/>
      <c r="DL52" s="95" t="n"/>
      <c r="DM52" s="251" t="inlineStr">
        <is>
          <t>M</t>
        </is>
      </c>
      <c r="DN52" s="95" t="n">
        <v>15</v>
      </c>
      <c r="DO52" s="95" t="n">
        <v>21</v>
      </c>
    </row>
    <row r="53" ht="13" customHeight="1">
      <c r="A53" s="203" t="inlineStr">
        <is>
          <t>JCC-05</t>
        </is>
      </c>
      <c r="B53" s="305"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1" t="inlineStr">
        <is>
          <t>532MAJCC</t>
        </is>
      </c>
      <c r="BL53" s="61" t="inlineStr">
        <is>
          <t>GMAP-SIGA</t>
        </is>
      </c>
      <c r="BM53" s="168" t="inlineStr">
        <is>
          <t>ASUP</t>
        </is>
      </c>
      <c r="BN53" s="337" t="inlineStr">
        <is>
          <t>Jachucoposa</t>
        </is>
      </c>
      <c r="BO53" s="251"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5" t="n"/>
      <c r="CA53" s="105" t="n"/>
      <c r="CB53" s="105" t="n"/>
      <c r="CC53" s="105" t="n"/>
      <c r="CD53" s="105" t="n"/>
      <c r="CE53" s="105" t="n"/>
      <c r="CF53" s="105" t="n"/>
      <c r="CG53" s="105" t="n"/>
      <c r="CH53" s="105" t="n"/>
      <c r="CI53" s="105" t="n"/>
      <c r="CJ53" s="107" t="n">
        <v>1</v>
      </c>
      <c r="CK53" s="105" t="n"/>
      <c r="CL53" s="105" t="n"/>
      <c r="CM53" s="105" t="n"/>
      <c r="CN53" s="105" t="n"/>
      <c r="CO53" s="105" t="n"/>
      <c r="CQ53" s="105" t="n"/>
      <c r="CR53" s="105" t="n"/>
      <c r="CS53" s="105" t="n"/>
      <c r="CT53" s="105" t="n"/>
      <c r="CU53" s="105" t="n"/>
      <c r="CV53" s="105" t="n"/>
      <c r="CW53" s="105" t="n"/>
      <c r="CX53" s="105" t="n"/>
      <c r="CY53" s="105" t="n"/>
      <c r="CZ53" s="124">
        <f>+COUNTA(BV53:CY53)</f>
        <v/>
      </c>
      <c r="DA53" s="251" t="n"/>
      <c r="DB53" s="251" t="n"/>
      <c r="DC53" s="251" t="n"/>
      <c r="DD53" s="251" t="n"/>
      <c r="DE53" s="251" t="n"/>
      <c r="DF53" s="251" t="n"/>
      <c r="DG53" s="251" t="n"/>
      <c r="DH53" s="251" t="n"/>
      <c r="DI53" s="251" t="n"/>
      <c r="DJ53" s="251" t="n"/>
      <c r="DK53" s="251" t="n"/>
      <c r="DL53" s="251" t="n"/>
      <c r="DM53" s="251" t="inlineStr">
        <is>
          <t>M</t>
        </is>
      </c>
      <c r="DN53" s="95" t="n">
        <v>15</v>
      </c>
      <c r="DO53" s="95" t="n">
        <v>21</v>
      </c>
    </row>
    <row r="54" ht="13" customHeight="1">
      <c r="A54" s="204" t="inlineStr">
        <is>
          <t>MSW-02</t>
        </is>
      </c>
      <c r="B54" s="305" t="inlineStr">
        <is>
          <t>MSW-2 MICHINCHA</t>
        </is>
      </c>
      <c r="C54" s="251"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1" t="inlineStr">
        <is>
          <t>532MAMSW2</t>
        </is>
      </c>
      <c r="BL54" s="7" t="inlineStr">
        <is>
          <t>GMAP-SIGA</t>
        </is>
      </c>
      <c r="BM54" s="251" t="inlineStr">
        <is>
          <t>CAUDAL</t>
        </is>
      </c>
      <c r="BN54" s="337" t="inlineStr">
        <is>
          <t>Michincha</t>
        </is>
      </c>
      <c r="BO54" s="251" t="inlineStr">
        <is>
          <t>SI</t>
        </is>
      </c>
      <c r="BP54" s="106" t="inlineStr">
        <is>
          <t>MSW-2 MICHINCHA/CAUDAL</t>
        </is>
      </c>
      <c r="BQ54" s="106">
        <f>VLOOKUP(BP54,[1]AGUA!$1:$1048576,2,FALSE)</f>
        <v/>
      </c>
      <c r="BR54" s="106">
        <f>VLOOKUP(BP54,[1]AGUA!$1:$1048576,6,FALSE)</f>
        <v/>
      </c>
      <c r="BS54" s="106">
        <f>VLOOKUP(BP54,[1]AGUA!$1:$1048576,7,FALSE)</f>
        <v/>
      </c>
      <c r="BT54" s="106" t="n"/>
      <c r="BU54" s="253" t="n"/>
      <c r="BV54" s="105" t="n"/>
      <c r="BW54" s="105" t="n"/>
      <c r="BX54" s="142" t="n">
        <v>1</v>
      </c>
      <c r="BY54" s="105" t="n"/>
      <c r="BZ54" s="105" t="n"/>
      <c r="CA54" s="142" t="n">
        <v>1</v>
      </c>
      <c r="CB54" s="105" t="n"/>
      <c r="CC54" s="105" t="n"/>
      <c r="CD54" s="105" t="n"/>
      <c r="CE54" s="105" t="n"/>
      <c r="CF54" s="105" t="n"/>
      <c r="CG54" s="105" t="n"/>
      <c r="CI54" s="142" t="n">
        <v>1</v>
      </c>
      <c r="CJ54" s="105" t="n"/>
      <c r="CK54" s="105" t="n"/>
      <c r="CL54" s="105" t="n"/>
      <c r="CM54" s="105" t="n"/>
      <c r="CN54" s="105" t="n"/>
      <c r="CO54" s="105" t="n"/>
      <c r="CP54" s="142" t="n">
        <v>1</v>
      </c>
      <c r="CQ54" s="105" t="n"/>
      <c r="CR54" s="105" t="n"/>
      <c r="CT54" s="105" t="n"/>
      <c r="CU54" s="105" t="n"/>
      <c r="CV54" s="105" t="n"/>
      <c r="CW54" s="142" t="n">
        <v>1</v>
      </c>
      <c r="CX54" s="105" t="n"/>
      <c r="CY54" s="105" t="n"/>
      <c r="CZ54" s="124">
        <f>+COUNTA(BV54:CY54)</f>
        <v/>
      </c>
      <c r="DA54" s="251" t="n"/>
      <c r="DB54" s="251" t="n"/>
      <c r="DC54" s="251" t="n"/>
      <c r="DD54" s="251" t="n"/>
      <c r="DE54" s="251" t="n"/>
      <c r="DF54" s="251" t="n"/>
      <c r="DG54" s="251" t="n"/>
      <c r="DH54" s="251" t="n"/>
      <c r="DI54" s="251" t="n"/>
      <c r="DJ54" s="251" t="inlineStr">
        <is>
          <t>M</t>
        </is>
      </c>
      <c r="DK54" s="251" t="n">
        <v>1</v>
      </c>
      <c r="DL54" s="95" t="n">
        <v>7</v>
      </c>
      <c r="DM54" s="251" t="n"/>
      <c r="DN54" s="95" t="n"/>
      <c r="DO54" s="95" t="n"/>
    </row>
    <row r="55" ht="13" customHeight="1">
      <c r="A55" s="204" t="inlineStr">
        <is>
          <t>MSW-02</t>
        </is>
      </c>
      <c r="B55" s="376" t="n"/>
      <c r="C55" s="376"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76" t="n"/>
      <c r="BL55" s="7" t="inlineStr">
        <is>
          <t>GMAP-SIGA</t>
        </is>
      </c>
      <c r="BM55" s="251" t="inlineStr">
        <is>
          <t>ASUP</t>
        </is>
      </c>
      <c r="BN55" s="337" t="inlineStr">
        <is>
          <t>Michincha</t>
        </is>
      </c>
      <c r="BO55" s="251" t="inlineStr">
        <is>
          <t>SI</t>
        </is>
      </c>
      <c r="BP55" s="106" t="inlineStr">
        <is>
          <t>MSW-2 MICHINCHA/ASUP</t>
        </is>
      </c>
      <c r="BQ55" s="106">
        <f>VLOOKUP(BP55,[1]AGUA!$1:$1048576,2,FALSE)</f>
        <v/>
      </c>
      <c r="BR55" s="106">
        <f>VLOOKUP(BP55,[1]AGUA!$1:$1048576,6,FALSE)</f>
        <v/>
      </c>
      <c r="BS55" s="106">
        <f>VLOOKUP(BP55,[1]AGUA!$1:$1048576,7,FALSE)</f>
        <v/>
      </c>
      <c r="BT55" s="106" t="n"/>
      <c r="BU55" s="377" t="n"/>
      <c r="BV55" s="105" t="n"/>
      <c r="BW55" s="105" t="n"/>
      <c r="BX55" s="105" t="n"/>
      <c r="BY55" s="105" t="n"/>
      <c r="BZ55" s="105" t="n"/>
      <c r="CA55" s="107" t="n">
        <v>1</v>
      </c>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24">
        <f>+COUNTA(BV55:CY55)</f>
        <v/>
      </c>
      <c r="DA55" s="251" t="n"/>
      <c r="DB55" s="251" t="n"/>
      <c r="DC55" s="251" t="n"/>
      <c r="DD55" s="251" t="n"/>
      <c r="DE55" s="251" t="n"/>
      <c r="DF55" s="251" t="n"/>
      <c r="DG55" s="251" t="n"/>
      <c r="DH55" s="251" t="n"/>
      <c r="DI55" s="251" t="n"/>
      <c r="DJ55" s="251" t="n"/>
      <c r="DK55" s="251" t="n"/>
      <c r="DL55" s="95" t="n"/>
      <c r="DM55" s="251" t="inlineStr">
        <is>
          <t>T</t>
        </is>
      </c>
      <c r="DN55" s="95" t="n">
        <v>1</v>
      </c>
      <c r="DO55" s="95" t="n">
        <v>7</v>
      </c>
    </row>
    <row r="56" ht="13" customHeight="1">
      <c r="A56" s="204" t="inlineStr">
        <is>
          <t>MSW-03</t>
        </is>
      </c>
      <c r="B56" s="305" t="inlineStr">
        <is>
          <t>MSW-3 UJINA</t>
        </is>
      </c>
      <c r="C56" s="251"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2" t="inlineStr">
        <is>
          <t>532MAMSW3</t>
        </is>
      </c>
      <c r="BL56" s="7" t="inlineStr">
        <is>
          <t>GMAP-SIGA</t>
        </is>
      </c>
      <c r="BM56" s="251" t="inlineStr">
        <is>
          <t>CAUDAL</t>
        </is>
      </c>
      <c r="BN56" s="337" t="inlineStr">
        <is>
          <t>Ujina</t>
        </is>
      </c>
      <c r="BO56" s="251" t="inlineStr">
        <is>
          <t>SI</t>
        </is>
      </c>
      <c r="BP56" s="106" t="inlineStr">
        <is>
          <t>MSW-3 UJINA/CAUDAL</t>
        </is>
      </c>
      <c r="BQ56" s="106">
        <f>VLOOKUP(BP56,[1]AGUA!$1:$1048576,2,FALSE)</f>
        <v/>
      </c>
      <c r="BR56" s="106">
        <f>VLOOKUP(BP56,[1]AGUA!$1:$1048576,6,FALSE)</f>
        <v/>
      </c>
      <c r="BS56" s="106">
        <f>VLOOKUP(BP56,[1]AGUA!$1:$1048576,7,FALSE)</f>
        <v/>
      </c>
      <c r="BT56" s="106" t="n"/>
      <c r="BU56" s="253"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05" t="n"/>
      <c r="CS56" s="105" t="n"/>
      <c r="CT56" s="105" t="n"/>
      <c r="CU56" s="105" t="n"/>
      <c r="CV56" s="142" t="n">
        <v>1</v>
      </c>
      <c r="CW56" s="105" t="n"/>
      <c r="CX56" s="105" t="n"/>
      <c r="CY56" s="105" t="n"/>
      <c r="CZ56" s="124">
        <f>+COUNTA(BV56:CY56)</f>
        <v/>
      </c>
      <c r="DA56" s="251" t="n"/>
      <c r="DB56" s="251" t="n"/>
      <c r="DC56" s="251" t="n"/>
      <c r="DD56" s="251" t="n"/>
      <c r="DE56" s="251" t="n"/>
      <c r="DF56" s="251" t="n"/>
      <c r="DG56" s="251" t="n"/>
      <c r="DH56" s="251" t="n"/>
      <c r="DI56" s="251" t="n"/>
      <c r="DJ56" s="251" t="inlineStr">
        <is>
          <t>M</t>
        </is>
      </c>
      <c r="DK56" s="251" t="n">
        <v>22</v>
      </c>
      <c r="DL56" s="95" t="n">
        <v>28</v>
      </c>
      <c r="DM56" s="251" t="n"/>
      <c r="DN56" s="95" t="n"/>
      <c r="DO56" s="95" t="n"/>
    </row>
    <row r="57" ht="13" customHeight="1">
      <c r="A57" s="204" t="inlineStr">
        <is>
          <t>MSW-03</t>
        </is>
      </c>
      <c r="B57" s="376" t="n"/>
      <c r="C57" s="376"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76" t="n"/>
      <c r="BL57" s="7" t="inlineStr">
        <is>
          <t>GMAP-SIGA</t>
        </is>
      </c>
      <c r="BM57" s="251" t="inlineStr">
        <is>
          <t>ASUP</t>
        </is>
      </c>
      <c r="BN57" s="337" t="inlineStr">
        <is>
          <t>Ujina</t>
        </is>
      </c>
      <c r="BO57" s="251" t="inlineStr">
        <is>
          <t>SI</t>
        </is>
      </c>
      <c r="BP57" s="106" t="inlineStr">
        <is>
          <t>MSW-3 UJINA/ASUP</t>
        </is>
      </c>
      <c r="BQ57" s="106">
        <f>VLOOKUP(BP57,[1]AGUA!$1:$1048576,2,FALSE)</f>
        <v/>
      </c>
      <c r="BR57" s="106">
        <f>VLOOKUP(BP57,[1]AGUA!$1:$1048576,6,FALSE)</f>
        <v/>
      </c>
      <c r="BS57" s="106">
        <f>VLOOKUP(BP57,[1]AGUA!$1:$1048576,7,FALSE)</f>
        <v/>
      </c>
      <c r="BT57" s="106" t="n"/>
      <c r="BU57" s="377"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5" t="n"/>
      <c r="CS57" s="105" t="n"/>
      <c r="CT57" s="105" t="n"/>
      <c r="CU57" s="105" t="n"/>
      <c r="CV57" s="107" t="n">
        <v>1</v>
      </c>
      <c r="CW57" s="105" t="n"/>
      <c r="CX57" s="105" t="n"/>
      <c r="CY57" s="105" t="n"/>
      <c r="CZ57" s="124">
        <f>+COUNTA(BV57:CY57)</f>
        <v/>
      </c>
      <c r="DA57" s="251" t="n"/>
      <c r="DB57" s="251" t="n"/>
      <c r="DC57" s="251" t="n"/>
      <c r="DD57" s="251" t="n"/>
      <c r="DE57" s="251" t="n"/>
      <c r="DF57" s="251" t="n"/>
      <c r="DG57" s="251" t="n"/>
      <c r="DH57" s="251" t="n"/>
      <c r="DI57" s="251" t="n"/>
      <c r="DJ57" s="251" t="n"/>
      <c r="DK57" s="251" t="n"/>
      <c r="DL57" s="95" t="n"/>
      <c r="DM57" s="251" t="inlineStr">
        <is>
          <t>M</t>
        </is>
      </c>
      <c r="DN57" s="95" t="n">
        <v>22</v>
      </c>
      <c r="DO57" s="95" t="n">
        <v>28</v>
      </c>
    </row>
    <row r="58" ht="13" customHeight="1">
      <c r="A58" s="204" t="inlineStr">
        <is>
          <t>MSW-1A</t>
        </is>
      </c>
      <c r="B58" s="305" t="n"/>
      <c r="C58" s="251"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2" t="n"/>
      <c r="BL58" s="7" t="inlineStr">
        <is>
          <t>GMAP-SIGA</t>
        </is>
      </c>
      <c r="BM58" s="251" t="inlineStr">
        <is>
          <t>ASUP</t>
        </is>
      </c>
      <c r="BN58" s="337" t="inlineStr">
        <is>
          <t>Michincha</t>
        </is>
      </c>
      <c r="BO58" s="251" t="inlineStr">
        <is>
          <t>SI</t>
        </is>
      </c>
      <c r="BP58" s="106" t="inlineStr">
        <is>
          <t>MSW-1A MICHINCHA/ASUP</t>
        </is>
      </c>
      <c r="BQ58" s="106">
        <f>VLOOKUP(BP58,[1]AGUA!$1:$1048576,2,FALSE)</f>
        <v/>
      </c>
      <c r="BR58" s="106">
        <f>VLOOKUP(BP58,[1]AGUA!$1:$1048576,6,FALSE)</f>
        <v/>
      </c>
      <c r="BS58" s="106">
        <f>VLOOKUP(BP58,[1]AGUA!$1:$1048576,7,FALSE)</f>
        <v/>
      </c>
      <c r="BT58" s="106" t="n"/>
      <c r="BU58" s="253" t="n"/>
      <c r="BV58" s="105" t="n"/>
      <c r="BW58" s="105" t="n"/>
      <c r="BX58" s="105" t="n"/>
      <c r="BY58" s="105" t="n"/>
      <c r="BZ58" s="105" t="n"/>
      <c r="CA58" s="107" t="n">
        <v>1</v>
      </c>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24">
        <f>+COUNTA(BV58:CY58)</f>
        <v/>
      </c>
      <c r="DA58" s="251" t="n"/>
      <c r="DB58" s="251" t="n"/>
      <c r="DC58" s="251" t="n"/>
      <c r="DD58" s="251" t="n"/>
      <c r="DE58" s="251" t="n"/>
      <c r="DF58" s="251" t="n"/>
      <c r="DG58" s="251" t="n"/>
      <c r="DH58" s="251" t="n"/>
      <c r="DI58" s="251" t="n"/>
      <c r="DJ58" s="251" t="n"/>
      <c r="DK58" s="251" t="n"/>
      <c r="DL58" s="251" t="n"/>
      <c r="DM58" s="251" t="inlineStr">
        <is>
          <t>T</t>
        </is>
      </c>
      <c r="DN58" s="95" t="n">
        <v>1</v>
      </c>
      <c r="DO58" s="95" t="n">
        <v>7</v>
      </c>
    </row>
    <row r="59" ht="12.65" customHeight="1">
      <c r="A59" s="204" t="inlineStr">
        <is>
          <t>PD-03</t>
        </is>
      </c>
      <c r="B59" s="305" t="n"/>
      <c r="C59" s="251"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1" t="n"/>
      <c r="BL59" s="7" t="inlineStr">
        <is>
          <t>MINA</t>
        </is>
      </c>
      <c r="BM59" s="251" t="inlineStr">
        <is>
          <t>ASUP</t>
        </is>
      </c>
      <c r="BN59" s="337" t="inlineStr">
        <is>
          <t>Ujina</t>
        </is>
      </c>
      <c r="BO59" s="251" t="inlineStr">
        <is>
          <t>SI</t>
        </is>
      </c>
      <c r="BP59" s="106" t="inlineStr">
        <is>
          <t>PD-03 UJINA/ASUP</t>
        </is>
      </c>
      <c r="BQ59" s="106">
        <f>VLOOKUP(BP59,[1]AGUA!$1:$1048576,2,FALSE)</f>
        <v/>
      </c>
      <c r="BR59" s="106">
        <f>VLOOKUP(BP59,[1]AGUA!$1:$1048576,6,FALSE)</f>
        <v/>
      </c>
      <c r="BS59" s="106">
        <f>VLOOKUP(BP59,[1]AGUA!$1:$1048576,7,FALSE)</f>
        <v/>
      </c>
      <c r="BT59" s="106" t="n"/>
      <c r="BU59" s="253" t="n"/>
      <c r="BV59" s="105" t="n"/>
      <c r="BW59" s="105" t="n"/>
      <c r="BX59" s="105" t="n"/>
      <c r="BY59" s="105" t="n"/>
      <c r="BZ59" s="105" t="n"/>
      <c r="CA59" s="105" t="n"/>
      <c r="CB59" s="105" t="n"/>
      <c r="CC59" s="105" t="n"/>
      <c r="CD59" s="105" t="n"/>
      <c r="CE59" s="107" t="n">
        <v>1</v>
      </c>
      <c r="CF59" s="105" t="n"/>
      <c r="CG59" s="107" t="n">
        <v>1</v>
      </c>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24">
        <f>+COUNTA(BV59:CY59)</f>
        <v/>
      </c>
      <c r="DA59" s="251" t="n"/>
      <c r="DB59" s="251" t="n"/>
      <c r="DC59" s="251" t="n"/>
      <c r="DD59" s="251" t="n"/>
      <c r="DE59" s="251" t="n"/>
      <c r="DF59" s="251" t="n"/>
      <c r="DG59" s="251" t="n"/>
      <c r="DH59" s="251" t="n"/>
      <c r="DI59" s="251" t="n"/>
      <c r="DJ59" s="251" t="n"/>
      <c r="DK59" s="251" t="n"/>
      <c r="DL59" s="251" t="n"/>
      <c r="DM59" s="251" t="inlineStr">
        <is>
          <t>T</t>
        </is>
      </c>
      <c r="DN59" s="95" t="n">
        <v>8</v>
      </c>
      <c r="DO59" s="95" t="n">
        <v>14</v>
      </c>
    </row>
    <row r="60" ht="13" customHeight="1">
      <c r="A60" s="203" t="inlineStr">
        <is>
          <t>PEV-01 (PES-01)</t>
        </is>
      </c>
      <c r="B60" s="305"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2" t="inlineStr">
        <is>
          <t>300SI400</t>
        </is>
      </c>
      <c r="BL60" s="61" t="inlineStr">
        <is>
          <t>PUERTO</t>
        </is>
      </c>
      <c r="BM60" s="251" t="inlineStr">
        <is>
          <t>ASUP</t>
        </is>
      </c>
      <c r="BN60" s="337" t="inlineStr">
        <is>
          <t>Puerto Collahuasi</t>
        </is>
      </c>
      <c r="BO60" s="251"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07" t="inlineStr">
        <is>
          <t>R</t>
        </is>
      </c>
      <c r="BW60" s="105" t="n"/>
      <c r="BX60" s="106" t="n"/>
      <c r="BY60" s="105" t="n"/>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24">
        <f>+COUNTA(BV60:CY60)</f>
        <v/>
      </c>
      <c r="DA60" s="251" t="n"/>
      <c r="DB60" s="251" t="n"/>
      <c r="DC60" s="251" t="n"/>
      <c r="DD60" s="251" t="n"/>
      <c r="DE60" s="251" t="n"/>
      <c r="DF60" s="251" t="n"/>
      <c r="DG60" s="251" t="n"/>
      <c r="DH60" s="251" t="n"/>
      <c r="DI60" s="251" t="n"/>
      <c r="DJ60" s="251" t="n"/>
      <c r="DK60" s="251" t="n"/>
      <c r="DL60" s="251" t="n"/>
      <c r="DM60" s="251" t="inlineStr">
        <is>
          <t>M</t>
        </is>
      </c>
      <c r="DN60" s="95" t="n">
        <v>1</v>
      </c>
      <c r="DO60" s="95" t="n">
        <v>7</v>
      </c>
    </row>
    <row r="61" ht="12" customHeight="1">
      <c r="A61" s="203" t="inlineStr">
        <is>
          <t>Piscina P2</t>
        </is>
      </c>
      <c r="B61" s="305"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2" t="inlineStr">
        <is>
          <t>532PD006</t>
        </is>
      </c>
      <c r="BL61" s="61" t="inlineStr">
        <is>
          <t>GTAM</t>
        </is>
      </c>
      <c r="BM61" s="168" t="inlineStr">
        <is>
          <t>ASUP</t>
        </is>
      </c>
      <c r="BN61" s="337" t="inlineStr">
        <is>
          <t>Rosario</t>
        </is>
      </c>
      <c r="BO61" s="251"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5" t="n"/>
      <c r="CK61" s="105" t="n"/>
      <c r="CL61" s="105" t="n"/>
      <c r="CM61" s="105" t="n"/>
      <c r="CN61" s="107" t="n">
        <v>1</v>
      </c>
      <c r="CO61" s="105" t="n"/>
      <c r="CP61" s="105" t="n"/>
      <c r="CQ61" s="105" t="n"/>
      <c r="CR61" s="105" t="n"/>
      <c r="CS61" s="105" t="n"/>
      <c r="CT61" s="105" t="n"/>
      <c r="CU61" s="105" t="n"/>
      <c r="CV61" s="105" t="n"/>
      <c r="CW61" s="105" t="n"/>
      <c r="CX61" s="105" t="n"/>
      <c r="CY61" s="105" t="n"/>
      <c r="CZ61" s="124">
        <f>+COUNTA(BV61:CY61)</f>
        <v/>
      </c>
      <c r="DA61" s="251" t="n"/>
      <c r="DB61" s="251" t="n"/>
      <c r="DC61" s="251" t="n"/>
      <c r="DD61" s="251" t="n"/>
      <c r="DE61" s="251" t="n"/>
      <c r="DF61" s="251" t="n"/>
      <c r="DG61" s="251" t="n"/>
      <c r="DH61" s="251" t="n"/>
      <c r="DI61" s="251" t="n"/>
      <c r="DJ61" s="251" t="n"/>
      <c r="DK61" s="251" t="n"/>
      <c r="DL61" s="95" t="n"/>
      <c r="DM61" s="251" t="inlineStr">
        <is>
          <t>M</t>
        </is>
      </c>
      <c r="DN61" s="95" t="n">
        <v>15</v>
      </c>
      <c r="DO61" s="95" t="n">
        <v>21</v>
      </c>
    </row>
    <row r="62" ht="12.65" customHeight="1">
      <c r="A62" s="203" t="inlineStr">
        <is>
          <t>Piscina P3</t>
        </is>
      </c>
      <c r="B62" s="305"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2" t="inlineStr">
        <is>
          <t>900PD4001</t>
        </is>
      </c>
      <c r="BL62" s="61" t="inlineStr">
        <is>
          <t>GTAM</t>
        </is>
      </c>
      <c r="BM62" s="251" t="inlineStr">
        <is>
          <t>ASUP</t>
        </is>
      </c>
      <c r="BN62" s="337" t="inlineStr">
        <is>
          <t>Rosario</t>
        </is>
      </c>
      <c r="BO62" s="251"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105" t="n"/>
      <c r="BW62" s="105" t="n"/>
      <c r="BX62" s="105" t="n"/>
      <c r="BY62" s="105" t="n"/>
      <c r="BZ62" s="107" t="n">
        <v>1</v>
      </c>
      <c r="CA62" s="105" t="n"/>
      <c r="CB62" s="105" t="n"/>
      <c r="CC62" s="105" t="n"/>
      <c r="CD62" s="105" t="n"/>
      <c r="CE62" s="105" t="n"/>
      <c r="CF62" s="105" t="n"/>
      <c r="CG62" s="105" t="n"/>
      <c r="CH62" s="105" t="n"/>
      <c r="CI62" s="105" t="n"/>
      <c r="CJ62" s="105" t="n"/>
      <c r="CK62" s="105" t="n"/>
      <c r="CL62" s="105" t="n"/>
      <c r="CM62" s="105" t="n"/>
      <c r="CN62" s="107" t="n">
        <v>1</v>
      </c>
      <c r="CO62" s="105" t="n"/>
      <c r="CP62" s="105" t="n"/>
      <c r="CQ62" s="105" t="n"/>
      <c r="CR62" s="105" t="n"/>
      <c r="CS62" s="105" t="n"/>
      <c r="CT62" s="105" t="n"/>
      <c r="CU62" s="105" t="n"/>
      <c r="CV62" s="105" t="n"/>
      <c r="CW62" s="105" t="n"/>
      <c r="CX62" s="105" t="n"/>
      <c r="CY62" s="105" t="n"/>
      <c r="CZ62" s="124">
        <f>+COUNTA(BV62:CY62)</f>
        <v/>
      </c>
      <c r="DA62" s="251" t="n"/>
      <c r="DB62" s="251" t="n"/>
      <c r="DC62" s="251" t="n"/>
      <c r="DD62" s="251" t="n"/>
      <c r="DE62" s="251" t="n"/>
      <c r="DF62" s="251" t="n"/>
      <c r="DG62" s="251" t="n"/>
      <c r="DH62" s="251" t="n"/>
      <c r="DI62" s="251" t="n"/>
      <c r="DJ62" s="251" t="n"/>
      <c r="DK62" s="251" t="n"/>
      <c r="DL62" s="251" t="n"/>
      <c r="DM62" s="251" t="inlineStr">
        <is>
          <t>2M</t>
        </is>
      </c>
      <c r="DN62" s="99" t="inlineStr">
        <is>
          <t>1-15</t>
        </is>
      </c>
      <c r="DO62" s="97" t="inlineStr">
        <is>
          <t>7-21</t>
        </is>
      </c>
    </row>
    <row r="63" ht="12.65" customHeight="1">
      <c r="A63" s="203" t="inlineStr">
        <is>
          <t>PR</t>
        </is>
      </c>
      <c r="B63" s="305"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2" t="inlineStr">
        <is>
          <t>532MAPR</t>
        </is>
      </c>
      <c r="BL63" s="61" t="inlineStr">
        <is>
          <t>PUERTO</t>
        </is>
      </c>
      <c r="BM63" s="251" t="inlineStr">
        <is>
          <t>ASUP</t>
        </is>
      </c>
      <c r="BN63" s="337" t="inlineStr">
        <is>
          <t>Puerto Collahuasi</t>
        </is>
      </c>
      <c r="BO63" s="251"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07" t="inlineStr">
        <is>
          <t>R</t>
        </is>
      </c>
      <c r="BW63" s="105" t="n"/>
      <c r="BX63" s="106" t="n"/>
      <c r="BY63" s="105" t="n"/>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24">
        <f>+COUNTA(BV63:CY63)</f>
        <v/>
      </c>
      <c r="DA63" s="251" t="n"/>
      <c r="DB63" s="251" t="n"/>
      <c r="DC63" s="251" t="n"/>
      <c r="DD63" s="251" t="n"/>
      <c r="DE63" s="251" t="n"/>
      <c r="DF63" s="251" t="n"/>
      <c r="DG63" s="251" t="n"/>
      <c r="DH63" s="251" t="n"/>
      <c r="DI63" s="251" t="n"/>
      <c r="DJ63" s="251" t="n"/>
      <c r="DK63" s="251" t="n"/>
      <c r="DL63" s="95" t="n"/>
      <c r="DM63" s="251" t="inlineStr">
        <is>
          <t>M</t>
        </is>
      </c>
      <c r="DN63" s="95" t="n">
        <v>1</v>
      </c>
      <c r="DO63" s="95" t="n">
        <v>7</v>
      </c>
    </row>
    <row r="64" ht="13" customHeight="1">
      <c r="A64" s="204" t="inlineStr">
        <is>
          <t>QDC-01</t>
        </is>
      </c>
      <c r="B64" s="305" t="inlineStr">
        <is>
          <t>QDC-1 CHICLLA</t>
        </is>
      </c>
      <c r="C64" s="251"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2" t="inlineStr">
        <is>
          <t>532ZPQDC-1</t>
        </is>
      </c>
      <c r="BL64" s="7" t="inlineStr">
        <is>
          <t>GMAP-SIGA</t>
        </is>
      </c>
      <c r="BM64" s="251" t="inlineStr">
        <is>
          <t>CAUDAL</t>
        </is>
      </c>
      <c r="BN64" s="337" t="inlineStr">
        <is>
          <t>Chiclla</t>
        </is>
      </c>
      <c r="BO64" s="251" t="inlineStr">
        <is>
          <t>SI</t>
        </is>
      </c>
      <c r="BP64" s="106" t="inlineStr">
        <is>
          <t>QDC-1 CHICLLA/CAUDAL</t>
        </is>
      </c>
      <c r="BQ64" s="106">
        <f>VLOOKUP(BP64,[1]AGUA!$1:$1048576,2,FALSE)</f>
        <v/>
      </c>
      <c r="BR64" s="106">
        <f>VLOOKUP(BP64,[1]AGUA!$1:$1048576,6,FALSE)</f>
        <v/>
      </c>
      <c r="BS64" s="106">
        <f>VLOOKUP(BP64,[1]AGUA!$1:$1048576,7,FALSE)</f>
        <v/>
      </c>
      <c r="BT64" s="106" t="n"/>
      <c r="BU64" s="253" t="n"/>
      <c r="BV64" s="105" t="n"/>
      <c r="BW64" s="105" t="n"/>
      <c r="BX64" s="105" t="n"/>
      <c r="BY64" s="105" t="n"/>
      <c r="BZ64" s="105" t="n"/>
      <c r="CA64" s="105" t="n"/>
      <c r="CB64" s="105" t="n"/>
      <c r="CC64" s="105" t="n"/>
      <c r="CD64" s="105" t="n"/>
      <c r="CE64" s="105" t="n"/>
      <c r="CF64" s="105" t="n"/>
      <c r="CG64" s="105" t="n"/>
      <c r="CH64" s="209" t="n">
        <v>1</v>
      </c>
      <c r="CI64" s="105" t="n"/>
      <c r="CJ64" s="105" t="n"/>
      <c r="CK64" s="105" t="n"/>
      <c r="CL64" s="105" t="n"/>
      <c r="CM64" s="105" t="n"/>
      <c r="CN64" s="105" t="n"/>
      <c r="CO64" s="105" t="n"/>
      <c r="CP64" s="105" t="n"/>
      <c r="CQ64" s="105" t="n"/>
      <c r="CR64" s="105" t="n"/>
      <c r="CS64" s="105" t="n"/>
      <c r="CT64" s="105" t="n"/>
      <c r="CU64" s="105" t="n"/>
      <c r="CV64" s="105" t="n"/>
      <c r="CW64" s="105" t="n"/>
      <c r="CX64" s="105" t="n"/>
      <c r="CY64" s="105" t="n"/>
      <c r="CZ64" s="124">
        <f>+COUNTA(BV64:CY64)</f>
        <v/>
      </c>
      <c r="DA64" s="251" t="n"/>
      <c r="DB64" s="208" t="n"/>
      <c r="DC64" s="251" t="n"/>
      <c r="DD64" s="251" t="n"/>
      <c r="DE64" s="251" t="n"/>
      <c r="DF64" s="251" t="n"/>
      <c r="DG64" s="209" t="n"/>
      <c r="DH64" s="209" t="n"/>
      <c r="DI64" s="251" t="n"/>
      <c r="DJ64" s="251" t="inlineStr">
        <is>
          <t>M</t>
        </is>
      </c>
      <c r="DK64" s="251" t="n">
        <v>1</v>
      </c>
      <c r="DL64" s="95" t="n">
        <v>14</v>
      </c>
      <c r="DM64" s="251" t="n"/>
      <c r="DN64" s="95" t="n"/>
      <c r="DO64" s="95" t="n"/>
    </row>
    <row r="65" ht="13" customHeight="1">
      <c r="A65" s="204" t="inlineStr">
        <is>
          <t>QDC-01</t>
        </is>
      </c>
      <c r="B65" s="376" t="n"/>
      <c r="C65" s="376"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76" t="n"/>
      <c r="BL65" s="7" t="inlineStr">
        <is>
          <t>GMAP-SIGA</t>
        </is>
      </c>
      <c r="BM65" s="251" t="inlineStr">
        <is>
          <t>ASUP</t>
        </is>
      </c>
      <c r="BN65" s="337" t="inlineStr">
        <is>
          <t>Chiclla</t>
        </is>
      </c>
      <c r="BO65" s="251" t="inlineStr">
        <is>
          <t>SI</t>
        </is>
      </c>
      <c r="BP65" s="106" t="inlineStr">
        <is>
          <t>QDC-1 CHICLLA/ASUP</t>
        </is>
      </c>
      <c r="BQ65" s="106">
        <f>VLOOKUP(BP65,[1]AGUA!$1:$1048576,2,FALSE)</f>
        <v/>
      </c>
      <c r="BR65" s="106">
        <f>VLOOKUP(BP65,[1]AGUA!$1:$1048576,6,FALSE)</f>
        <v/>
      </c>
      <c r="BS65" s="106">
        <f>VLOOKUP(BP65,[1]AGUA!$1:$1048576,7,FALSE)</f>
        <v/>
      </c>
      <c r="BT65" s="106" t="n"/>
      <c r="BU65" s="377" t="n"/>
      <c r="BV65" s="105" t="n"/>
      <c r="BW65" s="105" t="n"/>
      <c r="BX65" s="105" t="n"/>
      <c r="BY65" s="105" t="n"/>
      <c r="BZ65" s="105" t="n"/>
      <c r="CA65" s="105" t="n"/>
      <c r="CB65" s="105" t="n"/>
      <c r="CC65" s="105" t="n"/>
      <c r="CD65" s="105" t="n"/>
      <c r="CE65" s="105" t="n"/>
      <c r="CF65" s="105" t="n"/>
      <c r="CG65" s="105" t="n"/>
      <c r="CH65" s="209" t="n">
        <v>1</v>
      </c>
      <c r="CI65" s="105" t="n"/>
      <c r="CJ65" s="105" t="n"/>
      <c r="CK65" s="105" t="n"/>
      <c r="CL65" s="105" t="n"/>
      <c r="CM65" s="105" t="n"/>
      <c r="CN65" s="105" t="n"/>
      <c r="CO65" s="105" t="n"/>
      <c r="CP65" s="105" t="n"/>
      <c r="CQ65" s="105" t="n"/>
      <c r="CR65" s="105" t="n"/>
      <c r="CS65" s="105" t="n"/>
      <c r="CT65" s="105" t="n"/>
      <c r="CU65" s="105" t="n"/>
      <c r="CV65" s="105" t="n"/>
      <c r="CW65" s="105" t="n"/>
      <c r="CX65" s="105" t="n"/>
      <c r="CY65" s="105" t="n"/>
      <c r="CZ65" s="124">
        <f>+COUNTA(BV65:CY65)</f>
        <v/>
      </c>
      <c r="DA65" s="251" t="n"/>
      <c r="DB65" s="208" t="n"/>
      <c r="DC65" s="251" t="n"/>
      <c r="DD65" s="251" t="n"/>
      <c r="DE65" s="251" t="n"/>
      <c r="DF65" s="251" t="n"/>
      <c r="DG65" s="209" t="n"/>
      <c r="DH65" s="209" t="n"/>
      <c r="DI65" s="251" t="n"/>
      <c r="DJ65" s="251" t="n"/>
      <c r="DK65" s="251" t="n"/>
      <c r="DL65" s="95" t="n"/>
      <c r="DM65" s="251" t="inlineStr">
        <is>
          <t>M</t>
        </is>
      </c>
      <c r="DN65" s="95" t="n">
        <v>1</v>
      </c>
      <c r="DO65" s="95" t="n">
        <v>14</v>
      </c>
    </row>
    <row r="66" ht="13" customHeight="1">
      <c r="A66" s="204" t="inlineStr">
        <is>
          <t>QDC-02</t>
        </is>
      </c>
      <c r="B66" s="305" t="inlineStr">
        <is>
          <t>QDC-2 CHICLLA</t>
        </is>
      </c>
      <c r="C66" s="251"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2" t="inlineStr">
        <is>
          <t>900QE008</t>
        </is>
      </c>
      <c r="BL66" s="7" t="inlineStr">
        <is>
          <t>GMAP-SIGA</t>
        </is>
      </c>
      <c r="BM66" s="251" t="inlineStr">
        <is>
          <t>CAUDAL</t>
        </is>
      </c>
      <c r="BN66" s="337" t="inlineStr">
        <is>
          <t>Chiclla</t>
        </is>
      </c>
      <c r="BO66" s="251" t="inlineStr">
        <is>
          <t>SI</t>
        </is>
      </c>
      <c r="BP66" s="106" t="inlineStr">
        <is>
          <t>QDC-2 CHICLLA/CAUDAL</t>
        </is>
      </c>
      <c r="BQ66" s="106">
        <f>VLOOKUP(BP66,[1]AGUA!$1:$1048576,2,FALSE)</f>
        <v/>
      </c>
      <c r="BR66" s="106">
        <f>VLOOKUP(BP66,[1]AGUA!$1:$1048576,6,FALSE)</f>
        <v/>
      </c>
      <c r="BS66" s="106">
        <f>VLOOKUP(BP66,[1]AGUA!$1:$1048576,7,FALSE)</f>
        <v/>
      </c>
      <c r="BT66" s="106" t="n"/>
      <c r="BU66" s="253" t="n"/>
      <c r="BV66" s="105" t="n"/>
      <c r="BW66" s="105" t="n"/>
      <c r="BX66" s="105" t="n"/>
      <c r="BY66" s="105" t="n"/>
      <c r="BZ66" s="105" t="n"/>
      <c r="CA66" s="105" t="n"/>
      <c r="CB66" s="105" t="n"/>
      <c r="CC66" s="105" t="n"/>
      <c r="CD66" s="105" t="n"/>
      <c r="CE66" s="105" t="n"/>
      <c r="CF66" s="105" t="n"/>
      <c r="CG66" s="105" t="n"/>
      <c r="CH66" s="209" t="n">
        <v>1</v>
      </c>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24">
        <f>+COUNTA(BV66:CY66)</f>
        <v/>
      </c>
      <c r="DA66" s="337" t="n"/>
      <c r="DB66" s="210" t="n"/>
      <c r="DC66" s="337" t="n"/>
      <c r="DD66" s="337" t="n"/>
      <c r="DE66" s="337" t="n"/>
      <c r="DF66" s="337" t="n"/>
      <c r="DG66" s="211" t="n"/>
      <c r="DH66" s="211" t="n"/>
      <c r="DI66" s="337" t="n"/>
      <c r="DJ66" s="251" t="inlineStr">
        <is>
          <t>M</t>
        </is>
      </c>
      <c r="DK66" s="251" t="n">
        <v>1</v>
      </c>
      <c r="DL66" s="95" t="n">
        <v>14</v>
      </c>
      <c r="DM66" s="251" t="n"/>
      <c r="DN66" s="95" t="n"/>
      <c r="DO66" s="95" t="n"/>
    </row>
    <row r="67" ht="13" customHeight="1">
      <c r="A67" s="204" t="inlineStr">
        <is>
          <t>QDC-02</t>
        </is>
      </c>
      <c r="B67" s="376" t="n"/>
      <c r="C67" s="376"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76" t="n"/>
      <c r="BL67" s="7" t="inlineStr">
        <is>
          <t>GMAP-SIGA</t>
        </is>
      </c>
      <c r="BM67" s="251" t="inlineStr">
        <is>
          <t>ASUP</t>
        </is>
      </c>
      <c r="BN67" s="337" t="inlineStr">
        <is>
          <t>Chiclla</t>
        </is>
      </c>
      <c r="BO67" s="251" t="inlineStr">
        <is>
          <t>SI</t>
        </is>
      </c>
      <c r="BP67" s="106" t="inlineStr">
        <is>
          <t>QDC-2 CHICLLA/ASUP</t>
        </is>
      </c>
      <c r="BQ67" s="106">
        <f>VLOOKUP(BP67,[1]AGUA!$1:$1048576,2,FALSE)</f>
        <v/>
      </c>
      <c r="BR67" s="106">
        <f>VLOOKUP(BP67,[1]AGUA!$1:$1048576,6,FALSE)</f>
        <v/>
      </c>
      <c r="BS67" s="106">
        <f>VLOOKUP(BP67,[1]AGUA!$1:$1048576,7,FALSE)</f>
        <v/>
      </c>
      <c r="BT67" s="106" t="n"/>
      <c r="BU67" s="377" t="n"/>
      <c r="BV67" s="105" t="n"/>
      <c r="BW67" s="105" t="n"/>
      <c r="BX67" s="105" t="n"/>
      <c r="BY67" s="105" t="n"/>
      <c r="BZ67" s="105" t="n"/>
      <c r="CA67" s="105" t="n"/>
      <c r="CB67" s="105" t="n"/>
      <c r="CC67" s="105" t="n"/>
      <c r="CD67" s="105" t="n"/>
      <c r="CE67" s="105" t="n"/>
      <c r="CF67" s="105" t="n"/>
      <c r="CG67" s="105" t="n"/>
      <c r="CH67" s="209" t="n">
        <v>1</v>
      </c>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24">
        <f>+COUNTA(BV67:CY67)</f>
        <v/>
      </c>
      <c r="DA67" s="337" t="n"/>
      <c r="DB67" s="210" t="n"/>
      <c r="DC67" s="337" t="n"/>
      <c r="DD67" s="337" t="n"/>
      <c r="DE67" s="337" t="n"/>
      <c r="DF67" s="337" t="n"/>
      <c r="DG67" s="211" t="n"/>
      <c r="DH67" s="211" t="n"/>
      <c r="DI67" s="337" t="n"/>
      <c r="DJ67" s="251" t="n"/>
      <c r="DK67" s="251" t="n"/>
      <c r="DL67" s="95" t="n"/>
      <c r="DM67" s="251" t="inlineStr">
        <is>
          <t>T</t>
        </is>
      </c>
      <c r="DN67" s="95" t="n">
        <v>1</v>
      </c>
      <c r="DO67" s="95" t="n">
        <v>14</v>
      </c>
    </row>
    <row r="68" ht="11.15" customHeight="1">
      <c r="A68" s="203" t="inlineStr">
        <is>
          <t>QDH-01C</t>
        </is>
      </c>
      <c r="B68" s="305"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1" t="inlineStr">
        <is>
          <t>532MAQDH1C</t>
        </is>
      </c>
      <c r="BL68" s="61" t="inlineStr">
        <is>
          <t>GMAP-SIGA</t>
        </is>
      </c>
      <c r="BM68" s="251" t="inlineStr">
        <is>
          <t>ASUP</t>
        </is>
      </c>
      <c r="BN68" s="337" t="inlineStr">
        <is>
          <t>Huinquintipa</t>
        </is>
      </c>
      <c r="BO68" s="251"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O68" s="105" t="n"/>
      <c r="CP68" s="105" t="n"/>
      <c r="CQ68" s="105" t="n"/>
      <c r="CR68" s="105" t="n"/>
      <c r="CS68" s="105" t="n"/>
      <c r="CT68" s="105" t="n"/>
      <c r="CU68" s="107" t="n">
        <v>1</v>
      </c>
      <c r="CV68" s="105" t="n"/>
      <c r="CW68" s="105" t="n"/>
      <c r="CX68" s="105" t="n"/>
      <c r="CY68" s="105" t="n"/>
      <c r="CZ68" s="124">
        <f>+COUNTA(BV68:CY68)</f>
        <v/>
      </c>
      <c r="DA68" s="251" t="n"/>
      <c r="DB68" s="251" t="n"/>
      <c r="DC68" s="251" t="n"/>
      <c r="DD68" s="251" t="n"/>
      <c r="DE68" s="251" t="n"/>
      <c r="DF68" s="251" t="n"/>
      <c r="DG68" s="251" t="n"/>
      <c r="DH68" s="251" t="n"/>
      <c r="DI68" s="251" t="n"/>
      <c r="DJ68" s="251" t="n"/>
      <c r="DK68" s="251" t="n"/>
      <c r="DL68" s="251" t="n"/>
      <c r="DM68" s="251" t="inlineStr">
        <is>
          <t>T</t>
        </is>
      </c>
      <c r="DN68" s="95" t="n">
        <v>22</v>
      </c>
      <c r="DO68" s="95" t="n">
        <v>28</v>
      </c>
    </row>
    <row r="69" ht="13" customHeight="1">
      <c r="A69" s="203" t="inlineStr">
        <is>
          <t>QDH-01D</t>
        </is>
      </c>
      <c r="B69" s="305"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1" t="inlineStr">
        <is>
          <t>532MAQDH1D</t>
        </is>
      </c>
      <c r="BL69" s="61" t="inlineStr">
        <is>
          <t>GMAP-SIGA</t>
        </is>
      </c>
      <c r="BM69" s="251" t="inlineStr">
        <is>
          <t>ASUP</t>
        </is>
      </c>
      <c r="BN69" s="337" t="inlineStr">
        <is>
          <t>Huinquintipa</t>
        </is>
      </c>
      <c r="BO69" s="251"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O69" s="105" t="n"/>
      <c r="CP69" s="105" t="n"/>
      <c r="CQ69" s="105" t="n"/>
      <c r="CR69" s="105" t="n"/>
      <c r="CS69" s="105" t="n"/>
      <c r="CT69" s="105" t="n"/>
      <c r="CU69" s="107" t="n">
        <v>1</v>
      </c>
      <c r="CV69" s="105" t="n"/>
      <c r="CW69" s="105" t="n"/>
      <c r="CX69" s="105" t="n"/>
      <c r="CY69" s="105" t="n"/>
      <c r="CZ69" s="124">
        <f>+COUNTA(BV69:CY69)</f>
        <v/>
      </c>
      <c r="DA69" s="251" t="n"/>
      <c r="DB69" s="251" t="n"/>
      <c r="DC69" s="251" t="n"/>
      <c r="DD69" s="251" t="n"/>
      <c r="DE69" s="251" t="n"/>
      <c r="DF69" s="251" t="n"/>
      <c r="DG69" s="251" t="n"/>
      <c r="DH69" s="251" t="n"/>
      <c r="DI69" s="251" t="n"/>
      <c r="DJ69" s="251" t="n"/>
      <c r="DK69" s="251" t="n"/>
      <c r="DL69" s="251" t="n"/>
      <c r="DM69" s="251" t="inlineStr">
        <is>
          <t>T</t>
        </is>
      </c>
      <c r="DN69" s="95" t="n">
        <v>22</v>
      </c>
      <c r="DO69" s="95" t="n">
        <v>28</v>
      </c>
    </row>
    <row r="70" ht="13" customHeight="1">
      <c r="A70" s="203" t="inlineStr">
        <is>
          <t>QDH-01F</t>
        </is>
      </c>
      <c r="B70" s="305"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1" t="inlineStr">
        <is>
          <t>532MAQDH1F</t>
        </is>
      </c>
      <c r="BL70" s="61" t="inlineStr">
        <is>
          <t>GMAP-SIGA</t>
        </is>
      </c>
      <c r="BM70" s="251" t="inlineStr">
        <is>
          <t>ASUP</t>
        </is>
      </c>
      <c r="BN70" s="337" t="inlineStr">
        <is>
          <t>Huinquintipa</t>
        </is>
      </c>
      <c r="BO70" s="251"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O70" s="105" t="n"/>
      <c r="CP70" s="105" t="n"/>
      <c r="CQ70" s="105" t="n"/>
      <c r="CR70" s="105" t="n"/>
      <c r="CS70" s="105" t="n"/>
      <c r="CT70" s="105" t="n"/>
      <c r="CU70" s="107" t="n">
        <v>1</v>
      </c>
      <c r="CV70" s="105" t="n"/>
      <c r="CW70" s="105" t="n"/>
      <c r="CX70" s="105" t="n"/>
      <c r="CY70" s="105" t="n"/>
      <c r="CZ70" s="124">
        <f>+COUNTA(BV70:CY70)</f>
        <v/>
      </c>
      <c r="DA70" s="251" t="n"/>
      <c r="DB70" s="251" t="n"/>
      <c r="DC70" s="251" t="n"/>
      <c r="DD70" s="251" t="n"/>
      <c r="DE70" s="251" t="n"/>
      <c r="DF70" s="251" t="n"/>
      <c r="DG70" s="251" t="n"/>
      <c r="DH70" s="251" t="n"/>
      <c r="DI70" s="251" t="n"/>
      <c r="DJ70" s="251" t="n"/>
      <c r="DK70" s="251" t="n"/>
      <c r="DL70" s="251" t="n"/>
      <c r="DM70" s="251" t="inlineStr">
        <is>
          <t>T</t>
        </is>
      </c>
      <c r="DN70" s="95" t="n">
        <v>22</v>
      </c>
      <c r="DO70" s="95" t="n">
        <v>28</v>
      </c>
    </row>
    <row r="71" ht="12" customHeight="1">
      <c r="A71" s="204" t="inlineStr">
        <is>
          <t>QDH-02</t>
        </is>
      </c>
      <c r="B71" s="305" t="inlineStr">
        <is>
          <t>QDH-2 HUINQUINTIPA</t>
        </is>
      </c>
      <c r="C71" s="251"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1" t="inlineStr">
        <is>
          <t>532MAQDH2</t>
        </is>
      </c>
      <c r="BL71" s="7" t="inlineStr">
        <is>
          <t>GMAP-SIGA</t>
        </is>
      </c>
      <c r="BM71" s="251" t="inlineStr">
        <is>
          <t>CAUDAL</t>
        </is>
      </c>
      <c r="BN71" s="337" t="inlineStr">
        <is>
          <t>Huinquintipa</t>
        </is>
      </c>
      <c r="BO71" s="251" t="inlineStr">
        <is>
          <t>SI</t>
        </is>
      </c>
      <c r="BP71" s="106" t="inlineStr">
        <is>
          <t>QDH-2 HUINQUINTIPA/CAUDAL</t>
        </is>
      </c>
      <c r="BQ71" s="106">
        <f>VLOOKUP(BP71,[1]AGUA!$1:$1048576,2,FALSE)</f>
        <v/>
      </c>
      <c r="BR71" s="106">
        <f>VLOOKUP(BP71,[1]AGUA!$1:$1048576,6,FALSE)</f>
        <v/>
      </c>
      <c r="BS71" s="106">
        <f>VLOOKUP(BP71,[1]AGUA!$1:$1048576,7,FALSE)</f>
        <v/>
      </c>
      <c r="BT71" s="106" t="n"/>
      <c r="BU71" s="253" t="n"/>
      <c r="BV71" s="105" t="n"/>
      <c r="BW71" s="105" t="n"/>
      <c r="BX71" s="142" t="n">
        <v>1</v>
      </c>
      <c r="BY71" s="105" t="n"/>
      <c r="BZ71" s="105" t="n"/>
      <c r="CA71" s="212" t="n">
        <v>1</v>
      </c>
      <c r="CB71" s="105" t="n"/>
      <c r="CC71" s="105" t="n"/>
      <c r="CD71" s="142" t="n">
        <v>1</v>
      </c>
      <c r="CE71" s="105" t="n"/>
      <c r="CF71" s="105" t="n"/>
      <c r="CG71" s="209" t="n">
        <v>1</v>
      </c>
      <c r="CH71" s="105" t="n"/>
      <c r="CI71" s="105" t="n"/>
      <c r="CJ71" s="142" t="n">
        <v>1</v>
      </c>
      <c r="CK71" s="105" t="n"/>
      <c r="CL71" s="105" t="n"/>
      <c r="CM71" s="142" t="n">
        <v>1</v>
      </c>
      <c r="CN71" s="105" t="n"/>
      <c r="CO71" s="105" t="n"/>
      <c r="CP71" s="142" t="n">
        <v>1</v>
      </c>
      <c r="CQ71" s="105" t="n"/>
      <c r="CR71" s="105" t="n"/>
      <c r="CS71" s="142" t="n">
        <v>1</v>
      </c>
      <c r="CT71" s="105" t="n"/>
      <c r="CU71" s="105" t="n"/>
      <c r="CV71" s="142" t="n">
        <v>1</v>
      </c>
      <c r="CW71" s="105" t="n"/>
      <c r="CX71" s="105" t="n"/>
      <c r="CY71" s="142" t="n">
        <v>1</v>
      </c>
      <c r="CZ71" s="124">
        <f>+COUNTA(BV71:CY71)</f>
        <v/>
      </c>
      <c r="DA71" s="251" t="n"/>
      <c r="DB71" s="208" t="n"/>
      <c r="DC71" s="212" t="n"/>
      <c r="DD71" s="251" t="n"/>
      <c r="DE71" s="213" t="n"/>
      <c r="DF71" s="251" t="n"/>
      <c r="DG71" s="209" t="n"/>
      <c r="DH71" s="209" t="n"/>
      <c r="DI71" s="251" t="n"/>
      <c r="DJ71" s="251" t="inlineStr">
        <is>
          <t>2S</t>
        </is>
      </c>
      <c r="DK71" s="251" t="inlineStr">
        <is>
          <t>R</t>
        </is>
      </c>
      <c r="DL71" s="95" t="inlineStr">
        <is>
          <t>R</t>
        </is>
      </c>
      <c r="DM71" s="251" t="n"/>
      <c r="DN71" s="95" t="n"/>
      <c r="DO71" s="95" t="n"/>
    </row>
    <row r="72" ht="13" customHeight="1">
      <c r="A72" s="204" t="inlineStr">
        <is>
          <t>QDH-02</t>
        </is>
      </c>
      <c r="B72" s="376" t="n"/>
      <c r="C72" s="376"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76" t="n"/>
      <c r="BL72" s="7" t="inlineStr">
        <is>
          <t>GMAP-SIGA</t>
        </is>
      </c>
      <c r="BM72" s="251" t="inlineStr">
        <is>
          <t>ASUP</t>
        </is>
      </c>
      <c r="BN72" s="337" t="inlineStr">
        <is>
          <t>Huinquintipa</t>
        </is>
      </c>
      <c r="BO72" s="251" t="inlineStr">
        <is>
          <t>SI</t>
        </is>
      </c>
      <c r="BP72" s="106" t="inlineStr">
        <is>
          <t>QDH-2 HUINQUINTIPA/ASUP</t>
        </is>
      </c>
      <c r="BQ72" s="106">
        <f>VLOOKUP(BP72,[1]AGUA!$1:$1048576,2,FALSE)</f>
        <v/>
      </c>
      <c r="BR72" s="106">
        <f>VLOOKUP(BP72,[1]AGUA!$1:$1048576,6,FALSE)</f>
        <v/>
      </c>
      <c r="BS72" s="106">
        <f>VLOOKUP(BP72,[1]AGUA!$1:$1048576,7,FALSE)</f>
        <v/>
      </c>
      <c r="BT72" s="106" t="n"/>
      <c r="BU72" s="377" t="n"/>
      <c r="BV72" s="105" t="n"/>
      <c r="BW72" s="105" t="n"/>
      <c r="BX72" s="105" t="n"/>
      <c r="BY72" s="105" t="n"/>
      <c r="BZ72" s="105" t="n"/>
      <c r="CA72" s="212" t="n">
        <v>1</v>
      </c>
      <c r="CB72" s="105" t="n"/>
      <c r="CC72" s="105" t="n"/>
      <c r="CD72" s="105" t="n"/>
      <c r="CE72" s="105" t="n"/>
      <c r="CF72" s="105" t="n"/>
      <c r="CG72" s="209" t="n">
        <v>1</v>
      </c>
      <c r="CH72" s="105" t="n"/>
      <c r="CI72" s="105" t="n"/>
      <c r="CJ72" s="105" t="n"/>
      <c r="CK72" s="105" t="n"/>
      <c r="CL72" s="105" t="n"/>
      <c r="CM72" s="105" t="n"/>
      <c r="CN72" s="105" t="n"/>
      <c r="CO72" s="105" t="n"/>
      <c r="CP72" s="105" t="n"/>
      <c r="CQ72" s="105" t="n"/>
      <c r="CR72" s="105" t="n"/>
      <c r="CS72" s="105" t="n"/>
      <c r="CT72" s="105" t="n"/>
      <c r="CU72" s="105" t="n"/>
      <c r="CV72" s="105" t="n"/>
      <c r="CW72" s="105" t="n"/>
      <c r="CX72" s="105" t="n"/>
      <c r="CY72" s="105" t="n"/>
      <c r="CZ72" s="124">
        <f>+COUNTA(BV72:CY72)</f>
        <v/>
      </c>
      <c r="DA72" s="251" t="n"/>
      <c r="DB72" s="208" t="n"/>
      <c r="DC72" s="212" t="n"/>
      <c r="DD72" s="251" t="n"/>
      <c r="DE72" s="213" t="n"/>
      <c r="DF72" s="251" t="n"/>
      <c r="DG72" s="209" t="n"/>
      <c r="DH72" s="209" t="n"/>
      <c r="DI72" s="251" t="n"/>
      <c r="DJ72" s="251" t="n"/>
      <c r="DK72" s="251" t="n"/>
      <c r="DL72" s="95" t="n"/>
      <c r="DM72" s="251" t="inlineStr">
        <is>
          <t>M</t>
        </is>
      </c>
      <c r="DN72" s="95" t="n">
        <v>1</v>
      </c>
      <c r="DO72" s="95" t="n">
        <v>14</v>
      </c>
    </row>
    <row r="73" ht="12.65" customHeight="1">
      <c r="A73" s="203" t="inlineStr">
        <is>
          <t>QDH-1E</t>
        </is>
      </c>
      <c r="B73" s="305" t="inlineStr">
        <is>
          <t>QDH-1E HUINQUINTIPA (INT. RAJO ROSARIO )</t>
        </is>
      </c>
      <c r="C73" s="251"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1" t="inlineStr">
        <is>
          <t>532MAQDH1E</t>
        </is>
      </c>
      <c r="BL73" s="61" t="inlineStr">
        <is>
          <t>GMAP-SIGA</t>
        </is>
      </c>
      <c r="BM73" s="251" t="inlineStr">
        <is>
          <t>ASUP</t>
        </is>
      </c>
      <c r="BN73" s="337" t="inlineStr">
        <is>
          <t>Huinquintipa</t>
        </is>
      </c>
      <c r="BO73" s="251"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105" t="n"/>
      <c r="BW73" s="105" t="n"/>
      <c r="BX73" s="105" t="n"/>
      <c r="BY73" s="105" t="n"/>
      <c r="BZ73" s="105" t="n"/>
      <c r="CA73" s="105" t="n"/>
      <c r="CB73" s="105" t="n"/>
      <c r="CC73" s="105" t="n"/>
      <c r="CD73" s="105" t="n"/>
      <c r="CE73" s="105" t="n"/>
      <c r="CF73" s="105" t="n"/>
      <c r="CG73" s="107" t="n">
        <v>1</v>
      </c>
      <c r="CH73" s="105" t="n"/>
      <c r="CI73" s="105" t="n"/>
      <c r="CJ73" s="105" t="n"/>
      <c r="CK73" s="105" t="n"/>
      <c r="CL73" s="105" t="n"/>
      <c r="CM73" s="105" t="n"/>
      <c r="CN73" s="105" t="n"/>
      <c r="CO73" s="105" t="n"/>
      <c r="CP73" s="105" t="n"/>
      <c r="CQ73" s="105" t="n"/>
      <c r="CR73" s="105" t="n"/>
      <c r="CS73" s="105" t="n"/>
      <c r="CT73" s="105" t="n"/>
      <c r="CU73" s="105" t="n"/>
      <c r="CV73" s="105" t="n"/>
      <c r="CW73" s="105" t="n"/>
      <c r="CX73" s="105" t="n"/>
      <c r="CY73" s="105" t="n"/>
      <c r="CZ73" s="124">
        <f>+COUNTA(BV73:CY73)</f>
        <v/>
      </c>
      <c r="DA73" s="251" t="n"/>
      <c r="DB73" s="251" t="n"/>
      <c r="DC73" s="251" t="n"/>
      <c r="DD73" s="251" t="n"/>
      <c r="DE73" s="251" t="n"/>
      <c r="DF73" s="251" t="n"/>
      <c r="DG73" s="251" t="n"/>
      <c r="DH73" s="251" t="n"/>
      <c r="DI73" s="251" t="n"/>
      <c r="DJ73" s="251" t="n"/>
      <c r="DK73" s="251" t="n"/>
      <c r="DL73" s="95" t="n"/>
      <c r="DM73" s="251" t="inlineStr">
        <is>
          <t>M</t>
        </is>
      </c>
      <c r="DN73" s="95" t="n">
        <v>8</v>
      </c>
      <c r="DO73" s="95" t="n">
        <v>14</v>
      </c>
    </row>
    <row r="74" ht="13" customHeight="1">
      <c r="A74" s="203" t="inlineStr">
        <is>
          <t>QDH-1E Piscina</t>
        </is>
      </c>
      <c r="B74" s="305"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1" t="inlineStr">
        <is>
          <t>532MAQDH1E</t>
        </is>
      </c>
      <c r="BL74" s="61" t="inlineStr">
        <is>
          <t>GMAP-SIGA</t>
        </is>
      </c>
      <c r="BM74" s="251" t="inlineStr">
        <is>
          <t>CAUDAL</t>
        </is>
      </c>
      <c r="BN74" s="337" t="inlineStr">
        <is>
          <t>Huinquintipa</t>
        </is>
      </c>
      <c r="BO74" s="251"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05" t="n"/>
      <c r="BW74" s="105" t="n"/>
      <c r="BX74" s="105" t="n"/>
      <c r="BY74" s="105" t="n"/>
      <c r="BZ74" s="142" t="n">
        <v>1</v>
      </c>
      <c r="CA74" s="105" t="n"/>
      <c r="CB74" s="105" t="n"/>
      <c r="CC74" s="105" t="n"/>
      <c r="CD74" s="105" t="n"/>
      <c r="CE74" s="105" t="n"/>
      <c r="CF74" s="105" t="n"/>
      <c r="CG74" s="105" t="n"/>
      <c r="CH74" s="105" t="n"/>
      <c r="CI74" s="105" t="n"/>
      <c r="CJ74" s="105" t="n"/>
      <c r="CK74" s="105" t="n"/>
      <c r="CL74" s="105" t="n"/>
      <c r="CM74" s="105" t="n"/>
      <c r="CN74" s="142" t="n">
        <v>1</v>
      </c>
      <c r="CO74" s="105" t="n"/>
      <c r="CP74" s="105" t="n"/>
      <c r="CQ74" s="105" t="n"/>
      <c r="CR74" s="105" t="n"/>
      <c r="CS74" s="105" t="n"/>
      <c r="CT74" s="105" t="n"/>
      <c r="CU74" s="105" t="n"/>
      <c r="CV74" s="105" t="n"/>
      <c r="CW74" s="105" t="n"/>
      <c r="CX74" s="105" t="n"/>
      <c r="CY74" s="105" t="n"/>
      <c r="CZ74" s="124">
        <f>+COUNTA(BV74:CY74)</f>
        <v/>
      </c>
      <c r="DA74" s="251" t="n"/>
      <c r="DB74" s="251" t="n"/>
      <c r="DC74" s="251" t="n"/>
      <c r="DD74" s="251" t="n"/>
      <c r="DE74" s="251" t="n"/>
      <c r="DF74" s="251" t="n"/>
      <c r="DG74" s="251" t="n"/>
      <c r="DH74" s="251" t="n"/>
      <c r="DI74" s="251" t="n"/>
      <c r="DJ74" s="251" t="inlineStr">
        <is>
          <t>2M</t>
        </is>
      </c>
      <c r="DK74" s="95" t="inlineStr">
        <is>
          <t>1 y 15</t>
        </is>
      </c>
      <c r="DL74" s="95" t="inlineStr">
        <is>
          <t>7 y 21</t>
        </is>
      </c>
      <c r="DM74" s="251" t="n"/>
      <c r="DN74" s="95" t="n"/>
      <c r="DO74" s="95" t="n"/>
    </row>
    <row r="75" ht="13" customHeight="1">
      <c r="A75" s="203" t="inlineStr">
        <is>
          <t>QDH-1E Piscina</t>
        </is>
      </c>
      <c r="B75" s="305"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1" t="inlineStr">
        <is>
          <t>532MAQDH1E</t>
        </is>
      </c>
      <c r="BL75" s="61" t="inlineStr">
        <is>
          <t>GMAP-SIGA</t>
        </is>
      </c>
      <c r="BM75" s="251" t="inlineStr">
        <is>
          <t>FOTOMETRO</t>
        </is>
      </c>
      <c r="BN75" s="337" t="inlineStr">
        <is>
          <t>Huinquintipa</t>
        </is>
      </c>
      <c r="BO75" s="251"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05" t="n"/>
      <c r="BW75" s="105" t="n"/>
      <c r="BX75" s="105" t="n"/>
      <c r="BY75" s="105" t="n"/>
      <c r="BZ75" s="163" t="n">
        <v>1</v>
      </c>
      <c r="CA75" s="105" t="n"/>
      <c r="CB75" s="105" t="n"/>
      <c r="CC75" s="105" t="n"/>
      <c r="CD75" s="105" t="n"/>
      <c r="CE75" s="105" t="n"/>
      <c r="CF75" s="105" t="n"/>
      <c r="CG75" s="163" t="n">
        <v>1</v>
      </c>
      <c r="CH75" s="105" t="n"/>
      <c r="CI75" s="105" t="n"/>
      <c r="CJ75" s="105" t="n"/>
      <c r="CK75" s="105" t="n"/>
      <c r="CL75" s="105" t="n"/>
      <c r="CM75" s="105" t="n"/>
      <c r="CN75" s="163" t="n">
        <v>1</v>
      </c>
      <c r="CO75" s="105" t="n"/>
      <c r="CP75" s="105" t="n"/>
      <c r="CQ75" s="105" t="n"/>
      <c r="CR75" s="105" t="n"/>
      <c r="CS75" s="105" t="n"/>
      <c r="CT75" s="105" t="n"/>
      <c r="CU75" s="163" t="n">
        <v>1</v>
      </c>
      <c r="CV75" s="105" t="n"/>
      <c r="CW75" s="105" t="n"/>
      <c r="CX75" s="105" t="n"/>
      <c r="CY75" s="105" t="n"/>
      <c r="CZ75" s="124">
        <f>+COUNTA(BV75:CY75)</f>
        <v/>
      </c>
      <c r="DA75" s="251" t="n"/>
      <c r="DB75" s="251" t="n"/>
      <c r="DC75" s="251" t="n"/>
      <c r="DD75" s="251" t="n"/>
      <c r="DE75" s="251" t="n"/>
      <c r="DF75" s="251" t="n"/>
      <c r="DG75" s="251" t="n"/>
      <c r="DH75" s="251" t="n"/>
      <c r="DI75" s="251" t="n"/>
      <c r="DJ75" s="251" t="n"/>
      <c r="DK75" s="95" t="n"/>
      <c r="DL75" s="95" t="n"/>
      <c r="DM75" s="251" t="inlineStr">
        <is>
          <t>S</t>
        </is>
      </c>
      <c r="DN75" s="95" t="inlineStr">
        <is>
          <t>R</t>
        </is>
      </c>
      <c r="DO75" s="95" t="inlineStr">
        <is>
          <t>R</t>
        </is>
      </c>
    </row>
    <row r="76" ht="13.5" customHeight="1">
      <c r="A76" s="203" t="inlineStr">
        <is>
          <t>QDH-1E Piscina</t>
        </is>
      </c>
      <c r="B76" s="305"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1" t="inlineStr">
        <is>
          <t>532MAQDH1E</t>
        </is>
      </c>
      <c r="BL76" s="61" t="inlineStr">
        <is>
          <t>GMAP-SIGA</t>
        </is>
      </c>
      <c r="BM76" s="251" t="inlineStr">
        <is>
          <t>ASUP</t>
        </is>
      </c>
      <c r="BN76" s="337" t="inlineStr">
        <is>
          <t>Huinquintipa</t>
        </is>
      </c>
      <c r="BO76" s="251"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5" t="n"/>
      <c r="CD76" s="105" t="n"/>
      <c r="CE76" s="105" t="n"/>
      <c r="CF76" s="105" t="n"/>
      <c r="CG76" s="107" t="n">
        <v>1</v>
      </c>
      <c r="CH76" s="105" t="n"/>
      <c r="CI76" s="105" t="n"/>
      <c r="CJ76" s="105" t="n"/>
      <c r="CK76" s="105" t="n"/>
      <c r="CL76" s="105" t="n"/>
      <c r="CM76" s="105" t="n"/>
      <c r="CN76" s="105" t="n"/>
      <c r="CO76" s="105" t="n"/>
      <c r="CP76" s="105" t="n"/>
      <c r="CQ76" s="105" t="n"/>
      <c r="CR76" s="105" t="n"/>
      <c r="CS76" s="105" t="n"/>
      <c r="CT76" s="105" t="n"/>
      <c r="CU76" s="107" t="n">
        <v>1</v>
      </c>
      <c r="CV76" s="105" t="n"/>
      <c r="CW76" s="105" t="n"/>
      <c r="CX76" s="105" t="n"/>
      <c r="CY76" s="105" t="n"/>
      <c r="CZ76" s="124">
        <f>+COUNTA(BV76:CY76)</f>
        <v/>
      </c>
      <c r="DA76" s="251" t="n"/>
      <c r="DB76" s="251" t="n"/>
      <c r="DC76" s="251" t="n"/>
      <c r="DD76" s="251" t="n"/>
      <c r="DE76" s="251" t="n"/>
      <c r="DF76" s="251" t="n"/>
      <c r="DG76" s="251" t="n"/>
      <c r="DH76" s="251" t="n"/>
      <c r="DI76" s="251" t="n"/>
      <c r="DJ76" s="251" t="n"/>
      <c r="DK76" s="95" t="n"/>
      <c r="DL76" s="95" t="n"/>
      <c r="DM76" s="251" t="inlineStr">
        <is>
          <t>2M</t>
        </is>
      </c>
      <c r="DN76" s="95" t="inlineStr">
        <is>
          <t>8 y 22</t>
        </is>
      </c>
      <c r="DO76" s="95" t="inlineStr">
        <is>
          <t>14 y 28</t>
        </is>
      </c>
    </row>
    <row r="77" ht="13" customHeight="1">
      <c r="A77" s="203" t="inlineStr">
        <is>
          <t>QSD-01</t>
        </is>
      </c>
      <c r="B77" s="305"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1" t="inlineStr">
        <is>
          <t>532MAQSD1</t>
        </is>
      </c>
      <c r="BL77" s="61" t="inlineStr">
        <is>
          <t>GMAP-SIGA</t>
        </is>
      </c>
      <c r="BM77" s="251" t="inlineStr">
        <is>
          <t>ASUP</t>
        </is>
      </c>
      <c r="BN77" s="337" t="inlineStr">
        <is>
          <t>San Daniel</t>
        </is>
      </c>
      <c r="BO77" s="251"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105" t="n"/>
      <c r="BW77" s="105" t="n"/>
      <c r="BX77" s="105" t="n"/>
      <c r="BY77" s="105" t="n"/>
      <c r="BZ77" s="105" t="n"/>
      <c r="CA77" s="105" t="n"/>
      <c r="CB77" s="105" t="n"/>
      <c r="CC77" s="105" t="n"/>
      <c r="CD77" s="105" t="n"/>
      <c r="CE77" s="105" t="n"/>
      <c r="CF77" s="105" t="n"/>
      <c r="CG77" s="107" t="n">
        <v>1</v>
      </c>
      <c r="CH77" s="105" t="n"/>
      <c r="CI77" s="105" t="n"/>
      <c r="CJ77" s="105" t="n"/>
      <c r="CK77" s="105" t="n"/>
      <c r="CL77" s="105" t="n"/>
      <c r="CM77" s="105" t="n"/>
      <c r="CN77" s="105" t="n"/>
      <c r="CO77" s="105" t="n"/>
      <c r="CP77" s="105" t="n"/>
      <c r="CQ77" s="105" t="n"/>
      <c r="CR77" s="105" t="n"/>
      <c r="CS77" s="105" t="n"/>
      <c r="CT77" s="105" t="n"/>
      <c r="CU77" s="105" t="n"/>
      <c r="CV77" s="105" t="n"/>
      <c r="CW77" s="105" t="n"/>
      <c r="CX77" s="105" t="n"/>
      <c r="CY77" s="105" t="n"/>
      <c r="CZ77" s="124">
        <f>+COUNTA(BV77:CY77)</f>
        <v/>
      </c>
      <c r="DA77" s="251" t="n"/>
      <c r="DB77" s="251" t="n"/>
      <c r="DC77" s="251" t="n"/>
      <c r="DD77" s="251" t="n"/>
      <c r="DE77" s="251" t="n"/>
      <c r="DF77" s="251" t="n"/>
      <c r="DG77" s="251" t="n"/>
      <c r="DH77" s="251" t="n"/>
      <c r="DI77" s="251" t="n"/>
      <c r="DJ77" s="251" t="n"/>
      <c r="DK77" s="251" t="n"/>
      <c r="DL77" s="251" t="n"/>
      <c r="DM77" s="251" t="inlineStr">
        <is>
          <t>M</t>
        </is>
      </c>
      <c r="DN77" s="95" t="n">
        <v>8</v>
      </c>
      <c r="DO77" s="95" t="n">
        <v>14</v>
      </c>
    </row>
    <row r="78" ht="13" customHeight="1">
      <c r="A78" s="203" t="inlineStr">
        <is>
          <t>QSD-1 Piscina</t>
        </is>
      </c>
      <c r="B78" s="305"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1" t="inlineStr">
        <is>
          <t>532MAQSD2</t>
        </is>
      </c>
      <c r="BL78" s="61" t="inlineStr">
        <is>
          <t>GMAP-SIGA</t>
        </is>
      </c>
      <c r="BM78" s="251" t="inlineStr">
        <is>
          <t>CAUDAL</t>
        </is>
      </c>
      <c r="BN78" s="337" t="inlineStr">
        <is>
          <t>San Daniel</t>
        </is>
      </c>
      <c r="BO78" s="251"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05" t="n"/>
      <c r="BW78" s="105" t="n"/>
      <c r="BX78" s="105" t="n"/>
      <c r="BY78" s="105" t="n"/>
      <c r="BZ78" s="142" t="n">
        <v>1</v>
      </c>
      <c r="CA78" s="105" t="n"/>
      <c r="CB78" s="105" t="n"/>
      <c r="CC78" s="105" t="n"/>
      <c r="CD78" s="105" t="n"/>
      <c r="CE78" s="105" t="n"/>
      <c r="CF78" s="105" t="n"/>
      <c r="CG78" s="105" t="n"/>
      <c r="CH78" s="105" t="n"/>
      <c r="CI78" s="105" t="n"/>
      <c r="CJ78" s="105" t="n"/>
      <c r="CK78" s="105" t="n"/>
      <c r="CL78" s="105" t="n"/>
      <c r="CM78" s="105" t="n"/>
      <c r="CN78" s="142" t="n">
        <v>1</v>
      </c>
      <c r="CO78" s="105" t="n"/>
      <c r="CP78" s="105" t="n"/>
      <c r="CQ78" s="105" t="n"/>
      <c r="CR78" s="105" t="n"/>
      <c r="CS78" s="105" t="n"/>
      <c r="CT78" s="105" t="n"/>
      <c r="CU78" s="105" t="n"/>
      <c r="CV78" s="105" t="n"/>
      <c r="CW78" s="105" t="n"/>
      <c r="CX78" s="105" t="n"/>
      <c r="CY78" s="105" t="n"/>
      <c r="CZ78" s="124">
        <f>+COUNTA(BV78:CY78)</f>
        <v/>
      </c>
      <c r="DA78" s="251" t="n"/>
      <c r="DB78" s="251" t="n"/>
      <c r="DC78" s="251" t="n"/>
      <c r="DD78" s="251" t="n"/>
      <c r="DE78" s="251" t="n"/>
      <c r="DF78" s="251" t="n"/>
      <c r="DG78" s="251" t="n"/>
      <c r="DH78" s="251" t="n"/>
      <c r="DI78" s="251" t="n"/>
      <c r="DJ78" s="251" t="inlineStr">
        <is>
          <t>2M</t>
        </is>
      </c>
      <c r="DK78" s="95" t="inlineStr">
        <is>
          <t>1 y 15</t>
        </is>
      </c>
      <c r="DL78" s="95" t="inlineStr">
        <is>
          <t>7 y 21</t>
        </is>
      </c>
      <c r="DM78" s="251" t="n"/>
      <c r="DN78" s="95" t="n"/>
      <c r="DO78" s="95" t="n"/>
    </row>
    <row r="79" ht="12.65" customHeight="1">
      <c r="A79" s="203" t="inlineStr">
        <is>
          <t>QSD-1 Piscina</t>
        </is>
      </c>
      <c r="B79" s="305"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1" t="inlineStr">
        <is>
          <t>532MAQSD3</t>
        </is>
      </c>
      <c r="BL79" s="61" t="inlineStr">
        <is>
          <t>GMAP-SIGA</t>
        </is>
      </c>
      <c r="BM79" s="251" t="inlineStr">
        <is>
          <t>FOTOMETRO</t>
        </is>
      </c>
      <c r="BN79" s="337" t="inlineStr">
        <is>
          <t>San Daniel</t>
        </is>
      </c>
      <c r="BO79" s="251"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05" t="n"/>
      <c r="BW79" s="105" t="n"/>
      <c r="BX79" s="105" t="n"/>
      <c r="BY79" s="105" t="n"/>
      <c r="BZ79" s="163" t="n">
        <v>1</v>
      </c>
      <c r="CA79" s="105" t="n"/>
      <c r="CB79" s="105" t="n"/>
      <c r="CC79" s="105" t="n"/>
      <c r="CD79" s="105" t="n"/>
      <c r="CE79" s="105" t="n"/>
      <c r="CF79" s="105" t="n"/>
      <c r="CG79" s="163" t="n">
        <v>1</v>
      </c>
      <c r="CH79" s="105" t="n"/>
      <c r="CI79" s="105" t="n"/>
      <c r="CJ79" s="105" t="n"/>
      <c r="CK79" s="105" t="n"/>
      <c r="CL79" s="105" t="n"/>
      <c r="CM79" s="105" t="n"/>
      <c r="CN79" s="163" t="n">
        <v>1</v>
      </c>
      <c r="CO79" s="105" t="n"/>
      <c r="CP79" s="105" t="n"/>
      <c r="CQ79" s="105" t="n"/>
      <c r="CR79" s="105" t="n"/>
      <c r="CS79" s="105" t="n"/>
      <c r="CT79" s="105" t="n"/>
      <c r="CU79" s="163" t="n">
        <v>1</v>
      </c>
      <c r="CV79" s="105" t="n"/>
      <c r="CW79" s="105" t="n"/>
      <c r="CX79" s="105" t="n"/>
      <c r="CY79" s="105" t="n"/>
      <c r="CZ79" s="124">
        <f>+COUNTA(BV79:CY79)</f>
        <v/>
      </c>
      <c r="DA79" s="251" t="n"/>
      <c r="DB79" s="251" t="n"/>
      <c r="DC79" s="251" t="n"/>
      <c r="DD79" s="251" t="n"/>
      <c r="DE79" s="251" t="n"/>
      <c r="DF79" s="251" t="n"/>
      <c r="DG79" s="251" t="n"/>
      <c r="DH79" s="251" t="n"/>
      <c r="DI79" s="251" t="n"/>
      <c r="DJ79" s="251" t="n"/>
      <c r="DK79" s="95" t="n"/>
      <c r="DL79" s="95" t="n"/>
      <c r="DM79" s="251" t="inlineStr">
        <is>
          <t>S</t>
        </is>
      </c>
      <c r="DN79" s="95" t="inlineStr">
        <is>
          <t>R</t>
        </is>
      </c>
      <c r="DO79" s="95" t="inlineStr">
        <is>
          <t>R</t>
        </is>
      </c>
    </row>
    <row r="80" ht="13" customHeight="1">
      <c r="A80" s="203" t="inlineStr">
        <is>
          <t>QSD-1 Piscina</t>
        </is>
      </c>
      <c r="B80" s="305"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1" t="inlineStr">
        <is>
          <t>532MAQSD3</t>
        </is>
      </c>
      <c r="BL80" s="61" t="inlineStr">
        <is>
          <t>GMAP-SIGA</t>
        </is>
      </c>
      <c r="BM80" s="251" t="inlineStr">
        <is>
          <t>ASUP</t>
        </is>
      </c>
      <c r="BN80" s="337" t="inlineStr">
        <is>
          <t>San Daniel</t>
        </is>
      </c>
      <c r="BO80" s="251"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5" t="n"/>
      <c r="CD80" s="105" t="n"/>
      <c r="CE80" s="105" t="n"/>
      <c r="CF80" s="105" t="n"/>
      <c r="CG80" s="107" t="n">
        <v>1</v>
      </c>
      <c r="CH80" s="105" t="n"/>
      <c r="CI80" s="105" t="n"/>
      <c r="CJ80" s="105" t="n"/>
      <c r="CK80" s="105" t="n"/>
      <c r="CL80" s="105" t="n"/>
      <c r="CM80" s="105" t="n"/>
      <c r="CN80" s="105" t="n"/>
      <c r="CO80" s="105" t="n"/>
      <c r="CP80" s="105" t="n"/>
      <c r="CQ80" s="105" t="n"/>
      <c r="CR80" s="105" t="n"/>
      <c r="CS80" s="105" t="n"/>
      <c r="CT80" s="105" t="n"/>
      <c r="CU80" s="107" t="n">
        <v>1</v>
      </c>
      <c r="CV80" s="105" t="n"/>
      <c r="CW80" s="105" t="n"/>
      <c r="CX80" s="105" t="n"/>
      <c r="CY80" s="105" t="n"/>
      <c r="CZ80" s="124">
        <f>+COUNTA(BV80:CY80)</f>
        <v/>
      </c>
      <c r="DA80" s="251" t="n"/>
      <c r="DB80" s="251" t="n"/>
      <c r="DC80" s="251" t="n"/>
      <c r="DD80" s="251" t="n"/>
      <c r="DE80" s="251" t="n"/>
      <c r="DF80" s="251" t="n"/>
      <c r="DG80" s="251" t="n"/>
      <c r="DH80" s="251" t="n"/>
      <c r="DI80" s="251" t="n"/>
      <c r="DJ80" s="251" t="n"/>
      <c r="DK80" s="95" t="n"/>
      <c r="DL80" s="95" t="n"/>
      <c r="DM80" s="251" t="inlineStr">
        <is>
          <t>2M</t>
        </is>
      </c>
      <c r="DN80" s="95" t="inlineStr">
        <is>
          <t>8 y 22</t>
        </is>
      </c>
      <c r="DO80" s="95" t="inlineStr">
        <is>
          <t>14 y 28</t>
        </is>
      </c>
    </row>
    <row r="81" ht="13" customHeight="1">
      <c r="A81" s="204" t="inlineStr">
        <is>
          <t>QSN-01</t>
        </is>
      </c>
      <c r="B81" s="305" t="inlineStr">
        <is>
          <t>QSN-1 SAN NICOLAS</t>
        </is>
      </c>
      <c r="C81" s="251"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1" t="inlineStr">
        <is>
          <t>532MAQSN1</t>
        </is>
      </c>
      <c r="BL81" s="7" t="inlineStr">
        <is>
          <t>GMAP-SIGA</t>
        </is>
      </c>
      <c r="BM81" s="251" t="inlineStr">
        <is>
          <t>CAUDAL</t>
        </is>
      </c>
      <c r="BN81" s="337" t="inlineStr">
        <is>
          <t>San Nicolás</t>
        </is>
      </c>
      <c r="BO81" s="251" t="inlineStr">
        <is>
          <t>SI</t>
        </is>
      </c>
      <c r="BP81" s="106" t="inlineStr">
        <is>
          <t>QSN-1 SAN NICOLAS/CAUDAL</t>
        </is>
      </c>
      <c r="BQ81" s="106">
        <f>VLOOKUP(BP81,[1]AGUA!$1:$1048576,2,FALSE)</f>
        <v/>
      </c>
      <c r="BR81" s="106">
        <f>VLOOKUP(BP81,[1]AGUA!$1:$1048576,6,FALSE)</f>
        <v/>
      </c>
      <c r="BS81" s="106">
        <f>VLOOKUP(BP81,[1]AGUA!$1:$1048576,7,FALSE)</f>
        <v/>
      </c>
      <c r="BT81" s="106" t="n"/>
      <c r="BU81" s="253" t="n"/>
      <c r="BV81" s="105" t="n"/>
      <c r="BW81" s="105" t="n"/>
      <c r="BX81" s="142" t="n">
        <v>1</v>
      </c>
      <c r="BY81" s="105" t="n"/>
      <c r="BZ81" s="105" t="n"/>
      <c r="CA81" s="142" t="n">
        <v>1</v>
      </c>
      <c r="CB81" s="105" t="n"/>
      <c r="CC81" s="105" t="n"/>
      <c r="CD81" s="142" t="n">
        <v>1</v>
      </c>
      <c r="CE81" s="105" t="n"/>
      <c r="CF81" s="105" t="n"/>
      <c r="CG81" s="209" t="n">
        <v>1</v>
      </c>
      <c r="CH81" s="105" t="n"/>
      <c r="CI81" s="105" t="n"/>
      <c r="CJ81" s="142" t="n">
        <v>1</v>
      </c>
      <c r="CK81" s="105" t="n"/>
      <c r="CL81" s="105" t="n"/>
      <c r="CM81" s="142" t="n">
        <v>1</v>
      </c>
      <c r="CN81" s="105" t="n"/>
      <c r="CO81" s="105" t="n"/>
      <c r="CP81" s="142" t="n">
        <v>1</v>
      </c>
      <c r="CQ81" s="105" t="n"/>
      <c r="CR81" s="105" t="n"/>
      <c r="CS81" s="142" t="n">
        <v>1</v>
      </c>
      <c r="CT81" s="105" t="n"/>
      <c r="CU81" s="105" t="n"/>
      <c r="CV81" s="142" t="n">
        <v>1</v>
      </c>
      <c r="CW81" s="105" t="n"/>
      <c r="CX81" s="105" t="n"/>
      <c r="CY81" s="142" t="n">
        <v>1</v>
      </c>
      <c r="CZ81" s="124">
        <f>+COUNTA(BV81:CY81)</f>
        <v/>
      </c>
      <c r="DA81" s="251" t="n"/>
      <c r="DB81" s="208" t="n"/>
      <c r="DC81" s="251" t="n"/>
      <c r="DD81" s="251" t="n"/>
      <c r="DE81" s="251" t="n"/>
      <c r="DF81" s="251" t="n"/>
      <c r="DG81" s="209" t="n"/>
      <c r="DH81" s="209" t="n"/>
      <c r="DI81" s="251" t="n"/>
      <c r="DJ81" s="251" t="inlineStr">
        <is>
          <t>2S</t>
        </is>
      </c>
      <c r="DK81" s="251" t="inlineStr">
        <is>
          <t>R</t>
        </is>
      </c>
      <c r="DL81" s="95" t="inlineStr">
        <is>
          <t>R</t>
        </is>
      </c>
      <c r="DM81" s="251" t="n"/>
      <c r="DN81" s="95" t="n"/>
      <c r="DO81" s="95" t="n"/>
    </row>
    <row r="82" ht="12.5" customHeight="1">
      <c r="A82" s="204" t="inlineStr">
        <is>
          <t>QSN-01</t>
        </is>
      </c>
      <c r="B82" s="305" t="inlineStr">
        <is>
          <t>QSN-1 HUINQUINTIPA</t>
        </is>
      </c>
      <c r="C82" s="376"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76" t="n"/>
      <c r="BL82" s="7" t="inlineStr">
        <is>
          <t>GMAP-SIGA</t>
        </is>
      </c>
      <c r="BM82" s="251" t="inlineStr">
        <is>
          <t>ASUP</t>
        </is>
      </c>
      <c r="BN82" s="337" t="inlineStr">
        <is>
          <t>San Nicolás</t>
        </is>
      </c>
      <c r="BO82" s="251" t="inlineStr">
        <is>
          <t>SI</t>
        </is>
      </c>
      <c r="BP82" s="106" t="inlineStr">
        <is>
          <t>QSN-1 HUINQUINTIPA/ASUP</t>
        </is>
      </c>
      <c r="BQ82" s="106">
        <f>VLOOKUP(BP82,[1]AGUA!$1:$1048576,2,FALSE)</f>
        <v/>
      </c>
      <c r="BR82" s="106">
        <f>VLOOKUP(BP82,[1]AGUA!$1:$1048576,6,FALSE)</f>
        <v/>
      </c>
      <c r="BS82" s="106">
        <f>VLOOKUP(BP82,[1]AGUA!$1:$1048576,7,FALSE)</f>
        <v/>
      </c>
      <c r="BT82" s="106" t="n"/>
      <c r="BU82" s="377" t="n"/>
      <c r="BV82" s="105" t="n"/>
      <c r="BW82" s="105" t="n"/>
      <c r="BX82" s="105" t="n"/>
      <c r="BY82" s="105" t="n"/>
      <c r="BZ82" s="105" t="n"/>
      <c r="CA82" s="105" t="n"/>
      <c r="CB82" s="105" t="n"/>
      <c r="CC82" s="105" t="n"/>
      <c r="CD82" s="105" t="n"/>
      <c r="CE82" s="105" t="n"/>
      <c r="CF82" s="105" t="n"/>
      <c r="CG82" s="209" t="n">
        <v>1</v>
      </c>
      <c r="CH82" s="105" t="n"/>
      <c r="CI82" s="105" t="n"/>
      <c r="CJ82" s="105" t="n"/>
      <c r="CK82" s="105" t="n"/>
      <c r="CL82" s="105" t="n"/>
      <c r="CM82" s="105" t="n"/>
      <c r="CN82" s="105" t="n"/>
      <c r="CO82" s="105" t="n"/>
      <c r="CP82" s="105" t="n"/>
      <c r="CQ82" s="105" t="n"/>
      <c r="CR82" s="105" t="n"/>
      <c r="CS82" s="105" t="n"/>
      <c r="CT82" s="105" t="n"/>
      <c r="CU82" s="105" t="n"/>
      <c r="CV82" s="105" t="n"/>
      <c r="CW82" s="105" t="n"/>
      <c r="CX82" s="105" t="n"/>
      <c r="CY82" s="105" t="n"/>
      <c r="CZ82" s="124">
        <f>+COUNTA(BV82:CY82)</f>
        <v/>
      </c>
      <c r="DA82" s="251" t="n"/>
      <c r="DB82" s="208" t="n"/>
      <c r="DC82" s="251" t="n"/>
      <c r="DD82" s="251" t="n"/>
      <c r="DE82" s="251" t="n"/>
      <c r="DF82" s="251" t="n"/>
      <c r="DG82" s="209" t="n"/>
      <c r="DH82" s="209" t="n"/>
      <c r="DI82" s="251" t="n"/>
      <c r="DJ82" s="251" t="n"/>
      <c r="DK82" s="251" t="n"/>
      <c r="DL82" s="95" t="n"/>
      <c r="DM82" s="251" t="inlineStr">
        <is>
          <t>2M</t>
        </is>
      </c>
      <c r="DN82" s="97" t="inlineStr">
        <is>
          <t>01-15</t>
        </is>
      </c>
      <c r="DO82" s="97" t="inlineStr">
        <is>
          <t>7_28</t>
        </is>
      </c>
    </row>
    <row r="83" ht="12" customHeight="1">
      <c r="A83" s="204" t="inlineStr">
        <is>
          <t>QYA</t>
        </is>
      </c>
      <c r="B83" s="305" t="inlineStr">
        <is>
          <t>QYA YABRICOYITA</t>
        </is>
      </c>
      <c r="C83" s="251"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2" t="inlineStr">
        <is>
          <t>532MAQYA</t>
        </is>
      </c>
      <c r="BL83" s="7" t="inlineStr">
        <is>
          <t>GMAP-SIGA</t>
        </is>
      </c>
      <c r="BM83" s="251" t="inlineStr">
        <is>
          <t>CAUDAL</t>
        </is>
      </c>
      <c r="BN83" s="337" t="inlineStr">
        <is>
          <t>Yabricollita</t>
        </is>
      </c>
      <c r="BO83" s="251" t="inlineStr">
        <is>
          <t>SI</t>
        </is>
      </c>
      <c r="BP83" s="106" t="inlineStr">
        <is>
          <t>QYA YABRICOYITA/CAUDAL</t>
        </is>
      </c>
      <c r="BQ83" s="106">
        <f>VLOOKUP(BP83,[1]AGUA!$1:$1048576,2,FALSE)</f>
        <v/>
      </c>
      <c r="BR83" s="106">
        <f>VLOOKUP(BP83,[1]AGUA!$1:$1048576,6,FALSE)</f>
        <v/>
      </c>
      <c r="BS83" s="106">
        <f>VLOOKUP(BP83,[1]AGUA!$1:$1048576,7,FALSE)</f>
        <v/>
      </c>
      <c r="BT83" s="106" t="n"/>
      <c r="BU83" s="253" t="n"/>
      <c r="BV83" s="105" t="n"/>
      <c r="BW83" s="105" t="n"/>
      <c r="BX83" s="105" t="n"/>
      <c r="BY83" s="105" t="n"/>
      <c r="CA83" s="105" t="n"/>
      <c r="CB83" s="105" t="n"/>
      <c r="CC83" s="105" t="n"/>
      <c r="CD83" s="105" t="n"/>
      <c r="CE83" s="105" t="n"/>
      <c r="CF83" s="105" t="n"/>
      <c r="CG83" s="105" t="n"/>
      <c r="CH83" s="105" t="n"/>
      <c r="CI83" s="105" t="n"/>
      <c r="CJ83" s="105" t="n"/>
      <c r="CK83" s="105" t="n"/>
      <c r="CL83" s="105" t="n"/>
      <c r="CM83" s="105" t="n"/>
      <c r="CN83" s="105" t="n"/>
      <c r="CO83" s="105" t="n"/>
      <c r="CP83" s="105" t="n"/>
      <c r="CQ83" s="105" t="n"/>
      <c r="CR83" s="105" t="n"/>
      <c r="CS83" s="105" t="n"/>
      <c r="CT83" s="105" t="n"/>
      <c r="CU83" s="214" t="n">
        <v>1</v>
      </c>
      <c r="CV83" s="105" t="n"/>
      <c r="CW83" s="105" t="n"/>
      <c r="CX83" s="105" t="n"/>
      <c r="CY83" s="105" t="n"/>
      <c r="CZ83" s="124">
        <f>+COUNTA(BV83:CY83)</f>
        <v/>
      </c>
      <c r="DA83" s="251" t="n"/>
      <c r="DB83" s="251" t="n"/>
      <c r="DC83" s="251" t="n"/>
      <c r="DD83" s="207" t="n"/>
      <c r="DE83" s="251" t="n"/>
      <c r="DF83" s="251" t="n"/>
      <c r="DG83" s="251" t="n"/>
      <c r="DH83" s="251" t="n"/>
      <c r="DI83" s="214" t="n"/>
      <c r="DJ83" s="251" t="inlineStr">
        <is>
          <t>M</t>
        </is>
      </c>
      <c r="DK83" s="251" t="n">
        <v>1</v>
      </c>
      <c r="DL83" s="95" t="n">
        <v>16</v>
      </c>
      <c r="DM83" s="251" t="n"/>
      <c r="DN83" s="97" t="n"/>
      <c r="DO83" s="97" t="n"/>
    </row>
    <row r="84" ht="13" customHeight="1">
      <c r="A84" s="204" t="inlineStr">
        <is>
          <t>QYA</t>
        </is>
      </c>
      <c r="B84" s="376" t="n"/>
      <c r="C84" s="376"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76" t="n"/>
      <c r="BL84" s="7" t="inlineStr">
        <is>
          <t>GMAP-SIGA</t>
        </is>
      </c>
      <c r="BM84" s="251" t="inlineStr">
        <is>
          <t>ASUP</t>
        </is>
      </c>
      <c r="BN84" s="337" t="inlineStr">
        <is>
          <t>Yabricollita</t>
        </is>
      </c>
      <c r="BO84" s="251" t="inlineStr">
        <is>
          <t>SI</t>
        </is>
      </c>
      <c r="BP84" s="106" t="inlineStr">
        <is>
          <t>QYA YABRICOYITA/ASUP</t>
        </is>
      </c>
      <c r="BQ84" s="106">
        <f>VLOOKUP(BP84,[1]AGUA!$1:$1048576,2,FALSE)</f>
        <v/>
      </c>
      <c r="BR84" s="106">
        <f>VLOOKUP(BP84,[1]AGUA!$1:$1048576,6,FALSE)</f>
        <v/>
      </c>
      <c r="BS84" s="106">
        <f>VLOOKUP(BP84,[1]AGUA!$1:$1048576,7,FALSE)</f>
        <v/>
      </c>
      <c r="BT84" s="106" t="n"/>
      <c r="BU84" s="377" t="n"/>
      <c r="BV84" s="105" t="n"/>
      <c r="BW84" s="105" t="n"/>
      <c r="BX84" s="105" t="n"/>
      <c r="BY84" s="105" t="n"/>
      <c r="CA84" s="105" t="n"/>
      <c r="CB84" s="105" t="n"/>
      <c r="CC84" s="105" t="n"/>
      <c r="CD84" s="105" t="n"/>
      <c r="CE84" s="105" t="n"/>
      <c r="CF84" s="105" t="n"/>
      <c r="CG84" s="105" t="n"/>
      <c r="CH84" s="105" t="n"/>
      <c r="CI84" s="105" t="n"/>
      <c r="CJ84" s="105" t="n"/>
      <c r="CK84" s="105" t="n"/>
      <c r="CL84" s="105" t="n"/>
      <c r="CM84" s="105" t="n"/>
      <c r="CN84" s="105" t="n"/>
      <c r="CO84" s="105" t="n"/>
      <c r="CP84" s="105" t="n"/>
      <c r="CQ84" s="105" t="n"/>
      <c r="CR84" s="105" t="n"/>
      <c r="CS84" s="105" t="n"/>
      <c r="CT84" s="105" t="n"/>
      <c r="CU84" s="214" t="n">
        <v>1</v>
      </c>
      <c r="CV84" s="105" t="n"/>
      <c r="CW84" s="105" t="n"/>
      <c r="CX84" s="105" t="n"/>
      <c r="CY84" s="105" t="n"/>
      <c r="CZ84" s="124">
        <f>+COUNTA(BV84:CY84)</f>
        <v/>
      </c>
      <c r="DA84" s="251" t="n"/>
      <c r="DB84" s="251" t="n"/>
      <c r="DC84" s="251" t="n"/>
      <c r="DD84" s="207" t="n"/>
      <c r="DE84" s="251" t="n"/>
      <c r="DF84" s="251" t="n"/>
      <c r="DG84" s="251" t="n"/>
      <c r="DH84" s="251" t="n"/>
      <c r="DI84" s="214" t="n"/>
      <c r="DJ84" s="251" t="n"/>
      <c r="DK84" s="251" t="n"/>
      <c r="DL84" s="95" t="n"/>
      <c r="DM84" s="251" t="inlineStr">
        <is>
          <t>T</t>
        </is>
      </c>
      <c r="DN84" s="95" t="n">
        <v>1</v>
      </c>
      <c r="DO84" s="95" t="n">
        <v>16</v>
      </c>
    </row>
    <row r="85" ht="13" customHeight="1">
      <c r="A85" s="203" t="inlineStr">
        <is>
          <t>PTAS-C</t>
        </is>
      </c>
      <c r="B85" s="305"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2" t="inlineStr">
        <is>
          <t>530DI007</t>
        </is>
      </c>
      <c r="BL85" s="61" t="inlineStr">
        <is>
          <t>GTAM</t>
        </is>
      </c>
      <c r="BM85" s="251" t="inlineStr">
        <is>
          <t>AR</t>
        </is>
      </c>
      <c r="BN85" s="106" t="inlineStr">
        <is>
          <t>Falla Pabellón</t>
        </is>
      </c>
      <c r="BO85" s="251" t="inlineStr">
        <is>
          <t>SI</t>
        </is>
      </c>
      <c r="BP85" s="106" t="inlineStr">
        <is>
          <t>PTAS-C FALLA PABELLON/AR</t>
        </is>
      </c>
      <c r="BQ85" s="106">
        <f>VLOOKUP(BP85,[1]AGUA!$1:$1048576,2,FALSE)</f>
        <v/>
      </c>
      <c r="BR85" s="106">
        <f>VLOOKUP(BP85,[1]AGUA!$1:$1048576,6,FALSE)</f>
        <v/>
      </c>
      <c r="BS85" s="106">
        <f>VLOOKUP(BP85,[1]AGUA!$1:$1048576,7,FALSE)</f>
        <v/>
      </c>
      <c r="BT85" s="106" t="n"/>
      <c r="BU85" s="182" t="inlineStr">
        <is>
          <t>HoldingTime 20 hrs</t>
        </is>
      </c>
      <c r="BV85" s="105" t="n"/>
      <c r="BW85" s="105" t="n"/>
      <c r="BX85" s="105" t="n"/>
      <c r="BY85" s="105" t="n"/>
      <c r="BZ85" s="105" t="n"/>
      <c r="CA85" s="107" t="n">
        <v>1</v>
      </c>
      <c r="CB85" s="105" t="n"/>
      <c r="CC85" s="105" t="n"/>
      <c r="CD85" s="105" t="n"/>
      <c r="CE85" s="105" t="n"/>
      <c r="CF85" s="105" t="n"/>
      <c r="CG85" s="105" t="n"/>
      <c r="CH85" s="107" t="n">
        <v>1</v>
      </c>
      <c r="CI85" s="105" t="n"/>
      <c r="CJ85" s="105" t="n"/>
      <c r="CK85" s="105" t="n"/>
      <c r="CL85" s="105" t="n"/>
      <c r="CM85" s="105" t="n"/>
      <c r="CN85" s="105" t="n"/>
      <c r="CO85" s="107" t="n">
        <v>1</v>
      </c>
      <c r="CP85" s="105" t="n"/>
      <c r="CQ85" s="105" t="n"/>
      <c r="CR85" s="105" t="n"/>
      <c r="CS85" s="105" t="n"/>
      <c r="CT85" s="105" t="n"/>
      <c r="CU85" s="105" t="n"/>
      <c r="CV85" s="107" t="n">
        <v>1</v>
      </c>
      <c r="CW85" s="105" t="n"/>
      <c r="CX85" s="105" t="n"/>
      <c r="CY85" s="105" t="n"/>
      <c r="CZ85" s="124">
        <f>+COUNTA(BV85:CY85)</f>
        <v/>
      </c>
      <c r="DA85" s="251" t="n"/>
      <c r="DB85" s="251" t="n"/>
      <c r="DC85" s="251" t="n"/>
      <c r="DD85" s="251" t="n"/>
      <c r="DE85" s="251" t="n"/>
      <c r="DF85" s="251" t="n"/>
      <c r="DG85" s="251" t="n"/>
      <c r="DH85" s="251" t="n"/>
      <c r="DI85" s="251" t="n"/>
      <c r="DJ85" s="251" t="n"/>
      <c r="DK85" s="251" t="n"/>
      <c r="DL85" s="251" t="n"/>
      <c r="DM85" s="251" t="inlineStr">
        <is>
          <t>S</t>
        </is>
      </c>
      <c r="DN85" s="95" t="inlineStr">
        <is>
          <t>R</t>
        </is>
      </c>
      <c r="DO85" s="95" t="inlineStr">
        <is>
          <t>R</t>
        </is>
      </c>
    </row>
    <row r="86" ht="13" customHeight="1">
      <c r="A86" s="203" t="inlineStr">
        <is>
          <t>PTAS-M</t>
        </is>
      </c>
      <c r="B86" s="305"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2" t="inlineStr">
        <is>
          <t>620PU012</t>
        </is>
      </c>
      <c r="BL86" s="61" t="inlineStr">
        <is>
          <t>GTAM</t>
        </is>
      </c>
      <c r="BM86" s="251" t="inlineStr">
        <is>
          <t>AR</t>
        </is>
      </c>
      <c r="BN86" s="337" t="inlineStr">
        <is>
          <t xml:space="preserve">ROSARIO </t>
        </is>
      </c>
      <c r="BO86" s="251" t="inlineStr">
        <is>
          <t>SI</t>
        </is>
      </c>
      <c r="BP86" s="106" t="inlineStr">
        <is>
          <t>PTAS-M ROSARIO/AR</t>
        </is>
      </c>
      <c r="BQ86" s="106">
        <f>VLOOKUP(BP86,[1]AGUA!$1:$1048576,2,FALSE)</f>
        <v/>
      </c>
      <c r="BR86" s="106">
        <f>VLOOKUP(BP86,[1]AGUA!$1:$1048576,6,FALSE)</f>
        <v/>
      </c>
      <c r="BS86" s="106">
        <f>VLOOKUP(BP86,[1]AGUA!$1:$1048576,7,FALSE)</f>
        <v/>
      </c>
      <c r="BT86" s="106" t="n"/>
      <c r="BU86" s="182" t="inlineStr">
        <is>
          <t>HoldingTime 20 hrs</t>
        </is>
      </c>
      <c r="BV86" s="105" t="n"/>
      <c r="BW86" s="105" t="n"/>
      <c r="BX86" s="105" t="n"/>
      <c r="BY86" s="105" t="n"/>
      <c r="BZ86" s="105" t="n"/>
      <c r="CA86" s="107" t="n">
        <v>1</v>
      </c>
      <c r="CB86" s="105" t="n"/>
      <c r="CC86" s="105" t="n"/>
      <c r="CD86" s="105" t="n"/>
      <c r="CE86" s="105" t="n"/>
      <c r="CF86" s="105" t="n"/>
      <c r="CG86" s="105" t="n"/>
      <c r="CH86" s="107" t="n">
        <v>1</v>
      </c>
      <c r="CI86" s="105" t="n"/>
      <c r="CJ86" s="105" t="n"/>
      <c r="CK86" s="105" t="n"/>
      <c r="CL86" s="105" t="n"/>
      <c r="CM86" s="105" t="n"/>
      <c r="CN86" s="105" t="n"/>
      <c r="CO86" s="107" t="n">
        <v>1</v>
      </c>
      <c r="CP86" s="105" t="n"/>
      <c r="CQ86" s="105" t="n"/>
      <c r="CR86" s="105" t="n"/>
      <c r="CS86" s="105" t="n"/>
      <c r="CT86" s="105" t="n"/>
      <c r="CU86" s="105" t="n"/>
      <c r="CV86" s="107" t="n">
        <v>1</v>
      </c>
      <c r="CW86" s="105" t="n"/>
      <c r="CX86" s="105" t="n"/>
      <c r="CY86" s="105" t="n"/>
      <c r="CZ86" s="124">
        <f>+COUNTA(BV86:CY86)</f>
        <v/>
      </c>
      <c r="DA86" s="251" t="n"/>
      <c r="DB86" s="251" t="n"/>
      <c r="DC86" s="251" t="n"/>
      <c r="DD86" s="251" t="n"/>
      <c r="DE86" s="251" t="n"/>
      <c r="DF86" s="251" t="n"/>
      <c r="DG86" s="251" t="n"/>
      <c r="DH86" s="251" t="n"/>
      <c r="DI86" s="251" t="n"/>
      <c r="DJ86" s="251" t="n"/>
      <c r="DK86" s="251" t="n"/>
      <c r="DL86" s="251" t="n"/>
      <c r="DM86" s="251" t="inlineStr">
        <is>
          <t>S</t>
        </is>
      </c>
      <c r="DN86" s="95" t="inlineStr">
        <is>
          <t>R</t>
        </is>
      </c>
      <c r="DO86" s="95" t="inlineStr">
        <is>
          <t>R</t>
        </is>
      </c>
    </row>
    <row r="87" ht="13" customHeight="1">
      <c r="A87" s="203" t="inlineStr">
        <is>
          <t>PTAS-R</t>
        </is>
      </c>
      <c r="B87" s="305"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2" t="inlineStr">
        <is>
          <t>610PU012</t>
        </is>
      </c>
      <c r="BL87" s="61" t="inlineStr">
        <is>
          <t>GTAM</t>
        </is>
      </c>
      <c r="BM87" s="251" t="inlineStr">
        <is>
          <t>AR</t>
        </is>
      </c>
      <c r="BN87" s="337" t="inlineStr">
        <is>
          <t xml:space="preserve">ROSARIO </t>
        </is>
      </c>
      <c r="BO87" s="251" t="inlineStr">
        <is>
          <t>SI</t>
        </is>
      </c>
      <c r="BP87" s="106" t="inlineStr">
        <is>
          <t>PTAS-R ROSARIO/AR</t>
        </is>
      </c>
      <c r="BQ87" s="106">
        <f>VLOOKUP(BP87,[1]AGUA!$1:$1048576,2,FALSE)</f>
        <v/>
      </c>
      <c r="BR87" s="106">
        <f>VLOOKUP(BP87,[1]AGUA!$1:$1048576,6,FALSE)</f>
        <v/>
      </c>
      <c r="BS87" s="106">
        <f>VLOOKUP(BP87,[1]AGUA!$1:$1048576,7,FALSE)</f>
        <v/>
      </c>
      <c r="BT87" s="106" t="n"/>
      <c r="BU87" s="182"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5" t="n"/>
      <c r="CR87" s="105" t="n"/>
      <c r="CS87" s="105" t="n"/>
      <c r="CT87" s="105" t="n"/>
      <c r="CU87" s="105" t="n"/>
      <c r="CV87" s="107" t="n">
        <v>1</v>
      </c>
      <c r="CW87" s="105" t="n"/>
      <c r="CX87" s="105" t="n"/>
      <c r="CY87" s="105" t="n"/>
      <c r="CZ87" s="124">
        <f>+COUNTA(BV87:CY87)</f>
        <v/>
      </c>
      <c r="DA87" s="251" t="n"/>
      <c r="DB87" s="251" t="n"/>
      <c r="DC87" s="251" t="n"/>
      <c r="DD87" s="251" t="n"/>
      <c r="DE87" s="251" t="n"/>
      <c r="DF87" s="251" t="n"/>
      <c r="DG87" s="251" t="n"/>
      <c r="DH87" s="251" t="n"/>
      <c r="DI87" s="251" t="n"/>
      <c r="DJ87" s="251" t="n"/>
      <c r="DK87" s="251" t="n"/>
      <c r="DL87" s="251" t="n"/>
      <c r="DM87" s="251" t="inlineStr">
        <is>
          <t>M</t>
        </is>
      </c>
      <c r="DN87" s="95" t="n">
        <v>22</v>
      </c>
      <c r="DO87" s="95" t="n">
        <v>28</v>
      </c>
    </row>
    <row r="88" ht="12.5" customHeight="1">
      <c r="A88" s="203" t="inlineStr">
        <is>
          <t>PTAS-U</t>
        </is>
      </c>
      <c r="B88" s="305"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2" t="inlineStr">
        <is>
          <t>610BD004</t>
        </is>
      </c>
      <c r="BL88" s="61" t="inlineStr">
        <is>
          <t>GTAM</t>
        </is>
      </c>
      <c r="BM88" s="251" t="inlineStr">
        <is>
          <t>AR</t>
        </is>
      </c>
      <c r="BN88" s="337" t="inlineStr">
        <is>
          <t>Ujina</t>
        </is>
      </c>
      <c r="BO88" s="251" t="inlineStr">
        <is>
          <t>SI</t>
        </is>
      </c>
      <c r="BP88" s="106" t="inlineStr">
        <is>
          <t>PTAS-U UJINA/AR</t>
        </is>
      </c>
      <c r="BQ88" s="106">
        <f>VLOOKUP(BP88,[1]AGUA!$1:$1048576,2,FALSE)</f>
        <v/>
      </c>
      <c r="BR88" s="106">
        <f>VLOOKUP(BP88,[1]AGUA!$1:$1048576,6,FALSE)</f>
        <v/>
      </c>
      <c r="BS88" s="106">
        <f>VLOOKUP(BP88,[1]AGUA!$1:$1048576,7,FALSE)</f>
        <v/>
      </c>
      <c r="BT88" s="106" t="n"/>
      <c r="BU88" s="182"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5" t="n"/>
      <c r="CR88" s="105" t="n"/>
      <c r="CS88" s="105" t="n"/>
      <c r="CT88" s="105" t="n"/>
      <c r="CU88" s="105" t="n"/>
      <c r="CV88" s="107" t="n">
        <v>1</v>
      </c>
      <c r="CW88" s="105" t="n"/>
      <c r="CX88" s="105" t="n"/>
      <c r="CY88" s="105" t="n"/>
      <c r="CZ88" s="124">
        <f>+COUNTA(BV88:CY88)</f>
        <v/>
      </c>
      <c r="DA88" s="251" t="n"/>
      <c r="DB88" s="251" t="n"/>
      <c r="DC88" s="251" t="n"/>
      <c r="DD88" s="251" t="n"/>
      <c r="DE88" s="251" t="n"/>
      <c r="DF88" s="251" t="n"/>
      <c r="DG88" s="251" t="n"/>
      <c r="DH88" s="251" t="n"/>
      <c r="DI88" s="251" t="n"/>
      <c r="DJ88" s="251" t="n"/>
      <c r="DK88" s="251" t="n"/>
      <c r="DL88" s="251" t="n"/>
      <c r="DM88" s="251" t="inlineStr">
        <is>
          <t>M</t>
        </is>
      </c>
      <c r="DN88" s="95" t="n">
        <v>22</v>
      </c>
      <c r="DO88" s="95" t="n">
        <v>28</v>
      </c>
    </row>
    <row r="89" ht="13" customHeight="1">
      <c r="A89" s="203" t="inlineStr">
        <is>
          <t>AA-01</t>
        </is>
      </c>
      <c r="B89" s="305"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1" t="inlineStr">
        <is>
          <t>532MAQCY</t>
        </is>
      </c>
      <c r="BL89" s="61" t="inlineStr">
        <is>
          <t>GMAP-SIGA</t>
        </is>
      </c>
      <c r="BM89" s="251" t="inlineStr">
        <is>
          <t>NF</t>
        </is>
      </c>
      <c r="BN89" s="337" t="inlineStr">
        <is>
          <t>Quebrada Caya</t>
        </is>
      </c>
      <c r="BO89" s="251"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24">
        <f>+COUNTA(BV89:CY89)</f>
        <v/>
      </c>
      <c r="DA89" s="251" t="n"/>
      <c r="DB89" s="251" t="n"/>
      <c r="DC89" s="251" t="n"/>
      <c r="DD89" s="251" t="n"/>
      <c r="DE89" s="251" t="n"/>
      <c r="DF89" s="251" t="n"/>
      <c r="DG89" s="251" t="n"/>
      <c r="DH89" s="251" t="n"/>
      <c r="DI89" s="251" t="n"/>
      <c r="DJ89" s="251" t="inlineStr">
        <is>
          <t>STRAL</t>
        </is>
      </c>
      <c r="DK89" s="251" t="n">
        <v>15</v>
      </c>
      <c r="DL89" s="95" t="n">
        <v>28</v>
      </c>
      <c r="DM89" s="251" t="n"/>
      <c r="DN89" s="95" t="n"/>
      <c r="DO89" s="95" t="n"/>
    </row>
    <row r="90" ht="13" customHeight="1">
      <c r="A90" s="203" t="inlineStr">
        <is>
          <t>AA-02</t>
        </is>
      </c>
      <c r="B90" s="305"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1" t="inlineStr">
        <is>
          <t>532MAQCY</t>
        </is>
      </c>
      <c r="BL90" s="61" t="inlineStr">
        <is>
          <t>GMAP-SIGA</t>
        </is>
      </c>
      <c r="BM90" s="251" t="inlineStr">
        <is>
          <t>NF</t>
        </is>
      </c>
      <c r="BN90" s="337" t="inlineStr">
        <is>
          <t>Quebrada Caya</t>
        </is>
      </c>
      <c r="BO90" s="251"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24">
        <f>+COUNTA(BV90:CY90)</f>
        <v/>
      </c>
      <c r="DA90" s="251" t="n"/>
      <c r="DB90" s="251" t="n"/>
      <c r="DC90" s="251" t="n"/>
      <c r="DD90" s="251" t="n"/>
      <c r="DE90" s="251" t="n"/>
      <c r="DF90" s="251" t="n"/>
      <c r="DG90" s="251" t="n"/>
      <c r="DH90" s="251" t="n"/>
      <c r="DI90" s="251" t="n"/>
      <c r="DJ90" s="251" t="inlineStr">
        <is>
          <t>TF</t>
        </is>
      </c>
      <c r="DK90" s="251" t="n">
        <v>15</v>
      </c>
      <c r="DL90" s="95" t="n">
        <v>28</v>
      </c>
      <c r="DM90" s="251" t="n"/>
      <c r="DN90" s="95" t="n"/>
      <c r="DO90" s="95" t="n"/>
    </row>
    <row r="91" ht="13" customHeight="1">
      <c r="A91" s="203" t="inlineStr">
        <is>
          <t>AA-03</t>
        </is>
      </c>
      <c r="B91" s="305"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1" t="inlineStr">
        <is>
          <t>532MAQCY</t>
        </is>
      </c>
      <c r="BL91" s="61" t="inlineStr">
        <is>
          <t>GMAP-SIGA</t>
        </is>
      </c>
      <c r="BM91" s="251" t="inlineStr">
        <is>
          <t>NF</t>
        </is>
      </c>
      <c r="BN91" s="337" t="inlineStr">
        <is>
          <t>Quebrada Caya</t>
        </is>
      </c>
      <c r="BO91" s="251"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24">
        <f>+COUNTA(BV91:CY91)</f>
        <v/>
      </c>
      <c r="DA91" s="251" t="n"/>
      <c r="DB91" s="251" t="n"/>
      <c r="DC91" s="251" t="n"/>
      <c r="DD91" s="251" t="n"/>
      <c r="DE91" s="251" t="n"/>
      <c r="DF91" s="251" t="n"/>
      <c r="DG91" s="251" t="n"/>
      <c r="DH91" s="251" t="n"/>
      <c r="DI91" s="251" t="n"/>
      <c r="DJ91" s="251" t="inlineStr">
        <is>
          <t>STRAL</t>
        </is>
      </c>
      <c r="DK91" s="251" t="n">
        <v>15</v>
      </c>
      <c r="DL91" s="95" t="n">
        <v>28</v>
      </c>
      <c r="DM91" s="251" t="n"/>
      <c r="DN91" s="95" t="n"/>
      <c r="DO91" s="95" t="n"/>
    </row>
    <row r="92" ht="13" customHeight="1">
      <c r="A92" s="203" t="inlineStr">
        <is>
          <t>AA-04</t>
        </is>
      </c>
      <c r="B92" s="305"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1" t="inlineStr">
        <is>
          <t>532MAQCY</t>
        </is>
      </c>
      <c r="BL92" s="61" t="inlineStr">
        <is>
          <t>GMAP-SIGA</t>
        </is>
      </c>
      <c r="BM92" s="251" t="inlineStr">
        <is>
          <t>NF</t>
        </is>
      </c>
      <c r="BN92" s="337" t="inlineStr">
        <is>
          <t>Quebrada Caya</t>
        </is>
      </c>
      <c r="BO92" s="251"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24">
        <f>+COUNTA(BV92:CY92)</f>
        <v/>
      </c>
      <c r="DA92" s="251" t="n"/>
      <c r="DB92" s="251" t="n"/>
      <c r="DC92" s="251" t="n"/>
      <c r="DD92" s="251" t="n"/>
      <c r="DE92" s="251" t="n"/>
      <c r="DF92" s="251" t="n"/>
      <c r="DG92" s="251" t="n"/>
      <c r="DH92" s="251" t="n"/>
      <c r="DI92" s="251" t="n"/>
      <c r="DJ92" s="251" t="inlineStr">
        <is>
          <t>TF</t>
        </is>
      </c>
      <c r="DK92" s="251" t="n">
        <v>15</v>
      </c>
      <c r="DL92" s="95" t="n">
        <v>28</v>
      </c>
      <c r="DM92" s="251" t="n"/>
      <c r="DN92" s="95" t="n"/>
      <c r="DO92" s="95" t="n"/>
    </row>
    <row r="93" ht="13" customHeight="1">
      <c r="A93" s="203" t="inlineStr">
        <is>
          <t>AA-05</t>
        </is>
      </c>
      <c r="B93" s="305"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1" t="inlineStr">
        <is>
          <t>532MAQCY</t>
        </is>
      </c>
      <c r="BL93" s="61" t="inlineStr">
        <is>
          <t>GMAP-SIGA</t>
        </is>
      </c>
      <c r="BM93" s="251" t="inlineStr">
        <is>
          <t>NF</t>
        </is>
      </c>
      <c r="BN93" s="337" t="inlineStr">
        <is>
          <t>Quebrada Caya</t>
        </is>
      </c>
      <c r="BO93" s="251"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24">
        <f>+COUNTA(BV93:CY93)</f>
        <v/>
      </c>
      <c r="DA93" s="251" t="n"/>
      <c r="DB93" s="251" t="n"/>
      <c r="DC93" s="251" t="n"/>
      <c r="DD93" s="251" t="n"/>
      <c r="DE93" s="251" t="n"/>
      <c r="DF93" s="251" t="n"/>
      <c r="DG93" s="251" t="n"/>
      <c r="DH93" s="251" t="n"/>
      <c r="DI93" s="251" t="n"/>
      <c r="DJ93" s="251" t="inlineStr">
        <is>
          <t>STRAL</t>
        </is>
      </c>
      <c r="DK93" s="251" t="n">
        <v>15</v>
      </c>
      <c r="DL93" s="95" t="n">
        <v>28</v>
      </c>
      <c r="DM93" s="251" t="n"/>
      <c r="DN93" s="95" t="n"/>
      <c r="DO93" s="95" t="n"/>
    </row>
    <row r="94" ht="13" customHeight="1">
      <c r="A94" s="203" t="inlineStr">
        <is>
          <t>AA-06</t>
        </is>
      </c>
      <c r="B94" s="305"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1" t="inlineStr">
        <is>
          <t>532MAQCY</t>
        </is>
      </c>
      <c r="BL94" s="61" t="inlineStr">
        <is>
          <t>GMAP-SIGA</t>
        </is>
      </c>
      <c r="BM94" s="251" t="inlineStr">
        <is>
          <t>NF</t>
        </is>
      </c>
      <c r="BN94" s="337" t="inlineStr">
        <is>
          <t>Quebrada Caya</t>
        </is>
      </c>
      <c r="BO94" s="251"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24">
        <f>+COUNTA(BV94:CY94)</f>
        <v/>
      </c>
      <c r="DA94" s="251" t="n"/>
      <c r="DB94" s="251" t="n"/>
      <c r="DC94" s="251" t="n"/>
      <c r="DD94" s="251" t="n"/>
      <c r="DE94" s="251" t="n"/>
      <c r="DF94" s="251" t="n"/>
      <c r="DG94" s="251" t="n"/>
      <c r="DH94" s="251" t="n"/>
      <c r="DI94" s="251" t="n"/>
      <c r="DJ94" s="251" t="inlineStr">
        <is>
          <t>TF</t>
        </is>
      </c>
      <c r="DK94" s="251" t="n">
        <v>15</v>
      </c>
      <c r="DL94" s="95" t="n">
        <v>28</v>
      </c>
      <c r="DM94" s="251" t="n"/>
      <c r="DN94" s="95" t="n"/>
      <c r="DO94" s="95" t="n"/>
    </row>
    <row r="95" ht="13" customHeight="1">
      <c r="A95" s="203" t="inlineStr">
        <is>
          <t>AA-07</t>
        </is>
      </c>
      <c r="B95" s="305"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1" t="inlineStr">
        <is>
          <t>532MAQCY</t>
        </is>
      </c>
      <c r="BL95" s="61" t="inlineStr">
        <is>
          <t>GMAP-SIGA</t>
        </is>
      </c>
      <c r="BM95" s="251" t="inlineStr">
        <is>
          <t>NF</t>
        </is>
      </c>
      <c r="BN95" s="337" t="inlineStr">
        <is>
          <t>Quebrada Caya</t>
        </is>
      </c>
      <c r="BO95" s="251"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24">
        <f>+COUNTA(BV95:CY95)</f>
        <v/>
      </c>
      <c r="DA95" s="251" t="n"/>
      <c r="DB95" s="251" t="n"/>
      <c r="DC95" s="251" t="n"/>
      <c r="DD95" s="251" t="n"/>
      <c r="DE95" s="251" t="n"/>
      <c r="DF95" s="251" t="n"/>
      <c r="DG95" s="251" t="n"/>
      <c r="DH95" s="251" t="n"/>
      <c r="DI95" s="251" t="n"/>
      <c r="DJ95" s="251" t="inlineStr">
        <is>
          <t>STRAL</t>
        </is>
      </c>
      <c r="DK95" s="251" t="n">
        <v>15</v>
      </c>
      <c r="DL95" s="95" t="n">
        <v>28</v>
      </c>
      <c r="DM95" s="251" t="n"/>
      <c r="DN95" s="95" t="n"/>
      <c r="DO95" s="95" t="n"/>
    </row>
    <row r="96" ht="13" customHeight="1">
      <c r="A96" s="203" t="inlineStr">
        <is>
          <t>AA-09</t>
        </is>
      </c>
      <c r="B96" s="305"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1" t="inlineStr">
        <is>
          <t>532MAQCY</t>
        </is>
      </c>
      <c r="BL96" s="61" t="inlineStr">
        <is>
          <t>GMAP-SIGA</t>
        </is>
      </c>
      <c r="BM96" s="251" t="inlineStr">
        <is>
          <t>NF</t>
        </is>
      </c>
      <c r="BN96" s="337" t="inlineStr">
        <is>
          <t>Quebrada Caya</t>
        </is>
      </c>
      <c r="BO96" s="251" t="inlineStr">
        <is>
          <t>NO</t>
        </is>
      </c>
      <c r="BP96" s="106" t="inlineStr">
        <is>
          <t>AA-09 QUEBRADA CAYA/NF</t>
        </is>
      </c>
      <c r="BQ96" s="106">
        <f>VLOOKUP(BP96,[1]AGUA!$1:$1048576,2,FALSE)</f>
        <v/>
      </c>
      <c r="BR96" s="106">
        <f>VLOOKUP(BP96,[1]AGUA!$1:$1048576,6,FALSE)</f>
        <v/>
      </c>
      <c r="BS96" s="106">
        <f>VLOOKUP(BP96,[1]AGUA!$1:$1048576,7,FALSE)</f>
        <v/>
      </c>
      <c r="BT96" s="186"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24">
        <f>+COUNTA(BV96:CY96)</f>
        <v/>
      </c>
      <c r="DA96" s="251" t="n"/>
      <c r="DB96" s="251" t="n"/>
      <c r="DC96" s="251" t="n"/>
      <c r="DD96" s="251" t="n"/>
      <c r="DE96" s="251" t="n"/>
      <c r="DF96" s="251" t="n"/>
      <c r="DG96" s="251" t="n"/>
      <c r="DH96" s="251" t="n"/>
      <c r="DI96" s="251" t="n"/>
      <c r="DJ96" s="251" t="inlineStr">
        <is>
          <t>STRAL</t>
        </is>
      </c>
      <c r="DK96" s="251" t="n">
        <v>15</v>
      </c>
      <c r="DL96" s="95" t="n">
        <v>28</v>
      </c>
      <c r="DM96" s="251" t="n"/>
      <c r="DN96" s="95" t="n"/>
      <c r="DO96" s="95" t="n"/>
    </row>
    <row r="97" ht="13" customHeight="1">
      <c r="A97" s="203" t="inlineStr">
        <is>
          <t>AA-10</t>
        </is>
      </c>
      <c r="B97" s="305"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1" t="inlineStr">
        <is>
          <t>532MAQCY</t>
        </is>
      </c>
      <c r="BL97" s="61" t="inlineStr">
        <is>
          <t>GMAP-SIGA</t>
        </is>
      </c>
      <c r="BM97" s="251" t="inlineStr">
        <is>
          <t>NF</t>
        </is>
      </c>
      <c r="BN97" s="337" t="inlineStr">
        <is>
          <t>Quebrada Caya</t>
        </is>
      </c>
      <c r="BO97" s="251" t="inlineStr">
        <is>
          <t>NO</t>
        </is>
      </c>
      <c r="BP97" s="106" t="inlineStr">
        <is>
          <t>AA-10 QUEBRADA CAYA/NF</t>
        </is>
      </c>
      <c r="BQ97" s="106">
        <f>VLOOKUP(BP97,[1]AGUA!$1:$1048576,2,FALSE)</f>
        <v/>
      </c>
      <c r="BR97" s="106">
        <f>VLOOKUP(BP97,[1]AGUA!$1:$1048576,6,FALSE)</f>
        <v/>
      </c>
      <c r="BS97" s="106">
        <f>VLOOKUP(BP97,[1]AGUA!$1:$1048576,7,FALSE)</f>
        <v/>
      </c>
      <c r="BT97" s="186"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24">
        <f>+COUNTA(BV97:CY97)</f>
        <v/>
      </c>
      <c r="DA97" s="251" t="n"/>
      <c r="DB97" s="251" t="n"/>
      <c r="DC97" s="251" t="n"/>
      <c r="DD97" s="251" t="n"/>
      <c r="DE97" s="251" t="n"/>
      <c r="DF97" s="251" t="n"/>
      <c r="DG97" s="251" t="n"/>
      <c r="DH97" s="251" t="n"/>
      <c r="DI97" s="251" t="n"/>
      <c r="DJ97" s="251" t="inlineStr">
        <is>
          <t>TF</t>
        </is>
      </c>
      <c r="DK97" s="251" t="n">
        <v>15</v>
      </c>
      <c r="DL97" s="95" t="n">
        <v>28</v>
      </c>
      <c r="DM97" s="251" t="n"/>
      <c r="DN97" s="95" t="n"/>
      <c r="DO97" s="95" t="n"/>
    </row>
    <row r="98" ht="13" customHeight="1">
      <c r="A98" s="203" t="inlineStr">
        <is>
          <t>AA-11</t>
        </is>
      </c>
      <c r="B98" s="305"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1" t="inlineStr">
        <is>
          <t>532MAQCY</t>
        </is>
      </c>
      <c r="BL98" s="61" t="inlineStr">
        <is>
          <t>GMAP-SIGA</t>
        </is>
      </c>
      <c r="BM98" s="251" t="inlineStr">
        <is>
          <t>NF</t>
        </is>
      </c>
      <c r="BN98" s="337" t="inlineStr">
        <is>
          <t>Quebrada Caya</t>
        </is>
      </c>
      <c r="BO98" s="251"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24">
        <f>+COUNTA(BV98:CY98)</f>
        <v/>
      </c>
      <c r="DA98" s="251" t="n"/>
      <c r="DB98" s="251" t="n"/>
      <c r="DC98" s="251" t="n"/>
      <c r="DD98" s="251" t="n"/>
      <c r="DE98" s="251" t="n"/>
      <c r="DF98" s="251" t="n"/>
      <c r="DG98" s="251" t="n"/>
      <c r="DH98" s="251" t="n"/>
      <c r="DI98" s="251" t="n"/>
      <c r="DJ98" s="251" t="inlineStr">
        <is>
          <t>TF</t>
        </is>
      </c>
      <c r="DK98" s="251" t="n">
        <v>15</v>
      </c>
      <c r="DL98" s="95" t="n">
        <v>28</v>
      </c>
      <c r="DM98" s="251" t="n"/>
      <c r="DN98" s="95" t="n"/>
      <c r="DO98" s="95" t="n"/>
    </row>
    <row r="99" ht="13" customHeight="1">
      <c r="A99" s="203" t="inlineStr">
        <is>
          <t>AA-12</t>
        </is>
      </c>
      <c r="B99" s="305"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1" t="inlineStr">
        <is>
          <t>532MAQCY</t>
        </is>
      </c>
      <c r="BL99" s="61" t="inlineStr">
        <is>
          <t>GMAP-SIGA</t>
        </is>
      </c>
      <c r="BM99" s="251" t="inlineStr">
        <is>
          <t>NF</t>
        </is>
      </c>
      <c r="BN99" s="337" t="inlineStr">
        <is>
          <t>Quebrada Caya</t>
        </is>
      </c>
      <c r="BO99" s="251"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24">
        <f>+COUNTA(BV99:CY99)</f>
        <v/>
      </c>
      <c r="DA99" s="251" t="n"/>
      <c r="DB99" s="251" t="n"/>
      <c r="DC99" s="251" t="n"/>
      <c r="DD99" s="251" t="n"/>
      <c r="DE99" s="251" t="n"/>
      <c r="DF99" s="251" t="n"/>
      <c r="DG99" s="251" t="n"/>
      <c r="DH99" s="251" t="n"/>
      <c r="DI99" s="251" t="n"/>
      <c r="DJ99" s="251" t="inlineStr">
        <is>
          <t>STRAL</t>
        </is>
      </c>
      <c r="DK99" s="251" t="n">
        <v>15</v>
      </c>
      <c r="DL99" s="95" t="n">
        <v>28</v>
      </c>
      <c r="DM99" s="251" t="n"/>
      <c r="DN99" s="95" t="n"/>
      <c r="DO99" s="95" t="n"/>
    </row>
    <row r="100" ht="13" customHeight="1">
      <c r="A100" s="203" t="inlineStr">
        <is>
          <t>AB-01</t>
        </is>
      </c>
      <c r="B100" s="305"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1" t="inlineStr">
        <is>
          <t>532MAQCY</t>
        </is>
      </c>
      <c r="BL100" s="61" t="inlineStr">
        <is>
          <t>GMAP-SIGA</t>
        </is>
      </c>
      <c r="BM100" s="251" t="inlineStr">
        <is>
          <t>NF</t>
        </is>
      </c>
      <c r="BN100" s="337" t="inlineStr">
        <is>
          <t>Quebrada Caya</t>
        </is>
      </c>
      <c r="BO100" s="251"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24">
        <f>+COUNTA(BV100:CY100)</f>
        <v/>
      </c>
      <c r="DA100" s="251" t="n"/>
      <c r="DB100" s="251" t="n"/>
      <c r="DC100" s="251" t="n"/>
      <c r="DD100" s="251" t="n"/>
      <c r="DE100" s="251" t="n"/>
      <c r="DF100" s="251" t="n"/>
      <c r="DG100" s="251" t="n"/>
      <c r="DH100" s="251" t="n"/>
      <c r="DI100" s="251" t="n"/>
      <c r="DJ100" s="251" t="inlineStr">
        <is>
          <t>STRAL</t>
        </is>
      </c>
      <c r="DK100" s="251" t="n">
        <v>15</v>
      </c>
      <c r="DL100" s="95" t="n">
        <v>28</v>
      </c>
      <c r="DM100" s="251" t="n"/>
      <c r="DN100" s="95" t="n"/>
      <c r="DO100" s="95" t="n"/>
    </row>
    <row r="101" ht="13.5" customHeight="1">
      <c r="A101" s="203" t="inlineStr">
        <is>
          <t>AB-03</t>
        </is>
      </c>
      <c r="B101" s="305"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1" t="inlineStr">
        <is>
          <t>532MAQCY</t>
        </is>
      </c>
      <c r="BL101" s="61" t="inlineStr">
        <is>
          <t>GMAP-SIGA</t>
        </is>
      </c>
      <c r="BM101" s="251" t="inlineStr">
        <is>
          <t>NF</t>
        </is>
      </c>
      <c r="BN101" s="337" t="inlineStr">
        <is>
          <t>Quebrada Caya</t>
        </is>
      </c>
      <c r="BO101" s="251"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24">
        <f>+COUNTA(BV101:CY101)</f>
        <v/>
      </c>
      <c r="DA101" s="251" t="n"/>
      <c r="DB101" s="251" t="n"/>
      <c r="DC101" s="251" t="n"/>
      <c r="DD101" s="251" t="n"/>
      <c r="DE101" s="251" t="n"/>
      <c r="DF101" s="251" t="n"/>
      <c r="DG101" s="251" t="n"/>
      <c r="DH101" s="251" t="n"/>
      <c r="DI101" s="251" t="n"/>
      <c r="DJ101" s="251" t="inlineStr">
        <is>
          <t>TF</t>
        </is>
      </c>
      <c r="DK101" s="251" t="n">
        <v>15</v>
      </c>
      <c r="DL101" s="95" t="n">
        <v>28</v>
      </c>
      <c r="DM101" s="251" t="n"/>
      <c r="DN101" s="95" t="n"/>
      <c r="DO101" s="95" t="n"/>
    </row>
    <row r="102" ht="13" customHeight="1">
      <c r="A102" s="203" t="inlineStr">
        <is>
          <t>AB-04</t>
        </is>
      </c>
      <c r="B102" s="305"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1" t="inlineStr">
        <is>
          <t>532MAQCY</t>
        </is>
      </c>
      <c r="BL102" s="61" t="inlineStr">
        <is>
          <t>GMAP-SIGA</t>
        </is>
      </c>
      <c r="BM102" s="251" t="inlineStr">
        <is>
          <t>NF</t>
        </is>
      </c>
      <c r="BN102" s="337" t="inlineStr">
        <is>
          <t>Quebrada Caya</t>
        </is>
      </c>
      <c r="BO102" s="251"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24">
        <f>+COUNTA(BV102:CY102)</f>
        <v/>
      </c>
      <c r="DA102" s="251" t="n"/>
      <c r="DB102" s="251" t="n"/>
      <c r="DC102" s="251" t="n"/>
      <c r="DD102" s="251" t="n"/>
      <c r="DE102" s="251" t="n"/>
      <c r="DF102" s="251" t="n"/>
      <c r="DG102" s="251" t="n"/>
      <c r="DH102" s="251" t="n"/>
      <c r="DI102" s="251" t="n"/>
      <c r="DJ102" s="251" t="inlineStr">
        <is>
          <t>TF</t>
        </is>
      </c>
      <c r="DK102" s="251" t="n">
        <v>15</v>
      </c>
      <c r="DL102" s="95" t="n">
        <v>28</v>
      </c>
      <c r="DM102" s="251" t="n"/>
      <c r="DN102" s="95" t="n"/>
      <c r="DO102" s="95" t="n"/>
    </row>
    <row r="103" ht="13.5" customHeight="1">
      <c r="A103" s="203" t="inlineStr">
        <is>
          <t>AB-05</t>
        </is>
      </c>
      <c r="B103" s="305"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1" t="inlineStr">
        <is>
          <t>532MAQCY</t>
        </is>
      </c>
      <c r="BL103" s="61" t="inlineStr">
        <is>
          <t>GMAP-SIGA</t>
        </is>
      </c>
      <c r="BM103" s="251" t="inlineStr">
        <is>
          <t>NF</t>
        </is>
      </c>
      <c r="BN103" s="337" t="inlineStr">
        <is>
          <t>Quebrada Caya</t>
        </is>
      </c>
      <c r="BO103" s="251"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24">
        <f>+COUNTA(BV103:CY103)</f>
        <v/>
      </c>
      <c r="DA103" s="251" t="n"/>
      <c r="DB103" s="251" t="n"/>
      <c r="DC103" s="251" t="n"/>
      <c r="DD103" s="251" t="n"/>
      <c r="DE103" s="251" t="n"/>
      <c r="DF103" s="251" t="n"/>
      <c r="DG103" s="251" t="n"/>
      <c r="DH103" s="251" t="n"/>
      <c r="DI103" s="251" t="n"/>
      <c r="DJ103" s="251" t="inlineStr">
        <is>
          <t>STRAL</t>
        </is>
      </c>
      <c r="DK103" s="251" t="n">
        <v>15</v>
      </c>
      <c r="DL103" s="95" t="n">
        <v>28</v>
      </c>
      <c r="DM103" s="251" t="n"/>
      <c r="DN103" s="95" t="n"/>
      <c r="DO103" s="95" t="n"/>
    </row>
    <row r="104" ht="13.5" customHeight="1">
      <c r="A104" s="203" t="inlineStr">
        <is>
          <t>APOYO QB</t>
        </is>
      </c>
      <c r="B104" s="305"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2" t="inlineStr">
        <is>
          <t>531WW004</t>
        </is>
      </c>
      <c r="BL104" s="61" t="inlineStr">
        <is>
          <t>GTAM/GGAYC</t>
        </is>
      </c>
      <c r="BM104" s="251" t="inlineStr">
        <is>
          <t>NF</t>
        </is>
      </c>
      <c r="BN104" s="337" t="inlineStr">
        <is>
          <t>Tranque</t>
        </is>
      </c>
      <c r="BO104" s="251" t="inlineStr">
        <is>
          <t>SI (CMDIC/QB)</t>
        </is>
      </c>
      <c r="BP104" s="106" t="inlineStr">
        <is>
          <t>RPW-1 TRANQUE/QB</t>
        </is>
      </c>
      <c r="BQ104" s="106">
        <f>VLOOKUP(BP104,[1]AGUA!$1:$1048576,2,FALSE)</f>
        <v/>
      </c>
      <c r="BR104" s="106">
        <f>VLOOKUP(BP104,[1]AGUA!$1:$1048576,6,FALSE)</f>
        <v/>
      </c>
      <c r="BS104" s="106">
        <f>VLOOKUP(BP104,[1]AGUA!$1:$1048576,7,FALSE)</f>
        <v/>
      </c>
      <c r="BT104" s="106" t="n"/>
      <c r="BU104" s="186"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05" t="n"/>
      <c r="CS104" s="105" t="n"/>
      <c r="CT104" s="105" t="n"/>
      <c r="CU104" s="105" t="n"/>
      <c r="CV104" s="105" t="n"/>
      <c r="CW104" s="105" t="n"/>
      <c r="CX104" s="142" t="n">
        <v>1</v>
      </c>
      <c r="CY104" s="105" t="n"/>
      <c r="CZ104" s="124">
        <f>+COUNTA(BV104:CY104)</f>
        <v/>
      </c>
      <c r="DA104" s="251" t="n"/>
      <c r="DB104" s="251" t="n"/>
      <c r="DC104" s="251" t="n"/>
      <c r="DD104" s="251" t="n"/>
      <c r="DE104" s="251" t="n"/>
      <c r="DF104" s="251" t="n"/>
      <c r="DG104" s="251" t="n"/>
      <c r="DH104" s="251" t="n"/>
      <c r="DI104" s="251" t="n"/>
      <c r="DJ104" s="251" t="inlineStr">
        <is>
          <t>M</t>
        </is>
      </c>
      <c r="DK104" s="251" t="n">
        <v>25</v>
      </c>
      <c r="DL104" s="95" t="n">
        <v>8</v>
      </c>
      <c r="DM104" s="251" t="n"/>
      <c r="DN104" s="95" t="n"/>
      <c r="DO104" s="95" t="n"/>
    </row>
    <row r="105" ht="13" customHeight="1">
      <c r="A105" s="203" t="inlineStr">
        <is>
          <t>APOYO QB</t>
        </is>
      </c>
      <c r="B105" s="305"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2" t="inlineStr">
        <is>
          <t>531WW003</t>
        </is>
      </c>
      <c r="BL105" s="61" t="inlineStr">
        <is>
          <t>GTAM/GGAYC</t>
        </is>
      </c>
      <c r="BM105" s="251" t="inlineStr">
        <is>
          <t>NF</t>
        </is>
      </c>
      <c r="BN105" s="337" t="inlineStr">
        <is>
          <t>Tranque</t>
        </is>
      </c>
      <c r="BO105" s="251" t="inlineStr">
        <is>
          <t>SI (CMDIC/QB)</t>
        </is>
      </c>
      <c r="BP105" s="106" t="inlineStr">
        <is>
          <t>RPW-4 TRANQUE/QB</t>
        </is>
      </c>
      <c r="BQ105" s="106">
        <f>VLOOKUP(BP105,[1]AGUA!$1:$1048576,2,FALSE)</f>
        <v/>
      </c>
      <c r="BR105" s="106">
        <f>VLOOKUP(BP105,[1]AGUA!$1:$1048576,6,FALSE)</f>
        <v/>
      </c>
      <c r="BS105" s="106">
        <f>VLOOKUP(BP105,[1]AGUA!$1:$1048576,7,FALSE)</f>
        <v/>
      </c>
      <c r="BT105" s="106" t="n"/>
      <c r="BU105" s="186"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05" t="n"/>
      <c r="CS105" s="105" t="n"/>
      <c r="CT105" s="105" t="n"/>
      <c r="CU105" s="105" t="n"/>
      <c r="CV105" s="105" t="n"/>
      <c r="CW105" s="105" t="n"/>
      <c r="CX105" s="142" t="n">
        <v>1</v>
      </c>
      <c r="CY105" s="105" t="n"/>
      <c r="CZ105" s="124">
        <f>+COUNTA(BV105:CY105)</f>
        <v/>
      </c>
      <c r="DA105" s="251" t="n"/>
      <c r="DB105" s="251" t="n"/>
      <c r="DC105" s="251" t="n"/>
      <c r="DD105" s="251" t="n"/>
      <c r="DE105" s="251" t="n"/>
      <c r="DF105" s="251" t="n"/>
      <c r="DG105" s="251" t="n"/>
      <c r="DH105" s="251" t="n"/>
      <c r="DI105" s="251" t="n"/>
      <c r="DJ105" s="251" t="inlineStr">
        <is>
          <t>M</t>
        </is>
      </c>
      <c r="DK105" s="251" t="n">
        <v>25</v>
      </c>
      <c r="DL105" s="95" t="n">
        <v>8</v>
      </c>
      <c r="DM105" s="251" t="n"/>
      <c r="DN105" s="95" t="n"/>
      <c r="DO105" s="95" t="n"/>
    </row>
    <row r="106" ht="13" customHeight="1">
      <c r="A106" s="203" t="inlineStr">
        <is>
          <t>AU-02</t>
        </is>
      </c>
      <c r="B106" s="305"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2" t="inlineStr">
        <is>
          <t>532MAAU</t>
        </is>
      </c>
      <c r="BL106" s="61" t="inlineStr">
        <is>
          <t>MINA</t>
        </is>
      </c>
      <c r="BM106" s="251" t="inlineStr">
        <is>
          <t>NF</t>
        </is>
      </c>
      <c r="BN106" s="337" t="inlineStr">
        <is>
          <t>Ujina</t>
        </is>
      </c>
      <c r="BO106" s="251" t="inlineStr">
        <is>
          <t>SI</t>
        </is>
      </c>
      <c r="BP106" s="106" t="inlineStr">
        <is>
          <t>AU-02 UJINA/NF</t>
        </is>
      </c>
      <c r="BQ106" s="106">
        <f>VLOOKUP(BP106,[1]AGUA!$1:$1048576,2,FALSE)</f>
        <v/>
      </c>
      <c r="BR106" s="106">
        <f>VLOOKUP(BP106,[1]AGUA!$1:$1048576,6,FALSE)</f>
        <v/>
      </c>
      <c r="BS106" s="106">
        <f>VLOOKUP(BP106,[1]AGUA!$1:$1048576,7,FALSE)</f>
        <v/>
      </c>
      <c r="BT106" s="106" t="n"/>
      <c r="BU106" s="186" t="inlineStr">
        <is>
          <t>no programar días lunes, martes, ni miercoles</t>
        </is>
      </c>
      <c r="BV106" s="105" t="n"/>
      <c r="BW106" s="105" t="n"/>
      <c r="BX106" s="105" t="n"/>
      <c r="BY106" s="105" t="n"/>
      <c r="BZ106" s="105" t="n"/>
      <c r="CA106" s="105" t="n"/>
      <c r="CB106" s="105" t="n"/>
      <c r="CC106" s="105" t="n"/>
      <c r="CD106" s="105" t="n"/>
      <c r="CE106" s="142" t="n">
        <v>1</v>
      </c>
      <c r="CG106" s="142" t="n">
        <v>1</v>
      </c>
      <c r="CH106" s="105" t="n"/>
      <c r="CI106" s="105" t="n"/>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24">
        <f>+COUNTA(BV106:CY106)</f>
        <v/>
      </c>
      <c r="DA106" s="251" t="n"/>
      <c r="DB106" s="251" t="n"/>
      <c r="DC106" s="251" t="n"/>
      <c r="DD106" s="251" t="n"/>
      <c r="DE106" s="251" t="n"/>
      <c r="DF106" s="251" t="n"/>
      <c r="DG106" s="251" t="n"/>
      <c r="DH106" s="251" t="n"/>
      <c r="DI106" s="251" t="n"/>
      <c r="DJ106" s="251" t="inlineStr">
        <is>
          <t>M</t>
        </is>
      </c>
      <c r="DK106" s="251" t="n">
        <v>8</v>
      </c>
      <c r="DL106" s="95" t="n">
        <v>14</v>
      </c>
      <c r="DM106" s="251" t="n"/>
      <c r="DN106" s="95" t="n"/>
      <c r="DO106" s="95" t="n"/>
    </row>
    <row r="107" ht="13" customHeight="1">
      <c r="A107" s="203" t="inlineStr">
        <is>
          <t>AU-05</t>
        </is>
      </c>
      <c r="B107" s="305"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2" t="inlineStr">
        <is>
          <t>532MAAU</t>
        </is>
      </c>
      <c r="BL107" s="61" t="inlineStr">
        <is>
          <t>MINA</t>
        </is>
      </c>
      <c r="BM107" s="251" t="inlineStr">
        <is>
          <t>NF</t>
        </is>
      </c>
      <c r="BN107" s="337" t="inlineStr">
        <is>
          <t>Ujina</t>
        </is>
      </c>
      <c r="BO107" s="251" t="inlineStr">
        <is>
          <t>SI</t>
        </is>
      </c>
      <c r="BP107" s="106" t="inlineStr">
        <is>
          <t>AU-05 UJINA/NF</t>
        </is>
      </c>
      <c r="BQ107" s="106">
        <f>VLOOKUP(BP107,[1]AGUA!$1:$1048576,2,FALSE)</f>
        <v/>
      </c>
      <c r="BR107" s="106">
        <f>VLOOKUP(BP107,[1]AGUA!$1:$1048576,6,FALSE)</f>
        <v/>
      </c>
      <c r="BS107" s="106">
        <f>VLOOKUP(BP107,[1]AGUA!$1:$1048576,7,FALSE)</f>
        <v/>
      </c>
      <c r="BT107" s="106" t="n"/>
      <c r="BU107" s="186" t="inlineStr">
        <is>
          <t>no programar días lunes, martes, ni miercoles</t>
        </is>
      </c>
      <c r="BV107" s="105" t="n"/>
      <c r="BW107" s="105" t="n"/>
      <c r="BX107" s="105" t="n"/>
      <c r="BY107" s="105" t="n"/>
      <c r="BZ107" s="105" t="n"/>
      <c r="CA107" s="105" t="n"/>
      <c r="CB107" s="105" t="n"/>
      <c r="CC107" s="105" t="n"/>
      <c r="CD107" s="105" t="n"/>
      <c r="CE107" s="142" t="n">
        <v>1</v>
      </c>
      <c r="CG107" s="142" t="n">
        <v>1</v>
      </c>
      <c r="CH107" s="105" t="n"/>
      <c r="CI107" s="105" t="n"/>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24">
        <f>+COUNTA(BV107:CY107)</f>
        <v/>
      </c>
      <c r="DA107" s="251" t="n"/>
      <c r="DB107" s="251" t="n"/>
      <c r="DC107" s="251" t="n"/>
      <c r="DD107" s="251" t="n"/>
      <c r="DE107" s="251" t="n"/>
      <c r="DF107" s="251" t="n"/>
      <c r="DG107" s="251" t="n"/>
      <c r="DH107" s="251" t="n"/>
      <c r="DI107" s="251" t="n"/>
      <c r="DJ107" s="251" t="inlineStr">
        <is>
          <t>M</t>
        </is>
      </c>
      <c r="DK107" s="251" t="n">
        <v>8</v>
      </c>
      <c r="DL107" s="95" t="n">
        <v>14</v>
      </c>
      <c r="DM107" s="251" t="n"/>
      <c r="DN107" s="95" t="n"/>
      <c r="DO107" s="95" t="n"/>
    </row>
    <row r="108" ht="13" customHeight="1">
      <c r="A108" s="203" t="inlineStr">
        <is>
          <t>C-263</t>
        </is>
      </c>
      <c r="B108" s="305"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1" t="inlineStr">
        <is>
          <t>532MAC263</t>
        </is>
      </c>
      <c r="BL108" s="61" t="inlineStr">
        <is>
          <t>GMAP-SIGA</t>
        </is>
      </c>
      <c r="BM108" s="251" t="inlineStr">
        <is>
          <t>NF</t>
        </is>
      </c>
      <c r="BN108" s="337" t="inlineStr">
        <is>
          <t xml:space="preserve">Rosario </t>
        </is>
      </c>
      <c r="BO108" s="251"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24">
        <f>+COUNTA(BV108:CY108)</f>
        <v/>
      </c>
      <c r="DA108" s="251" t="n"/>
      <c r="DB108" s="251" t="n"/>
      <c r="DC108" s="251" t="n"/>
      <c r="DD108" s="251" t="n"/>
      <c r="DE108" s="251" t="n"/>
      <c r="DF108" s="251" t="n"/>
      <c r="DG108" s="251" t="n"/>
      <c r="DH108" s="251" t="n"/>
      <c r="DI108" s="251" t="n"/>
      <c r="DJ108" s="251" t="inlineStr">
        <is>
          <t>SE ELIMINA</t>
        </is>
      </c>
      <c r="DK108" s="251" t="n"/>
      <c r="DL108" s="95" t="n"/>
      <c r="DM108" s="251" t="n"/>
      <c r="DN108" s="95" t="n"/>
      <c r="DO108" s="95" t="n"/>
    </row>
    <row r="109" ht="13" customHeight="1">
      <c r="A109" s="203" t="inlineStr">
        <is>
          <t>CMA-01A</t>
        </is>
      </c>
      <c r="B109" s="305" t="inlineStr">
        <is>
          <t>CMA-01A JACHUCOPOSA</t>
        </is>
      </c>
      <c r="C109" s="251"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1" t="inlineStr">
        <is>
          <t>532MACMA</t>
        </is>
      </c>
      <c r="BL109" s="7" t="inlineStr">
        <is>
          <t>GMAP-SIGA</t>
        </is>
      </c>
      <c r="BM109" s="251" t="inlineStr">
        <is>
          <t>NF</t>
        </is>
      </c>
      <c r="BN109" s="337" t="inlineStr">
        <is>
          <t>Jachucoposa</t>
        </is>
      </c>
      <c r="BO109" s="251" t="inlineStr">
        <is>
          <t>SI</t>
        </is>
      </c>
      <c r="BP109" s="106" t="inlineStr">
        <is>
          <t>CMA-01A JACHUCOPOSA/NF</t>
        </is>
      </c>
      <c r="BQ109" s="106">
        <f>VLOOKUP(BP109,[1]AGUA!$1:$1048576,2,FALSE)</f>
        <v/>
      </c>
      <c r="BR109" s="106">
        <f>VLOOKUP(BP109,[1]AGUA!$1:$1048576,6,FALSE)</f>
        <v/>
      </c>
      <c r="BS109" s="106">
        <f>VLOOKUP(BP109,[1]AGUA!$1:$1048576,7,FALSE)</f>
        <v/>
      </c>
      <c r="BT109" s="106" t="n"/>
      <c r="BU109" s="253" t="n"/>
      <c r="BV109" s="105" t="n"/>
      <c r="BW109" s="105" t="n"/>
      <c r="BX109" s="105" t="n"/>
      <c r="BY109" s="105" t="n"/>
      <c r="BZ109" s="105" t="n"/>
      <c r="CA109" s="105" t="n"/>
      <c r="CC109" s="105" t="n"/>
      <c r="CE109" s="142" t="n">
        <v>1</v>
      </c>
      <c r="CF109" s="105" t="n"/>
      <c r="CG109" s="105" t="n"/>
      <c r="CH109" s="105" t="n"/>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24">
        <f>+COUNTA(BV109:CY109)</f>
        <v/>
      </c>
      <c r="DA109" s="251" t="n"/>
      <c r="DB109" s="251" t="n"/>
      <c r="DC109" s="251" t="n"/>
      <c r="DD109" s="251" t="n"/>
      <c r="DE109" s="251" t="n"/>
      <c r="DF109" s="251" t="n"/>
      <c r="DG109" s="251" t="n"/>
      <c r="DH109" s="251" t="n"/>
      <c r="DI109" s="251" t="n"/>
      <c r="DJ109" s="251" t="inlineStr">
        <is>
          <t>M</t>
        </is>
      </c>
      <c r="DK109" s="251" t="n">
        <v>8</v>
      </c>
      <c r="DL109" s="95" t="n">
        <v>14</v>
      </c>
      <c r="DM109" s="251" t="n"/>
      <c r="DN109" s="95" t="n"/>
      <c r="DO109" s="95" t="n"/>
    </row>
    <row r="110" ht="13" customHeight="1">
      <c r="A110" s="203" t="inlineStr">
        <is>
          <t>CMA-01A</t>
        </is>
      </c>
      <c r="B110" s="376" t="n"/>
      <c r="C110" s="376"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76" t="n"/>
      <c r="BL110" s="7" t="inlineStr">
        <is>
          <t>GMAP-SIGA</t>
        </is>
      </c>
      <c r="BM110" s="251" t="inlineStr">
        <is>
          <t>ASUB</t>
        </is>
      </c>
      <c r="BN110" s="337" t="inlineStr">
        <is>
          <t>Jachucoposa</t>
        </is>
      </c>
      <c r="BO110" s="251" t="inlineStr">
        <is>
          <t>SI</t>
        </is>
      </c>
      <c r="BP110" s="106" t="inlineStr">
        <is>
          <t>CMA-01A JACHUCOPOSA/ASUB</t>
        </is>
      </c>
      <c r="BQ110" s="106">
        <f>VLOOKUP(BP110,[1]AGUA!$1:$1048576,2,FALSE)</f>
        <v/>
      </c>
      <c r="BR110" s="106">
        <f>VLOOKUP(BP110,[1]AGUA!$1:$1048576,6,FALSE)</f>
        <v/>
      </c>
      <c r="BS110" s="106">
        <f>VLOOKUP(BP110,[1]AGUA!$1:$1048576,7,FALSE)</f>
        <v/>
      </c>
      <c r="BT110" s="106" t="n"/>
      <c r="BU110" s="377" t="n"/>
      <c r="BV110" s="105" t="n"/>
      <c r="BW110" s="105" t="n"/>
      <c r="BX110" s="105" t="n"/>
      <c r="BY110" s="105" t="n"/>
      <c r="BZ110" s="105" t="n"/>
      <c r="CA110" s="105" t="n"/>
      <c r="CB110" s="105" t="n"/>
      <c r="CC110" s="105" t="n"/>
      <c r="CD110" s="105" t="n"/>
      <c r="CE110" s="107" t="n">
        <v>1</v>
      </c>
      <c r="CF110" s="105" t="n"/>
      <c r="CG110" s="105" t="n"/>
      <c r="CH110" s="105"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24">
        <f>+COUNTA(BV110:CY110)</f>
        <v/>
      </c>
      <c r="DA110" s="251" t="n"/>
      <c r="DB110" s="251" t="n"/>
      <c r="DC110" s="251" t="n"/>
      <c r="DD110" s="251" t="n"/>
      <c r="DE110" s="251" t="n"/>
      <c r="DF110" s="251" t="n"/>
      <c r="DG110" s="251" t="n"/>
      <c r="DH110" s="251" t="n"/>
      <c r="DI110" s="251" t="n"/>
      <c r="DJ110" s="251" t="n"/>
      <c r="DK110" s="251" t="n"/>
      <c r="DL110" s="95" t="n"/>
      <c r="DM110" s="251" t="inlineStr">
        <is>
          <t>T</t>
        </is>
      </c>
      <c r="DN110" s="95" t="n">
        <v>8</v>
      </c>
      <c r="DO110" s="95" t="n">
        <v>14</v>
      </c>
    </row>
    <row r="111" ht="13" customHeight="1">
      <c r="A111" s="203" t="inlineStr">
        <is>
          <t>CMA-01B</t>
        </is>
      </c>
      <c r="B111" s="305" t="inlineStr">
        <is>
          <t>CMA-01B JACHUCOPOSA</t>
        </is>
      </c>
      <c r="C111" s="251"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1" t="inlineStr">
        <is>
          <t>532MACMA</t>
        </is>
      </c>
      <c r="BL111" s="7" t="inlineStr">
        <is>
          <t>GMAP-SIGA</t>
        </is>
      </c>
      <c r="BM111" s="251" t="inlineStr">
        <is>
          <t>NF</t>
        </is>
      </c>
      <c r="BN111" s="337" t="inlineStr">
        <is>
          <t>Jachucoposa</t>
        </is>
      </c>
      <c r="BO111" s="251" t="inlineStr">
        <is>
          <t>SI</t>
        </is>
      </c>
      <c r="BP111" s="106" t="inlineStr">
        <is>
          <t>CMA-01B JACHUCOPOSA/NF</t>
        </is>
      </c>
      <c r="BQ111" s="106">
        <f>VLOOKUP(BP111,[1]AGUA!$1:$1048576,2,FALSE)</f>
        <v/>
      </c>
      <c r="BR111" s="106">
        <f>VLOOKUP(BP111,[1]AGUA!$1:$1048576,6,FALSE)</f>
        <v/>
      </c>
      <c r="BS111" s="106">
        <f>VLOOKUP(BP111,[1]AGUA!$1:$1048576,7,FALSE)</f>
        <v/>
      </c>
      <c r="BT111" s="106" t="n"/>
      <c r="BU111" s="253" t="n"/>
      <c r="BV111" s="105" t="n"/>
      <c r="BW111" s="105" t="n"/>
      <c r="BX111" s="105" t="n"/>
      <c r="BY111" s="105" t="n"/>
      <c r="BZ111" s="105" t="n"/>
      <c r="CA111" s="105" t="n"/>
      <c r="CB111" s="105" t="n"/>
      <c r="CC111" s="105" t="n"/>
      <c r="CD111" s="105" t="n"/>
      <c r="CE111" s="142" t="n">
        <v>1</v>
      </c>
      <c r="CF111" s="105" t="n"/>
      <c r="CG111" s="105" t="n"/>
      <c r="CH111" s="105" t="n"/>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24">
        <f>+COUNTA(BV111:CY111)</f>
        <v/>
      </c>
      <c r="DA111" s="251" t="n"/>
      <c r="DB111" s="251" t="n"/>
      <c r="DC111" s="251" t="n"/>
      <c r="DD111" s="251" t="n"/>
      <c r="DE111" s="251" t="n"/>
      <c r="DF111" s="251" t="n"/>
      <c r="DG111" s="251" t="n"/>
      <c r="DH111" s="251" t="n"/>
      <c r="DI111" s="251" t="n"/>
      <c r="DJ111" s="251" t="inlineStr">
        <is>
          <t>M</t>
        </is>
      </c>
      <c r="DK111" s="251" t="n">
        <v>8</v>
      </c>
      <c r="DL111" s="95" t="n">
        <v>14</v>
      </c>
      <c r="DM111" s="251" t="n"/>
      <c r="DN111" s="95" t="n"/>
      <c r="DO111" s="95" t="n"/>
    </row>
    <row r="112" ht="13" customHeight="1">
      <c r="A112" s="203" t="inlineStr">
        <is>
          <t>CMA-01B</t>
        </is>
      </c>
      <c r="B112" s="376" t="n"/>
      <c r="C112" s="376"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76" t="n"/>
      <c r="BL112" s="7" t="inlineStr">
        <is>
          <t>GMAP-SIGA</t>
        </is>
      </c>
      <c r="BM112" s="251" t="inlineStr">
        <is>
          <t>ASUB</t>
        </is>
      </c>
      <c r="BN112" s="337" t="inlineStr">
        <is>
          <t>Jachucoposa</t>
        </is>
      </c>
      <c r="BO112" s="251" t="inlineStr">
        <is>
          <t>SI</t>
        </is>
      </c>
      <c r="BP112" s="106" t="inlineStr">
        <is>
          <t>CMA-01B JACHUCOPOSA/ASUB</t>
        </is>
      </c>
      <c r="BQ112" s="106">
        <f>VLOOKUP(BP112,[1]AGUA!$1:$1048576,2,FALSE)</f>
        <v/>
      </c>
      <c r="BR112" s="106">
        <f>VLOOKUP(BP112,[1]AGUA!$1:$1048576,6,FALSE)</f>
        <v/>
      </c>
      <c r="BS112" s="106">
        <f>VLOOKUP(BP112,[1]AGUA!$1:$1048576,7,FALSE)</f>
        <v/>
      </c>
      <c r="BT112" s="106" t="n"/>
      <c r="BU112" s="377" t="n"/>
      <c r="BV112" s="105" t="n"/>
      <c r="BW112" s="105" t="n"/>
      <c r="BX112" s="105" t="n"/>
      <c r="BY112" s="105" t="n"/>
      <c r="BZ112" s="105" t="n"/>
      <c r="CA112" s="105" t="n"/>
      <c r="CB112" s="105" t="n"/>
      <c r="CC112" s="105" t="n"/>
      <c r="CD112" s="105" t="n"/>
      <c r="CE112" s="107" t="n">
        <v>1</v>
      </c>
      <c r="CF112" s="105" t="n"/>
      <c r="CG112" s="105" t="n"/>
      <c r="CH112" s="105"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24">
        <f>+COUNTA(BV112:CY112)</f>
        <v/>
      </c>
      <c r="DA112" s="251" t="n"/>
      <c r="DB112" s="251" t="n"/>
      <c r="DC112" s="251" t="n"/>
      <c r="DD112" s="251" t="n"/>
      <c r="DE112" s="251" t="n"/>
      <c r="DF112" s="251" t="n"/>
      <c r="DG112" s="251" t="n"/>
      <c r="DH112" s="251" t="n"/>
      <c r="DI112" s="251" t="n"/>
      <c r="DJ112" s="251" t="n"/>
      <c r="DK112" s="251" t="n"/>
      <c r="DL112" s="95" t="n"/>
      <c r="DM112" s="251" t="inlineStr">
        <is>
          <t>T</t>
        </is>
      </c>
      <c r="DN112" s="95" t="n">
        <v>8</v>
      </c>
      <c r="DO112" s="95" t="n">
        <v>14</v>
      </c>
    </row>
    <row r="113" ht="13" customHeight="1">
      <c r="A113" s="203" t="inlineStr">
        <is>
          <t>CMA-02</t>
        </is>
      </c>
      <c r="B113" s="305" t="inlineStr">
        <is>
          <t>CMA-02 JACHUCOPOSA</t>
        </is>
      </c>
      <c r="C113" s="251"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1" t="inlineStr">
        <is>
          <t>532MACMA</t>
        </is>
      </c>
      <c r="BL113" s="7" t="inlineStr">
        <is>
          <t>GMAP-SIGA</t>
        </is>
      </c>
      <c r="BM113" s="251" t="inlineStr">
        <is>
          <t>NF</t>
        </is>
      </c>
      <c r="BN113" s="337" t="inlineStr">
        <is>
          <t>Jachucoposa</t>
        </is>
      </c>
      <c r="BO113" s="251" t="inlineStr">
        <is>
          <t>SI</t>
        </is>
      </c>
      <c r="BP113" s="106" t="inlineStr">
        <is>
          <t>CMA-02 JACHUCOPOSA/NF</t>
        </is>
      </c>
      <c r="BQ113" s="106">
        <f>VLOOKUP(BP113,[1]AGUA!$1:$1048576,2,FALSE)</f>
        <v/>
      </c>
      <c r="BR113" s="106">
        <f>VLOOKUP(BP113,[1]AGUA!$1:$1048576,6,FALSE)</f>
        <v/>
      </c>
      <c r="BS113" s="106">
        <f>VLOOKUP(BP113,[1]AGUA!$1:$1048576,7,FALSE)</f>
        <v/>
      </c>
      <c r="BT113" s="106" t="n"/>
      <c r="BU113" s="253" t="n"/>
      <c r="BV113" s="105" t="n"/>
      <c r="BW113" s="105" t="n"/>
      <c r="BX113" s="105" t="n"/>
      <c r="BY113" s="105" t="n"/>
      <c r="BZ113" s="105" t="n"/>
      <c r="CA113" s="105" t="n"/>
      <c r="CB113" s="105" t="n"/>
      <c r="CC113" s="105" t="n"/>
      <c r="CD113" s="105" t="n"/>
      <c r="CE113" s="142" t="n">
        <v>1</v>
      </c>
      <c r="CF113" s="105" t="n"/>
      <c r="CG113" s="105" t="n"/>
      <c r="CH113" s="105" t="n"/>
      <c r="CI113" s="105" t="n"/>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24">
        <f>+COUNTA(BV113:CY113)</f>
        <v/>
      </c>
      <c r="DA113" s="251" t="n"/>
      <c r="DB113" s="251" t="n"/>
      <c r="DC113" s="251" t="n"/>
      <c r="DD113" s="251" t="n"/>
      <c r="DE113" s="251" t="n"/>
      <c r="DF113" s="251" t="n"/>
      <c r="DG113" s="251" t="n"/>
      <c r="DH113" s="251" t="n"/>
      <c r="DI113" s="251" t="n"/>
      <c r="DJ113" s="251" t="inlineStr">
        <is>
          <t>M</t>
        </is>
      </c>
      <c r="DK113" s="251" t="n">
        <v>8</v>
      </c>
      <c r="DL113" s="95" t="n">
        <v>14</v>
      </c>
      <c r="DM113" s="251" t="n"/>
      <c r="DN113" s="95" t="n"/>
      <c r="DO113" s="95" t="n"/>
    </row>
    <row r="114" ht="13" customHeight="1">
      <c r="A114" s="203" t="inlineStr">
        <is>
          <t>CMA-02</t>
        </is>
      </c>
      <c r="B114" s="376" t="n"/>
      <c r="C114" s="376"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76" t="n"/>
      <c r="BL114" s="7" t="inlineStr">
        <is>
          <t>GMAP-SIGA</t>
        </is>
      </c>
      <c r="BM114" s="251" t="inlineStr">
        <is>
          <t>ASUB</t>
        </is>
      </c>
      <c r="BN114" s="337" t="inlineStr">
        <is>
          <t>Jachucoposa</t>
        </is>
      </c>
      <c r="BO114" s="251" t="inlineStr">
        <is>
          <t>SI</t>
        </is>
      </c>
      <c r="BP114" s="106" t="inlineStr">
        <is>
          <t>CMA-02 JACHUCOPOSA/ASUB</t>
        </is>
      </c>
      <c r="BQ114" s="106">
        <f>VLOOKUP(BP114,[1]AGUA!$1:$1048576,2,FALSE)</f>
        <v/>
      </c>
      <c r="BR114" s="106">
        <f>VLOOKUP(BP114,[1]AGUA!$1:$1048576,6,FALSE)</f>
        <v/>
      </c>
      <c r="BS114" s="106">
        <f>VLOOKUP(BP114,[1]AGUA!$1:$1048576,7,FALSE)</f>
        <v/>
      </c>
      <c r="BT114" s="106" t="n"/>
      <c r="BU114" s="377" t="n"/>
      <c r="BV114" s="105" t="n"/>
      <c r="BW114" s="105" t="n"/>
      <c r="BX114" s="105" t="n"/>
      <c r="BY114" s="105" t="n"/>
      <c r="BZ114" s="105" t="n"/>
      <c r="CA114" s="105" t="n"/>
      <c r="CB114" s="105" t="n"/>
      <c r="CC114" s="105" t="n"/>
      <c r="CD114" s="105" t="n"/>
      <c r="CE114" s="107" t="n">
        <v>1</v>
      </c>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24">
        <f>+COUNTA(BV114:CY114)</f>
        <v/>
      </c>
      <c r="DA114" s="251" t="n"/>
      <c r="DB114" s="251" t="n"/>
      <c r="DC114" s="251" t="n"/>
      <c r="DD114" s="251" t="n"/>
      <c r="DE114" s="251" t="n"/>
      <c r="DF114" s="251" t="n"/>
      <c r="DG114" s="251" t="n"/>
      <c r="DH114" s="251" t="n"/>
      <c r="DI114" s="251" t="n"/>
      <c r="DJ114" s="251" t="n"/>
      <c r="DK114" s="251" t="n"/>
      <c r="DL114" s="95" t="n"/>
      <c r="DM114" s="251" t="inlineStr">
        <is>
          <t>T</t>
        </is>
      </c>
      <c r="DN114" s="95" t="n">
        <v>8</v>
      </c>
      <c r="DO114" s="95" t="n">
        <v>14</v>
      </c>
    </row>
    <row r="115" ht="13" customHeight="1">
      <c r="A115" s="203" t="inlineStr">
        <is>
          <t>CMA-03</t>
        </is>
      </c>
      <c r="B115" s="305" t="inlineStr">
        <is>
          <t>CMA-03 JACHUCOPOSA</t>
        </is>
      </c>
      <c r="C115" s="251"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1" t="inlineStr">
        <is>
          <t>532MACMA</t>
        </is>
      </c>
      <c r="BL115" s="7" t="inlineStr">
        <is>
          <t>GMAP-SIGA</t>
        </is>
      </c>
      <c r="BM115" s="251" t="inlineStr">
        <is>
          <t>NF</t>
        </is>
      </c>
      <c r="BN115" s="337" t="inlineStr">
        <is>
          <t>Jachucoposa</t>
        </is>
      </c>
      <c r="BO115" s="251" t="inlineStr">
        <is>
          <t>SI</t>
        </is>
      </c>
      <c r="BP115" s="106" t="inlineStr">
        <is>
          <t>CMA-03 JACHUCOPOSA/NF</t>
        </is>
      </c>
      <c r="BQ115" s="106">
        <f>VLOOKUP(BP115,[1]AGUA!$1:$1048576,2,FALSE)</f>
        <v/>
      </c>
      <c r="BR115" s="106">
        <f>VLOOKUP(BP115,[1]AGUA!$1:$1048576,6,FALSE)</f>
        <v/>
      </c>
      <c r="BS115" s="106">
        <f>VLOOKUP(BP115,[1]AGUA!$1:$1048576,7,FALSE)</f>
        <v/>
      </c>
      <c r="BT115" s="106" t="n"/>
      <c r="BU115" s="253" t="n"/>
      <c r="BV115" s="105" t="n"/>
      <c r="BW115" s="105" t="n"/>
      <c r="BX115" s="105" t="n"/>
      <c r="BY115" s="105" t="n"/>
      <c r="BZ115" s="105" t="n"/>
      <c r="CA115" s="105" t="n"/>
      <c r="CB115" s="105" t="n"/>
      <c r="CC115" s="105" t="n"/>
      <c r="CD115" s="105" t="n"/>
      <c r="CE115" s="142" t="n">
        <v>1</v>
      </c>
      <c r="CF115" s="105" t="n"/>
      <c r="CG115" s="105" t="n"/>
      <c r="CH115" s="105" t="n"/>
      <c r="CI115" s="105" t="n"/>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24">
        <f>+COUNTA(BV115:CY115)</f>
        <v/>
      </c>
      <c r="DA115" s="251" t="n"/>
      <c r="DB115" s="251" t="n"/>
      <c r="DC115" s="251" t="n"/>
      <c r="DD115" s="251" t="n"/>
      <c r="DE115" s="251" t="n"/>
      <c r="DF115" s="251" t="n"/>
      <c r="DG115" s="251" t="n"/>
      <c r="DH115" s="251" t="n"/>
      <c r="DI115" s="251" t="n"/>
      <c r="DJ115" s="251" t="inlineStr">
        <is>
          <t>M</t>
        </is>
      </c>
      <c r="DK115" s="251" t="n">
        <v>8</v>
      </c>
      <c r="DL115" s="95" t="n">
        <v>14</v>
      </c>
      <c r="DM115" s="251" t="n"/>
      <c r="DN115" s="95" t="n"/>
      <c r="DO115" s="95" t="n"/>
    </row>
    <row r="116" ht="13" customHeight="1">
      <c r="A116" s="203" t="inlineStr">
        <is>
          <t>CMA-03</t>
        </is>
      </c>
      <c r="B116" s="376" t="n"/>
      <c r="C116" s="376"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76" t="n"/>
      <c r="BL116" s="7" t="inlineStr">
        <is>
          <t>GMAP-SIGA</t>
        </is>
      </c>
      <c r="BM116" s="251" t="inlineStr">
        <is>
          <t>ASUB</t>
        </is>
      </c>
      <c r="BN116" s="337" t="inlineStr">
        <is>
          <t>Jachucoposa</t>
        </is>
      </c>
      <c r="BO116" s="251" t="inlineStr">
        <is>
          <t>SI</t>
        </is>
      </c>
      <c r="BP116" s="106" t="inlineStr">
        <is>
          <t>CMA-03 JACHUCOPOSA/ASUB</t>
        </is>
      </c>
      <c r="BQ116" s="106">
        <f>VLOOKUP(BP116,[1]AGUA!$1:$1048576,2,FALSE)</f>
        <v/>
      </c>
      <c r="BR116" s="106">
        <f>VLOOKUP(BP116,[1]AGUA!$1:$1048576,6,FALSE)</f>
        <v/>
      </c>
      <c r="BS116" s="106">
        <f>VLOOKUP(BP116,[1]AGUA!$1:$1048576,7,FALSE)</f>
        <v/>
      </c>
      <c r="BT116" s="106" t="n"/>
      <c r="BU116" s="377" t="n"/>
      <c r="BV116" s="105" t="n"/>
      <c r="BW116" s="105" t="n"/>
      <c r="BX116" s="105" t="n"/>
      <c r="BY116" s="105" t="n"/>
      <c r="BZ116" s="105" t="n"/>
      <c r="CA116" s="105" t="n"/>
      <c r="CB116" s="105" t="n"/>
      <c r="CC116" s="105" t="n"/>
      <c r="CD116" s="105" t="n"/>
      <c r="CE116" s="107" t="n">
        <v>1</v>
      </c>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24">
        <f>+COUNTA(BV116:CY116)</f>
        <v/>
      </c>
      <c r="DA116" s="251" t="n"/>
      <c r="DB116" s="251" t="n"/>
      <c r="DC116" s="251" t="n"/>
      <c r="DD116" s="251" t="n"/>
      <c r="DE116" s="251" t="n"/>
      <c r="DF116" s="251" t="n"/>
      <c r="DG116" s="251" t="n"/>
      <c r="DH116" s="251" t="n"/>
      <c r="DI116" s="251" t="n"/>
      <c r="DJ116" s="251" t="n"/>
      <c r="DK116" s="251" t="n"/>
      <c r="DL116" s="95" t="n"/>
      <c r="DM116" s="251" t="inlineStr">
        <is>
          <t>T</t>
        </is>
      </c>
      <c r="DN116" s="95" t="n">
        <v>8</v>
      </c>
      <c r="DO116" s="95" t="n">
        <v>14</v>
      </c>
    </row>
    <row r="117" ht="13" customHeight="1">
      <c r="A117" s="203" t="inlineStr">
        <is>
          <t>CMA-04</t>
        </is>
      </c>
      <c r="B117" s="305" t="inlineStr">
        <is>
          <t>CMA-04 JACHUCOPOSA</t>
        </is>
      </c>
      <c r="C117" s="251"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1" t="inlineStr">
        <is>
          <t>532MACMA</t>
        </is>
      </c>
      <c r="BL117" s="7" t="inlineStr">
        <is>
          <t>GMAP-SIGA</t>
        </is>
      </c>
      <c r="BM117" s="251" t="inlineStr">
        <is>
          <t>NF</t>
        </is>
      </c>
      <c r="BN117" s="337" t="inlineStr">
        <is>
          <t>Jachucoposa</t>
        </is>
      </c>
      <c r="BO117" s="251" t="inlineStr">
        <is>
          <t>SI</t>
        </is>
      </c>
      <c r="BP117" s="106" t="inlineStr">
        <is>
          <t>CMA-04 JACHUCOPOSA/NF</t>
        </is>
      </c>
      <c r="BQ117" s="106">
        <f>VLOOKUP(BP117,[1]AGUA!$1:$1048576,2,FALSE)</f>
        <v/>
      </c>
      <c r="BR117" s="106">
        <f>VLOOKUP(BP117,[1]AGUA!$1:$1048576,6,FALSE)</f>
        <v/>
      </c>
      <c r="BS117" s="106">
        <f>VLOOKUP(BP117,[1]AGUA!$1:$1048576,7,FALSE)</f>
        <v/>
      </c>
      <c r="BT117" s="106" t="n"/>
      <c r="BU117" s="253" t="n"/>
      <c r="BV117" s="105" t="n"/>
      <c r="BW117" s="105" t="n"/>
      <c r="BX117" s="105" t="n"/>
      <c r="BY117" s="105" t="n"/>
      <c r="BZ117" s="105" t="n"/>
      <c r="CA117" s="105" t="n"/>
      <c r="CB117" s="105" t="n"/>
      <c r="CC117" s="105" t="n"/>
      <c r="CD117" s="105" t="n"/>
      <c r="CE117" s="142" t="n">
        <v>1</v>
      </c>
      <c r="CF117" s="105" t="n"/>
      <c r="CG117" s="105" t="n"/>
      <c r="CH117" s="105" t="n"/>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24">
        <f>+COUNTA(BV117:CY117)</f>
        <v/>
      </c>
      <c r="DA117" s="251" t="n"/>
      <c r="DB117" s="251" t="n"/>
      <c r="DC117" s="251" t="n"/>
      <c r="DD117" s="251" t="n"/>
      <c r="DE117" s="251" t="n"/>
      <c r="DF117" s="251" t="n"/>
      <c r="DG117" s="251" t="n"/>
      <c r="DH117" s="251" t="n"/>
      <c r="DI117" s="251" t="n"/>
      <c r="DJ117" s="251" t="inlineStr">
        <is>
          <t>M</t>
        </is>
      </c>
      <c r="DK117" s="251" t="n">
        <v>8</v>
      </c>
      <c r="DL117" s="95" t="n">
        <v>14</v>
      </c>
      <c r="DM117" s="251" t="n"/>
      <c r="DN117" s="95" t="n"/>
      <c r="DO117" s="95" t="n"/>
    </row>
    <row r="118" ht="13" customHeight="1">
      <c r="A118" s="203" t="inlineStr">
        <is>
          <t>CMA-04</t>
        </is>
      </c>
      <c r="B118" s="376" t="n"/>
      <c r="C118" s="376"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76" t="n"/>
      <c r="BL118" s="7" t="inlineStr">
        <is>
          <t>GMAP-SIGA</t>
        </is>
      </c>
      <c r="BM118" s="251" t="inlineStr">
        <is>
          <t>ASUB</t>
        </is>
      </c>
      <c r="BN118" s="337" t="inlineStr">
        <is>
          <t>Jachucoposa</t>
        </is>
      </c>
      <c r="BO118" s="251" t="inlineStr">
        <is>
          <t>SI</t>
        </is>
      </c>
      <c r="BP118" s="106" t="inlineStr">
        <is>
          <t>CMA-04 JACHUCOPOSA/ASUB</t>
        </is>
      </c>
      <c r="BQ118" s="106">
        <f>VLOOKUP(BP118,[1]AGUA!$1:$1048576,2,FALSE)</f>
        <v/>
      </c>
      <c r="BR118" s="106">
        <f>VLOOKUP(BP118,[1]AGUA!$1:$1048576,6,FALSE)</f>
        <v/>
      </c>
      <c r="BS118" s="106">
        <f>VLOOKUP(BP118,[1]AGUA!$1:$1048576,7,FALSE)</f>
        <v/>
      </c>
      <c r="BT118" s="106" t="n"/>
      <c r="BU118" s="377" t="n"/>
      <c r="BV118" s="105" t="n"/>
      <c r="BW118" s="105" t="n"/>
      <c r="BX118" s="105" t="n"/>
      <c r="BY118" s="105" t="n"/>
      <c r="BZ118" s="105" t="n"/>
      <c r="CA118" s="105" t="n"/>
      <c r="CB118" s="105" t="n"/>
      <c r="CC118" s="105" t="n"/>
      <c r="CD118" s="105" t="n"/>
      <c r="CE118" s="107" t="n">
        <v>1</v>
      </c>
      <c r="CF118" s="105" t="n"/>
      <c r="CG118" s="105" t="n"/>
      <c r="CH118" s="105"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24">
        <f>+COUNTA(BV118:CY118)</f>
        <v/>
      </c>
      <c r="DA118" s="251" t="n"/>
      <c r="DB118" s="251" t="n"/>
      <c r="DC118" s="251" t="n"/>
      <c r="DD118" s="251" t="n"/>
      <c r="DE118" s="251" t="n"/>
      <c r="DF118" s="251" t="n"/>
      <c r="DG118" s="251" t="n"/>
      <c r="DH118" s="251" t="n"/>
      <c r="DI118" s="251" t="n"/>
      <c r="DJ118" s="251" t="n"/>
      <c r="DK118" s="251" t="n"/>
      <c r="DL118" s="95" t="n"/>
      <c r="DM118" s="251" t="inlineStr">
        <is>
          <t>T</t>
        </is>
      </c>
      <c r="DN118" s="95" t="n">
        <v>8</v>
      </c>
      <c r="DO118" s="95" t="n">
        <v>14</v>
      </c>
    </row>
    <row r="119" ht="13" customHeight="1">
      <c r="A119" s="203" t="inlineStr">
        <is>
          <t>CMA-05</t>
        </is>
      </c>
      <c r="B119" s="305" t="inlineStr">
        <is>
          <t>CMA-05 JACHUCOPOSA</t>
        </is>
      </c>
      <c r="C119" s="251"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1" t="inlineStr">
        <is>
          <t>532MACMA</t>
        </is>
      </c>
      <c r="BL119" s="7" t="inlineStr">
        <is>
          <t>GMAP-SIGA</t>
        </is>
      </c>
      <c r="BM119" s="251" t="inlineStr">
        <is>
          <t>NF</t>
        </is>
      </c>
      <c r="BN119" s="337" t="inlineStr">
        <is>
          <t>Jachucoposa</t>
        </is>
      </c>
      <c r="BO119" s="251" t="inlineStr">
        <is>
          <t>SI</t>
        </is>
      </c>
      <c r="BP119" s="106" t="inlineStr">
        <is>
          <t>CMA-05 JACHUCOPOSA/NF</t>
        </is>
      </c>
      <c r="BQ119" s="106">
        <f>VLOOKUP(BP119,[1]AGUA!$1:$1048576,2,FALSE)</f>
        <v/>
      </c>
      <c r="BR119" s="106">
        <f>VLOOKUP(BP119,[1]AGUA!$1:$1048576,6,FALSE)</f>
        <v/>
      </c>
      <c r="BS119" s="106">
        <f>VLOOKUP(BP119,[1]AGUA!$1:$1048576,7,FALSE)</f>
        <v/>
      </c>
      <c r="BT119" s="106" t="n"/>
      <c r="BU119" s="253" t="n"/>
      <c r="BV119" s="105" t="n"/>
      <c r="BW119" s="105" t="n"/>
      <c r="BX119" s="105" t="n"/>
      <c r="BY119" s="105" t="n"/>
      <c r="BZ119" s="105" t="n"/>
      <c r="CA119" s="105" t="n"/>
      <c r="CB119" s="105" t="n"/>
      <c r="CC119" s="105" t="n"/>
      <c r="CD119" s="105" t="n"/>
      <c r="CE119" s="142" t="n">
        <v>1</v>
      </c>
      <c r="CF119" s="105" t="n"/>
      <c r="CG119" s="105" t="n"/>
      <c r="CH119" s="105" t="n"/>
      <c r="CI119" s="105" t="n"/>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24">
        <f>+COUNTA(BV119:CY119)</f>
        <v/>
      </c>
      <c r="DA119" s="251" t="n"/>
      <c r="DB119" s="251" t="n"/>
      <c r="DC119" s="251" t="n"/>
      <c r="DD119" s="251" t="n"/>
      <c r="DE119" s="251" t="n"/>
      <c r="DF119" s="251" t="n"/>
      <c r="DG119" s="251" t="n"/>
      <c r="DH119" s="251" t="n"/>
      <c r="DI119" s="251" t="n"/>
      <c r="DJ119" s="251" t="inlineStr">
        <is>
          <t>M</t>
        </is>
      </c>
      <c r="DK119" s="251" t="n">
        <v>8</v>
      </c>
      <c r="DL119" s="95" t="n">
        <v>14</v>
      </c>
      <c r="DM119" s="251" t="n"/>
      <c r="DN119" s="95" t="n"/>
      <c r="DO119" s="95" t="n"/>
    </row>
    <row r="120" ht="13" customHeight="1">
      <c r="A120" s="203" t="inlineStr">
        <is>
          <t>CMA-05</t>
        </is>
      </c>
      <c r="B120" s="376" t="n"/>
      <c r="C120" s="376"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76" t="n"/>
      <c r="BL120" s="7" t="inlineStr">
        <is>
          <t>GMAP-SIGA</t>
        </is>
      </c>
      <c r="BM120" s="251" t="inlineStr">
        <is>
          <t>ASUB</t>
        </is>
      </c>
      <c r="BN120" s="337" t="inlineStr">
        <is>
          <t>Jachucoposa</t>
        </is>
      </c>
      <c r="BO120" s="251" t="inlineStr">
        <is>
          <t>SI</t>
        </is>
      </c>
      <c r="BP120" s="106" t="inlineStr">
        <is>
          <t>CMA-05 JACHUCOPOSA/ASUB</t>
        </is>
      </c>
      <c r="BQ120" s="106">
        <f>VLOOKUP(BP120,[1]AGUA!$1:$1048576,2,FALSE)</f>
        <v/>
      </c>
      <c r="BR120" s="106">
        <f>VLOOKUP(BP120,[1]AGUA!$1:$1048576,6,FALSE)</f>
        <v/>
      </c>
      <c r="BS120" s="106">
        <f>VLOOKUP(BP120,[1]AGUA!$1:$1048576,7,FALSE)</f>
        <v/>
      </c>
      <c r="BT120" s="106" t="n"/>
      <c r="BU120" s="377" t="n"/>
      <c r="BV120" s="105" t="n"/>
      <c r="BW120" s="105" t="n"/>
      <c r="BX120" s="105" t="n"/>
      <c r="BY120" s="105" t="n"/>
      <c r="BZ120" s="105" t="n"/>
      <c r="CA120" s="105" t="n"/>
      <c r="CB120" s="105" t="n"/>
      <c r="CC120" s="105" t="n"/>
      <c r="CD120" s="105" t="n"/>
      <c r="CE120" s="107" t="n">
        <v>1</v>
      </c>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24">
        <f>+COUNTA(BV120:CY120)</f>
        <v/>
      </c>
      <c r="DA120" s="251" t="n"/>
      <c r="DB120" s="251" t="n"/>
      <c r="DC120" s="251" t="n"/>
      <c r="DD120" s="251" t="n"/>
      <c r="DE120" s="251" t="n"/>
      <c r="DF120" s="251" t="n"/>
      <c r="DG120" s="251" t="n"/>
      <c r="DH120" s="251" t="n"/>
      <c r="DI120" s="251" t="n"/>
      <c r="DJ120" s="251" t="n"/>
      <c r="DK120" s="251" t="n"/>
      <c r="DL120" s="95" t="n"/>
      <c r="DM120" s="251" t="inlineStr">
        <is>
          <t>T</t>
        </is>
      </c>
      <c r="DN120" s="95" t="n">
        <v>8</v>
      </c>
      <c r="DO120" s="95" t="n">
        <v>14</v>
      </c>
    </row>
    <row r="121" ht="13" customHeight="1">
      <c r="A121" s="203" t="inlineStr">
        <is>
          <t>CMA-06</t>
        </is>
      </c>
      <c r="B121" s="305" t="inlineStr">
        <is>
          <t>CMA-06 JACHUCOPOSA</t>
        </is>
      </c>
      <c r="C121" s="251"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1" t="inlineStr">
        <is>
          <t>532MACMA</t>
        </is>
      </c>
      <c r="BL121" s="7" t="inlineStr">
        <is>
          <t>GMAP-SIGA</t>
        </is>
      </c>
      <c r="BM121" s="251" t="inlineStr">
        <is>
          <t>NF</t>
        </is>
      </c>
      <c r="BN121" s="337" t="inlineStr">
        <is>
          <t>Jachucoposa</t>
        </is>
      </c>
      <c r="BO121" s="251" t="inlineStr">
        <is>
          <t>SI</t>
        </is>
      </c>
      <c r="BP121" s="106" t="inlineStr">
        <is>
          <t>CMA-06 JACHUCOPOSA/NF</t>
        </is>
      </c>
      <c r="BQ121" s="106">
        <f>VLOOKUP(BP121,[1]AGUA!$1:$1048576,2,FALSE)</f>
        <v/>
      </c>
      <c r="BR121" s="106">
        <f>VLOOKUP(BP121,[1]AGUA!$1:$1048576,6,FALSE)</f>
        <v/>
      </c>
      <c r="BS121" s="106">
        <f>VLOOKUP(BP121,[1]AGUA!$1:$1048576,7,FALSE)</f>
        <v/>
      </c>
      <c r="BT121" s="106" t="n"/>
      <c r="BU121" s="253" t="n"/>
      <c r="BV121" s="105" t="n"/>
      <c r="BW121" s="105" t="n"/>
      <c r="BX121" s="105" t="n"/>
      <c r="BY121" s="105" t="n"/>
      <c r="BZ121" s="105" t="n"/>
      <c r="CA121" s="105" t="n"/>
      <c r="CB121" s="105" t="n"/>
      <c r="CC121" s="105" t="n"/>
      <c r="CD121" s="105" t="n"/>
      <c r="CE121" s="142" t="n">
        <v>1</v>
      </c>
      <c r="CF121" s="105" t="n"/>
      <c r="CG121" s="105" t="n"/>
      <c r="CH121" s="105" t="n"/>
      <c r="CI121" s="105" t="n"/>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24">
        <f>+COUNTA(BV121:CY121)</f>
        <v/>
      </c>
      <c r="DA121" s="251" t="n"/>
      <c r="DB121" s="251" t="n"/>
      <c r="DC121" s="251" t="n"/>
      <c r="DD121" s="251" t="n"/>
      <c r="DE121" s="251" t="n"/>
      <c r="DF121" s="251" t="n"/>
      <c r="DG121" s="251" t="n"/>
      <c r="DH121" s="251" t="n"/>
      <c r="DI121" s="251" t="n"/>
      <c r="DJ121" s="251" t="inlineStr">
        <is>
          <t>M</t>
        </is>
      </c>
      <c r="DK121" s="251" t="n">
        <v>8</v>
      </c>
      <c r="DL121" s="95" t="n">
        <v>14</v>
      </c>
      <c r="DM121" s="251" t="n"/>
      <c r="DN121" s="95" t="n"/>
      <c r="DO121" s="95" t="n"/>
    </row>
    <row r="122" ht="13" customHeight="1">
      <c r="A122" s="203" t="inlineStr">
        <is>
          <t>CMA-06</t>
        </is>
      </c>
      <c r="B122" s="376" t="n"/>
      <c r="C122" s="376"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76" t="n"/>
      <c r="BL122" s="7" t="inlineStr">
        <is>
          <t>GMAP-SIGA</t>
        </is>
      </c>
      <c r="BM122" s="251" t="inlineStr">
        <is>
          <t>ASUB</t>
        </is>
      </c>
      <c r="BN122" s="337" t="inlineStr">
        <is>
          <t>Jachucoposa</t>
        </is>
      </c>
      <c r="BO122" s="251" t="inlineStr">
        <is>
          <t>SI</t>
        </is>
      </c>
      <c r="BP122" s="106" t="inlineStr">
        <is>
          <t>CMA-06 JACHUCOPOSA/ASUB</t>
        </is>
      </c>
      <c r="BQ122" s="106">
        <f>VLOOKUP(BP122,[1]AGUA!$1:$1048576,2,FALSE)</f>
        <v/>
      </c>
      <c r="BR122" s="106">
        <f>VLOOKUP(BP122,[1]AGUA!$1:$1048576,6,FALSE)</f>
        <v/>
      </c>
      <c r="BS122" s="106">
        <f>VLOOKUP(BP122,[1]AGUA!$1:$1048576,7,FALSE)</f>
        <v/>
      </c>
      <c r="BT122" s="106" t="n"/>
      <c r="BU122" s="377" t="n"/>
      <c r="BV122" s="105" t="n"/>
      <c r="BW122" s="105" t="n"/>
      <c r="BX122" s="105" t="n"/>
      <c r="BY122" s="105" t="n"/>
      <c r="BZ122" s="105" t="n"/>
      <c r="CA122" s="105" t="n"/>
      <c r="CB122" s="105" t="n"/>
      <c r="CC122" s="105" t="n"/>
      <c r="CD122" s="105" t="n"/>
      <c r="CE122" s="107" t="n">
        <v>1</v>
      </c>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24">
        <f>+COUNTA(BV122:CY122)</f>
        <v/>
      </c>
      <c r="DA122" s="251" t="n"/>
      <c r="DB122" s="251" t="n"/>
      <c r="DC122" s="251" t="n"/>
      <c r="DD122" s="251" t="n"/>
      <c r="DE122" s="251" t="n"/>
      <c r="DF122" s="251" t="n"/>
      <c r="DG122" s="251" t="n"/>
      <c r="DH122" s="251" t="n"/>
      <c r="DI122" s="251" t="n"/>
      <c r="DJ122" s="251" t="n"/>
      <c r="DK122" s="251" t="n"/>
      <c r="DL122" s="95" t="n"/>
      <c r="DM122" s="251" t="inlineStr">
        <is>
          <t>T</t>
        </is>
      </c>
      <c r="DN122" s="95" t="n">
        <v>8</v>
      </c>
      <c r="DO122" s="95" t="n">
        <v>14</v>
      </c>
    </row>
    <row r="123" ht="13" customHeight="1">
      <c r="A123" s="203" t="inlineStr">
        <is>
          <t>CMA-07</t>
        </is>
      </c>
      <c r="B123" s="305" t="inlineStr">
        <is>
          <t>CMA-07 JACHUCOPOSA</t>
        </is>
      </c>
      <c r="C123" s="251"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1" t="inlineStr">
        <is>
          <t>532MACMA</t>
        </is>
      </c>
      <c r="BL123" s="7" t="inlineStr">
        <is>
          <t>GMAP-SIGA</t>
        </is>
      </c>
      <c r="BM123" s="251" t="inlineStr">
        <is>
          <t>NF</t>
        </is>
      </c>
      <c r="BN123" s="337" t="inlineStr">
        <is>
          <t>Jachucoposa</t>
        </is>
      </c>
      <c r="BO123" s="251" t="inlineStr">
        <is>
          <t>SI</t>
        </is>
      </c>
      <c r="BP123" s="106" t="inlineStr">
        <is>
          <t>CMA-07 JACHUCOPOSA/NF</t>
        </is>
      </c>
      <c r="BQ123" s="106">
        <f>VLOOKUP(BP123,[1]AGUA!$1:$1048576,2,FALSE)</f>
        <v/>
      </c>
      <c r="BR123" s="106">
        <f>VLOOKUP(BP123,[1]AGUA!$1:$1048576,6,FALSE)</f>
        <v/>
      </c>
      <c r="BS123" s="106">
        <f>VLOOKUP(BP123,[1]AGUA!$1:$1048576,7,FALSE)</f>
        <v/>
      </c>
      <c r="BT123" s="106" t="n"/>
      <c r="BU123" s="253" t="n"/>
      <c r="BV123" s="105" t="n"/>
      <c r="BW123" s="105" t="n"/>
      <c r="BX123" s="105" t="n"/>
      <c r="BY123" s="105" t="n"/>
      <c r="BZ123" s="105" t="n"/>
      <c r="CA123" s="105" t="n"/>
      <c r="CB123" s="105" t="n"/>
      <c r="CC123" s="105" t="n"/>
      <c r="CD123" s="105" t="n"/>
      <c r="CE123" s="142" t="n">
        <v>1</v>
      </c>
      <c r="CF123" s="105" t="n"/>
      <c r="CG123" s="105" t="n"/>
      <c r="CH123" s="105" t="n"/>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24">
        <f>+COUNTA(BV123:CY123)</f>
        <v/>
      </c>
      <c r="DA123" s="251" t="n"/>
      <c r="DB123" s="251" t="n"/>
      <c r="DC123" s="251" t="n"/>
      <c r="DD123" s="251" t="n"/>
      <c r="DE123" s="251" t="n"/>
      <c r="DF123" s="251" t="n"/>
      <c r="DG123" s="251" t="n"/>
      <c r="DH123" s="251" t="n"/>
      <c r="DI123" s="251" t="n"/>
      <c r="DJ123" s="251" t="inlineStr">
        <is>
          <t>M</t>
        </is>
      </c>
      <c r="DK123" s="251" t="n">
        <v>8</v>
      </c>
      <c r="DL123" s="95" t="n">
        <v>14</v>
      </c>
      <c r="DM123" s="251" t="n"/>
      <c r="DN123" s="95" t="n"/>
      <c r="DO123" s="95" t="n"/>
    </row>
    <row r="124" ht="13" customHeight="1">
      <c r="A124" s="203" t="inlineStr">
        <is>
          <t>CMA-07</t>
        </is>
      </c>
      <c r="B124" s="376" t="n"/>
      <c r="C124" s="376"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76" t="n"/>
      <c r="BL124" s="7" t="inlineStr">
        <is>
          <t>GMAP-SIGA</t>
        </is>
      </c>
      <c r="BM124" s="251" t="inlineStr">
        <is>
          <t>ASUB</t>
        </is>
      </c>
      <c r="BN124" s="337" t="inlineStr">
        <is>
          <t>Jachucoposa</t>
        </is>
      </c>
      <c r="BO124" s="251" t="inlineStr">
        <is>
          <t>SI</t>
        </is>
      </c>
      <c r="BP124" s="106" t="inlineStr">
        <is>
          <t>CMA-07 JACHUCOPOSA/ASUB</t>
        </is>
      </c>
      <c r="BQ124" s="106">
        <f>VLOOKUP(BP124,[1]AGUA!$1:$1048576,2,FALSE)</f>
        <v/>
      </c>
      <c r="BR124" s="106">
        <f>VLOOKUP(BP124,[1]AGUA!$1:$1048576,6,FALSE)</f>
        <v/>
      </c>
      <c r="BS124" s="106">
        <f>VLOOKUP(BP124,[1]AGUA!$1:$1048576,7,FALSE)</f>
        <v/>
      </c>
      <c r="BT124" s="106" t="n"/>
      <c r="BU124" s="377" t="n"/>
      <c r="BV124" s="105" t="n"/>
      <c r="BW124" s="105" t="n"/>
      <c r="BX124" s="105" t="n"/>
      <c r="BY124" s="105" t="n"/>
      <c r="BZ124" s="105" t="n"/>
      <c r="CA124" s="105" t="n"/>
      <c r="CB124" s="105" t="n"/>
      <c r="CC124" s="105" t="n"/>
      <c r="CD124" s="105" t="n"/>
      <c r="CE124" s="107" t="n">
        <v>1</v>
      </c>
      <c r="CF124" s="105" t="n"/>
      <c r="CG124" s="105" t="n"/>
      <c r="CH124" s="105"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24">
        <f>+COUNTA(BV124:CY124)</f>
        <v/>
      </c>
      <c r="DA124" s="251" t="n"/>
      <c r="DB124" s="251" t="n"/>
      <c r="DC124" s="251" t="n"/>
      <c r="DD124" s="251" t="n"/>
      <c r="DE124" s="251" t="n"/>
      <c r="DF124" s="251" t="n"/>
      <c r="DG124" s="251" t="n"/>
      <c r="DH124" s="251" t="n"/>
      <c r="DI124" s="251" t="n"/>
      <c r="DJ124" s="251" t="n"/>
      <c r="DK124" s="251" t="n"/>
      <c r="DL124" s="95" t="n"/>
      <c r="DM124" s="251" t="inlineStr">
        <is>
          <t>T</t>
        </is>
      </c>
      <c r="DN124" s="95" t="n">
        <v>8</v>
      </c>
      <c r="DO124" s="95" t="n">
        <v>14</v>
      </c>
    </row>
    <row r="125" ht="13" customHeight="1">
      <c r="A125" s="203" t="inlineStr">
        <is>
          <t>CMA-08</t>
        </is>
      </c>
      <c r="B125" s="305" t="inlineStr">
        <is>
          <t>CMA-08 JACHUCOPOSA</t>
        </is>
      </c>
      <c r="C125" s="251"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1" t="inlineStr">
        <is>
          <t>532MACMA</t>
        </is>
      </c>
      <c r="BL125" s="7" t="inlineStr">
        <is>
          <t>GMAP-SIGA</t>
        </is>
      </c>
      <c r="BM125" s="251" t="inlineStr">
        <is>
          <t>NF</t>
        </is>
      </c>
      <c r="BN125" s="337" t="inlineStr">
        <is>
          <t>Jachucoposa</t>
        </is>
      </c>
      <c r="BO125" s="251" t="inlineStr">
        <is>
          <t>SI</t>
        </is>
      </c>
      <c r="BP125" s="106" t="inlineStr">
        <is>
          <t>CMA-08 JACHUCOPOSA/NF</t>
        </is>
      </c>
      <c r="BQ125" s="106">
        <f>VLOOKUP(BP125,[1]AGUA!$1:$1048576,2,FALSE)</f>
        <v/>
      </c>
      <c r="BR125" s="106">
        <f>VLOOKUP(BP125,[1]AGUA!$1:$1048576,6,FALSE)</f>
        <v/>
      </c>
      <c r="BS125" s="106">
        <f>VLOOKUP(BP125,[1]AGUA!$1:$1048576,7,FALSE)</f>
        <v/>
      </c>
      <c r="BT125" s="106" t="n"/>
      <c r="BU125" s="253" t="n"/>
      <c r="BV125" s="105" t="n"/>
      <c r="BW125" s="105" t="n"/>
      <c r="BX125" s="105" t="n"/>
      <c r="BY125" s="105" t="n"/>
      <c r="BZ125" s="105" t="n"/>
      <c r="CA125" s="105" t="n"/>
      <c r="CB125" s="105" t="n"/>
      <c r="CC125" s="105" t="n"/>
      <c r="CD125" s="105" t="n"/>
      <c r="CE125" s="142" t="n">
        <v>1</v>
      </c>
      <c r="CF125" s="105" t="n"/>
      <c r="CG125" s="105" t="n"/>
      <c r="CH125" s="105" t="n"/>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24">
        <f>+COUNTA(BV125:CY125)</f>
        <v/>
      </c>
      <c r="DA125" s="251" t="n"/>
      <c r="DB125" s="251" t="n"/>
      <c r="DC125" s="251" t="n"/>
      <c r="DD125" s="251" t="n"/>
      <c r="DE125" s="251" t="n"/>
      <c r="DF125" s="251" t="n"/>
      <c r="DG125" s="251" t="n"/>
      <c r="DH125" s="251" t="n"/>
      <c r="DI125" s="251" t="n"/>
      <c r="DJ125" s="251" t="inlineStr">
        <is>
          <t>M</t>
        </is>
      </c>
      <c r="DK125" s="251" t="n">
        <v>8</v>
      </c>
      <c r="DL125" s="95" t="n">
        <v>14</v>
      </c>
      <c r="DM125" s="251" t="n"/>
      <c r="DN125" s="95" t="n"/>
      <c r="DO125" s="95" t="n"/>
    </row>
    <row r="126" ht="13" customHeight="1">
      <c r="A126" s="203" t="inlineStr">
        <is>
          <t>CMA-08</t>
        </is>
      </c>
      <c r="B126" s="376" t="n"/>
      <c r="C126" s="376"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76" t="n"/>
      <c r="BL126" s="7" t="inlineStr">
        <is>
          <t>GMAP-SIGA</t>
        </is>
      </c>
      <c r="BM126" s="251" t="inlineStr">
        <is>
          <t>ASUB</t>
        </is>
      </c>
      <c r="BN126" s="337" t="inlineStr">
        <is>
          <t>Jachucoposa</t>
        </is>
      </c>
      <c r="BO126" s="251" t="inlineStr">
        <is>
          <t>SI</t>
        </is>
      </c>
      <c r="BP126" s="106" t="inlineStr">
        <is>
          <t>CMA-08 JACHUCOPOSA/ASUB</t>
        </is>
      </c>
      <c r="BQ126" s="106">
        <f>VLOOKUP(BP126,[1]AGUA!$1:$1048576,2,FALSE)</f>
        <v/>
      </c>
      <c r="BR126" s="106">
        <f>VLOOKUP(BP126,[1]AGUA!$1:$1048576,6,FALSE)</f>
        <v/>
      </c>
      <c r="BS126" s="106">
        <f>VLOOKUP(BP126,[1]AGUA!$1:$1048576,7,FALSE)</f>
        <v/>
      </c>
      <c r="BT126" s="106" t="n"/>
      <c r="BU126" s="377" t="n"/>
      <c r="BV126" s="105" t="n"/>
      <c r="BW126" s="105" t="n"/>
      <c r="BX126" s="105" t="n"/>
      <c r="BY126" s="105" t="n"/>
      <c r="BZ126" s="105" t="n"/>
      <c r="CA126" s="105" t="n"/>
      <c r="CB126" s="105" t="n"/>
      <c r="CC126" s="105" t="n"/>
      <c r="CD126" s="105" t="n"/>
      <c r="CE126" s="107" t="n">
        <v>1</v>
      </c>
      <c r="CF126" s="105" t="n"/>
      <c r="CG126" s="105" t="n"/>
      <c r="CH126" s="105"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24">
        <f>+COUNTA(BV126:CY126)</f>
        <v/>
      </c>
      <c r="DA126" s="251" t="n"/>
      <c r="DB126" s="251" t="n"/>
      <c r="DC126" s="251" t="n"/>
      <c r="DD126" s="251" t="n"/>
      <c r="DE126" s="251" t="n"/>
      <c r="DF126" s="251" t="n"/>
      <c r="DG126" s="251" t="n"/>
      <c r="DH126" s="251" t="n"/>
      <c r="DI126" s="251" t="n"/>
      <c r="DJ126" s="251" t="n"/>
      <c r="DK126" s="251" t="n"/>
      <c r="DL126" s="95" t="n"/>
      <c r="DM126" s="251" t="inlineStr">
        <is>
          <t>T</t>
        </is>
      </c>
      <c r="DN126" s="95" t="n">
        <v>8</v>
      </c>
      <c r="DO126" s="95" t="n">
        <v>14</v>
      </c>
    </row>
    <row r="127" ht="13" customHeight="1">
      <c r="A127" s="203" t="inlineStr">
        <is>
          <t>CMA-09</t>
        </is>
      </c>
      <c r="B127" s="305" t="inlineStr">
        <is>
          <t>CMA-09 JACHUCOPOSA</t>
        </is>
      </c>
      <c r="C127" s="251"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1" t="inlineStr">
        <is>
          <t>532MACMA</t>
        </is>
      </c>
      <c r="BL127" s="7" t="inlineStr">
        <is>
          <t>GMAP-SIGA</t>
        </is>
      </c>
      <c r="BM127" s="251" t="inlineStr">
        <is>
          <t>NF</t>
        </is>
      </c>
      <c r="BN127" s="337" t="inlineStr">
        <is>
          <t>Jachucoposa</t>
        </is>
      </c>
      <c r="BO127" s="251" t="inlineStr">
        <is>
          <t>SI</t>
        </is>
      </c>
      <c r="BP127" s="106" t="inlineStr">
        <is>
          <t>CMA-09 JACHUCOPOSA/NF</t>
        </is>
      </c>
      <c r="BQ127" s="106">
        <f>VLOOKUP(BP127,[1]AGUA!$1:$1048576,2,FALSE)</f>
        <v/>
      </c>
      <c r="BR127" s="106">
        <f>VLOOKUP(BP127,[1]AGUA!$1:$1048576,6,FALSE)</f>
        <v/>
      </c>
      <c r="BS127" s="106">
        <f>VLOOKUP(BP127,[1]AGUA!$1:$1048576,7,FALSE)</f>
        <v/>
      </c>
      <c r="BT127" s="106" t="n"/>
      <c r="BU127" s="253" t="n"/>
      <c r="BV127" s="105" t="n"/>
      <c r="BW127" s="105" t="n"/>
      <c r="BX127" s="105" t="n"/>
      <c r="BY127" s="105" t="n"/>
      <c r="BZ127" s="105" t="n"/>
      <c r="CA127" s="105" t="n"/>
      <c r="CB127" s="105" t="n"/>
      <c r="CC127" s="105" t="n"/>
      <c r="CD127" s="105" t="n"/>
      <c r="CE127" s="142" t="n">
        <v>1</v>
      </c>
      <c r="CF127" s="105" t="n"/>
      <c r="CG127" s="105" t="n"/>
      <c r="CH127" s="105" t="n"/>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24">
        <f>+COUNTA(BV127:CY127)</f>
        <v/>
      </c>
      <c r="DA127" s="251" t="n"/>
      <c r="DB127" s="251" t="n"/>
      <c r="DC127" s="251" t="n"/>
      <c r="DD127" s="251" t="n"/>
      <c r="DE127" s="251" t="n"/>
      <c r="DF127" s="251" t="n"/>
      <c r="DG127" s="251" t="n"/>
      <c r="DH127" s="251" t="n"/>
      <c r="DI127" s="251" t="n"/>
      <c r="DJ127" s="251" t="inlineStr">
        <is>
          <t>M</t>
        </is>
      </c>
      <c r="DK127" s="251" t="n">
        <v>8</v>
      </c>
      <c r="DL127" s="95" t="n">
        <v>14</v>
      </c>
      <c r="DM127" s="251" t="n"/>
      <c r="DN127" s="95" t="n"/>
      <c r="DO127" s="95" t="n"/>
    </row>
    <row r="128" ht="13" customHeight="1">
      <c r="A128" s="203" t="inlineStr">
        <is>
          <t>CMA-09</t>
        </is>
      </c>
      <c r="B128" s="376" t="n"/>
      <c r="C128" s="376"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76" t="n"/>
      <c r="BL128" s="7" t="inlineStr">
        <is>
          <t>GMAP-SIGA</t>
        </is>
      </c>
      <c r="BM128" s="251" t="inlineStr">
        <is>
          <t>ASUB</t>
        </is>
      </c>
      <c r="BN128" s="337" t="inlineStr">
        <is>
          <t>Jachucoposa</t>
        </is>
      </c>
      <c r="BO128" s="251" t="inlineStr">
        <is>
          <t>SI</t>
        </is>
      </c>
      <c r="BP128" s="106" t="inlineStr">
        <is>
          <t>CMA-09 JACHUCOPOSA/ASUB</t>
        </is>
      </c>
      <c r="BQ128" s="106">
        <f>VLOOKUP(BP128,[1]AGUA!$1:$1048576,2,FALSE)</f>
        <v/>
      </c>
      <c r="BR128" s="106">
        <f>VLOOKUP(BP128,[1]AGUA!$1:$1048576,6,FALSE)</f>
        <v/>
      </c>
      <c r="BS128" s="106">
        <f>VLOOKUP(BP128,[1]AGUA!$1:$1048576,7,FALSE)</f>
        <v/>
      </c>
      <c r="BT128" s="106" t="n"/>
      <c r="BU128" s="377" t="n"/>
      <c r="BV128" s="105" t="n"/>
      <c r="BW128" s="105" t="n"/>
      <c r="BX128" s="105" t="n"/>
      <c r="BY128" s="105" t="n"/>
      <c r="BZ128" s="105" t="n"/>
      <c r="CA128" s="105" t="n"/>
      <c r="CB128" s="105" t="n"/>
      <c r="CC128" s="105" t="n"/>
      <c r="CD128" s="105" t="n"/>
      <c r="CE128" s="107" t="n">
        <v>1</v>
      </c>
      <c r="CF128" s="105" t="n"/>
      <c r="CG128" s="105" t="n"/>
      <c r="CH128" s="105"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24">
        <f>+COUNTA(BV128:CY128)</f>
        <v/>
      </c>
      <c r="DA128" s="251" t="n"/>
      <c r="DB128" s="251" t="n"/>
      <c r="DC128" s="251" t="n"/>
      <c r="DD128" s="251" t="n"/>
      <c r="DE128" s="251" t="n"/>
      <c r="DF128" s="251" t="n"/>
      <c r="DG128" s="251" t="n"/>
      <c r="DH128" s="251" t="n"/>
      <c r="DI128" s="251" t="n"/>
      <c r="DJ128" s="251" t="n"/>
      <c r="DK128" s="251" t="n"/>
      <c r="DL128" s="95" t="n"/>
      <c r="DM128" s="251" t="inlineStr">
        <is>
          <t>T</t>
        </is>
      </c>
      <c r="DN128" s="95" t="n">
        <v>8</v>
      </c>
      <c r="DO128" s="95" t="n">
        <v>14</v>
      </c>
    </row>
    <row r="129" ht="13" customHeight="1">
      <c r="A129" s="203" t="inlineStr">
        <is>
          <t>CMA-10</t>
        </is>
      </c>
      <c r="B129" s="305" t="inlineStr">
        <is>
          <t>CMA-10 JACHUCOPOSA</t>
        </is>
      </c>
      <c r="C129" s="251"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1" t="inlineStr">
        <is>
          <t>532MACMA</t>
        </is>
      </c>
      <c r="BL129" s="7" t="inlineStr">
        <is>
          <t>GMAP-SIGA</t>
        </is>
      </c>
      <c r="BM129" s="251" t="inlineStr">
        <is>
          <t>NF</t>
        </is>
      </c>
      <c r="BN129" s="337" t="inlineStr">
        <is>
          <t>Jachucoposa</t>
        </is>
      </c>
      <c r="BO129" s="251" t="inlineStr">
        <is>
          <t>SI</t>
        </is>
      </c>
      <c r="BP129" s="106" t="inlineStr">
        <is>
          <t>CMA-10 JACHUCOPOSA/NF</t>
        </is>
      </c>
      <c r="BQ129" s="106">
        <f>VLOOKUP(BP129,[1]AGUA!$1:$1048576,2,FALSE)</f>
        <v/>
      </c>
      <c r="BR129" s="106">
        <f>VLOOKUP(BP129,[1]AGUA!$1:$1048576,6,FALSE)</f>
        <v/>
      </c>
      <c r="BS129" s="106">
        <f>VLOOKUP(BP129,[1]AGUA!$1:$1048576,7,FALSE)</f>
        <v/>
      </c>
      <c r="BT129" s="106" t="n"/>
      <c r="BU129" s="253" t="n"/>
      <c r="BV129" s="105" t="n"/>
      <c r="BW129" s="105" t="n"/>
      <c r="BX129" s="105" t="n"/>
      <c r="BY129" s="105" t="n"/>
      <c r="BZ129" s="105" t="n"/>
      <c r="CA129" s="105" t="n"/>
      <c r="CB129" s="105" t="n"/>
      <c r="CC129" s="105" t="n"/>
      <c r="CD129" s="105" t="n"/>
      <c r="CE129" s="142" t="n">
        <v>1</v>
      </c>
      <c r="CF129" s="105" t="n"/>
      <c r="CG129" s="105" t="n"/>
      <c r="CH129" s="105" t="n"/>
      <c r="CI129" s="105" t="n"/>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24">
        <f>+COUNTA(BV129:CY129)</f>
        <v/>
      </c>
      <c r="DA129" s="251" t="n"/>
      <c r="DB129" s="251" t="n"/>
      <c r="DC129" s="251" t="n"/>
      <c r="DD129" s="251" t="n"/>
      <c r="DE129" s="251" t="n"/>
      <c r="DF129" s="251" t="n"/>
      <c r="DG129" s="251" t="n"/>
      <c r="DH129" s="251" t="n"/>
      <c r="DI129" s="251" t="n"/>
      <c r="DJ129" s="251" t="inlineStr">
        <is>
          <t>M</t>
        </is>
      </c>
      <c r="DK129" s="251" t="n">
        <v>8</v>
      </c>
      <c r="DL129" s="95" t="n">
        <v>14</v>
      </c>
      <c r="DM129" s="251" t="n"/>
      <c r="DN129" s="95" t="n"/>
      <c r="DO129" s="95" t="n"/>
    </row>
    <row r="130" ht="13" customHeight="1">
      <c r="A130" s="203" t="inlineStr">
        <is>
          <t>CMA-10</t>
        </is>
      </c>
      <c r="B130" s="376" t="n"/>
      <c r="C130" s="376"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76" t="n"/>
      <c r="BL130" s="7" t="inlineStr">
        <is>
          <t>GMAP-SIGA</t>
        </is>
      </c>
      <c r="BM130" s="251" t="inlineStr">
        <is>
          <t>ASUB</t>
        </is>
      </c>
      <c r="BN130" s="337" t="inlineStr">
        <is>
          <t>Jachucoposa</t>
        </is>
      </c>
      <c r="BO130" s="251" t="inlineStr">
        <is>
          <t>SI</t>
        </is>
      </c>
      <c r="BP130" s="106" t="inlineStr">
        <is>
          <t>CMA-10 JACHUCOPOSA/ASUB</t>
        </is>
      </c>
      <c r="BQ130" s="106">
        <f>VLOOKUP(BP130,[1]AGUA!$1:$1048576,2,FALSE)</f>
        <v/>
      </c>
      <c r="BR130" s="106">
        <f>VLOOKUP(BP130,[1]AGUA!$1:$1048576,6,FALSE)</f>
        <v/>
      </c>
      <c r="BS130" s="106">
        <f>VLOOKUP(BP130,[1]AGUA!$1:$1048576,7,FALSE)</f>
        <v/>
      </c>
      <c r="BT130" s="106" t="n"/>
      <c r="BU130" s="377" t="n"/>
      <c r="BV130" s="105" t="n"/>
      <c r="BW130" s="105" t="n"/>
      <c r="BX130" s="105" t="n"/>
      <c r="BY130" s="105" t="n"/>
      <c r="BZ130" s="105" t="n"/>
      <c r="CA130" s="105" t="n"/>
      <c r="CB130" s="105" t="n"/>
      <c r="CC130" s="105" t="n"/>
      <c r="CD130" s="105" t="n"/>
      <c r="CE130" s="107" t="n">
        <v>1</v>
      </c>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24">
        <f>+COUNTA(BV130:CY130)</f>
        <v/>
      </c>
      <c r="DA130" s="251" t="n"/>
      <c r="DB130" s="251" t="n"/>
      <c r="DC130" s="251" t="n"/>
      <c r="DD130" s="251" t="n"/>
      <c r="DE130" s="251" t="n"/>
      <c r="DF130" s="251" t="n"/>
      <c r="DG130" s="251" t="n"/>
      <c r="DH130" s="251" t="n"/>
      <c r="DI130" s="251" t="n"/>
      <c r="DJ130" s="251" t="n"/>
      <c r="DK130" s="251" t="n"/>
      <c r="DL130" s="95" t="n"/>
      <c r="DM130" s="251" t="inlineStr">
        <is>
          <t>T</t>
        </is>
      </c>
      <c r="DN130" s="95" t="n">
        <v>8</v>
      </c>
      <c r="DO130" s="95" t="n">
        <v>14</v>
      </c>
    </row>
    <row r="131" ht="13" customHeight="1">
      <c r="A131" s="203" t="inlineStr">
        <is>
          <t>CMA-11</t>
        </is>
      </c>
      <c r="B131" s="305" t="inlineStr">
        <is>
          <t>CMA-11 JACHUCOPOSA</t>
        </is>
      </c>
      <c r="C131" s="251"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1" t="inlineStr">
        <is>
          <t>532MACMA</t>
        </is>
      </c>
      <c r="BL131" s="7" t="inlineStr">
        <is>
          <t>GMAP-SIGA</t>
        </is>
      </c>
      <c r="BM131" s="251" t="inlineStr">
        <is>
          <t>NF</t>
        </is>
      </c>
      <c r="BN131" s="337" t="inlineStr">
        <is>
          <t>Jachucoposa</t>
        </is>
      </c>
      <c r="BO131" s="251" t="inlineStr">
        <is>
          <t>SI</t>
        </is>
      </c>
      <c r="BP131" s="106" t="inlineStr">
        <is>
          <t>CMA-11 JACHUCOPOSA/NF</t>
        </is>
      </c>
      <c r="BQ131" s="106">
        <f>VLOOKUP(BP131,[1]AGUA!$1:$1048576,2,FALSE)</f>
        <v/>
      </c>
      <c r="BR131" s="106">
        <f>VLOOKUP(BP131,[1]AGUA!$1:$1048576,6,FALSE)</f>
        <v/>
      </c>
      <c r="BS131" s="106">
        <f>VLOOKUP(BP131,[1]AGUA!$1:$1048576,7,FALSE)</f>
        <v/>
      </c>
      <c r="BT131" s="106" t="n"/>
      <c r="BU131" s="253" t="n"/>
      <c r="BV131" s="105" t="n"/>
      <c r="BW131" s="105" t="n"/>
      <c r="BX131" s="105" t="n"/>
      <c r="BY131" s="105" t="n"/>
      <c r="BZ131" s="105" t="n"/>
      <c r="CA131" s="105" t="n"/>
      <c r="CB131" s="105" t="n"/>
      <c r="CC131" s="105" t="n"/>
      <c r="CD131" s="105" t="n"/>
      <c r="CE131" s="142" t="n">
        <v>1</v>
      </c>
      <c r="CF131" s="105" t="n"/>
      <c r="CG131" s="105" t="n"/>
      <c r="CH131" s="105" t="n"/>
      <c r="CI131" s="105" t="n"/>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24">
        <f>+COUNTA(BV131:CY131)</f>
        <v/>
      </c>
      <c r="DA131" s="251" t="n"/>
      <c r="DB131" s="251" t="n"/>
      <c r="DC131" s="251" t="n"/>
      <c r="DD131" s="251" t="n"/>
      <c r="DE131" s="251" t="n"/>
      <c r="DF131" s="251" t="n"/>
      <c r="DG131" s="251" t="n"/>
      <c r="DH131" s="251" t="n"/>
      <c r="DI131" s="251" t="n"/>
      <c r="DJ131" s="251" t="inlineStr">
        <is>
          <t>M</t>
        </is>
      </c>
      <c r="DK131" s="251" t="n">
        <v>8</v>
      </c>
      <c r="DL131" s="95" t="n">
        <v>14</v>
      </c>
      <c r="DM131" s="251" t="n"/>
      <c r="DN131" s="95" t="n"/>
      <c r="DO131" s="95" t="n"/>
    </row>
    <row r="132" ht="13" customHeight="1">
      <c r="A132" s="203" t="inlineStr">
        <is>
          <t>CMA-11</t>
        </is>
      </c>
      <c r="B132" s="376" t="n"/>
      <c r="C132" s="376"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76" t="n"/>
      <c r="BL132" s="7" t="inlineStr">
        <is>
          <t>GMAP-SIGA</t>
        </is>
      </c>
      <c r="BM132" s="251" t="inlineStr">
        <is>
          <t>ASUB</t>
        </is>
      </c>
      <c r="BN132" s="337" t="inlineStr">
        <is>
          <t>Jachucoposa</t>
        </is>
      </c>
      <c r="BO132" s="251" t="inlineStr">
        <is>
          <t>SI</t>
        </is>
      </c>
      <c r="BP132" s="106" t="inlineStr">
        <is>
          <t>CMA-11 JACHUCOPOSA/ASUB</t>
        </is>
      </c>
      <c r="BQ132" s="106">
        <f>VLOOKUP(BP132,[1]AGUA!$1:$1048576,2,FALSE)</f>
        <v/>
      </c>
      <c r="BR132" s="106">
        <f>VLOOKUP(BP132,[1]AGUA!$1:$1048576,6,FALSE)</f>
        <v/>
      </c>
      <c r="BS132" s="106">
        <f>VLOOKUP(BP132,[1]AGUA!$1:$1048576,7,FALSE)</f>
        <v/>
      </c>
      <c r="BT132" s="106" t="n"/>
      <c r="BU132" s="377" t="n"/>
      <c r="BV132" s="105" t="n"/>
      <c r="BW132" s="105" t="n"/>
      <c r="BX132" s="105" t="n"/>
      <c r="BY132" s="105" t="n"/>
      <c r="BZ132" s="105" t="n"/>
      <c r="CA132" s="105" t="n"/>
      <c r="CB132" s="105" t="n"/>
      <c r="CC132" s="105" t="n"/>
      <c r="CD132" s="105" t="n"/>
      <c r="CE132" s="107" t="n">
        <v>1</v>
      </c>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24">
        <f>+COUNTA(BV132:CY132)</f>
        <v/>
      </c>
      <c r="DA132" s="251" t="n"/>
      <c r="DB132" s="251" t="n"/>
      <c r="DC132" s="251" t="n"/>
      <c r="DD132" s="251" t="n"/>
      <c r="DE132" s="251" t="n"/>
      <c r="DF132" s="251" t="n"/>
      <c r="DG132" s="251" t="n"/>
      <c r="DH132" s="251" t="n"/>
      <c r="DI132" s="251" t="n"/>
      <c r="DJ132" s="251" t="n"/>
      <c r="DK132" s="251" t="n"/>
      <c r="DL132" s="95" t="n"/>
      <c r="DM132" s="251" t="inlineStr">
        <is>
          <t>T</t>
        </is>
      </c>
      <c r="DN132" s="95" t="n">
        <v>8</v>
      </c>
      <c r="DO132" s="95" t="n">
        <v>14</v>
      </c>
    </row>
    <row r="133" ht="13" customHeight="1">
      <c r="A133" s="203" t="inlineStr">
        <is>
          <t>CMA-12</t>
        </is>
      </c>
      <c r="B133" s="305" t="inlineStr">
        <is>
          <t>CMA-12 JACHUCOPOSA</t>
        </is>
      </c>
      <c r="C133" s="251"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1" t="inlineStr">
        <is>
          <t>532MACMA</t>
        </is>
      </c>
      <c r="BL133" s="7" t="inlineStr">
        <is>
          <t>GMAP-SIGA</t>
        </is>
      </c>
      <c r="BM133" s="251" t="inlineStr">
        <is>
          <t>NF</t>
        </is>
      </c>
      <c r="BN133" s="337" t="inlineStr">
        <is>
          <t>Jachucoposa</t>
        </is>
      </c>
      <c r="BO133" s="251" t="inlineStr">
        <is>
          <t>SI</t>
        </is>
      </c>
      <c r="BP133" s="106" t="inlineStr">
        <is>
          <t>CMA-12 JACHUCOPOSA/NF</t>
        </is>
      </c>
      <c r="BQ133" s="106">
        <f>VLOOKUP(BP133,[1]AGUA!$1:$1048576,2,FALSE)</f>
        <v/>
      </c>
      <c r="BR133" s="106">
        <f>VLOOKUP(BP133,[1]AGUA!$1:$1048576,6,FALSE)</f>
        <v/>
      </c>
      <c r="BS133" s="106">
        <f>VLOOKUP(BP133,[1]AGUA!$1:$1048576,7,FALSE)</f>
        <v/>
      </c>
      <c r="BT133" s="106" t="n"/>
      <c r="BU133" s="253" t="n"/>
      <c r="BV133" s="105" t="n"/>
      <c r="BW133" s="105" t="n"/>
      <c r="BX133" s="105" t="n"/>
      <c r="BY133" s="105" t="n"/>
      <c r="BZ133" s="105" t="n"/>
      <c r="CA133" s="105" t="n"/>
      <c r="CB133" s="105" t="n"/>
      <c r="CC133" s="105" t="n"/>
      <c r="CD133" s="105" t="n"/>
      <c r="CE133" s="142" t="n">
        <v>1</v>
      </c>
      <c r="CF133" s="105" t="n"/>
      <c r="CG133" s="105" t="n"/>
      <c r="CH133" s="105" t="n"/>
      <c r="CI133" s="105" t="n"/>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24">
        <f>+COUNTA(BV133:CY133)</f>
        <v/>
      </c>
      <c r="DA133" s="251" t="n"/>
      <c r="DB133" s="251" t="n"/>
      <c r="DC133" s="251" t="n"/>
      <c r="DD133" s="251" t="n"/>
      <c r="DE133" s="251" t="n"/>
      <c r="DF133" s="251" t="n"/>
      <c r="DG133" s="251" t="n"/>
      <c r="DH133" s="251" t="n"/>
      <c r="DI133" s="251" t="n"/>
      <c r="DJ133" s="251" t="inlineStr">
        <is>
          <t>M</t>
        </is>
      </c>
      <c r="DK133" s="251" t="n">
        <v>8</v>
      </c>
      <c r="DL133" s="95" t="n">
        <v>14</v>
      </c>
      <c r="DM133" s="251" t="n"/>
      <c r="DN133" s="95" t="n"/>
      <c r="DO133" s="95" t="n"/>
    </row>
    <row r="134" ht="13" customHeight="1">
      <c r="A134" s="203" t="inlineStr">
        <is>
          <t>CMA-12</t>
        </is>
      </c>
      <c r="B134" s="376" t="n"/>
      <c r="C134" s="376"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76" t="n"/>
      <c r="BL134" s="7" t="inlineStr">
        <is>
          <t>GMAP-SIGA</t>
        </is>
      </c>
      <c r="BM134" s="251" t="inlineStr">
        <is>
          <t>ASUB</t>
        </is>
      </c>
      <c r="BN134" s="337" t="inlineStr">
        <is>
          <t>Jachucoposa</t>
        </is>
      </c>
      <c r="BO134" s="251" t="inlineStr">
        <is>
          <t>SI</t>
        </is>
      </c>
      <c r="BP134" s="106" t="inlineStr">
        <is>
          <t>CMA-12 JACHUCOPOSA/ASUB</t>
        </is>
      </c>
      <c r="BQ134" s="106">
        <f>VLOOKUP(BP134,[1]AGUA!$1:$1048576,2,FALSE)</f>
        <v/>
      </c>
      <c r="BR134" s="106">
        <f>VLOOKUP(BP134,[1]AGUA!$1:$1048576,6,FALSE)</f>
        <v/>
      </c>
      <c r="BS134" s="106">
        <f>VLOOKUP(BP134,[1]AGUA!$1:$1048576,7,FALSE)</f>
        <v/>
      </c>
      <c r="BT134" s="106" t="n"/>
      <c r="BU134" s="377" t="n"/>
      <c r="BV134" s="105" t="n"/>
      <c r="BW134" s="105" t="n"/>
      <c r="BX134" s="105" t="n"/>
      <c r="BY134" s="105" t="n"/>
      <c r="BZ134" s="105" t="n"/>
      <c r="CA134" s="105" t="n"/>
      <c r="CB134" s="105" t="n"/>
      <c r="CC134" s="105" t="n"/>
      <c r="CD134" s="105" t="n"/>
      <c r="CE134" s="107" t="n">
        <v>1</v>
      </c>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24">
        <f>+COUNTA(BV134:CY134)</f>
        <v/>
      </c>
      <c r="DA134" s="251" t="n"/>
      <c r="DB134" s="251" t="n"/>
      <c r="DC134" s="251" t="n"/>
      <c r="DD134" s="251" t="n"/>
      <c r="DE134" s="251" t="n"/>
      <c r="DF134" s="251" t="n"/>
      <c r="DG134" s="251" t="n"/>
      <c r="DH134" s="251" t="n"/>
      <c r="DI134" s="251" t="n"/>
      <c r="DJ134" s="251" t="n"/>
      <c r="DK134" s="251" t="n"/>
      <c r="DL134" s="95" t="n"/>
      <c r="DM134" s="251" t="inlineStr">
        <is>
          <t>T</t>
        </is>
      </c>
      <c r="DN134" s="95" t="n">
        <v>8</v>
      </c>
      <c r="DO134" s="95" t="n">
        <v>14</v>
      </c>
    </row>
    <row r="135" ht="13" customHeight="1">
      <c r="A135" s="203" t="inlineStr">
        <is>
          <t>CMA-13</t>
        </is>
      </c>
      <c r="B135" s="305" t="inlineStr">
        <is>
          <t>CMA-13 JACHUCOPOSA</t>
        </is>
      </c>
      <c r="C135" s="251"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1" t="inlineStr">
        <is>
          <t>532MACMA</t>
        </is>
      </c>
      <c r="BL135" s="7" t="inlineStr">
        <is>
          <t>GMAP-SIGA</t>
        </is>
      </c>
      <c r="BM135" s="251" t="inlineStr">
        <is>
          <t>NF</t>
        </is>
      </c>
      <c r="BN135" s="337" t="inlineStr">
        <is>
          <t>Jachucoposa</t>
        </is>
      </c>
      <c r="BO135" s="251" t="inlineStr">
        <is>
          <t>SI</t>
        </is>
      </c>
      <c r="BP135" s="106" t="inlineStr">
        <is>
          <t>CMA-13 JACHUCOPOSA/NF</t>
        </is>
      </c>
      <c r="BQ135" s="106">
        <f>VLOOKUP(BP135,[1]AGUA!$1:$1048576,2,FALSE)</f>
        <v/>
      </c>
      <c r="BR135" s="106">
        <f>VLOOKUP(BP135,[1]AGUA!$1:$1048576,6,FALSE)</f>
        <v/>
      </c>
      <c r="BS135" s="106">
        <f>VLOOKUP(BP135,[1]AGUA!$1:$1048576,7,FALSE)</f>
        <v/>
      </c>
      <c r="BT135" s="106" t="n"/>
      <c r="BU135" s="253" t="n"/>
      <c r="BV135" s="105" t="n"/>
      <c r="BW135" s="105" t="n"/>
      <c r="BX135" s="105" t="n"/>
      <c r="BY135" s="105" t="n"/>
      <c r="BZ135" s="105" t="n"/>
      <c r="CA135" s="105" t="n"/>
      <c r="CB135" s="105" t="n"/>
      <c r="CC135" s="105" t="n"/>
      <c r="CD135" s="105" t="n"/>
      <c r="CE135" s="142" t="n">
        <v>1</v>
      </c>
      <c r="CF135" s="105" t="n"/>
      <c r="CG135" s="105" t="n"/>
      <c r="CH135" s="105" t="n"/>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24">
        <f>+COUNTA(BV135:CY135)</f>
        <v/>
      </c>
      <c r="DA135" s="251" t="n"/>
      <c r="DB135" s="251" t="n"/>
      <c r="DC135" s="251" t="n"/>
      <c r="DD135" s="251" t="n"/>
      <c r="DE135" s="251" t="n"/>
      <c r="DF135" s="251" t="n"/>
      <c r="DG135" s="251" t="n"/>
      <c r="DH135" s="251" t="n"/>
      <c r="DI135" s="251" t="n"/>
      <c r="DJ135" s="251" t="inlineStr">
        <is>
          <t>M</t>
        </is>
      </c>
      <c r="DK135" s="251" t="n">
        <v>8</v>
      </c>
      <c r="DL135" s="95" t="n">
        <v>14</v>
      </c>
      <c r="DM135" s="251" t="n"/>
      <c r="DN135" s="95" t="n"/>
      <c r="DO135" s="95" t="n"/>
    </row>
    <row r="136" ht="13" customHeight="1">
      <c r="A136" s="203" t="inlineStr">
        <is>
          <t>CMA-13</t>
        </is>
      </c>
      <c r="B136" s="376" t="n"/>
      <c r="C136" s="376"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76" t="n"/>
      <c r="BL136" s="7" t="inlineStr">
        <is>
          <t>GMAP-SIGA</t>
        </is>
      </c>
      <c r="BM136" s="251" t="inlineStr">
        <is>
          <t>ASUB</t>
        </is>
      </c>
      <c r="BN136" s="337" t="inlineStr">
        <is>
          <t>Jachucoposa</t>
        </is>
      </c>
      <c r="BO136" s="251" t="inlineStr">
        <is>
          <t>SI</t>
        </is>
      </c>
      <c r="BP136" s="106" t="inlineStr">
        <is>
          <t>CMA-13 JACHUCOPOSA/ASUB</t>
        </is>
      </c>
      <c r="BQ136" s="106">
        <f>VLOOKUP(BP136,[1]AGUA!$1:$1048576,2,FALSE)</f>
        <v/>
      </c>
      <c r="BR136" s="106">
        <f>VLOOKUP(BP136,[1]AGUA!$1:$1048576,6,FALSE)</f>
        <v/>
      </c>
      <c r="BS136" s="106">
        <f>VLOOKUP(BP136,[1]AGUA!$1:$1048576,7,FALSE)</f>
        <v/>
      </c>
      <c r="BT136" s="106" t="n"/>
      <c r="BU136" s="377" t="n"/>
      <c r="BV136" s="105" t="n"/>
      <c r="BW136" s="105" t="n"/>
      <c r="BX136" s="105" t="n"/>
      <c r="BY136" s="105" t="n"/>
      <c r="BZ136" s="105" t="n"/>
      <c r="CA136" s="105" t="n"/>
      <c r="CB136" s="105" t="n"/>
      <c r="CC136" s="105" t="n"/>
      <c r="CD136" s="105" t="n"/>
      <c r="CE136" s="107" t="n">
        <v>1</v>
      </c>
      <c r="CF136" s="105" t="n"/>
      <c r="CG136" s="105" t="n"/>
      <c r="CH136" s="105"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24">
        <f>+COUNTA(BV136:CY136)</f>
        <v/>
      </c>
      <c r="DA136" s="251" t="n"/>
      <c r="DB136" s="251" t="n"/>
      <c r="DC136" s="251" t="n"/>
      <c r="DD136" s="251" t="n"/>
      <c r="DE136" s="251" t="n"/>
      <c r="DF136" s="251" t="n"/>
      <c r="DG136" s="251" t="n"/>
      <c r="DH136" s="251" t="n"/>
      <c r="DI136" s="251" t="n"/>
      <c r="DJ136" s="251" t="n"/>
      <c r="DK136" s="251" t="n"/>
      <c r="DL136" s="95" t="n"/>
      <c r="DM136" s="251" t="inlineStr">
        <is>
          <t>T</t>
        </is>
      </c>
      <c r="DN136" s="95" t="n">
        <v>8</v>
      </c>
      <c r="DO136" s="95" t="n">
        <v>14</v>
      </c>
    </row>
    <row r="137" ht="13" customHeight="1">
      <c r="A137" s="203" t="inlineStr">
        <is>
          <t>CMA-14</t>
        </is>
      </c>
      <c r="B137" s="305" t="inlineStr">
        <is>
          <t>CMA-14 JACHUCOPOSA</t>
        </is>
      </c>
      <c r="C137" s="251"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1" t="inlineStr">
        <is>
          <t>532MACMA</t>
        </is>
      </c>
      <c r="BL137" s="7" t="inlineStr">
        <is>
          <t>GMAP-SIGA</t>
        </is>
      </c>
      <c r="BM137" s="251" t="inlineStr">
        <is>
          <t>NF</t>
        </is>
      </c>
      <c r="BN137" s="337" t="inlineStr">
        <is>
          <t>Jachucoposa</t>
        </is>
      </c>
      <c r="BO137" s="251" t="inlineStr">
        <is>
          <t>SI</t>
        </is>
      </c>
      <c r="BP137" s="106" t="inlineStr">
        <is>
          <t>CMA-14 JACHUCOPOSA/NF</t>
        </is>
      </c>
      <c r="BQ137" s="106">
        <f>VLOOKUP(BP137,[1]AGUA!$1:$1048576,2,FALSE)</f>
        <v/>
      </c>
      <c r="BR137" s="106">
        <f>VLOOKUP(BP137,[1]AGUA!$1:$1048576,6,FALSE)</f>
        <v/>
      </c>
      <c r="BS137" s="106">
        <f>VLOOKUP(BP137,[1]AGUA!$1:$1048576,7,FALSE)</f>
        <v/>
      </c>
      <c r="BT137" s="106" t="n"/>
      <c r="BU137" s="253" t="n"/>
      <c r="BV137" s="105" t="n"/>
      <c r="BW137" s="105" t="n"/>
      <c r="BX137" s="105" t="n"/>
      <c r="BY137" s="105" t="n"/>
      <c r="BZ137" s="105" t="n"/>
      <c r="CA137" s="105" t="n"/>
      <c r="CB137" s="105" t="n"/>
      <c r="CC137" s="105" t="n"/>
      <c r="CD137" s="105" t="n"/>
      <c r="CE137" s="142" t="n">
        <v>1</v>
      </c>
      <c r="CF137" s="105" t="n"/>
      <c r="CG137" s="105" t="n"/>
      <c r="CH137" s="105" t="n"/>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24">
        <f>+COUNTA(BV137:CY137)</f>
        <v/>
      </c>
      <c r="DA137" s="251" t="n"/>
      <c r="DB137" s="251" t="n"/>
      <c r="DC137" s="251" t="n"/>
      <c r="DD137" s="251" t="n"/>
      <c r="DE137" s="251" t="n"/>
      <c r="DF137" s="251" t="n"/>
      <c r="DG137" s="251" t="n"/>
      <c r="DH137" s="251" t="n"/>
      <c r="DI137" s="251" t="n"/>
      <c r="DJ137" s="251" t="inlineStr">
        <is>
          <t>M</t>
        </is>
      </c>
      <c r="DK137" s="251" t="n">
        <v>8</v>
      </c>
      <c r="DL137" s="95" t="n">
        <v>14</v>
      </c>
      <c r="DM137" s="251" t="n"/>
      <c r="DN137" s="95" t="n"/>
      <c r="DO137" s="95" t="n"/>
    </row>
    <row r="138" ht="13" customHeight="1">
      <c r="A138" s="203" t="inlineStr">
        <is>
          <t>CMA-14</t>
        </is>
      </c>
      <c r="B138" s="376" t="n"/>
      <c r="C138" s="376"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76" t="n"/>
      <c r="BL138" s="7" t="inlineStr">
        <is>
          <t>GMAP-SIGA</t>
        </is>
      </c>
      <c r="BM138" s="251" t="inlineStr">
        <is>
          <t>ASUB</t>
        </is>
      </c>
      <c r="BN138" s="337" t="inlineStr">
        <is>
          <t>Jachucoposa</t>
        </is>
      </c>
      <c r="BO138" s="251" t="inlineStr">
        <is>
          <t>SI</t>
        </is>
      </c>
      <c r="BP138" s="106" t="inlineStr">
        <is>
          <t>CMA-14 JACHUCOPOSA/ASUB</t>
        </is>
      </c>
      <c r="BQ138" s="106">
        <f>VLOOKUP(BP138,[1]AGUA!$1:$1048576,2,FALSE)</f>
        <v/>
      </c>
      <c r="BR138" s="106">
        <f>VLOOKUP(BP138,[1]AGUA!$1:$1048576,6,FALSE)</f>
        <v/>
      </c>
      <c r="BS138" s="106">
        <f>VLOOKUP(BP138,[1]AGUA!$1:$1048576,7,FALSE)</f>
        <v/>
      </c>
      <c r="BT138" s="106" t="n"/>
      <c r="BU138" s="377" t="n"/>
      <c r="BV138" s="105" t="n"/>
      <c r="BW138" s="105" t="n"/>
      <c r="BX138" s="105" t="n"/>
      <c r="BY138" s="105" t="n"/>
      <c r="BZ138" s="105" t="n"/>
      <c r="CA138" s="105" t="n"/>
      <c r="CB138" s="105" t="n"/>
      <c r="CC138" s="105" t="n"/>
      <c r="CD138" s="105" t="n"/>
      <c r="CE138" s="107" t="n">
        <v>1</v>
      </c>
      <c r="CF138" s="105" t="n"/>
      <c r="CG138" s="105" t="n"/>
      <c r="CH138" s="105"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24">
        <f>+COUNTA(BV138:CY138)</f>
        <v/>
      </c>
      <c r="DA138" s="251" t="n"/>
      <c r="DB138" s="251" t="n"/>
      <c r="DC138" s="251" t="n"/>
      <c r="DD138" s="251" t="n"/>
      <c r="DE138" s="251" t="n"/>
      <c r="DF138" s="251" t="n"/>
      <c r="DG138" s="251" t="n"/>
      <c r="DH138" s="251" t="n"/>
      <c r="DI138" s="251" t="n"/>
      <c r="DJ138" s="251" t="n"/>
      <c r="DK138" s="251" t="n"/>
      <c r="DL138" s="95" t="n"/>
      <c r="DM138" s="251" t="inlineStr">
        <is>
          <t>T</t>
        </is>
      </c>
      <c r="DN138" s="95" t="n">
        <v>8</v>
      </c>
      <c r="DO138" s="95" t="n">
        <v>14</v>
      </c>
    </row>
    <row r="139" ht="13" customHeight="1">
      <c r="A139" s="203" t="inlineStr">
        <is>
          <t>CMA-15</t>
        </is>
      </c>
      <c r="B139" s="305" t="inlineStr">
        <is>
          <t>CMA-15 JACHUCOPOSA</t>
        </is>
      </c>
      <c r="C139" s="251"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1" t="inlineStr">
        <is>
          <t>532MACMA</t>
        </is>
      </c>
      <c r="BL139" s="7" t="inlineStr">
        <is>
          <t>GMAP-SIGA</t>
        </is>
      </c>
      <c r="BM139" s="251" t="inlineStr">
        <is>
          <t>NF</t>
        </is>
      </c>
      <c r="BN139" s="337" t="inlineStr">
        <is>
          <t>Jachucoposa</t>
        </is>
      </c>
      <c r="BO139" s="251" t="inlineStr">
        <is>
          <t>SI</t>
        </is>
      </c>
      <c r="BP139" s="106" t="inlineStr">
        <is>
          <t>CMA-15 JACHUCOPOSA/NF</t>
        </is>
      </c>
      <c r="BQ139" s="106">
        <f>VLOOKUP(BP139,[1]AGUA!$1:$1048576,2,FALSE)</f>
        <v/>
      </c>
      <c r="BR139" s="106">
        <f>VLOOKUP(BP139,[1]AGUA!$1:$1048576,6,FALSE)</f>
        <v/>
      </c>
      <c r="BS139" s="106">
        <f>VLOOKUP(BP139,[1]AGUA!$1:$1048576,7,FALSE)</f>
        <v/>
      </c>
      <c r="BT139" s="106" t="n"/>
      <c r="BU139" s="253" t="n"/>
      <c r="BV139" s="105" t="n"/>
      <c r="BW139" s="105" t="n"/>
      <c r="BX139" s="105" t="n"/>
      <c r="BY139" s="105" t="n"/>
      <c r="BZ139" s="105" t="n"/>
      <c r="CA139" s="105" t="n"/>
      <c r="CB139" s="105" t="n"/>
      <c r="CC139" s="105" t="n"/>
      <c r="CD139" s="105" t="n"/>
      <c r="CE139" s="142" t="n">
        <v>1</v>
      </c>
      <c r="CF139" s="105" t="n"/>
      <c r="CG139" s="105" t="n"/>
      <c r="CH139" s="105" t="n"/>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24">
        <f>+COUNTA(BV139:CY139)</f>
        <v/>
      </c>
      <c r="DA139" s="251" t="n"/>
      <c r="DB139" s="251" t="n"/>
      <c r="DC139" s="251" t="n"/>
      <c r="DD139" s="251" t="n"/>
      <c r="DE139" s="251" t="n"/>
      <c r="DF139" s="251" t="n"/>
      <c r="DG139" s="251" t="n"/>
      <c r="DH139" s="251" t="n"/>
      <c r="DI139" s="251" t="n"/>
      <c r="DJ139" s="251" t="inlineStr">
        <is>
          <t>M</t>
        </is>
      </c>
      <c r="DK139" s="251" t="n">
        <v>8</v>
      </c>
      <c r="DL139" s="95" t="n">
        <v>14</v>
      </c>
      <c r="DM139" s="251" t="n"/>
      <c r="DN139" s="95" t="n"/>
      <c r="DO139" s="95" t="n"/>
    </row>
    <row r="140" ht="13" customHeight="1">
      <c r="A140" s="203" t="inlineStr">
        <is>
          <t>CMA-15</t>
        </is>
      </c>
      <c r="B140" s="376" t="n"/>
      <c r="C140" s="376"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76" t="n"/>
      <c r="BL140" s="7" t="inlineStr">
        <is>
          <t>GMAP-SIGA</t>
        </is>
      </c>
      <c r="BM140" s="251" t="inlineStr">
        <is>
          <t>ASUB</t>
        </is>
      </c>
      <c r="BN140" s="337" t="inlineStr">
        <is>
          <t>Jachucoposa</t>
        </is>
      </c>
      <c r="BO140" s="251" t="inlineStr">
        <is>
          <t>SI</t>
        </is>
      </c>
      <c r="BP140" s="106" t="inlineStr">
        <is>
          <t>CMA-15 JACHUCOPOSA/ASUB</t>
        </is>
      </c>
      <c r="BQ140" s="106">
        <f>VLOOKUP(BP140,[1]AGUA!$1:$1048576,2,FALSE)</f>
        <v/>
      </c>
      <c r="BR140" s="106">
        <f>VLOOKUP(BP140,[1]AGUA!$1:$1048576,6,FALSE)</f>
        <v/>
      </c>
      <c r="BS140" s="106">
        <f>VLOOKUP(BP140,[1]AGUA!$1:$1048576,7,FALSE)</f>
        <v/>
      </c>
      <c r="BT140" s="106" t="n"/>
      <c r="BU140" s="377" t="n"/>
      <c r="BV140" s="105" t="n"/>
      <c r="BW140" s="105" t="n"/>
      <c r="BX140" s="105" t="n"/>
      <c r="BY140" s="105" t="n"/>
      <c r="BZ140" s="105" t="n"/>
      <c r="CA140" s="105" t="n"/>
      <c r="CB140" s="105" t="n"/>
      <c r="CC140" s="105" t="n"/>
      <c r="CD140" s="105" t="n"/>
      <c r="CE140" s="107" t="n">
        <v>1</v>
      </c>
      <c r="CF140" s="105" t="n"/>
      <c r="CG140" s="105" t="n"/>
      <c r="CH140" s="105"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24">
        <f>+COUNTA(BV140:CY140)</f>
        <v/>
      </c>
      <c r="DA140" s="251" t="n"/>
      <c r="DB140" s="251" t="n"/>
      <c r="DC140" s="251" t="n"/>
      <c r="DD140" s="251" t="n"/>
      <c r="DE140" s="251" t="n"/>
      <c r="DF140" s="251" t="n"/>
      <c r="DG140" s="251" t="n"/>
      <c r="DH140" s="251" t="n"/>
      <c r="DI140" s="251" t="n"/>
      <c r="DJ140" s="251" t="n"/>
      <c r="DK140" s="251" t="n"/>
      <c r="DL140" s="95" t="n"/>
      <c r="DM140" s="251" t="inlineStr">
        <is>
          <t>T</t>
        </is>
      </c>
      <c r="DN140" s="95" t="n">
        <v>8</v>
      </c>
      <c r="DO140" s="95" t="n">
        <v>14</v>
      </c>
    </row>
    <row r="141" ht="13" customHeight="1">
      <c r="A141" s="203" t="inlineStr">
        <is>
          <t>CMA-16</t>
        </is>
      </c>
      <c r="B141" s="305" t="inlineStr">
        <is>
          <t>CMA-16 JACHUCOPOSA</t>
        </is>
      </c>
      <c r="C141" s="251"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1" t="inlineStr">
        <is>
          <t>532MACMA</t>
        </is>
      </c>
      <c r="BL141" s="7" t="inlineStr">
        <is>
          <t>GMAP-SIGA</t>
        </is>
      </c>
      <c r="BM141" s="251" t="inlineStr">
        <is>
          <t>NF</t>
        </is>
      </c>
      <c r="BN141" s="337" t="inlineStr">
        <is>
          <t>Jachucoposa</t>
        </is>
      </c>
      <c r="BO141" s="251" t="inlineStr">
        <is>
          <t>SI</t>
        </is>
      </c>
      <c r="BP141" s="106" t="inlineStr">
        <is>
          <t>CMA-16 JACHUCOPOSA/NF</t>
        </is>
      </c>
      <c r="BQ141" s="106">
        <f>VLOOKUP(BP141,[1]AGUA!$1:$1048576,2,FALSE)</f>
        <v/>
      </c>
      <c r="BR141" s="106">
        <f>VLOOKUP(BP141,[1]AGUA!$1:$1048576,6,FALSE)</f>
        <v/>
      </c>
      <c r="BS141" s="106">
        <f>VLOOKUP(BP141,[1]AGUA!$1:$1048576,7,FALSE)</f>
        <v/>
      </c>
      <c r="BT141" s="106" t="n"/>
      <c r="BU141" s="253" t="n"/>
      <c r="BV141" s="105" t="n"/>
      <c r="BW141" s="105" t="n"/>
      <c r="BX141" s="105" t="n"/>
      <c r="BY141" s="105" t="n"/>
      <c r="BZ141" s="105" t="n"/>
      <c r="CA141" s="105" t="n"/>
      <c r="CB141" s="105" t="n"/>
      <c r="CC141" s="105" t="n"/>
      <c r="CD141" s="105" t="n"/>
      <c r="CE141" s="142" t="n">
        <v>1</v>
      </c>
      <c r="CF141" s="105" t="n"/>
      <c r="CG141" s="105" t="n"/>
      <c r="CH141" s="105" t="n"/>
      <c r="CI141" s="105" t="n"/>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24">
        <f>+COUNTA(BV141:CY141)</f>
        <v/>
      </c>
      <c r="DA141" s="251" t="n"/>
      <c r="DB141" s="251" t="n"/>
      <c r="DC141" s="251" t="n"/>
      <c r="DD141" s="251" t="n"/>
      <c r="DE141" s="251" t="n"/>
      <c r="DF141" s="251" t="n"/>
      <c r="DG141" s="251" t="n"/>
      <c r="DH141" s="251" t="n"/>
      <c r="DI141" s="251" t="n"/>
      <c r="DJ141" s="251" t="inlineStr">
        <is>
          <t>M</t>
        </is>
      </c>
      <c r="DK141" s="251" t="n">
        <v>8</v>
      </c>
      <c r="DL141" s="95" t="n">
        <v>14</v>
      </c>
      <c r="DM141" s="251" t="n"/>
      <c r="DN141" s="95" t="n"/>
      <c r="DO141" s="95" t="n"/>
    </row>
    <row r="142" ht="13" customHeight="1">
      <c r="A142" s="203" t="inlineStr">
        <is>
          <t>CMA-16</t>
        </is>
      </c>
      <c r="B142" s="376" t="n"/>
      <c r="C142" s="376"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76" t="n"/>
      <c r="BL142" s="7" t="inlineStr">
        <is>
          <t>GMAP-SIGA</t>
        </is>
      </c>
      <c r="BM142" s="251" t="inlineStr">
        <is>
          <t>ASUB</t>
        </is>
      </c>
      <c r="BN142" s="337" t="inlineStr">
        <is>
          <t>Jachucoposa</t>
        </is>
      </c>
      <c r="BO142" s="251" t="inlineStr">
        <is>
          <t>SI</t>
        </is>
      </c>
      <c r="BP142" s="106" t="inlineStr">
        <is>
          <t>CMA-16 JACHUCOPOSA/ASUB</t>
        </is>
      </c>
      <c r="BQ142" s="106">
        <f>VLOOKUP(BP142,[1]AGUA!$1:$1048576,2,FALSE)</f>
        <v/>
      </c>
      <c r="BR142" s="106">
        <f>VLOOKUP(BP142,[1]AGUA!$1:$1048576,6,FALSE)</f>
        <v/>
      </c>
      <c r="BS142" s="106">
        <f>VLOOKUP(BP142,[1]AGUA!$1:$1048576,7,FALSE)</f>
        <v/>
      </c>
      <c r="BT142" s="106" t="n"/>
      <c r="BU142" s="377" t="n"/>
      <c r="BV142" s="105" t="n"/>
      <c r="BW142" s="105" t="n"/>
      <c r="BX142" s="105" t="n"/>
      <c r="BY142" s="105" t="n"/>
      <c r="BZ142" s="105" t="n"/>
      <c r="CA142" s="105" t="n"/>
      <c r="CB142" s="105" t="n"/>
      <c r="CC142" s="105" t="n"/>
      <c r="CD142" s="105" t="n"/>
      <c r="CE142" s="107" t="n">
        <v>1</v>
      </c>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24">
        <f>+COUNTA(BV142:CY142)</f>
        <v/>
      </c>
      <c r="DA142" s="251" t="n"/>
      <c r="DB142" s="251" t="n"/>
      <c r="DC142" s="251" t="n"/>
      <c r="DD142" s="251" t="n"/>
      <c r="DE142" s="251" t="n"/>
      <c r="DF142" s="251" t="n"/>
      <c r="DG142" s="251" t="n"/>
      <c r="DH142" s="251" t="n"/>
      <c r="DI142" s="251" t="n"/>
      <c r="DJ142" s="251" t="n"/>
      <c r="DK142" s="251" t="n"/>
      <c r="DL142" s="95" t="n"/>
      <c r="DM142" s="251" t="inlineStr">
        <is>
          <t>T</t>
        </is>
      </c>
      <c r="DN142" s="95" t="n">
        <v>8</v>
      </c>
      <c r="DO142" s="95" t="n">
        <v>14</v>
      </c>
    </row>
    <row r="143" ht="13" customHeight="1">
      <c r="A143" s="203" t="inlineStr">
        <is>
          <t>CMA-17</t>
        </is>
      </c>
      <c r="B143" s="305" t="inlineStr">
        <is>
          <t>CMA-17 JACHUCOPOSA</t>
        </is>
      </c>
      <c r="C143" s="251"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1" t="inlineStr">
        <is>
          <t>532MACMA</t>
        </is>
      </c>
      <c r="BL143" s="7" t="inlineStr">
        <is>
          <t>GMAP-SIGA</t>
        </is>
      </c>
      <c r="BM143" s="251" t="inlineStr">
        <is>
          <t>NF</t>
        </is>
      </c>
      <c r="BN143" s="337" t="inlineStr">
        <is>
          <t>Jachucoposa</t>
        </is>
      </c>
      <c r="BO143" s="251" t="inlineStr">
        <is>
          <t>SI</t>
        </is>
      </c>
      <c r="BP143" s="106" t="inlineStr">
        <is>
          <t>CMA-17 JACHUCOPOSA/NF</t>
        </is>
      </c>
      <c r="BQ143" s="106">
        <f>VLOOKUP(BP143,[1]AGUA!$1:$1048576,2,FALSE)</f>
        <v/>
      </c>
      <c r="BR143" s="106">
        <f>VLOOKUP(BP143,[1]AGUA!$1:$1048576,6,FALSE)</f>
        <v/>
      </c>
      <c r="BS143" s="106">
        <f>VLOOKUP(BP143,[1]AGUA!$1:$1048576,7,FALSE)</f>
        <v/>
      </c>
      <c r="BT143" s="106" t="n"/>
      <c r="BU143" s="253" t="n"/>
      <c r="BV143" s="105" t="n"/>
      <c r="BW143" s="105" t="n"/>
      <c r="BX143" s="105" t="n"/>
      <c r="BY143" s="105" t="n"/>
      <c r="BZ143" s="105" t="n"/>
      <c r="CA143" s="105" t="n"/>
      <c r="CB143" s="105" t="n"/>
      <c r="CC143" s="105" t="n"/>
      <c r="CD143" s="105" t="n"/>
      <c r="CE143" s="142" t="n">
        <v>1</v>
      </c>
      <c r="CF143" s="105" t="n"/>
      <c r="CG143" s="105" t="n"/>
      <c r="CH143" s="105" t="n"/>
      <c r="CI143" s="105" t="n"/>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24">
        <f>+COUNTA(BV143:CY143)</f>
        <v/>
      </c>
      <c r="DA143" s="251" t="n"/>
      <c r="DB143" s="251" t="n"/>
      <c r="DC143" s="251" t="n"/>
      <c r="DD143" s="251" t="n"/>
      <c r="DE143" s="251" t="n"/>
      <c r="DF143" s="251" t="n"/>
      <c r="DG143" s="251" t="n"/>
      <c r="DH143" s="251" t="n"/>
      <c r="DI143" s="251" t="n"/>
      <c r="DJ143" s="251" t="inlineStr">
        <is>
          <t>M</t>
        </is>
      </c>
      <c r="DK143" s="251" t="n">
        <v>8</v>
      </c>
      <c r="DL143" s="95" t="n">
        <v>14</v>
      </c>
      <c r="DM143" s="251" t="n"/>
      <c r="DN143" s="95" t="n"/>
      <c r="DO143" s="95" t="n"/>
    </row>
    <row r="144" ht="13" customHeight="1">
      <c r="A144" s="203" t="inlineStr">
        <is>
          <t>CMA-17</t>
        </is>
      </c>
      <c r="B144" s="376" t="n"/>
      <c r="C144" s="376"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76" t="n"/>
      <c r="BL144" s="7" t="inlineStr">
        <is>
          <t>GMAP-SIGA</t>
        </is>
      </c>
      <c r="BM144" s="251" t="inlineStr">
        <is>
          <t>ASUB</t>
        </is>
      </c>
      <c r="BN144" s="337" t="inlineStr">
        <is>
          <t>Jachucoposa</t>
        </is>
      </c>
      <c r="BO144" s="251" t="inlineStr">
        <is>
          <t>SI</t>
        </is>
      </c>
      <c r="BP144" s="106" t="inlineStr">
        <is>
          <t>CMA-17 JACHUCOPOSA/ASUB</t>
        </is>
      </c>
      <c r="BQ144" s="106">
        <f>VLOOKUP(BP144,[1]AGUA!$1:$1048576,2,FALSE)</f>
        <v/>
      </c>
      <c r="BR144" s="106">
        <f>VLOOKUP(BP144,[1]AGUA!$1:$1048576,6,FALSE)</f>
        <v/>
      </c>
      <c r="BS144" s="106">
        <f>VLOOKUP(BP144,[1]AGUA!$1:$1048576,7,FALSE)</f>
        <v/>
      </c>
      <c r="BT144" s="106" t="n"/>
      <c r="BU144" s="377" t="n"/>
      <c r="BV144" s="105" t="n"/>
      <c r="BW144" s="105" t="n"/>
      <c r="BX144" s="105" t="n"/>
      <c r="BY144" s="105" t="n"/>
      <c r="BZ144" s="105" t="n"/>
      <c r="CA144" s="105" t="n"/>
      <c r="CB144" s="105" t="n"/>
      <c r="CC144" s="105" t="n"/>
      <c r="CD144" s="105" t="n"/>
      <c r="CE144" s="107" t="n">
        <v>1</v>
      </c>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24">
        <f>+COUNTA(BV144:CY144)</f>
        <v/>
      </c>
      <c r="DA144" s="251" t="n"/>
      <c r="DB144" s="251" t="n"/>
      <c r="DC144" s="251" t="n"/>
      <c r="DD144" s="251" t="n"/>
      <c r="DE144" s="251" t="n"/>
      <c r="DF144" s="251" t="n"/>
      <c r="DG144" s="251" t="n"/>
      <c r="DH144" s="251" t="n"/>
      <c r="DI144" s="251" t="n"/>
      <c r="DJ144" s="251" t="n"/>
      <c r="DK144" s="251" t="n"/>
      <c r="DL144" s="95" t="n"/>
      <c r="DM144" s="251" t="inlineStr">
        <is>
          <t>T</t>
        </is>
      </c>
      <c r="DN144" s="95" t="n">
        <v>8</v>
      </c>
      <c r="DO144" s="95" t="n">
        <v>14</v>
      </c>
    </row>
    <row r="145" ht="13" customHeight="1">
      <c r="A145" s="203" t="inlineStr">
        <is>
          <t>CMA-18</t>
        </is>
      </c>
      <c r="B145" s="305" t="inlineStr">
        <is>
          <t>CMA-18 JACHUCOPOSA</t>
        </is>
      </c>
      <c r="C145" s="251"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1" t="inlineStr">
        <is>
          <t>532MACMA</t>
        </is>
      </c>
      <c r="BL145" s="7" t="inlineStr">
        <is>
          <t>GMAP-SIGA</t>
        </is>
      </c>
      <c r="BM145" s="251" t="inlineStr">
        <is>
          <t>NF</t>
        </is>
      </c>
      <c r="BN145" s="337" t="inlineStr">
        <is>
          <t>Jachucoposa</t>
        </is>
      </c>
      <c r="BO145" s="251" t="inlineStr">
        <is>
          <t>SI</t>
        </is>
      </c>
      <c r="BP145" s="106" t="inlineStr">
        <is>
          <t>CMA-18 JACHUCOPOSA/NF</t>
        </is>
      </c>
      <c r="BQ145" s="106">
        <f>VLOOKUP(BP145,[1]AGUA!$1:$1048576,2,FALSE)</f>
        <v/>
      </c>
      <c r="BR145" s="106">
        <f>VLOOKUP(BP145,[1]AGUA!$1:$1048576,6,FALSE)</f>
        <v/>
      </c>
      <c r="BS145" s="106">
        <f>VLOOKUP(BP145,[1]AGUA!$1:$1048576,7,FALSE)</f>
        <v/>
      </c>
      <c r="BT145" s="106" t="n"/>
      <c r="BU145" s="253" t="n"/>
      <c r="BV145" s="105" t="n"/>
      <c r="BW145" s="105" t="n"/>
      <c r="BX145" s="105" t="n"/>
      <c r="BY145" s="105" t="n"/>
      <c r="BZ145" s="105" t="n"/>
      <c r="CA145" s="105" t="n"/>
      <c r="CB145" s="105" t="n"/>
      <c r="CC145" s="105" t="n"/>
      <c r="CD145" s="105" t="n"/>
      <c r="CE145" s="142" t="n">
        <v>1</v>
      </c>
      <c r="CF145" s="105" t="n"/>
      <c r="CG145" s="105" t="n"/>
      <c r="CH145" s="105" t="n"/>
      <c r="CI145" s="105" t="n"/>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24">
        <f>+COUNTA(BV145:CY145)</f>
        <v/>
      </c>
      <c r="DA145" s="251" t="n"/>
      <c r="DB145" s="251" t="n"/>
      <c r="DC145" s="251" t="n"/>
      <c r="DD145" s="251" t="n"/>
      <c r="DE145" s="251" t="n"/>
      <c r="DF145" s="251" t="n"/>
      <c r="DG145" s="251" t="n"/>
      <c r="DH145" s="251" t="n"/>
      <c r="DI145" s="251" t="n"/>
      <c r="DJ145" s="251" t="inlineStr">
        <is>
          <t>M</t>
        </is>
      </c>
      <c r="DK145" s="251" t="n">
        <v>8</v>
      </c>
      <c r="DL145" s="95" t="n">
        <v>14</v>
      </c>
      <c r="DM145" s="251" t="n"/>
      <c r="DN145" s="95" t="n"/>
      <c r="DO145" s="95" t="n"/>
    </row>
    <row r="146" ht="13" customHeight="1">
      <c r="A146" s="203" t="inlineStr">
        <is>
          <t>CMA-18</t>
        </is>
      </c>
      <c r="B146" s="376" t="n"/>
      <c r="C146" s="376"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76" t="n"/>
      <c r="BL146" s="7" t="inlineStr">
        <is>
          <t>GMAP-SIGA</t>
        </is>
      </c>
      <c r="BM146" s="251" t="inlineStr">
        <is>
          <t>ASUB</t>
        </is>
      </c>
      <c r="BN146" s="337" t="inlineStr">
        <is>
          <t>Jachucoposa</t>
        </is>
      </c>
      <c r="BO146" s="251" t="inlineStr">
        <is>
          <t>SI</t>
        </is>
      </c>
      <c r="BP146" s="106" t="inlineStr">
        <is>
          <t>CMA-18 JACHUCOPOSA/ASUB</t>
        </is>
      </c>
      <c r="BQ146" s="106">
        <f>VLOOKUP(BP146,[1]AGUA!$1:$1048576,2,FALSE)</f>
        <v/>
      </c>
      <c r="BR146" s="106">
        <f>VLOOKUP(BP146,[1]AGUA!$1:$1048576,6,FALSE)</f>
        <v/>
      </c>
      <c r="BS146" s="106">
        <f>VLOOKUP(BP146,[1]AGUA!$1:$1048576,7,FALSE)</f>
        <v/>
      </c>
      <c r="BT146" s="106" t="n"/>
      <c r="BU146" s="377" t="n"/>
      <c r="BV146" s="105" t="n"/>
      <c r="BW146" s="105" t="n"/>
      <c r="BX146" s="105" t="n"/>
      <c r="BY146" s="105" t="n"/>
      <c r="BZ146" s="105" t="n"/>
      <c r="CA146" s="105" t="n"/>
      <c r="CB146" s="105" t="n"/>
      <c r="CC146" s="105" t="n"/>
      <c r="CD146" s="105" t="n"/>
      <c r="CE146" s="107" t="n">
        <v>1</v>
      </c>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24">
        <f>+COUNTA(BV146:CY146)</f>
        <v/>
      </c>
      <c r="DA146" s="251" t="n"/>
      <c r="DB146" s="251" t="n"/>
      <c r="DC146" s="251" t="n"/>
      <c r="DD146" s="251" t="n"/>
      <c r="DE146" s="251" t="n"/>
      <c r="DF146" s="251" t="n"/>
      <c r="DG146" s="251" t="n"/>
      <c r="DH146" s="251" t="n"/>
      <c r="DI146" s="251" t="n"/>
      <c r="DJ146" s="251" t="n"/>
      <c r="DK146" s="251" t="n"/>
      <c r="DL146" s="95" t="n"/>
      <c r="DM146" s="251" t="inlineStr">
        <is>
          <t>T</t>
        </is>
      </c>
      <c r="DN146" s="95" t="n">
        <v>8</v>
      </c>
      <c r="DO146" s="95" t="n">
        <v>14</v>
      </c>
    </row>
    <row r="147" ht="13" customHeight="1">
      <c r="A147" s="203" t="inlineStr">
        <is>
          <t>CMA-19</t>
        </is>
      </c>
      <c r="B147" s="305" t="inlineStr">
        <is>
          <t>CMA-19 JACHUCOPOSA</t>
        </is>
      </c>
      <c r="C147" s="251"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1" t="inlineStr">
        <is>
          <t>532MACMA</t>
        </is>
      </c>
      <c r="BL147" s="7" t="inlineStr">
        <is>
          <t>GMAP-SIGA</t>
        </is>
      </c>
      <c r="BM147" s="251" t="inlineStr">
        <is>
          <t>NF</t>
        </is>
      </c>
      <c r="BN147" s="337" t="inlineStr">
        <is>
          <t>Jachucoposa</t>
        </is>
      </c>
      <c r="BO147" s="251" t="inlineStr">
        <is>
          <t>SI</t>
        </is>
      </c>
      <c r="BP147" s="106" t="inlineStr">
        <is>
          <t>CMA-19 JACHUCOPOSA/NF</t>
        </is>
      </c>
      <c r="BQ147" s="106">
        <f>VLOOKUP(BP147,[1]AGUA!$1:$1048576,2,FALSE)</f>
        <v/>
      </c>
      <c r="BR147" s="106">
        <f>VLOOKUP(BP147,[1]AGUA!$1:$1048576,6,FALSE)</f>
        <v/>
      </c>
      <c r="BS147" s="106">
        <f>VLOOKUP(BP147,[1]AGUA!$1:$1048576,7,FALSE)</f>
        <v/>
      </c>
      <c r="BT147" s="106" t="n"/>
      <c r="BU147" s="253" t="n"/>
      <c r="BV147" s="105" t="n"/>
      <c r="BW147" s="105" t="n"/>
      <c r="BX147" s="105" t="n"/>
      <c r="BY147" s="105" t="n"/>
      <c r="BZ147" s="105" t="n"/>
      <c r="CA147" s="105" t="n"/>
      <c r="CB147" s="105" t="n"/>
      <c r="CC147" s="105" t="n"/>
      <c r="CD147" s="105" t="n"/>
      <c r="CE147" s="142" t="n">
        <v>1</v>
      </c>
      <c r="CF147" s="105" t="n"/>
      <c r="CG147" s="105" t="n"/>
      <c r="CH147" s="105" t="n"/>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24">
        <f>+COUNTA(BV147:CY147)</f>
        <v/>
      </c>
      <c r="DA147" s="251" t="n"/>
      <c r="DB147" s="251" t="n"/>
      <c r="DC147" s="251" t="n"/>
      <c r="DD147" s="251" t="n"/>
      <c r="DE147" s="251" t="n"/>
      <c r="DF147" s="251" t="n"/>
      <c r="DG147" s="251" t="n"/>
      <c r="DH147" s="251" t="n"/>
      <c r="DI147" s="251" t="n"/>
      <c r="DJ147" s="251" t="inlineStr">
        <is>
          <t>M</t>
        </is>
      </c>
      <c r="DK147" s="251" t="n">
        <v>8</v>
      </c>
      <c r="DL147" s="95" t="n">
        <v>14</v>
      </c>
      <c r="DM147" s="251" t="n"/>
      <c r="DN147" s="95" t="n"/>
      <c r="DO147" s="95" t="n"/>
    </row>
    <row r="148" ht="13" customHeight="1">
      <c r="A148" s="203" t="inlineStr">
        <is>
          <t>CMA-19</t>
        </is>
      </c>
      <c r="B148" s="376" t="n"/>
      <c r="C148" s="376"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76" t="n"/>
      <c r="BL148" s="7" t="inlineStr">
        <is>
          <t>GMAP-SIGA</t>
        </is>
      </c>
      <c r="BM148" s="251" t="inlineStr">
        <is>
          <t>ASUB</t>
        </is>
      </c>
      <c r="BN148" s="337" t="inlineStr">
        <is>
          <t>Jachucoposa</t>
        </is>
      </c>
      <c r="BO148" s="251" t="inlineStr">
        <is>
          <t>SI</t>
        </is>
      </c>
      <c r="BP148" s="106" t="inlineStr">
        <is>
          <t>CMA-19 JACHUCOPOSA/ASUB</t>
        </is>
      </c>
      <c r="BQ148" s="106">
        <f>VLOOKUP(BP148,[1]AGUA!$1:$1048576,2,FALSE)</f>
        <v/>
      </c>
      <c r="BR148" s="106">
        <f>VLOOKUP(BP148,[1]AGUA!$1:$1048576,6,FALSE)</f>
        <v/>
      </c>
      <c r="BS148" s="106">
        <f>VLOOKUP(BP148,[1]AGUA!$1:$1048576,7,FALSE)</f>
        <v/>
      </c>
      <c r="BT148" s="106" t="n"/>
      <c r="BU148" s="377" t="n"/>
      <c r="BV148" s="105" t="n"/>
      <c r="BW148" s="105" t="n"/>
      <c r="BX148" s="105" t="n"/>
      <c r="BY148" s="105" t="n"/>
      <c r="BZ148" s="105" t="n"/>
      <c r="CA148" s="105" t="n"/>
      <c r="CB148" s="105" t="n"/>
      <c r="CC148" s="105" t="n"/>
      <c r="CD148" s="105" t="n"/>
      <c r="CE148" s="107" t="n">
        <v>1</v>
      </c>
      <c r="CF148" s="105" t="n"/>
      <c r="CG148" s="105" t="n"/>
      <c r="CH148" s="105"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24">
        <f>+COUNTA(BV148:CY148)</f>
        <v/>
      </c>
      <c r="DA148" s="251" t="n"/>
      <c r="DB148" s="251" t="n"/>
      <c r="DC148" s="251" t="n"/>
      <c r="DD148" s="251" t="n"/>
      <c r="DE148" s="251" t="n"/>
      <c r="DF148" s="251" t="n"/>
      <c r="DG148" s="251" t="n"/>
      <c r="DH148" s="251" t="n"/>
      <c r="DI148" s="251" t="n"/>
      <c r="DJ148" s="251" t="n"/>
      <c r="DK148" s="251" t="n"/>
      <c r="DL148" s="95" t="n"/>
      <c r="DM148" s="251" t="inlineStr">
        <is>
          <t>T</t>
        </is>
      </c>
      <c r="DN148" s="95" t="n">
        <v>8</v>
      </c>
      <c r="DO148" s="95" t="n">
        <v>14</v>
      </c>
    </row>
    <row r="149" ht="13" customHeight="1">
      <c r="A149" s="203" t="inlineStr">
        <is>
          <t>CMA-20</t>
        </is>
      </c>
      <c r="B149" s="305" t="inlineStr">
        <is>
          <t>CMA-20 JACHUCOPOSA</t>
        </is>
      </c>
      <c r="C149" s="251"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1" t="inlineStr">
        <is>
          <t>532MACMA</t>
        </is>
      </c>
      <c r="BL149" s="7" t="inlineStr">
        <is>
          <t>GMAP-SIGA</t>
        </is>
      </c>
      <c r="BM149" s="251" t="inlineStr">
        <is>
          <t>NF</t>
        </is>
      </c>
      <c r="BN149" s="337" t="inlineStr">
        <is>
          <t>Jachucoposa</t>
        </is>
      </c>
      <c r="BO149" s="251" t="inlineStr">
        <is>
          <t>SI</t>
        </is>
      </c>
      <c r="BP149" s="106" t="inlineStr">
        <is>
          <t>CMA-20 JACHUCOPOSA/NF</t>
        </is>
      </c>
      <c r="BQ149" s="106">
        <f>VLOOKUP(BP149,[1]AGUA!$1:$1048576,2,FALSE)</f>
        <v/>
      </c>
      <c r="BR149" s="106">
        <f>VLOOKUP(BP149,[1]AGUA!$1:$1048576,6,FALSE)</f>
        <v/>
      </c>
      <c r="BS149" s="106">
        <f>VLOOKUP(BP149,[1]AGUA!$1:$1048576,7,FALSE)</f>
        <v/>
      </c>
      <c r="BT149" s="106" t="n"/>
      <c r="BU149" s="253" t="n"/>
      <c r="BV149" s="105" t="n"/>
      <c r="BW149" s="105" t="n"/>
      <c r="BX149" s="105" t="n"/>
      <c r="BY149" s="105" t="n"/>
      <c r="BZ149" s="105" t="n"/>
      <c r="CA149" s="105" t="n"/>
      <c r="CB149" s="105" t="n"/>
      <c r="CC149" s="105" t="n"/>
      <c r="CD149" s="105" t="n"/>
      <c r="CE149" s="142" t="n">
        <v>1</v>
      </c>
      <c r="CF149" s="105" t="n"/>
      <c r="CG149" s="105" t="n"/>
      <c r="CH149" s="105" t="n"/>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24">
        <f>+COUNTA(BV149:CY149)</f>
        <v/>
      </c>
      <c r="DA149" s="251" t="n"/>
      <c r="DB149" s="251" t="n"/>
      <c r="DC149" s="251" t="n"/>
      <c r="DD149" s="251" t="n"/>
      <c r="DE149" s="251" t="n"/>
      <c r="DF149" s="251" t="n"/>
      <c r="DG149" s="251" t="n"/>
      <c r="DH149" s="251" t="n"/>
      <c r="DI149" s="251" t="n"/>
      <c r="DJ149" s="251" t="inlineStr">
        <is>
          <t>M</t>
        </is>
      </c>
      <c r="DK149" s="251" t="n">
        <v>8</v>
      </c>
      <c r="DL149" s="95" t="n">
        <v>14</v>
      </c>
      <c r="DM149" s="251" t="n"/>
      <c r="DN149" s="95" t="n"/>
      <c r="DO149" s="95" t="n"/>
    </row>
    <row r="150" ht="13" customHeight="1">
      <c r="A150" s="203" t="inlineStr">
        <is>
          <t>CMA-20</t>
        </is>
      </c>
      <c r="B150" s="376" t="n"/>
      <c r="C150" s="376"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76" t="n"/>
      <c r="BL150" s="7" t="inlineStr">
        <is>
          <t>GMAP-SIGA</t>
        </is>
      </c>
      <c r="BM150" s="251" t="inlineStr">
        <is>
          <t>ASUB</t>
        </is>
      </c>
      <c r="BN150" s="337" t="inlineStr">
        <is>
          <t>Jachucoposa</t>
        </is>
      </c>
      <c r="BO150" s="251" t="inlineStr">
        <is>
          <t>SI</t>
        </is>
      </c>
      <c r="BP150" s="106" t="inlineStr">
        <is>
          <t>CMA-20 JACHUCOPOSA/ASUB</t>
        </is>
      </c>
      <c r="BQ150" s="106">
        <f>VLOOKUP(BP150,[1]AGUA!$1:$1048576,2,FALSE)</f>
        <v/>
      </c>
      <c r="BR150" s="106">
        <f>VLOOKUP(BP150,[1]AGUA!$1:$1048576,6,FALSE)</f>
        <v/>
      </c>
      <c r="BS150" s="106">
        <f>VLOOKUP(BP150,[1]AGUA!$1:$1048576,7,FALSE)</f>
        <v/>
      </c>
      <c r="BT150" s="106" t="n"/>
      <c r="BU150" s="377" t="n"/>
      <c r="BV150" s="105" t="n"/>
      <c r="BW150" s="105" t="n"/>
      <c r="BX150" s="105" t="n"/>
      <c r="BY150" s="105" t="n"/>
      <c r="BZ150" s="105" t="n"/>
      <c r="CA150" s="105" t="n"/>
      <c r="CB150" s="105" t="n"/>
      <c r="CC150" s="105" t="n"/>
      <c r="CD150" s="105" t="n"/>
      <c r="CE150" s="107" t="n">
        <v>1</v>
      </c>
      <c r="CF150" s="105" t="n"/>
      <c r="CG150" s="105" t="n"/>
      <c r="CH150" s="105"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24">
        <f>+COUNTA(BV150:CY150)</f>
        <v/>
      </c>
      <c r="DA150" s="251" t="n"/>
      <c r="DB150" s="251" t="n"/>
      <c r="DC150" s="251" t="n"/>
      <c r="DD150" s="251" t="n"/>
      <c r="DE150" s="251" t="n"/>
      <c r="DF150" s="251" t="n"/>
      <c r="DG150" s="251" t="n"/>
      <c r="DH150" s="251" t="n"/>
      <c r="DI150" s="251" t="n"/>
      <c r="DJ150" s="251" t="n"/>
      <c r="DK150" s="251" t="n"/>
      <c r="DL150" s="95" t="n"/>
      <c r="DM150" s="251" t="inlineStr">
        <is>
          <t>T</t>
        </is>
      </c>
      <c r="DN150" s="95" t="n">
        <v>8</v>
      </c>
      <c r="DO150" s="95" t="n">
        <v>14</v>
      </c>
    </row>
    <row r="151" ht="13" customHeight="1">
      <c r="A151" s="203" t="inlineStr">
        <is>
          <t>CMA-21</t>
        </is>
      </c>
      <c r="B151" s="305" t="inlineStr">
        <is>
          <t>CMA-21 JACHUCOPOSA</t>
        </is>
      </c>
      <c r="C151" s="251"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1" t="inlineStr">
        <is>
          <t>532MACMA</t>
        </is>
      </c>
      <c r="BL151" s="7" t="inlineStr">
        <is>
          <t>GMAP-SIGA</t>
        </is>
      </c>
      <c r="BM151" s="251" t="inlineStr">
        <is>
          <t>NF</t>
        </is>
      </c>
      <c r="BN151" s="337" t="inlineStr">
        <is>
          <t>Jachucoposa</t>
        </is>
      </c>
      <c r="BO151" s="251" t="inlineStr">
        <is>
          <t>SI</t>
        </is>
      </c>
      <c r="BP151" s="106" t="inlineStr">
        <is>
          <t>CMA-21 JACHUCOPOSA/NF</t>
        </is>
      </c>
      <c r="BQ151" s="106">
        <f>VLOOKUP(BP151,[1]AGUA!$1:$1048576,2,FALSE)</f>
        <v/>
      </c>
      <c r="BR151" s="106">
        <f>VLOOKUP(BP151,[1]AGUA!$1:$1048576,6,FALSE)</f>
        <v/>
      </c>
      <c r="BS151" s="106">
        <f>VLOOKUP(BP151,[1]AGUA!$1:$1048576,7,FALSE)</f>
        <v/>
      </c>
      <c r="BT151" s="106" t="n"/>
      <c r="BU151" s="253" t="n"/>
      <c r="BV151" s="105" t="n"/>
      <c r="BW151" s="105" t="n"/>
      <c r="BX151" s="105" t="n"/>
      <c r="BY151" s="105" t="n"/>
      <c r="BZ151" s="105" t="n"/>
      <c r="CA151" s="105" t="n"/>
      <c r="CB151" s="105" t="n"/>
      <c r="CC151" s="105" t="n"/>
      <c r="CD151" s="105" t="n"/>
      <c r="CE151" s="142" t="n">
        <v>1</v>
      </c>
      <c r="CF151" s="105" t="n"/>
      <c r="CG151" s="105" t="n"/>
      <c r="CH151" s="105" t="n"/>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24">
        <f>+COUNTA(BV151:CY151)</f>
        <v/>
      </c>
      <c r="DA151" s="251" t="n"/>
      <c r="DB151" s="251" t="n"/>
      <c r="DC151" s="251" t="n"/>
      <c r="DD151" s="251" t="n"/>
      <c r="DE151" s="251" t="n"/>
      <c r="DF151" s="251" t="n"/>
      <c r="DG151" s="251" t="n"/>
      <c r="DH151" s="251" t="n"/>
      <c r="DI151" s="251" t="n"/>
      <c r="DJ151" s="251" t="inlineStr">
        <is>
          <t>M</t>
        </is>
      </c>
      <c r="DK151" s="251" t="n">
        <v>8</v>
      </c>
      <c r="DL151" s="95" t="n">
        <v>14</v>
      </c>
      <c r="DM151" s="251" t="n"/>
      <c r="DN151" s="95" t="n"/>
      <c r="DO151" s="95" t="n"/>
    </row>
    <row r="152" ht="13" customHeight="1">
      <c r="A152" s="203" t="inlineStr">
        <is>
          <t>CMA-21</t>
        </is>
      </c>
      <c r="B152" s="376" t="n"/>
      <c r="C152" s="376"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76" t="n"/>
      <c r="BL152" s="7" t="inlineStr">
        <is>
          <t>GMAP-SIGA</t>
        </is>
      </c>
      <c r="BM152" s="251" t="inlineStr">
        <is>
          <t>ASUB</t>
        </is>
      </c>
      <c r="BN152" s="337" t="inlineStr">
        <is>
          <t>Jachucoposa</t>
        </is>
      </c>
      <c r="BO152" s="251" t="inlineStr">
        <is>
          <t>SI</t>
        </is>
      </c>
      <c r="BP152" s="106" t="inlineStr">
        <is>
          <t>CMA-21 JACHUCOPOSA/ASUB</t>
        </is>
      </c>
      <c r="BQ152" s="106">
        <f>VLOOKUP(BP152,[1]AGUA!$1:$1048576,2,FALSE)</f>
        <v/>
      </c>
      <c r="BR152" s="106">
        <f>VLOOKUP(BP152,[1]AGUA!$1:$1048576,6,FALSE)</f>
        <v/>
      </c>
      <c r="BS152" s="106">
        <f>VLOOKUP(BP152,[1]AGUA!$1:$1048576,7,FALSE)</f>
        <v/>
      </c>
      <c r="BT152" s="106" t="n"/>
      <c r="BU152" s="377" t="n"/>
      <c r="BV152" s="105" t="n"/>
      <c r="BW152" s="105" t="n"/>
      <c r="BX152" s="105" t="n"/>
      <c r="BY152" s="105" t="n"/>
      <c r="BZ152" s="105" t="n"/>
      <c r="CA152" s="105" t="n"/>
      <c r="CB152" s="105" t="n"/>
      <c r="CC152" s="105" t="n"/>
      <c r="CD152" s="105" t="n"/>
      <c r="CE152" s="107" t="n">
        <v>1</v>
      </c>
      <c r="CF152" s="105" t="n"/>
      <c r="CG152" s="105" t="n"/>
      <c r="CH152" s="105"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24">
        <f>+COUNTA(BV152:CY152)</f>
        <v/>
      </c>
      <c r="DA152" s="251" t="n"/>
      <c r="DB152" s="251" t="n"/>
      <c r="DC152" s="251" t="n"/>
      <c r="DD152" s="251" t="n"/>
      <c r="DE152" s="251" t="n"/>
      <c r="DF152" s="251" t="n"/>
      <c r="DG152" s="251" t="n"/>
      <c r="DH152" s="251" t="n"/>
      <c r="DI152" s="251" t="n"/>
      <c r="DJ152" s="251" t="n"/>
      <c r="DK152" s="251" t="n"/>
      <c r="DL152" s="95" t="n"/>
      <c r="DM152" s="251" t="inlineStr">
        <is>
          <t>T</t>
        </is>
      </c>
      <c r="DN152" s="95" t="n">
        <v>8</v>
      </c>
      <c r="DO152" s="95" t="n">
        <v>14</v>
      </c>
    </row>
    <row r="153" ht="13" customHeight="1">
      <c r="A153" s="203" t="inlineStr">
        <is>
          <t>CMA-22</t>
        </is>
      </c>
      <c r="B153" s="305" t="inlineStr">
        <is>
          <t>CMA-22 JACHUCOPOSA</t>
        </is>
      </c>
      <c r="C153" s="251"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1" t="inlineStr">
        <is>
          <t>532MACMA</t>
        </is>
      </c>
      <c r="BL153" s="7" t="inlineStr">
        <is>
          <t>GMAP-SIGA</t>
        </is>
      </c>
      <c r="BM153" s="251" t="inlineStr">
        <is>
          <t>NF</t>
        </is>
      </c>
      <c r="BN153" s="337" t="inlineStr">
        <is>
          <t>Jachucoposa</t>
        </is>
      </c>
      <c r="BO153" s="251" t="inlineStr">
        <is>
          <t>SI</t>
        </is>
      </c>
      <c r="BP153" s="106" t="inlineStr">
        <is>
          <t>CMA-22 JACHUCOPOSA/NF</t>
        </is>
      </c>
      <c r="BQ153" s="106">
        <f>VLOOKUP(BP153,[1]AGUA!$1:$1048576,2,FALSE)</f>
        <v/>
      </c>
      <c r="BR153" s="106">
        <f>VLOOKUP(BP153,[1]AGUA!$1:$1048576,6,FALSE)</f>
        <v/>
      </c>
      <c r="BS153" s="106">
        <f>VLOOKUP(BP153,[1]AGUA!$1:$1048576,7,FALSE)</f>
        <v/>
      </c>
      <c r="BT153" s="106" t="n"/>
      <c r="BU153" s="253" t="n"/>
      <c r="BV153" s="105" t="n"/>
      <c r="BW153" s="105" t="n"/>
      <c r="BX153" s="105" t="n"/>
      <c r="BY153" s="105" t="n"/>
      <c r="BZ153" s="105" t="n"/>
      <c r="CA153" s="105" t="n"/>
      <c r="CB153" s="105" t="n"/>
      <c r="CC153" s="105" t="n"/>
      <c r="CD153" s="105" t="n"/>
      <c r="CE153" s="142" t="n">
        <v>1</v>
      </c>
      <c r="CF153" s="105" t="n"/>
      <c r="CG153" s="105" t="n"/>
      <c r="CH153" s="105" t="n"/>
      <c r="CI153" s="105" t="n"/>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24">
        <f>+COUNTA(BV153:CY153)</f>
        <v/>
      </c>
      <c r="DA153" s="251" t="n"/>
      <c r="DB153" s="251" t="n"/>
      <c r="DC153" s="251" t="n"/>
      <c r="DD153" s="251" t="n"/>
      <c r="DE153" s="251" t="n"/>
      <c r="DF153" s="251" t="n"/>
      <c r="DG153" s="251" t="n"/>
      <c r="DH153" s="251" t="n"/>
      <c r="DI153" s="251" t="n"/>
      <c r="DJ153" s="251" t="inlineStr">
        <is>
          <t>M</t>
        </is>
      </c>
      <c r="DK153" s="251" t="n">
        <v>8</v>
      </c>
      <c r="DL153" s="95" t="n">
        <v>14</v>
      </c>
      <c r="DM153" s="251" t="n"/>
      <c r="DN153" s="95" t="n"/>
      <c r="DO153" s="95" t="n"/>
    </row>
    <row r="154" ht="13" customHeight="1">
      <c r="A154" s="203" t="inlineStr">
        <is>
          <t>CMA-22</t>
        </is>
      </c>
      <c r="B154" s="376" t="n"/>
      <c r="C154" s="376"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76" t="n"/>
      <c r="BL154" s="7" t="inlineStr">
        <is>
          <t>GMAP-SIGA</t>
        </is>
      </c>
      <c r="BM154" s="251" t="inlineStr">
        <is>
          <t>ASUB</t>
        </is>
      </c>
      <c r="BN154" s="337" t="inlineStr">
        <is>
          <t>Jachucoposa</t>
        </is>
      </c>
      <c r="BO154" s="251" t="inlineStr">
        <is>
          <t>SI</t>
        </is>
      </c>
      <c r="BP154" s="106" t="inlineStr">
        <is>
          <t>CMA-22 JACHUCOPOSA/ASUB</t>
        </is>
      </c>
      <c r="BQ154" s="106">
        <f>VLOOKUP(BP154,[1]AGUA!$1:$1048576,2,FALSE)</f>
        <v/>
      </c>
      <c r="BR154" s="106">
        <f>VLOOKUP(BP154,[1]AGUA!$1:$1048576,6,FALSE)</f>
        <v/>
      </c>
      <c r="BS154" s="106">
        <f>VLOOKUP(BP154,[1]AGUA!$1:$1048576,7,FALSE)</f>
        <v/>
      </c>
      <c r="BT154" s="106" t="n"/>
      <c r="BU154" s="377" t="n"/>
      <c r="BV154" s="105" t="n"/>
      <c r="BW154" s="105" t="n"/>
      <c r="BX154" s="105" t="n"/>
      <c r="BY154" s="105" t="n"/>
      <c r="BZ154" s="105" t="n"/>
      <c r="CA154" s="105" t="n"/>
      <c r="CB154" s="105" t="n"/>
      <c r="CC154" s="105" t="n"/>
      <c r="CD154" s="105" t="n"/>
      <c r="CE154" s="107" t="n">
        <v>1</v>
      </c>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24">
        <f>+COUNTA(BV154:CY154)</f>
        <v/>
      </c>
      <c r="DA154" s="251" t="n"/>
      <c r="DB154" s="251" t="n"/>
      <c r="DC154" s="251" t="n"/>
      <c r="DD154" s="251" t="n"/>
      <c r="DE154" s="251" t="n"/>
      <c r="DF154" s="251" t="n"/>
      <c r="DG154" s="251" t="n"/>
      <c r="DH154" s="251" t="n"/>
      <c r="DI154" s="251" t="n"/>
      <c r="DJ154" s="251" t="n"/>
      <c r="DK154" s="251" t="n"/>
      <c r="DL154" s="95" t="n"/>
      <c r="DM154" s="251" t="inlineStr">
        <is>
          <t>T</t>
        </is>
      </c>
      <c r="DN154" s="95" t="n">
        <v>8</v>
      </c>
      <c r="DO154" s="95" t="n">
        <v>14</v>
      </c>
    </row>
    <row r="155" ht="13" customHeight="1">
      <c r="A155" s="203" t="inlineStr">
        <is>
          <t>CMA-23</t>
        </is>
      </c>
      <c r="B155" s="305" t="inlineStr">
        <is>
          <t>CMA-23 JACHUCOPOSA</t>
        </is>
      </c>
      <c r="C155" s="251"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1" t="inlineStr">
        <is>
          <t>532MACMA</t>
        </is>
      </c>
      <c r="BL155" s="7" t="inlineStr">
        <is>
          <t>GMAP-SIGA</t>
        </is>
      </c>
      <c r="BM155" s="251" t="inlineStr">
        <is>
          <t>NF</t>
        </is>
      </c>
      <c r="BN155" s="337" t="inlineStr">
        <is>
          <t>Jachucoposa</t>
        </is>
      </c>
      <c r="BO155" s="251" t="inlineStr">
        <is>
          <t>SI</t>
        </is>
      </c>
      <c r="BP155" s="106" t="inlineStr">
        <is>
          <t>CMA-23 JACHUCOPOSA/NF</t>
        </is>
      </c>
      <c r="BQ155" s="106">
        <f>VLOOKUP(BP155,[1]AGUA!$1:$1048576,2,FALSE)</f>
        <v/>
      </c>
      <c r="BR155" s="106">
        <f>VLOOKUP(BP155,[1]AGUA!$1:$1048576,6,FALSE)</f>
        <v/>
      </c>
      <c r="BS155" s="106">
        <f>VLOOKUP(BP155,[1]AGUA!$1:$1048576,7,FALSE)</f>
        <v/>
      </c>
      <c r="BT155" s="106" t="n"/>
      <c r="BU155" s="253" t="n"/>
      <c r="BV155" s="105" t="n"/>
      <c r="BW155" s="105" t="n"/>
      <c r="BX155" s="105" t="n"/>
      <c r="BY155" s="105" t="n"/>
      <c r="BZ155" s="105" t="n"/>
      <c r="CA155" s="105" t="n"/>
      <c r="CB155" s="105" t="n"/>
      <c r="CC155" s="105" t="n"/>
      <c r="CD155" s="105" t="n"/>
      <c r="CE155" s="142" t="n">
        <v>1</v>
      </c>
      <c r="CF155" s="105" t="n"/>
      <c r="CG155" s="105" t="n"/>
      <c r="CH155" s="105" t="n"/>
      <c r="CI155" s="105" t="n"/>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24">
        <f>+COUNTA(BV155:CY155)</f>
        <v/>
      </c>
      <c r="DA155" s="251" t="n"/>
      <c r="DB155" s="251" t="n"/>
      <c r="DC155" s="251" t="n"/>
      <c r="DD155" s="251" t="n"/>
      <c r="DE155" s="251" t="n"/>
      <c r="DF155" s="251" t="n"/>
      <c r="DG155" s="251" t="n"/>
      <c r="DH155" s="251" t="n"/>
      <c r="DI155" s="251" t="n"/>
      <c r="DJ155" s="251" t="inlineStr">
        <is>
          <t>M</t>
        </is>
      </c>
      <c r="DK155" s="251" t="n">
        <v>8</v>
      </c>
      <c r="DL155" s="95" t="n">
        <v>14</v>
      </c>
      <c r="DM155" s="251" t="n"/>
      <c r="DN155" s="95" t="n"/>
      <c r="DO155" s="95" t="n"/>
    </row>
    <row r="156" ht="13" customHeight="1">
      <c r="A156" s="203" t="inlineStr">
        <is>
          <t>CMA-23</t>
        </is>
      </c>
      <c r="B156" s="376" t="n"/>
      <c r="C156" s="376"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76" t="n"/>
      <c r="BL156" s="7" t="inlineStr">
        <is>
          <t>GMAP-SIGA</t>
        </is>
      </c>
      <c r="BM156" s="251" t="inlineStr">
        <is>
          <t>ASUB</t>
        </is>
      </c>
      <c r="BN156" s="337" t="inlineStr">
        <is>
          <t>Jachucoposa</t>
        </is>
      </c>
      <c r="BO156" s="251" t="inlineStr">
        <is>
          <t>SI</t>
        </is>
      </c>
      <c r="BP156" s="106" t="inlineStr">
        <is>
          <t>CMA-23 JACHUCOPOSA/ASUB</t>
        </is>
      </c>
      <c r="BQ156" s="106">
        <f>VLOOKUP(BP156,[1]AGUA!$1:$1048576,2,FALSE)</f>
        <v/>
      </c>
      <c r="BR156" s="106">
        <f>VLOOKUP(BP156,[1]AGUA!$1:$1048576,6,FALSE)</f>
        <v/>
      </c>
      <c r="BS156" s="106">
        <f>VLOOKUP(BP156,[1]AGUA!$1:$1048576,7,FALSE)</f>
        <v/>
      </c>
      <c r="BT156" s="106" t="n"/>
      <c r="BU156" s="377" t="n"/>
      <c r="BV156" s="105" t="n"/>
      <c r="BW156" s="105" t="n"/>
      <c r="BX156" s="105" t="n"/>
      <c r="BY156" s="105" t="n"/>
      <c r="BZ156" s="105" t="n"/>
      <c r="CA156" s="105" t="n"/>
      <c r="CB156" s="105" t="n"/>
      <c r="CC156" s="105" t="n"/>
      <c r="CD156" s="105" t="n"/>
      <c r="CE156" s="107" t="n">
        <v>1</v>
      </c>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24">
        <f>+COUNTA(BV156:CY156)</f>
        <v/>
      </c>
      <c r="DA156" s="251" t="n"/>
      <c r="DB156" s="251" t="n"/>
      <c r="DC156" s="251" t="n"/>
      <c r="DD156" s="251" t="n"/>
      <c r="DE156" s="251" t="n"/>
      <c r="DF156" s="251" t="n"/>
      <c r="DG156" s="251" t="n"/>
      <c r="DH156" s="251" t="n"/>
      <c r="DI156" s="251" t="n"/>
      <c r="DJ156" s="251" t="n"/>
      <c r="DK156" s="251" t="n"/>
      <c r="DL156" s="95" t="n"/>
      <c r="DM156" s="251" t="inlineStr">
        <is>
          <t>T</t>
        </is>
      </c>
      <c r="DN156" s="95" t="n">
        <v>8</v>
      </c>
      <c r="DO156" s="95" t="n">
        <v>14</v>
      </c>
    </row>
    <row r="157" ht="13" customHeight="1">
      <c r="A157" s="203" t="inlineStr">
        <is>
          <t>CMA-24</t>
        </is>
      </c>
      <c r="B157" s="305" t="inlineStr">
        <is>
          <t>CMA-24 JACHUCOPOSA</t>
        </is>
      </c>
      <c r="C157" s="251"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1" t="inlineStr">
        <is>
          <t>532MACMA</t>
        </is>
      </c>
      <c r="BL157" s="7" t="inlineStr">
        <is>
          <t>GMAP-SIGA</t>
        </is>
      </c>
      <c r="BM157" s="251" t="inlineStr">
        <is>
          <t>NF</t>
        </is>
      </c>
      <c r="BN157" s="337" t="inlineStr">
        <is>
          <t>Jachucoposa</t>
        </is>
      </c>
      <c r="BO157" s="251" t="inlineStr">
        <is>
          <t>SI</t>
        </is>
      </c>
      <c r="BP157" s="106" t="inlineStr">
        <is>
          <t>CMA-24 JACHUCOPOSA/NF</t>
        </is>
      </c>
      <c r="BQ157" s="106">
        <f>VLOOKUP(BP157,[1]AGUA!$1:$1048576,2,FALSE)</f>
        <v/>
      </c>
      <c r="BR157" s="106">
        <f>VLOOKUP(BP157,[1]AGUA!$1:$1048576,6,FALSE)</f>
        <v/>
      </c>
      <c r="BS157" s="106">
        <f>VLOOKUP(BP157,[1]AGUA!$1:$1048576,7,FALSE)</f>
        <v/>
      </c>
      <c r="BT157" s="106" t="n"/>
      <c r="BU157" s="253" t="n"/>
      <c r="BV157" s="105" t="n"/>
      <c r="BW157" s="105" t="n"/>
      <c r="BX157" s="105" t="n"/>
      <c r="BY157" s="105" t="n"/>
      <c r="BZ157" s="105" t="n"/>
      <c r="CA157" s="105" t="n"/>
      <c r="CB157" s="105" t="n"/>
      <c r="CC157" s="105" t="n"/>
      <c r="CD157" s="105" t="n"/>
      <c r="CE157" s="142" t="n">
        <v>1</v>
      </c>
      <c r="CF157" s="105" t="n"/>
      <c r="CG157" s="105" t="n"/>
      <c r="CH157" s="105" t="n"/>
      <c r="CI157" s="105" t="n"/>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24">
        <f>+COUNTA(BV157:CY157)</f>
        <v/>
      </c>
      <c r="DA157" s="251" t="n"/>
      <c r="DB157" s="251" t="n"/>
      <c r="DC157" s="251" t="n"/>
      <c r="DD157" s="251" t="n"/>
      <c r="DE157" s="251" t="n"/>
      <c r="DF157" s="251" t="n"/>
      <c r="DG157" s="251" t="n"/>
      <c r="DH157" s="251" t="n"/>
      <c r="DI157" s="251" t="n"/>
      <c r="DJ157" s="251" t="inlineStr">
        <is>
          <t>M</t>
        </is>
      </c>
      <c r="DK157" s="251" t="n">
        <v>8</v>
      </c>
      <c r="DL157" s="95" t="n">
        <v>14</v>
      </c>
      <c r="DM157" s="251" t="n"/>
      <c r="DN157" s="95" t="n"/>
      <c r="DO157" s="95" t="n"/>
    </row>
    <row r="158" ht="13" customHeight="1">
      <c r="A158" s="203" t="inlineStr">
        <is>
          <t>CMA-24</t>
        </is>
      </c>
      <c r="B158" s="376" t="n"/>
      <c r="C158" s="376"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76" t="n"/>
      <c r="BL158" s="7" t="inlineStr">
        <is>
          <t>GMAP-SIGA</t>
        </is>
      </c>
      <c r="BM158" s="251" t="inlineStr">
        <is>
          <t>ASUB</t>
        </is>
      </c>
      <c r="BN158" s="337" t="inlineStr">
        <is>
          <t>Jachucoposa</t>
        </is>
      </c>
      <c r="BO158" s="251" t="inlineStr">
        <is>
          <t>SI</t>
        </is>
      </c>
      <c r="BP158" s="106" t="inlineStr">
        <is>
          <t>CMA-24 JACHUCOPOSA/ASUB</t>
        </is>
      </c>
      <c r="BQ158" s="106">
        <f>VLOOKUP(BP158,[1]AGUA!$1:$1048576,2,FALSE)</f>
        <v/>
      </c>
      <c r="BR158" s="106">
        <f>VLOOKUP(BP158,[1]AGUA!$1:$1048576,6,FALSE)</f>
        <v/>
      </c>
      <c r="BS158" s="106">
        <f>VLOOKUP(BP158,[1]AGUA!$1:$1048576,7,FALSE)</f>
        <v/>
      </c>
      <c r="BT158" s="106" t="n"/>
      <c r="BU158" s="377" t="n"/>
      <c r="BV158" s="105" t="n"/>
      <c r="BW158" s="105" t="n"/>
      <c r="BX158" s="105" t="n"/>
      <c r="BY158" s="105" t="n"/>
      <c r="BZ158" s="105" t="n"/>
      <c r="CA158" s="105" t="n"/>
      <c r="CB158" s="105" t="n"/>
      <c r="CC158" s="105" t="n"/>
      <c r="CD158" s="105" t="n"/>
      <c r="CE158" s="107" t="n">
        <v>1</v>
      </c>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24">
        <f>+COUNTA(BV158:CY158)</f>
        <v/>
      </c>
      <c r="DA158" s="251" t="n"/>
      <c r="DB158" s="251" t="n"/>
      <c r="DC158" s="251" t="n"/>
      <c r="DD158" s="251" t="n"/>
      <c r="DE158" s="251" t="n"/>
      <c r="DF158" s="251" t="n"/>
      <c r="DG158" s="251" t="n"/>
      <c r="DH158" s="251" t="n"/>
      <c r="DI158" s="251" t="n"/>
      <c r="DJ158" s="251" t="n"/>
      <c r="DK158" s="251" t="n"/>
      <c r="DL158" s="95" t="n"/>
      <c r="DM158" s="251" t="inlineStr">
        <is>
          <t>T</t>
        </is>
      </c>
      <c r="DN158" s="95" t="n">
        <v>8</v>
      </c>
      <c r="DO158" s="95" t="n">
        <v>14</v>
      </c>
    </row>
    <row r="159" ht="13" customHeight="1">
      <c r="A159" s="203" t="inlineStr">
        <is>
          <t>CMA-25</t>
        </is>
      </c>
      <c r="B159" s="305" t="inlineStr">
        <is>
          <t>CMA-25 JACHUCOPOSA</t>
        </is>
      </c>
      <c r="C159" s="251"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1" t="inlineStr">
        <is>
          <t>532MACMA</t>
        </is>
      </c>
      <c r="BL159" s="7" t="inlineStr">
        <is>
          <t>GMAP-SIGA</t>
        </is>
      </c>
      <c r="BM159" s="251" t="inlineStr">
        <is>
          <t>NF</t>
        </is>
      </c>
      <c r="BN159" s="337" t="inlineStr">
        <is>
          <t>Jachucoposa</t>
        </is>
      </c>
      <c r="BO159" s="251" t="inlineStr">
        <is>
          <t>SI</t>
        </is>
      </c>
      <c r="BP159" s="106" t="inlineStr">
        <is>
          <t>CMA-25 JACHUCOPOSA/NF</t>
        </is>
      </c>
      <c r="BQ159" s="106">
        <f>VLOOKUP(BP159,[1]AGUA!$1:$1048576,2,FALSE)</f>
        <v/>
      </c>
      <c r="BR159" s="106">
        <f>VLOOKUP(BP159,[1]AGUA!$1:$1048576,6,FALSE)</f>
        <v/>
      </c>
      <c r="BS159" s="106">
        <f>VLOOKUP(BP159,[1]AGUA!$1:$1048576,7,FALSE)</f>
        <v/>
      </c>
      <c r="BT159" s="106" t="n"/>
      <c r="BU159" s="253" t="n"/>
      <c r="BV159" s="105" t="n"/>
      <c r="BW159" s="105" t="n"/>
      <c r="BX159" s="105" t="n"/>
      <c r="BY159" s="105" t="n"/>
      <c r="BZ159" s="105" t="n"/>
      <c r="CA159" s="105" t="n"/>
      <c r="CB159" s="105" t="n"/>
      <c r="CC159" s="105" t="n"/>
      <c r="CD159" s="105" t="n"/>
      <c r="CE159" s="142" t="n">
        <v>1</v>
      </c>
      <c r="CF159" s="105" t="n"/>
      <c r="CG159" s="105" t="n"/>
      <c r="CH159" s="105" t="n"/>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24">
        <f>+COUNTA(BV159:CY159)</f>
        <v/>
      </c>
      <c r="DA159" s="251" t="n"/>
      <c r="DB159" s="251" t="n"/>
      <c r="DC159" s="251" t="n"/>
      <c r="DD159" s="251" t="n"/>
      <c r="DE159" s="251" t="n"/>
      <c r="DF159" s="251" t="n"/>
      <c r="DG159" s="251" t="n"/>
      <c r="DH159" s="251" t="n"/>
      <c r="DI159" s="251" t="n"/>
      <c r="DJ159" s="251" t="inlineStr">
        <is>
          <t>M</t>
        </is>
      </c>
      <c r="DK159" s="251" t="n">
        <v>8</v>
      </c>
      <c r="DL159" s="95" t="n">
        <v>14</v>
      </c>
      <c r="DM159" s="251" t="n"/>
      <c r="DN159" s="95" t="n"/>
      <c r="DO159" s="95" t="n"/>
    </row>
    <row r="160" ht="13" customHeight="1">
      <c r="A160" s="203" t="inlineStr">
        <is>
          <t>CMA-25</t>
        </is>
      </c>
      <c r="B160" s="376" t="n"/>
      <c r="C160" s="376"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76" t="n"/>
      <c r="BL160" s="7" t="inlineStr">
        <is>
          <t>GMAP-SIGA</t>
        </is>
      </c>
      <c r="BM160" s="251" t="inlineStr">
        <is>
          <t>ASUB</t>
        </is>
      </c>
      <c r="BN160" s="337" t="inlineStr">
        <is>
          <t>Jachucoposa</t>
        </is>
      </c>
      <c r="BO160" s="251" t="inlineStr">
        <is>
          <t>SI</t>
        </is>
      </c>
      <c r="BP160" s="106" t="inlineStr">
        <is>
          <t>CMA-25 JACHUCOPOSA/ASUB</t>
        </is>
      </c>
      <c r="BQ160" s="106">
        <f>VLOOKUP(BP160,[1]AGUA!$1:$1048576,2,FALSE)</f>
        <v/>
      </c>
      <c r="BR160" s="106">
        <f>VLOOKUP(BP160,[1]AGUA!$1:$1048576,6,FALSE)</f>
        <v/>
      </c>
      <c r="BS160" s="106">
        <f>VLOOKUP(BP160,[1]AGUA!$1:$1048576,7,FALSE)</f>
        <v/>
      </c>
      <c r="BT160" s="106" t="n"/>
      <c r="BU160" s="377" t="n"/>
      <c r="BV160" s="105" t="n"/>
      <c r="BW160" s="105" t="n"/>
      <c r="BX160" s="105" t="n"/>
      <c r="BY160" s="105" t="n"/>
      <c r="BZ160" s="105" t="n"/>
      <c r="CA160" s="105" t="n"/>
      <c r="CB160" s="105" t="n"/>
      <c r="CC160" s="105" t="n"/>
      <c r="CD160" s="105" t="n"/>
      <c r="CE160" s="107" t="n">
        <v>1</v>
      </c>
      <c r="CF160" s="105" t="n"/>
      <c r="CG160" s="105" t="n"/>
      <c r="CH160" s="105"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24">
        <f>+COUNTA(BV160:CY160)</f>
        <v/>
      </c>
      <c r="DA160" s="251" t="n"/>
      <c r="DB160" s="251" t="n"/>
      <c r="DC160" s="251" t="n"/>
      <c r="DD160" s="251" t="n"/>
      <c r="DE160" s="251" t="n"/>
      <c r="DF160" s="251" t="n"/>
      <c r="DG160" s="251" t="n"/>
      <c r="DH160" s="251" t="n"/>
      <c r="DI160" s="251" t="n"/>
      <c r="DJ160" s="251" t="n"/>
      <c r="DK160" s="251" t="n"/>
      <c r="DL160" s="95" t="n"/>
      <c r="DM160" s="251" t="inlineStr">
        <is>
          <t>T</t>
        </is>
      </c>
      <c r="DN160" s="95" t="n">
        <v>8</v>
      </c>
      <c r="DO160" s="95" t="n">
        <v>14</v>
      </c>
    </row>
    <row r="161" ht="13" customHeight="1">
      <c r="A161" s="203" t="inlineStr">
        <is>
          <t>CMA-26</t>
        </is>
      </c>
      <c r="B161" s="305" t="inlineStr">
        <is>
          <t>CMA-26 JACHUCOPOSA</t>
        </is>
      </c>
      <c r="C161" s="251"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1" t="inlineStr">
        <is>
          <t>532MACMA</t>
        </is>
      </c>
      <c r="BK161" s="61" t="n"/>
      <c r="BL161" s="7" t="inlineStr">
        <is>
          <t>GMAP-SIGA</t>
        </is>
      </c>
      <c r="BM161" s="251" t="inlineStr">
        <is>
          <t>NF</t>
        </is>
      </c>
      <c r="BN161" s="337" t="inlineStr">
        <is>
          <t>Jachucoposa</t>
        </is>
      </c>
      <c r="BO161" s="251" t="inlineStr">
        <is>
          <t>SI</t>
        </is>
      </c>
      <c r="BP161" s="106" t="inlineStr">
        <is>
          <t>CMA-26 JACHUCOPOSA/NF</t>
        </is>
      </c>
      <c r="BQ161" s="106">
        <f>VLOOKUP(BP161,[1]AGUA!$1:$1048576,2,FALSE)</f>
        <v/>
      </c>
      <c r="BR161" s="106">
        <f>VLOOKUP(BP161,[1]AGUA!$1:$1048576,6,FALSE)</f>
        <v/>
      </c>
      <c r="BS161" s="106">
        <f>VLOOKUP(BP161,[1]AGUA!$1:$1048576,7,FALSE)</f>
        <v/>
      </c>
      <c r="BT161" s="106" t="n"/>
      <c r="BU161" s="253" t="n"/>
      <c r="BV161" s="105" t="n"/>
      <c r="BW161" s="105" t="n"/>
      <c r="BX161" s="105" t="n"/>
      <c r="BY161" s="105" t="n"/>
      <c r="BZ161" s="105" t="n"/>
      <c r="CA161" s="105" t="n"/>
      <c r="CB161" s="105" t="n"/>
      <c r="CC161" s="105" t="n"/>
      <c r="CD161" s="105" t="n"/>
      <c r="CE161" s="142" t="n">
        <v>1</v>
      </c>
      <c r="CF161" s="105" t="n"/>
      <c r="CG161" s="105" t="n"/>
      <c r="CH161" s="105" t="n"/>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24">
        <f>+COUNTA(BV161:CY161)</f>
        <v/>
      </c>
      <c r="DA161" s="251" t="n"/>
      <c r="DB161" s="251" t="n"/>
      <c r="DC161" s="251" t="n"/>
      <c r="DD161" s="251" t="n"/>
      <c r="DE161" s="251" t="n"/>
      <c r="DF161" s="251" t="n"/>
      <c r="DG161" s="251" t="n"/>
      <c r="DH161" s="251" t="n"/>
      <c r="DI161" s="251" t="n"/>
      <c r="DJ161" s="251" t="inlineStr">
        <is>
          <t>M</t>
        </is>
      </c>
      <c r="DK161" s="251" t="n">
        <v>8</v>
      </c>
      <c r="DL161" s="95" t="n">
        <v>14</v>
      </c>
      <c r="DM161" s="251" t="n"/>
      <c r="DN161" s="95" t="n"/>
      <c r="DO161" s="95" t="n"/>
    </row>
    <row r="162" ht="13" customHeight="1">
      <c r="A162" s="203" t="inlineStr">
        <is>
          <t>CMA-26</t>
        </is>
      </c>
      <c r="B162" s="376" t="n"/>
      <c r="C162" s="376"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76" t="n"/>
      <c r="BK162" s="61" t="n"/>
      <c r="BL162" s="7" t="inlineStr">
        <is>
          <t>GMAP-SIGA</t>
        </is>
      </c>
      <c r="BM162" s="251" t="inlineStr">
        <is>
          <t>ASUB</t>
        </is>
      </c>
      <c r="BN162" s="337" t="inlineStr">
        <is>
          <t>Jachucoposa</t>
        </is>
      </c>
      <c r="BO162" s="251" t="inlineStr">
        <is>
          <t>SI</t>
        </is>
      </c>
      <c r="BP162" s="106" t="inlineStr">
        <is>
          <t>CMA-26 JACHUCOPOSA/ASUB</t>
        </is>
      </c>
      <c r="BQ162" s="106">
        <f>VLOOKUP(BP162,[1]AGUA!$1:$1048576,2,FALSE)</f>
        <v/>
      </c>
      <c r="BR162" s="106">
        <f>VLOOKUP(BP162,[1]AGUA!$1:$1048576,6,FALSE)</f>
        <v/>
      </c>
      <c r="BS162" s="106">
        <f>VLOOKUP(BP162,[1]AGUA!$1:$1048576,7,FALSE)</f>
        <v/>
      </c>
      <c r="BT162" s="106" t="n"/>
      <c r="BU162" s="377" t="n"/>
      <c r="BV162" s="105" t="n"/>
      <c r="BW162" s="105" t="n"/>
      <c r="BX162" s="105" t="n"/>
      <c r="BY162" s="105" t="n"/>
      <c r="BZ162" s="105" t="n"/>
      <c r="CA162" s="105" t="n"/>
      <c r="CB162" s="105" t="n"/>
      <c r="CC162" s="105" t="n"/>
      <c r="CD162" s="105" t="n"/>
      <c r="CE162" s="107" t="n">
        <v>1</v>
      </c>
      <c r="CF162" s="105" t="n"/>
      <c r="CG162" s="105" t="n"/>
      <c r="CH162" s="105"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24">
        <f>+COUNTA(BV162:CY162)</f>
        <v/>
      </c>
      <c r="DA162" s="251" t="n"/>
      <c r="DB162" s="251" t="n"/>
      <c r="DC162" s="251" t="n"/>
      <c r="DD162" s="251" t="n"/>
      <c r="DE162" s="251" t="n"/>
      <c r="DF162" s="251" t="n"/>
      <c r="DG162" s="251" t="n"/>
      <c r="DH162" s="251" t="n"/>
      <c r="DI162" s="251" t="n"/>
      <c r="DJ162" s="251" t="n"/>
      <c r="DK162" s="251" t="n"/>
      <c r="DL162" s="95" t="n"/>
      <c r="DM162" s="251" t="inlineStr">
        <is>
          <t>T</t>
        </is>
      </c>
      <c r="DN162" s="95" t="n">
        <v>8</v>
      </c>
      <c r="DO162" s="95" t="n">
        <v>14</v>
      </c>
    </row>
    <row r="163" ht="13" customHeight="1">
      <c r="A163" s="205" t="inlineStr">
        <is>
          <t>CMA-27</t>
        </is>
      </c>
      <c r="B163" s="305" t="inlineStr">
        <is>
          <t>CMA-27 JACHUCOPOSA</t>
        </is>
      </c>
      <c r="C163" s="251"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1" t="inlineStr">
        <is>
          <t>532MACMA</t>
        </is>
      </c>
      <c r="BL163" s="7" t="inlineStr">
        <is>
          <t>GMAP-SIGA</t>
        </is>
      </c>
      <c r="BM163" s="251" t="inlineStr">
        <is>
          <t>NF</t>
        </is>
      </c>
      <c r="BN163" s="337" t="inlineStr">
        <is>
          <t>Jachucoposa</t>
        </is>
      </c>
      <c r="BO163" s="251"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3" t="inlineStr">
        <is>
          <t>Calidad trimestral en diferente día</t>
        </is>
      </c>
      <c r="BV163" s="105" t="n"/>
      <c r="BW163" s="105" t="n"/>
      <c r="BX163" s="105" t="n"/>
      <c r="BY163" s="105" t="n"/>
      <c r="BZ163" s="105" t="n"/>
      <c r="CA163" s="105" t="n"/>
      <c r="CB163" s="105" t="n"/>
      <c r="CC163" s="105" t="n"/>
      <c r="CD163" s="242" t="n">
        <v>1</v>
      </c>
      <c r="CE163" s="105" t="n"/>
      <c r="CF163" s="105" t="n"/>
      <c r="CG163" s="105" t="n"/>
      <c r="CH163" s="105" t="n"/>
      <c r="CI163" s="105" t="n"/>
      <c r="CJ163" s="105" t="n"/>
      <c r="CK163" s="105" t="n"/>
      <c r="CL163" s="105" t="n"/>
      <c r="CM163" s="105" t="n"/>
      <c r="CN163" s="105" t="n"/>
      <c r="CO163" s="105" t="n"/>
      <c r="CP163" s="105" t="n"/>
      <c r="CQ163" s="242" t="n">
        <v>1</v>
      </c>
      <c r="CR163" s="105" t="n"/>
      <c r="CS163" s="105" t="n"/>
      <c r="CT163" s="105" t="n"/>
      <c r="CU163" s="105" t="n"/>
      <c r="CV163" s="105" t="n"/>
      <c r="CW163" s="105" t="n"/>
      <c r="CX163" s="105" t="n"/>
      <c r="CY163" s="105" t="n"/>
      <c r="CZ163" s="124">
        <f>+COUNTA(BV163:CY163)</f>
        <v/>
      </c>
      <c r="DA163" s="206" t="n"/>
      <c r="DB163" s="251" t="n"/>
      <c r="DC163" s="251" t="n"/>
      <c r="DD163" s="251" t="n"/>
      <c r="DE163" s="251" t="n"/>
      <c r="DF163" s="251" t="n"/>
      <c r="DG163" s="251" t="n"/>
      <c r="DH163" s="251" t="n"/>
      <c r="DI163" s="251" t="n"/>
      <c r="DJ163" s="251" t="inlineStr">
        <is>
          <t>M</t>
        </is>
      </c>
      <c r="DK163" s="251" t="n">
        <v>15</v>
      </c>
      <c r="DL163" s="95" t="n">
        <v>28</v>
      </c>
      <c r="DM163" s="251" t="n"/>
      <c r="DN163" s="95" t="n"/>
      <c r="DO163" s="95" t="n"/>
    </row>
    <row r="164" ht="13" customHeight="1">
      <c r="A164" s="203" t="inlineStr">
        <is>
          <t>CMA-27</t>
        </is>
      </c>
      <c r="B164" s="376" t="n"/>
      <c r="C164" s="376"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76" t="n"/>
      <c r="BL164" s="7" t="inlineStr">
        <is>
          <t>GMAP-SIGA</t>
        </is>
      </c>
      <c r="BM164" s="251" t="inlineStr">
        <is>
          <t>ASUB</t>
        </is>
      </c>
      <c r="BN164" s="337" t="inlineStr">
        <is>
          <t>Jachucoposa</t>
        </is>
      </c>
      <c r="BO164" s="251" t="inlineStr">
        <is>
          <t>SI / PMAP</t>
        </is>
      </c>
      <c r="BP164" s="106" t="inlineStr">
        <is>
          <t>CMA-27 JACHUCOPOSA/ASUB</t>
        </is>
      </c>
      <c r="BQ164" s="106">
        <f>VLOOKUP(BP164,[1]AGUA!$1:$1048576,2,FALSE)</f>
        <v/>
      </c>
      <c r="BR164" s="106">
        <f>VLOOKUP(BP164,[1]AGUA!$1:$1048576,6,FALSE)</f>
        <v/>
      </c>
      <c r="BS164" s="106">
        <f>VLOOKUP(BP164,[1]AGUA!$1:$1048576,7,FALSE)</f>
        <v/>
      </c>
      <c r="BT164" s="106" t="n"/>
      <c r="BU164" s="377" t="n"/>
      <c r="BV164" s="105" t="n"/>
      <c r="BW164" s="105" t="n"/>
      <c r="BX164" s="105" t="n"/>
      <c r="BY164" s="105" t="n"/>
      <c r="BZ164" s="105" t="n"/>
      <c r="CA164" s="105" t="n"/>
      <c r="CB164" s="105" t="n"/>
      <c r="CC164" s="105" t="n"/>
      <c r="CD164" s="107" t="n">
        <v>1</v>
      </c>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24">
        <f>+COUNTA(BV164:CY164)</f>
        <v/>
      </c>
      <c r="DA164" s="251" t="n"/>
      <c r="DB164" s="251" t="n"/>
      <c r="DC164" s="251" t="n"/>
      <c r="DD164" s="251" t="n"/>
      <c r="DE164" s="251" t="n"/>
      <c r="DF164" s="251" t="n"/>
      <c r="DG164" s="251" t="n"/>
      <c r="DH164" s="251" t="n"/>
      <c r="DI164" s="251" t="n"/>
      <c r="DJ164" s="251" t="n"/>
      <c r="DK164" s="251" t="n"/>
      <c r="DL164" s="95" t="n"/>
      <c r="DM164" s="251" t="inlineStr">
        <is>
          <t>T</t>
        </is>
      </c>
      <c r="DN164" s="95" t="n">
        <v>8</v>
      </c>
      <c r="DO164" s="95" t="n">
        <v>14</v>
      </c>
    </row>
    <row r="165" ht="13" customHeight="1">
      <c r="A165" s="203" t="inlineStr">
        <is>
          <t>CMA-28</t>
        </is>
      </c>
      <c r="B165" s="305"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1" t="inlineStr">
        <is>
          <t>532MACMA</t>
        </is>
      </c>
      <c r="BL165" s="61" t="inlineStr">
        <is>
          <t>GMAP-SIGA</t>
        </is>
      </c>
      <c r="BM165" s="251" t="inlineStr">
        <is>
          <t>NF</t>
        </is>
      </c>
      <c r="BN165" s="337" t="inlineStr">
        <is>
          <t>Jachucoposa</t>
        </is>
      </c>
      <c r="BO165" s="251" t="inlineStr">
        <is>
          <t>NO</t>
        </is>
      </c>
      <c r="BP165" s="106" t="inlineStr">
        <is>
          <t>CMA-28 JACHUCOPOSA/NF</t>
        </is>
      </c>
      <c r="BQ165" s="106">
        <f>VLOOKUP(BP165,[1]AGUA!$1:$1048576,2,FALSE)</f>
        <v/>
      </c>
      <c r="BR165" s="106">
        <f>VLOOKUP(BP165,[1]AGUA!$1:$1048576,6,FALSE)</f>
        <v/>
      </c>
      <c r="BS165" s="106">
        <f>VLOOKUP(BP165,[1]AGUA!$1:$1048576,7,FALSE)</f>
        <v/>
      </c>
      <c r="BT165" s="106" t="n"/>
      <c r="BU165" s="123" t="inlineStr">
        <is>
          <t>SE MODIFICO (29-09-2023) X CMDIC SOLO NF</t>
        </is>
      </c>
      <c r="BV165" s="105" t="n"/>
      <c r="BW165" s="105" t="n"/>
      <c r="BX165" s="105" t="n"/>
      <c r="BY165" s="105" t="n"/>
      <c r="BZ165" s="105" t="n"/>
      <c r="CA165" s="105" t="n"/>
      <c r="CC165" s="105" t="n"/>
      <c r="CD165" s="105" t="n"/>
      <c r="CE165" s="142" t="n">
        <v>1</v>
      </c>
      <c r="CF165" s="105" t="n"/>
      <c r="CG165" s="105" t="n"/>
      <c r="CH165" s="105" t="n"/>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24">
        <f>+COUNTA(BV165:CY165)</f>
        <v/>
      </c>
      <c r="DA165" s="251" t="n"/>
      <c r="DB165" s="251" t="n"/>
      <c r="DC165" s="251" t="n"/>
      <c r="DD165" s="251" t="n"/>
      <c r="DE165" s="251" t="n"/>
      <c r="DF165" s="251" t="n"/>
      <c r="DG165" s="251" t="n"/>
      <c r="DH165" s="251" t="n"/>
      <c r="DI165" s="251" t="n"/>
      <c r="DJ165" s="251" t="inlineStr">
        <is>
          <t>M</t>
        </is>
      </c>
      <c r="DK165" s="251" t="n">
        <v>8</v>
      </c>
      <c r="DL165" s="95" t="n">
        <v>14</v>
      </c>
      <c r="DM165" s="169" t="inlineStr">
        <is>
          <t>SE ELIMINO</t>
        </is>
      </c>
      <c r="DN165" s="95" t="n"/>
      <c r="DO165" s="95" t="n"/>
    </row>
    <row r="166" ht="13.5" customHeight="1">
      <c r="A166" s="203" t="inlineStr">
        <is>
          <t>CMW-01</t>
        </is>
      </c>
      <c r="B166" s="305"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1" t="inlineStr">
        <is>
          <t>532MACMW</t>
        </is>
      </c>
      <c r="BL166" s="61" t="inlineStr">
        <is>
          <t>GMAP-SIGA</t>
        </is>
      </c>
      <c r="BM166" s="251" t="inlineStr">
        <is>
          <t>NF</t>
        </is>
      </c>
      <c r="BN166" s="337" t="inlineStr">
        <is>
          <t>Coposa Norte</t>
        </is>
      </c>
      <c r="BO166" s="168"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05" t="n"/>
      <c r="CD166" s="105" t="n"/>
      <c r="CE166" s="105" t="n"/>
      <c r="CF166" s="105" t="n"/>
      <c r="CG166" s="142" t="n">
        <v>1</v>
      </c>
      <c r="CH166" s="105" t="n"/>
      <c r="CI166" s="105" t="n"/>
      <c r="CJ166" s="105" t="n"/>
      <c r="CK166" s="105" t="n"/>
      <c r="CL166" s="105" t="n"/>
      <c r="CM166" s="105" t="n"/>
      <c r="CN166" s="105" t="n"/>
      <c r="CO166" s="105" t="n"/>
      <c r="CP166" s="105" t="n"/>
      <c r="CQ166" s="105" t="n"/>
      <c r="CR166" s="105" t="n"/>
      <c r="CS166" s="105" t="n"/>
      <c r="CT166" s="105" t="n"/>
      <c r="CU166" s="105" t="n"/>
      <c r="CV166" s="105" t="n"/>
      <c r="CW166" s="105" t="n"/>
      <c r="CX166" s="105" t="n"/>
      <c r="CY166" s="105" t="n"/>
      <c r="CZ166" s="124">
        <f>+COUNTA(BV166:CY166)</f>
        <v/>
      </c>
      <c r="DA166" s="251" t="n"/>
      <c r="DB166" s="251" t="n"/>
      <c r="DC166" s="251" t="n"/>
      <c r="DD166" s="251" t="n"/>
      <c r="DE166" s="251" t="n"/>
      <c r="DF166" s="251" t="n"/>
      <c r="DG166" s="251" t="n"/>
      <c r="DH166" s="251" t="n"/>
      <c r="DI166" s="251" t="n"/>
      <c r="DJ166" s="251" t="inlineStr">
        <is>
          <t>M</t>
        </is>
      </c>
      <c r="DK166" s="251" t="n">
        <v>8</v>
      </c>
      <c r="DL166" s="95" t="n">
        <v>14</v>
      </c>
      <c r="DM166" s="251" t="n"/>
      <c r="DN166" s="95" t="n"/>
      <c r="DO166" s="95" t="n"/>
    </row>
    <row r="167" ht="13" customHeight="1">
      <c r="A167" s="203" t="inlineStr">
        <is>
          <t>CMW-02</t>
        </is>
      </c>
      <c r="B167" s="305"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1" t="inlineStr">
        <is>
          <t>532MACMW</t>
        </is>
      </c>
      <c r="BL167" s="61" t="inlineStr">
        <is>
          <t>GMAP-SIGA</t>
        </is>
      </c>
      <c r="BM167" s="251" t="inlineStr">
        <is>
          <t>NF</t>
        </is>
      </c>
      <c r="BN167" s="337" t="inlineStr">
        <is>
          <t>Coposa Norte</t>
        </is>
      </c>
      <c r="BO167" s="168"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05" t="n"/>
      <c r="CD167" s="105" t="n"/>
      <c r="CE167" s="105" t="n"/>
      <c r="CF167" s="105" t="n"/>
      <c r="CG167" s="142" t="n">
        <v>1</v>
      </c>
      <c r="CH167" s="105" t="n"/>
      <c r="CI167" s="105" t="n"/>
      <c r="CJ167" s="105" t="n"/>
      <c r="CK167" s="105" t="n"/>
      <c r="CL167" s="105" t="n"/>
      <c r="CM167" s="105" t="n"/>
      <c r="CN167" s="105" t="n"/>
      <c r="CO167" s="105" t="n"/>
      <c r="CP167" s="105" t="n"/>
      <c r="CQ167" s="105" t="n"/>
      <c r="CR167" s="105" t="n"/>
      <c r="CS167" s="105" t="n"/>
      <c r="CT167" s="105" t="n"/>
      <c r="CU167" s="105" t="n"/>
      <c r="CV167" s="105" t="n"/>
      <c r="CW167" s="105" t="n"/>
      <c r="CX167" s="105" t="n"/>
      <c r="CY167" s="105" t="n"/>
      <c r="CZ167" s="124">
        <f>+COUNTA(BV167:CY167)</f>
        <v/>
      </c>
      <c r="DA167" s="251" t="n"/>
      <c r="DB167" s="251" t="n"/>
      <c r="DC167" s="251" t="n"/>
      <c r="DD167" s="251" t="n"/>
      <c r="DE167" s="251" t="n"/>
      <c r="DF167" s="251" t="n"/>
      <c r="DG167" s="251" t="n"/>
      <c r="DH167" s="251" t="n"/>
      <c r="DI167" s="251" t="n"/>
      <c r="DJ167" s="251" t="inlineStr">
        <is>
          <t>M</t>
        </is>
      </c>
      <c r="DK167" s="251" t="n">
        <v>8</v>
      </c>
      <c r="DL167" s="95" t="n">
        <v>14</v>
      </c>
      <c r="DM167" s="251" t="n"/>
      <c r="DN167" s="95" t="n"/>
      <c r="DO167" s="95" t="n"/>
    </row>
    <row r="168" ht="12.65" customHeight="1">
      <c r="A168" s="205" t="inlineStr">
        <is>
          <t>CMW-03</t>
        </is>
      </c>
      <c r="B168" s="305"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1" t="inlineStr">
        <is>
          <t>532MACMW</t>
        </is>
      </c>
      <c r="BL168" s="61" t="inlineStr">
        <is>
          <t>GMAP-SIGA</t>
        </is>
      </c>
      <c r="BM168" s="251" t="inlineStr">
        <is>
          <t>NF</t>
        </is>
      </c>
      <c r="BN168" s="337" t="inlineStr">
        <is>
          <t>Coposa Norte</t>
        </is>
      </c>
      <c r="BO168" s="251"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42" t="n">
        <v>1</v>
      </c>
      <c r="CP168" s="105" t="n"/>
      <c r="CQ168" s="105" t="n"/>
      <c r="CR168" s="105" t="n"/>
      <c r="CS168" s="105" t="n"/>
      <c r="CT168" s="105" t="n"/>
      <c r="CU168" s="105" t="n"/>
      <c r="CV168" s="105" t="n"/>
      <c r="CW168" s="105" t="n"/>
      <c r="CX168" s="105" t="n"/>
      <c r="CY168" s="105" t="n"/>
      <c r="CZ168" s="124">
        <f>+COUNTA(BV168:CY168)</f>
        <v/>
      </c>
      <c r="DA168" s="206" t="n"/>
      <c r="DB168" s="251" t="n"/>
      <c r="DC168" s="251" t="n"/>
      <c r="DD168" s="251" t="n"/>
      <c r="DE168" s="251" t="n"/>
      <c r="DF168" s="251" t="n"/>
      <c r="DG168" s="251" t="n"/>
      <c r="DH168" s="251" t="n"/>
      <c r="DI168" s="251" t="n"/>
      <c r="DJ168" s="251" t="inlineStr">
        <is>
          <t>M</t>
        </is>
      </c>
      <c r="DK168" s="251" t="n">
        <v>15</v>
      </c>
      <c r="DL168" s="95" t="n">
        <v>28</v>
      </c>
      <c r="DM168" s="251" t="n"/>
      <c r="DN168" s="95" t="n"/>
      <c r="DO168" s="95" t="n"/>
    </row>
    <row r="169" ht="12.65" customHeight="1">
      <c r="A169" s="203" t="inlineStr">
        <is>
          <t>CMW-04</t>
        </is>
      </c>
      <c r="B169" s="305"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1" t="inlineStr">
        <is>
          <t>532MACMW</t>
        </is>
      </c>
      <c r="BL169" s="61" t="inlineStr">
        <is>
          <t>GMAP-SIGA</t>
        </is>
      </c>
      <c r="BM169" s="251" t="inlineStr">
        <is>
          <t>NF</t>
        </is>
      </c>
      <c r="BN169" s="337" t="inlineStr">
        <is>
          <t>Coposa Norte</t>
        </is>
      </c>
      <c r="BO169" s="168"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05" t="n"/>
      <c r="CD169" s="105" t="n"/>
      <c r="CE169" s="105" t="n"/>
      <c r="CF169" s="105" t="n"/>
      <c r="CG169" s="142" t="n">
        <v>1</v>
      </c>
      <c r="CH169" s="105" t="n"/>
      <c r="CI169" s="105" t="n"/>
      <c r="CJ169" s="105" t="n"/>
      <c r="CK169" s="105" t="n"/>
      <c r="CL169" s="105" t="n"/>
      <c r="CM169" s="105" t="n"/>
      <c r="CN169" s="105" t="n"/>
      <c r="CO169" s="105" t="n"/>
      <c r="CP169" s="105" t="n"/>
      <c r="CQ169" s="105" t="n"/>
      <c r="CR169" s="105" t="n"/>
      <c r="CS169" s="105" t="n"/>
      <c r="CT169" s="105" t="n"/>
      <c r="CU169" s="105" t="n"/>
      <c r="CV169" s="105" t="n"/>
      <c r="CW169" s="105" t="n"/>
      <c r="CX169" s="105" t="n"/>
      <c r="CY169" s="105" t="n"/>
      <c r="CZ169" s="124">
        <f>+COUNTA(BV169:CY169)</f>
        <v/>
      </c>
      <c r="DA169" s="251" t="n"/>
      <c r="DB169" s="251" t="n"/>
      <c r="DC169" s="251" t="n"/>
      <c r="DD169" s="251" t="n"/>
      <c r="DE169" s="251" t="n"/>
      <c r="DF169" s="251" t="n"/>
      <c r="DG169" s="251" t="n"/>
      <c r="DH169" s="251" t="n"/>
      <c r="DI169" s="251" t="n"/>
      <c r="DJ169" s="251" t="inlineStr">
        <is>
          <t>M</t>
        </is>
      </c>
      <c r="DK169" s="251" t="n">
        <v>8</v>
      </c>
      <c r="DL169" s="95" t="n">
        <v>14</v>
      </c>
      <c r="DM169" s="251" t="n"/>
      <c r="DN169" s="95" t="n"/>
      <c r="DO169" s="95" t="n"/>
    </row>
    <row r="170" ht="13.5" customHeight="1">
      <c r="A170" s="203" t="inlineStr">
        <is>
          <t>CMW-05B</t>
        </is>
      </c>
      <c r="B170" s="305"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1" t="inlineStr">
        <is>
          <t>532MACMW</t>
        </is>
      </c>
      <c r="BL170" s="61" t="inlineStr">
        <is>
          <t>GMAP-SIGA</t>
        </is>
      </c>
      <c r="BM170" s="251" t="inlineStr">
        <is>
          <t>NF</t>
        </is>
      </c>
      <c r="BN170" s="337" t="inlineStr">
        <is>
          <t>Coposa Norte</t>
        </is>
      </c>
      <c r="BO170" s="168"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CA170" s="105" t="n"/>
      <c r="CB170" s="105" t="n"/>
      <c r="CC170" s="105" t="n"/>
      <c r="CD170" s="105" t="n"/>
      <c r="CE170" s="105" t="n"/>
      <c r="CF170" s="105" t="n"/>
      <c r="CH170" s="105" t="n"/>
      <c r="CI170" s="105" t="n"/>
      <c r="CJ170" s="105" t="n"/>
      <c r="CK170" s="105" t="n"/>
      <c r="CL170" s="105" t="n"/>
      <c r="CM170" s="105" t="n"/>
      <c r="CN170" s="105" t="n"/>
      <c r="CO170" s="105" t="n"/>
      <c r="CP170" s="105" t="n"/>
      <c r="CQ170" s="105" t="n"/>
      <c r="CR170" s="105" t="n"/>
      <c r="CS170" s="105" t="n"/>
      <c r="CT170" s="105" t="n"/>
      <c r="CU170" s="105" t="n"/>
      <c r="CV170" s="105" t="n"/>
      <c r="CW170" s="105" t="n"/>
      <c r="CX170" s="105" t="n"/>
      <c r="CY170" s="105" t="n"/>
      <c r="CZ170" s="124">
        <f>+COUNTA(BV170:CY170)</f>
        <v/>
      </c>
      <c r="DA170" s="251" t="n"/>
      <c r="DB170" s="251" t="n"/>
      <c r="DC170" s="251" t="n"/>
      <c r="DD170" s="251" t="n"/>
      <c r="DE170" s="251" t="n"/>
      <c r="DF170" s="251" t="n"/>
      <c r="DG170" s="251" t="n"/>
      <c r="DH170" s="251" t="n"/>
      <c r="DI170" s="251" t="n"/>
      <c r="DJ170" s="251" t="inlineStr">
        <is>
          <t>M</t>
        </is>
      </c>
      <c r="DK170" s="251" t="n">
        <v>9</v>
      </c>
      <c r="DL170" s="95" t="n">
        <v>15</v>
      </c>
      <c r="DM170" s="251" t="n"/>
      <c r="DN170" s="95" t="n"/>
      <c r="DO170" s="95" t="n"/>
    </row>
    <row r="171" ht="13" customHeight="1">
      <c r="A171" s="203" t="inlineStr">
        <is>
          <t>CMW-06</t>
        </is>
      </c>
      <c r="B171" s="305"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1" t="inlineStr">
        <is>
          <t>532MACMW</t>
        </is>
      </c>
      <c r="BL171" s="61" t="inlineStr">
        <is>
          <t>GMAP-SIGA</t>
        </is>
      </c>
      <c r="BM171" s="251" t="inlineStr">
        <is>
          <t>NF</t>
        </is>
      </c>
      <c r="BN171" s="337" t="inlineStr">
        <is>
          <t>Coposa Centro</t>
        </is>
      </c>
      <c r="BO171" s="251"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241" t="n"/>
      <c r="BY171" s="241" t="n"/>
      <c r="BZ171" s="241" t="n"/>
      <c r="CA171" s="241" t="n"/>
      <c r="CB171" s="241" t="n"/>
      <c r="CC171" s="241" t="n"/>
      <c r="CD171" s="241" t="n"/>
      <c r="CE171" s="241" t="n"/>
      <c r="CF171" s="241" t="n"/>
      <c r="CG171" s="241" t="n"/>
      <c r="CH171" s="241" t="n"/>
      <c r="CI171" s="241" t="n"/>
      <c r="CJ171" s="241" t="n"/>
      <c r="CK171" s="241" t="n"/>
      <c r="CL171" s="241" t="n"/>
      <c r="CM171" s="241" t="n"/>
      <c r="CN171" s="241" t="n"/>
      <c r="CO171" s="241" t="n"/>
      <c r="CP171" s="105" t="n"/>
      <c r="CQ171" s="105" t="n"/>
      <c r="CR171" s="105" t="n"/>
      <c r="CS171" s="105" t="n"/>
      <c r="CT171" s="105" t="n"/>
      <c r="CU171" s="105" t="n"/>
      <c r="CV171" s="105" t="n"/>
      <c r="CW171" s="105" t="n"/>
      <c r="CX171" s="105" t="n"/>
      <c r="CY171" s="105" t="n"/>
      <c r="CZ171" s="124">
        <f>+COUNTA(BV171:CY171)</f>
        <v/>
      </c>
      <c r="DA171" s="251" t="n"/>
      <c r="DB171" s="251" t="n"/>
      <c r="DC171" s="251" t="n"/>
      <c r="DD171" s="251" t="n"/>
      <c r="DE171" s="251" t="n"/>
      <c r="DF171" s="251" t="n"/>
      <c r="DG171" s="251" t="n"/>
      <c r="DH171" s="251" t="n"/>
      <c r="DI171" s="251" t="n"/>
      <c r="DJ171" s="251" t="inlineStr">
        <is>
          <t>TD</t>
        </is>
      </c>
      <c r="DK171" s="251" t="n">
        <v>22</v>
      </c>
      <c r="DL171" s="95" t="n">
        <v>28</v>
      </c>
      <c r="DM171" s="251" t="n"/>
      <c r="DN171" s="95" t="n"/>
      <c r="DO171" s="95" t="n"/>
    </row>
    <row r="172" ht="13" customHeight="1">
      <c r="A172" s="205" t="inlineStr">
        <is>
          <t>CMW-08</t>
        </is>
      </c>
      <c r="B172" s="305"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1" t="inlineStr">
        <is>
          <t>532MACMW</t>
        </is>
      </c>
      <c r="BL172" s="61" t="inlineStr">
        <is>
          <t>GMAP-SIGA</t>
        </is>
      </c>
      <c r="BM172" s="251" t="inlineStr">
        <is>
          <t>NF</t>
        </is>
      </c>
      <c r="BN172" s="337" t="inlineStr">
        <is>
          <t>Coposa Centro</t>
        </is>
      </c>
      <c r="BO172" s="168"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242" t="n">
        <v>1</v>
      </c>
      <c r="BY172" s="243" t="n"/>
      <c r="BZ172" s="243" t="n"/>
      <c r="CA172" s="244" t="n"/>
      <c r="CB172" s="243" t="n"/>
      <c r="CC172" s="243" t="n"/>
      <c r="CD172" s="243" t="n"/>
      <c r="CE172" s="243" t="n"/>
      <c r="CF172" s="243" t="n"/>
      <c r="CG172" s="243" t="n"/>
      <c r="CH172" s="243" t="n"/>
      <c r="CI172" s="243" t="n"/>
      <c r="CJ172" s="243" t="n"/>
      <c r="CK172" s="243" t="n"/>
      <c r="CL172" s="243" t="n"/>
      <c r="CM172" s="243" t="n"/>
      <c r="CN172" s="243" t="n"/>
      <c r="CO172" s="242" t="n">
        <v>1</v>
      </c>
      <c r="CP172" s="105" t="n"/>
      <c r="CQ172" s="105" t="n"/>
      <c r="CR172" s="105" t="n"/>
      <c r="CS172" s="105" t="n"/>
      <c r="CT172" s="105" t="n"/>
      <c r="CU172" s="105" t="n"/>
      <c r="CV172" s="105" t="n"/>
      <c r="CW172" s="105" t="n"/>
      <c r="CX172" s="105" t="n"/>
      <c r="CY172" s="105" t="n"/>
      <c r="CZ172" s="124">
        <f>+COUNTA(BV172:CY172)</f>
        <v/>
      </c>
      <c r="DA172" s="206" t="n"/>
      <c r="DB172" s="251" t="n"/>
      <c r="DC172" s="251" t="n"/>
      <c r="DD172" s="251" t="n"/>
      <c r="DE172" s="251" t="n"/>
      <c r="DF172" s="251" t="n"/>
      <c r="DG172" s="251" t="n"/>
      <c r="DH172" s="251" t="n"/>
      <c r="DI172" s="251" t="n"/>
      <c r="DJ172" s="251" t="inlineStr">
        <is>
          <t>Q</t>
        </is>
      </c>
      <c r="DK172" s="226" t="inlineStr">
        <is>
          <t>1- 15</t>
        </is>
      </c>
      <c r="DL172" s="226" t="inlineStr">
        <is>
          <t>14-28</t>
        </is>
      </c>
      <c r="DM172" s="251" t="n"/>
      <c r="DN172" s="95" t="n"/>
      <c r="DO172" s="95" t="n"/>
    </row>
    <row r="173" ht="13" customHeight="1">
      <c r="A173" s="203" t="inlineStr">
        <is>
          <t>CMW-09</t>
        </is>
      </c>
      <c r="B173" s="305"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1" t="inlineStr">
        <is>
          <t>NF</t>
        </is>
      </c>
      <c r="BN173" s="337" t="inlineStr">
        <is>
          <t>Coposa Centro</t>
        </is>
      </c>
      <c r="BO173" s="168"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05" t="n"/>
      <c r="CB173" s="105" t="n"/>
      <c r="CC173" s="105" t="n"/>
      <c r="CD173" s="105" t="n"/>
      <c r="CE173" s="105" t="n"/>
      <c r="CF173" s="142" t="n">
        <v>1</v>
      </c>
      <c r="CG173" s="105" t="n"/>
      <c r="CH173" s="105" t="n"/>
      <c r="CI173" s="105" t="n"/>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24">
        <f>+COUNTA(BV173:CY173)</f>
        <v/>
      </c>
      <c r="DA173" s="251" t="n"/>
      <c r="DB173" s="251" t="n"/>
      <c r="DC173" s="251" t="n"/>
      <c r="DD173" s="251" t="n"/>
      <c r="DE173" s="251" t="n"/>
      <c r="DF173" s="251" t="n"/>
      <c r="DG173" s="251" t="n"/>
      <c r="DH173" s="251" t="n"/>
      <c r="DI173" s="251" t="n"/>
      <c r="DJ173" s="251" t="inlineStr">
        <is>
          <t>M</t>
        </is>
      </c>
      <c r="DK173" s="251" t="n">
        <v>8</v>
      </c>
      <c r="DL173" s="95" t="n">
        <v>14</v>
      </c>
      <c r="DM173" s="251" t="n"/>
      <c r="DN173" s="95" t="n"/>
      <c r="DO173" s="95" t="n"/>
    </row>
    <row r="174" ht="13" customHeight="1">
      <c r="A174" s="205" t="inlineStr">
        <is>
          <t>CMW-11</t>
        </is>
      </c>
      <c r="B174" s="305"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1" t="inlineStr">
        <is>
          <t>532MACMW</t>
        </is>
      </c>
      <c r="BL174" s="61" t="inlineStr">
        <is>
          <t>GMAP-SIGA</t>
        </is>
      </c>
      <c r="BM174" s="251" t="inlineStr">
        <is>
          <t>NF</t>
        </is>
      </c>
      <c r="BN174" s="337" t="inlineStr">
        <is>
          <t>Coposa Centro</t>
        </is>
      </c>
      <c r="BO174" s="251"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105" t="n"/>
      <c r="CK174" s="105" t="n"/>
      <c r="CL174" s="105" t="n"/>
      <c r="CM174" s="105" t="n"/>
      <c r="CN174" s="105" t="n"/>
      <c r="CO174" s="242" t="n">
        <v>1</v>
      </c>
      <c r="CP174" s="105" t="n"/>
      <c r="CQ174" s="105" t="n"/>
      <c r="CR174" s="105" t="n"/>
      <c r="CS174" s="105" t="n"/>
      <c r="CT174" s="105" t="n"/>
      <c r="CU174" s="105" t="n"/>
      <c r="CV174" s="105" t="n"/>
      <c r="CW174" s="105" t="n"/>
      <c r="CX174" s="105" t="n"/>
      <c r="CY174" s="105" t="n"/>
      <c r="CZ174" s="124">
        <f>+COUNTA(BV174:CY174)</f>
        <v/>
      </c>
      <c r="DA174" s="206" t="n"/>
      <c r="DB174" s="251" t="n"/>
      <c r="DC174" s="251" t="n"/>
      <c r="DD174" s="251" t="n"/>
      <c r="DE174" s="251" t="n"/>
      <c r="DF174" s="251" t="n"/>
      <c r="DG174" s="251" t="n"/>
      <c r="DH174" s="251" t="n"/>
      <c r="DI174" s="251" t="n"/>
      <c r="DJ174" s="251" t="inlineStr">
        <is>
          <t>M</t>
        </is>
      </c>
      <c r="DK174" s="251" t="n">
        <v>15</v>
      </c>
      <c r="DL174" s="95" t="n">
        <v>28</v>
      </c>
      <c r="DM174" s="251" t="n"/>
      <c r="DN174" s="95" t="n"/>
      <c r="DO174" s="95" t="n"/>
    </row>
    <row r="175" ht="13" customHeight="1">
      <c r="A175" s="203" t="inlineStr">
        <is>
          <t>CMW-12</t>
        </is>
      </c>
      <c r="B175" s="305"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1" t="inlineStr">
        <is>
          <t>532MACMW</t>
        </is>
      </c>
      <c r="BL175" s="61" t="inlineStr">
        <is>
          <t>GMAP-SIGA</t>
        </is>
      </c>
      <c r="BM175" s="251" t="inlineStr">
        <is>
          <t>NF</t>
        </is>
      </c>
      <c r="BN175" s="337" t="inlineStr">
        <is>
          <t>Coposa Centro</t>
        </is>
      </c>
      <c r="BO175" s="168"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05" t="n"/>
      <c r="CB175" s="105" t="n"/>
      <c r="CC175" s="105" t="n"/>
      <c r="CD175" s="105" t="n"/>
      <c r="CE175" s="105" t="n"/>
      <c r="CF175" s="142" t="n">
        <v>1</v>
      </c>
      <c r="CG175" s="105" t="n"/>
      <c r="CH175" s="105" t="n"/>
      <c r="CI175" s="105" t="n"/>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24">
        <f>+COUNTA(BV175:CY175)</f>
        <v/>
      </c>
      <c r="DA175" s="251" t="n"/>
      <c r="DB175" s="251" t="n"/>
      <c r="DC175" s="251" t="n"/>
      <c r="DD175" s="251" t="n"/>
      <c r="DE175" s="251" t="n"/>
      <c r="DF175" s="251" t="n"/>
      <c r="DG175" s="251" t="n"/>
      <c r="DH175" s="251" t="n"/>
      <c r="DI175" s="251" t="n"/>
      <c r="DJ175" s="251" t="inlineStr">
        <is>
          <t>M</t>
        </is>
      </c>
      <c r="DK175" s="251" t="n">
        <v>8</v>
      </c>
      <c r="DL175" s="95" t="n">
        <v>14</v>
      </c>
      <c r="DM175" s="251" t="n"/>
      <c r="DN175" s="95" t="n"/>
      <c r="DO175" s="95" t="n"/>
    </row>
    <row r="176" ht="13" customHeight="1">
      <c r="A176" s="203" t="inlineStr">
        <is>
          <t>CMW-13</t>
        </is>
      </c>
      <c r="B176" s="305"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1" t="inlineStr">
        <is>
          <t>532MACMW</t>
        </is>
      </c>
      <c r="BL176" s="61" t="inlineStr">
        <is>
          <t>GMAP-SIGA</t>
        </is>
      </c>
      <c r="BM176" s="251" t="inlineStr">
        <is>
          <t>NF</t>
        </is>
      </c>
      <c r="BN176" s="337" t="inlineStr">
        <is>
          <t>Coposa Centro</t>
        </is>
      </c>
      <c r="BO176" s="251"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42" t="n">
        <v>1</v>
      </c>
      <c r="CG176" s="105" t="n"/>
      <c r="CH176" s="105" t="n"/>
      <c r="CI176" s="105" t="n"/>
      <c r="CJ176" s="105" t="n"/>
      <c r="CK176" s="105" t="n"/>
      <c r="CL176" s="105" t="n"/>
      <c r="CM176" s="105" t="n"/>
      <c r="CN176" s="105" t="n"/>
      <c r="CO176" s="105" t="n"/>
      <c r="CP176" s="105" t="n"/>
      <c r="CQ176" s="105" t="n"/>
      <c r="CR176" s="105" t="n"/>
      <c r="CS176" s="105" t="n"/>
      <c r="CT176" s="142" t="n">
        <v>1</v>
      </c>
      <c r="CU176" s="105" t="n"/>
      <c r="CV176" s="105" t="n"/>
      <c r="CW176" s="105" t="n"/>
      <c r="CX176" s="105" t="n"/>
      <c r="CY176" s="105" t="n"/>
      <c r="CZ176" s="124">
        <f>+COUNTA(BV176:CY176)</f>
        <v/>
      </c>
      <c r="DA176" s="251" t="n"/>
      <c r="DB176" s="251" t="n"/>
      <c r="DC176" s="251" t="n"/>
      <c r="DD176" s="251" t="n"/>
      <c r="DE176" s="251" t="n"/>
      <c r="DF176" s="251" t="n"/>
      <c r="DG176" s="251" t="n"/>
      <c r="DH176" s="251" t="n"/>
      <c r="DI176" s="251" t="n"/>
      <c r="DJ176" s="251" t="inlineStr">
        <is>
          <t>M</t>
        </is>
      </c>
      <c r="DK176" s="251" t="n">
        <v>22</v>
      </c>
      <c r="DL176" s="95" t="n">
        <v>28</v>
      </c>
      <c r="DM176" s="251" t="n"/>
      <c r="DN176" s="95" t="n"/>
      <c r="DO176" s="95" t="n"/>
    </row>
    <row r="177" ht="13" customHeight="1">
      <c r="A177" s="203" t="inlineStr">
        <is>
          <t>CMW-13B</t>
        </is>
      </c>
      <c r="B177" s="305"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1" t="inlineStr">
        <is>
          <t>532MACMW</t>
        </is>
      </c>
      <c r="BL177" s="61" t="inlineStr">
        <is>
          <t>GMAP-SIGA</t>
        </is>
      </c>
      <c r="BM177" s="251" t="inlineStr">
        <is>
          <t>NF</t>
        </is>
      </c>
      <c r="BN177" s="337" t="inlineStr">
        <is>
          <t>Coposa Centro</t>
        </is>
      </c>
      <c r="BO177" s="251"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42" t="n">
        <v>1</v>
      </c>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05" t="n"/>
      <c r="CX177" s="105" t="n"/>
      <c r="CY177" s="105" t="n"/>
      <c r="CZ177" s="124">
        <f>+COUNTA(BV177:CY177)</f>
        <v/>
      </c>
      <c r="DA177" s="251" t="n"/>
      <c r="DB177" s="251" t="n"/>
      <c r="DC177" s="251" t="n"/>
      <c r="DD177" s="251" t="n"/>
      <c r="DE177" s="251" t="n"/>
      <c r="DF177" s="251" t="n"/>
      <c r="DG177" s="251" t="n"/>
      <c r="DH177" s="251" t="n"/>
      <c r="DI177" s="251" t="n"/>
      <c r="DJ177" s="251" t="inlineStr">
        <is>
          <t>TD</t>
        </is>
      </c>
      <c r="DK177" s="251" t="n">
        <v>22</v>
      </c>
      <c r="DL177" s="95" t="n">
        <v>28</v>
      </c>
      <c r="DM177" s="251" t="n"/>
      <c r="DN177" s="95" t="n"/>
      <c r="DO177" s="95" t="n"/>
    </row>
    <row r="178" ht="13" customHeight="1">
      <c r="A178" s="205" t="inlineStr">
        <is>
          <t>CMW-15</t>
        </is>
      </c>
      <c r="B178" s="305"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1" t="inlineStr">
        <is>
          <t>532MACMW</t>
        </is>
      </c>
      <c r="BL178" s="61" t="inlineStr">
        <is>
          <t>GMAP-SIGA</t>
        </is>
      </c>
      <c r="BM178" s="251" t="inlineStr">
        <is>
          <t>NF</t>
        </is>
      </c>
      <c r="BN178" s="337" t="inlineStr">
        <is>
          <t>Coposa Centro</t>
        </is>
      </c>
      <c r="BO178" s="251"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242" t="n">
        <v>1</v>
      </c>
      <c r="BY178" s="105" t="n"/>
      <c r="BZ178" s="105" t="n"/>
      <c r="CA178" s="105" t="n"/>
      <c r="CB178" s="105" t="n"/>
      <c r="CC178" s="105" t="n"/>
      <c r="CD178" s="105" t="n"/>
      <c r="CE178" s="105" t="n"/>
      <c r="CF178" s="142" t="n">
        <v>1</v>
      </c>
      <c r="CG178" s="105" t="n"/>
      <c r="CH178" s="105" t="n"/>
      <c r="CI178" s="105" t="n"/>
      <c r="CJ178" s="105" t="n"/>
      <c r="CK178" s="105" t="n"/>
      <c r="CL178" s="105" t="n"/>
      <c r="CM178" s="105" t="n"/>
      <c r="CN178" s="105" t="n"/>
      <c r="CO178" s="105" t="n"/>
      <c r="CP178" s="242" t="n">
        <v>1</v>
      </c>
      <c r="CQ178" s="105" t="n"/>
      <c r="CR178" s="105" t="n"/>
      <c r="CS178" s="105" t="n"/>
      <c r="CT178" s="142" t="n">
        <v>1</v>
      </c>
      <c r="CU178" s="105" t="n"/>
      <c r="CV178" s="105" t="n"/>
      <c r="CW178" s="105" t="n"/>
      <c r="CX178" s="105" t="n"/>
      <c r="CY178" s="105" t="n"/>
      <c r="CZ178" s="124">
        <f>+COUNTA(BV178:CY178)</f>
        <v/>
      </c>
      <c r="DA178" s="206" t="n"/>
      <c r="DB178" s="251" t="n"/>
      <c r="DC178" s="251" t="n"/>
      <c r="DD178" s="251" t="n"/>
      <c r="DE178" s="251" t="n"/>
      <c r="DF178" s="251" t="n"/>
      <c r="DG178" s="251" t="n"/>
      <c r="DH178" s="251" t="n"/>
      <c r="DI178" s="251" t="n"/>
      <c r="DJ178" s="251" t="inlineStr">
        <is>
          <t xml:space="preserve">S </t>
        </is>
      </c>
      <c r="DK178" s="251" t="n">
        <v>15</v>
      </c>
      <c r="DL178" s="95" t="n">
        <v>28</v>
      </c>
      <c r="DM178" s="251" t="n"/>
      <c r="DN178" s="95" t="n"/>
      <c r="DO178" s="95" t="n"/>
    </row>
    <row r="179" ht="13" customHeight="1">
      <c r="A179" s="215" t="inlineStr">
        <is>
          <t>CMW-17B</t>
        </is>
      </c>
      <c r="B179" s="305"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1" t="n"/>
      <c r="BL179" s="61" t="n"/>
      <c r="BM179" s="251" t="inlineStr">
        <is>
          <t>NF</t>
        </is>
      </c>
      <c r="BN179" s="337" t="inlineStr">
        <is>
          <t>Coposa Centro</t>
        </is>
      </c>
      <c r="BO179" s="251"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24">
        <f>+COUNTA(BV179:CY179)</f>
        <v/>
      </c>
      <c r="DA179" s="105" t="n"/>
      <c r="DB179" s="251" t="n"/>
      <c r="DC179" s="251" t="n"/>
      <c r="DD179" s="251" t="n"/>
      <c r="DE179" s="251" t="n"/>
      <c r="DF179" s="251" t="n"/>
      <c r="DG179" s="251" t="n"/>
      <c r="DH179" s="251" t="n"/>
      <c r="DI179" s="251" t="n"/>
      <c r="DJ179" s="251" t="n"/>
      <c r="DK179" s="251" t="n"/>
      <c r="DL179" s="95" t="n"/>
      <c r="DM179" s="251" t="n"/>
      <c r="DN179" s="95" t="n"/>
      <c r="DO179" s="95" t="n"/>
    </row>
    <row r="180" ht="13" customHeight="1">
      <c r="A180" s="205" t="inlineStr">
        <is>
          <t>CMW-18</t>
        </is>
      </c>
      <c r="B180" s="305"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1" t="inlineStr">
        <is>
          <t>532MACMW</t>
        </is>
      </c>
      <c r="BL180" s="61" t="inlineStr">
        <is>
          <t>GMAP-SIGA</t>
        </is>
      </c>
      <c r="BM180" s="251" t="inlineStr">
        <is>
          <t>NF</t>
        </is>
      </c>
      <c r="BN180" s="337" t="inlineStr">
        <is>
          <t>Coposa Centro</t>
        </is>
      </c>
      <c r="BO180" s="251"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105" t="n"/>
      <c r="CK180" s="105" t="n"/>
      <c r="CL180" s="105" t="n"/>
      <c r="CM180" s="105" t="n"/>
      <c r="CN180" s="105" t="n"/>
      <c r="CO180" s="105" t="n"/>
      <c r="CP180" s="242" t="n">
        <v>1</v>
      </c>
      <c r="CQ180" s="105" t="n"/>
      <c r="CR180" s="105" t="n"/>
      <c r="CS180" s="105" t="n"/>
      <c r="CT180" s="105" t="n"/>
      <c r="CU180" s="105" t="n"/>
      <c r="CV180" s="105" t="n"/>
      <c r="CW180" s="105" t="n"/>
      <c r="CX180" s="105" t="n"/>
      <c r="CY180" s="105" t="n"/>
      <c r="CZ180" s="124">
        <f>+COUNTA(BV180:CY180)</f>
        <v/>
      </c>
      <c r="DA180" s="206" t="n"/>
      <c r="DB180" s="251" t="n"/>
      <c r="DC180" s="251" t="n"/>
      <c r="DD180" s="251" t="n"/>
      <c r="DE180" s="251" t="n"/>
      <c r="DF180" s="251" t="n"/>
      <c r="DG180" s="251" t="n"/>
      <c r="DH180" s="251" t="n"/>
      <c r="DI180" s="251" t="n"/>
      <c r="DJ180" s="251" t="inlineStr">
        <is>
          <t>M</t>
        </is>
      </c>
      <c r="DK180" s="251" t="n">
        <v>15</v>
      </c>
      <c r="DL180" s="95" t="n">
        <v>28</v>
      </c>
      <c r="DM180" s="251" t="n"/>
      <c r="DN180" s="95" t="n"/>
      <c r="DO180" s="95" t="n"/>
    </row>
    <row r="181" ht="13" customHeight="1">
      <c r="A181" s="205" t="inlineStr">
        <is>
          <t>CMW-20</t>
        </is>
      </c>
      <c r="B181" s="305"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1" t="inlineStr">
        <is>
          <t>532MACMW</t>
        </is>
      </c>
      <c r="BL181" s="61" t="inlineStr">
        <is>
          <t>GMAP-SIGA</t>
        </is>
      </c>
      <c r="BM181" s="251" t="inlineStr">
        <is>
          <t>NF</t>
        </is>
      </c>
      <c r="BN181" s="337" t="inlineStr">
        <is>
          <t>Coposa Centro</t>
        </is>
      </c>
      <c r="BO181" s="251"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105" t="n"/>
      <c r="CK181" s="105" t="n"/>
      <c r="CL181" s="105" t="n"/>
      <c r="CM181" s="105" t="n"/>
      <c r="CN181" s="105" t="n"/>
      <c r="CO181" s="242" t="n">
        <v>1</v>
      </c>
      <c r="CP181" s="105" t="n"/>
      <c r="CQ181" s="105" t="n"/>
      <c r="CR181" s="105" t="n"/>
      <c r="CS181" s="105" t="n"/>
      <c r="CT181" s="105" t="n"/>
      <c r="CU181" s="105" t="n"/>
      <c r="CV181" s="105" t="n"/>
      <c r="CW181" s="105" t="n"/>
      <c r="CX181" s="105" t="n"/>
      <c r="CY181" s="105" t="n"/>
      <c r="CZ181" s="124">
        <f>+COUNTA(BV181:CY181)</f>
        <v/>
      </c>
      <c r="DA181" s="206" t="n"/>
      <c r="DB181" s="251" t="n"/>
      <c r="DC181" s="251" t="n"/>
      <c r="DD181" s="251" t="n"/>
      <c r="DE181" s="251" t="n"/>
      <c r="DF181" s="251" t="n"/>
      <c r="DG181" s="251" t="n"/>
      <c r="DH181" s="251" t="n"/>
      <c r="DI181" s="251" t="n"/>
      <c r="DJ181" s="251" t="inlineStr">
        <is>
          <t>M</t>
        </is>
      </c>
      <c r="DK181" s="251" t="n">
        <v>15</v>
      </c>
      <c r="DL181" s="95" t="n">
        <v>28</v>
      </c>
      <c r="DM181" s="251" t="n"/>
      <c r="DN181" s="95" t="n"/>
      <c r="DO181" s="95" t="n"/>
    </row>
    <row r="182" ht="13" customHeight="1">
      <c r="A182" s="215" t="inlineStr">
        <is>
          <t>CMW-21</t>
        </is>
      </c>
      <c r="B182" s="305"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1" t="inlineStr">
        <is>
          <t>532MACMW</t>
        </is>
      </c>
      <c r="BL182" s="61" t="inlineStr">
        <is>
          <t>GMAP-SIGA</t>
        </is>
      </c>
      <c r="BM182" s="251" t="inlineStr">
        <is>
          <t>NF</t>
        </is>
      </c>
      <c r="BN182" s="337" t="inlineStr">
        <is>
          <t>Coposa Centro</t>
        </is>
      </c>
      <c r="BO182" s="251"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42" t="n">
        <v>1</v>
      </c>
      <c r="CU182" s="105" t="n"/>
      <c r="CV182" s="105" t="n"/>
      <c r="CW182" s="105" t="n"/>
      <c r="CX182" s="105" t="n"/>
      <c r="CY182" s="105" t="n"/>
      <c r="CZ182" s="124">
        <f>+COUNTA(BV182:CY182)</f>
        <v/>
      </c>
      <c r="DA182" s="251" t="n"/>
      <c r="DB182" s="251" t="n"/>
      <c r="DC182" s="251" t="n"/>
      <c r="DD182" s="251" t="n"/>
      <c r="DE182" s="251" t="n"/>
      <c r="DF182" s="251" t="n"/>
      <c r="DG182" s="251" t="n"/>
      <c r="DH182" s="251" t="n"/>
      <c r="DI182" s="251" t="n"/>
      <c r="DJ182" s="251" t="inlineStr">
        <is>
          <t>M</t>
        </is>
      </c>
      <c r="DK182" s="251" t="n">
        <v>22</v>
      </c>
      <c r="DL182" s="95" t="n">
        <v>28</v>
      </c>
      <c r="DM182" s="251" t="n"/>
      <c r="DN182" s="95" t="n"/>
      <c r="DO182" s="95" t="n"/>
    </row>
    <row r="183" ht="13" customHeight="1">
      <c r="A183" s="203" t="inlineStr">
        <is>
          <t>CMW-22</t>
        </is>
      </c>
      <c r="B183" s="305"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1" t="inlineStr">
        <is>
          <t>532MACMW</t>
        </is>
      </c>
      <c r="BL183" s="61" t="inlineStr">
        <is>
          <t>GMAP-SIGA</t>
        </is>
      </c>
      <c r="BM183" s="251" t="inlineStr">
        <is>
          <t>NF</t>
        </is>
      </c>
      <c r="BN183" s="337" t="inlineStr">
        <is>
          <t>Coposa Centro</t>
        </is>
      </c>
      <c r="BO183" s="251"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05" t="n"/>
      <c r="CU183" s="105" t="n"/>
      <c r="CV183" s="105" t="n"/>
      <c r="CW183" s="105" t="n"/>
      <c r="CX183" s="105" t="n"/>
      <c r="CY183" s="105" t="n"/>
      <c r="CZ183" s="124">
        <f>+COUNTA(BV183:CY183)</f>
        <v/>
      </c>
      <c r="DA183" s="251" t="n"/>
      <c r="DB183" s="251" t="n"/>
      <c r="DC183" s="251" t="n"/>
      <c r="DD183" s="251" t="n"/>
      <c r="DE183" s="251" t="n"/>
      <c r="DF183" s="251" t="n"/>
      <c r="DG183" s="251" t="n"/>
      <c r="DH183" s="251" t="n"/>
      <c r="DI183" s="251" t="n"/>
      <c r="DJ183" s="251" t="inlineStr">
        <is>
          <t>TD</t>
        </is>
      </c>
      <c r="DK183" s="251" t="n">
        <v>22</v>
      </c>
      <c r="DL183" s="95" t="n">
        <v>28</v>
      </c>
      <c r="DM183" s="251" t="n"/>
      <c r="DN183" s="95" t="n"/>
      <c r="DO183" s="95" t="n"/>
    </row>
    <row r="184" ht="13" customHeight="1">
      <c r="A184" s="203" t="inlineStr">
        <is>
          <t>CMW-22</t>
        </is>
      </c>
      <c r="B184" s="305"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1" t="n"/>
      <c r="BL184" s="61" t="n"/>
      <c r="BM184" s="251" t="inlineStr">
        <is>
          <t>ASUB</t>
        </is>
      </c>
      <c r="BN184" s="337" t="inlineStr">
        <is>
          <t>Jachucoposa</t>
        </is>
      </c>
      <c r="BO184" s="251"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05" t="n"/>
      <c r="CU184" s="105" t="n"/>
      <c r="CV184" s="105" t="n"/>
      <c r="CW184" s="105" t="n"/>
      <c r="CX184" s="105" t="n"/>
      <c r="CY184" s="105" t="n"/>
      <c r="CZ184" s="124">
        <f>+COUNTA(BV184:CY184)</f>
        <v/>
      </c>
      <c r="DA184" s="251" t="n"/>
      <c r="DB184" s="251" t="n"/>
      <c r="DC184" s="251" t="n"/>
      <c r="DD184" s="251" t="n"/>
      <c r="DE184" s="251" t="n"/>
      <c r="DF184" s="251" t="n"/>
      <c r="DG184" s="251" t="n"/>
      <c r="DH184" s="251" t="n"/>
      <c r="DI184" s="251" t="n"/>
      <c r="DJ184" s="251" t="n"/>
      <c r="DK184" s="251" t="n"/>
      <c r="DL184" s="95" t="n"/>
      <c r="DM184" s="251" t="n"/>
      <c r="DN184" s="95" t="n"/>
      <c r="DO184" s="95" t="n"/>
    </row>
    <row r="185" ht="13" customHeight="1">
      <c r="A185" s="205" t="inlineStr">
        <is>
          <t>CMW-23</t>
        </is>
      </c>
      <c r="B185" s="305"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1" t="inlineStr">
        <is>
          <t>532MACMW</t>
        </is>
      </c>
      <c r="BL185" s="61" t="inlineStr">
        <is>
          <t>GMAP-SIGA</t>
        </is>
      </c>
      <c r="BM185" s="251" t="inlineStr">
        <is>
          <t>NF</t>
        </is>
      </c>
      <c r="BN185" s="337" t="inlineStr">
        <is>
          <t>Coposa Centro</t>
        </is>
      </c>
      <c r="BO185" s="251"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242" t="n">
        <v>1</v>
      </c>
      <c r="BY185" s="105" t="n"/>
      <c r="BZ185" s="105" t="n"/>
      <c r="CA185" s="105" t="n"/>
      <c r="CB185" s="105" t="n"/>
      <c r="CC185" s="105" t="n"/>
      <c r="CD185" s="105" t="n"/>
      <c r="CE185" s="105" t="n"/>
      <c r="CF185" s="142" t="n">
        <v>1</v>
      </c>
      <c r="CG185" s="105" t="n"/>
      <c r="CH185" s="105" t="n"/>
      <c r="CI185" s="105" t="n"/>
      <c r="CJ185" s="105" t="n"/>
      <c r="CK185" s="105" t="n"/>
      <c r="CL185" s="105" t="n"/>
      <c r="CM185" s="105" t="n"/>
      <c r="CN185" s="105" t="n"/>
      <c r="CO185" s="105" t="n"/>
      <c r="CP185" s="242" t="n">
        <v>1</v>
      </c>
      <c r="CQ185" s="105" t="n"/>
      <c r="CR185" s="105" t="n"/>
      <c r="CS185" s="105" t="n"/>
      <c r="CT185" s="142" t="n">
        <v>1</v>
      </c>
      <c r="CU185" s="105" t="n"/>
      <c r="CV185" s="105" t="n"/>
      <c r="CW185" s="105" t="n"/>
      <c r="CX185" s="105" t="n"/>
      <c r="CY185" s="105" t="n"/>
      <c r="CZ185" s="124">
        <f>+COUNTA(BV185:CY185)</f>
        <v/>
      </c>
      <c r="DA185" s="206" t="n"/>
      <c r="DB185" s="251" t="n"/>
      <c r="DC185" s="251" t="n"/>
      <c r="DD185" s="251" t="n"/>
      <c r="DE185" s="251" t="n"/>
      <c r="DF185" s="251" t="n"/>
      <c r="DG185" s="251" t="n"/>
      <c r="DH185" s="251" t="n"/>
      <c r="DI185" s="251" t="n"/>
      <c r="DJ185" s="251" t="inlineStr">
        <is>
          <t>S</t>
        </is>
      </c>
      <c r="DK185" s="251" t="n">
        <v>15</v>
      </c>
      <c r="DL185" s="95" t="n">
        <v>28</v>
      </c>
      <c r="DM185" s="251" t="n"/>
      <c r="DN185" s="95" t="n"/>
      <c r="DO185" s="95" t="n"/>
    </row>
    <row r="186" ht="13" customHeight="1">
      <c r="A186" s="203" t="inlineStr">
        <is>
          <t>CMW-25</t>
        </is>
      </c>
      <c r="B186" s="305"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1" t="inlineStr">
        <is>
          <t>532MACMW</t>
        </is>
      </c>
      <c r="BL186" s="61" t="inlineStr">
        <is>
          <t>GMAP-SIGA</t>
        </is>
      </c>
      <c r="BM186" s="251" t="inlineStr">
        <is>
          <t>NF</t>
        </is>
      </c>
      <c r="BN186" s="337" t="inlineStr">
        <is>
          <t>Coposa Centro</t>
        </is>
      </c>
      <c r="BO186" s="251"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42" t="n">
        <v>1</v>
      </c>
      <c r="CU186" s="105" t="n"/>
      <c r="CV186" s="105" t="n"/>
      <c r="CW186" s="105" t="n"/>
      <c r="CX186" s="105" t="n"/>
      <c r="CY186" s="105" t="n"/>
      <c r="CZ186" s="124">
        <f>+COUNTA(BV186:CY186)</f>
        <v/>
      </c>
      <c r="DA186" s="251" t="n"/>
      <c r="DB186" s="251" t="n"/>
      <c r="DC186" s="251" t="n"/>
      <c r="DD186" s="251" t="n"/>
      <c r="DE186" s="251" t="n"/>
      <c r="DF186" s="251" t="n"/>
      <c r="DG186" s="251" t="n"/>
      <c r="DH186" s="251" t="n"/>
      <c r="DI186" s="251" t="n"/>
      <c r="DJ186" s="251" t="inlineStr">
        <is>
          <t>M</t>
        </is>
      </c>
      <c r="DK186" s="251" t="n">
        <v>22</v>
      </c>
      <c r="DL186" s="95" t="n">
        <v>28</v>
      </c>
      <c r="DM186" s="251" t="n"/>
      <c r="DN186" s="95" t="n"/>
      <c r="DO186" s="95" t="n"/>
    </row>
    <row r="187" ht="13" customHeight="1">
      <c r="A187" s="203" t="inlineStr">
        <is>
          <t>CMW-27</t>
        </is>
      </c>
      <c r="B187" s="305"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1" t="inlineStr">
        <is>
          <t>532MACMW</t>
        </is>
      </c>
      <c r="BL187" s="61" t="inlineStr">
        <is>
          <t>GMAP-SIGA</t>
        </is>
      </c>
      <c r="BM187" s="251" t="inlineStr">
        <is>
          <t>NF</t>
        </is>
      </c>
      <c r="BN187" s="337" t="inlineStr">
        <is>
          <t>Coposa Centro</t>
        </is>
      </c>
      <c r="BO187" s="251"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42" t="n">
        <v>1</v>
      </c>
      <c r="CU187" s="105" t="n"/>
      <c r="CV187" s="105" t="n"/>
      <c r="CW187" s="105" t="n"/>
      <c r="CX187" s="105" t="n"/>
      <c r="CY187" s="105" t="n"/>
      <c r="CZ187" s="124">
        <f>+COUNTA(BV187:CY187)</f>
        <v/>
      </c>
      <c r="DA187" s="251" t="n"/>
      <c r="DB187" s="251" t="n"/>
      <c r="DC187" s="251" t="n"/>
      <c r="DD187" s="251" t="n"/>
      <c r="DE187" s="251" t="n"/>
      <c r="DF187" s="251" t="n"/>
      <c r="DG187" s="251" t="n"/>
      <c r="DH187" s="251" t="n"/>
      <c r="DI187" s="251" t="n"/>
      <c r="DJ187" s="251" t="inlineStr">
        <is>
          <t>M</t>
        </is>
      </c>
      <c r="DK187" s="251" t="n">
        <v>22</v>
      </c>
      <c r="DL187" s="95" t="n">
        <v>28</v>
      </c>
      <c r="DM187" s="251" t="n"/>
      <c r="DN187" s="95" t="n"/>
      <c r="DO187" s="95" t="n"/>
    </row>
    <row r="188" ht="13" customHeight="1">
      <c r="A188" s="203" t="inlineStr">
        <is>
          <t>CMW-29B</t>
        </is>
      </c>
      <c r="B188" s="305"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1" t="inlineStr">
        <is>
          <t>532MACMW</t>
        </is>
      </c>
      <c r="BL188" s="61" t="inlineStr">
        <is>
          <t>GMAP-SIGA</t>
        </is>
      </c>
      <c r="BM188" s="251" t="inlineStr">
        <is>
          <t>NF</t>
        </is>
      </c>
      <c r="BN188" s="337" t="inlineStr">
        <is>
          <t>Coposa Centro</t>
        </is>
      </c>
      <c r="BO188" s="251"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05" t="n"/>
      <c r="CX188" s="105" t="n"/>
      <c r="CY188" s="105" t="n"/>
      <c r="CZ188" s="124">
        <f>+COUNTA(BV188:CY188)</f>
        <v/>
      </c>
      <c r="DA188" s="251" t="n"/>
      <c r="DB188" s="251" t="n"/>
      <c r="DC188" s="251" t="n"/>
      <c r="DD188" s="251" t="n"/>
      <c r="DE188" s="251" t="n"/>
      <c r="DF188" s="251" t="n"/>
      <c r="DG188" s="251" t="n"/>
      <c r="DH188" s="251" t="n"/>
      <c r="DI188" s="251" t="n"/>
      <c r="DJ188" s="251" t="inlineStr">
        <is>
          <t>TD</t>
        </is>
      </c>
      <c r="DK188" s="251" t="n">
        <v>22</v>
      </c>
      <c r="DL188" s="95" t="n">
        <v>28</v>
      </c>
      <c r="DM188" s="251" t="n"/>
      <c r="DN188" s="95" t="n"/>
      <c r="DO188" s="95" t="n"/>
    </row>
    <row r="189" ht="13" customHeight="1">
      <c r="A189" s="203" t="inlineStr">
        <is>
          <t>CMW-30</t>
        </is>
      </c>
      <c r="B189" s="305"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1" t="inlineStr">
        <is>
          <t>532MACMW</t>
        </is>
      </c>
      <c r="BL189" s="61" t="inlineStr">
        <is>
          <t>GMAP-SIGA</t>
        </is>
      </c>
      <c r="BM189" s="251" t="inlineStr">
        <is>
          <t>NF</t>
        </is>
      </c>
      <c r="BN189" s="337" t="inlineStr">
        <is>
          <t>Coposa Centro</t>
        </is>
      </c>
      <c r="BO189" s="251"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42" t="n">
        <v>1</v>
      </c>
      <c r="CU189" s="105" t="n"/>
      <c r="CV189" s="105" t="n"/>
      <c r="CW189" s="105" t="n"/>
      <c r="CX189" s="105" t="n"/>
      <c r="CY189" s="105" t="n"/>
      <c r="CZ189" s="124">
        <f>+COUNTA(BV189:CY189)</f>
        <v/>
      </c>
      <c r="DA189" s="251" t="n"/>
      <c r="DB189" s="251" t="n"/>
      <c r="DC189" s="251" t="n"/>
      <c r="DD189" s="251" t="n"/>
      <c r="DE189" s="251" t="n"/>
      <c r="DF189" s="251" t="n"/>
      <c r="DG189" s="251" t="n"/>
      <c r="DH189" s="251" t="n"/>
      <c r="DI189" s="251" t="n"/>
      <c r="DJ189" s="251" t="inlineStr">
        <is>
          <t>M</t>
        </is>
      </c>
      <c r="DK189" s="251" t="n">
        <v>22</v>
      </c>
      <c r="DL189" s="95" t="n">
        <v>28</v>
      </c>
      <c r="DM189" s="251" t="n"/>
      <c r="DN189" s="95" t="n"/>
      <c r="DO189" s="95" t="n"/>
    </row>
    <row r="190" ht="13" customHeight="1">
      <c r="A190" s="205" t="inlineStr">
        <is>
          <t>CMW-32</t>
        </is>
      </c>
      <c r="B190" s="305"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1" t="inlineStr">
        <is>
          <t>532MACMW</t>
        </is>
      </c>
      <c r="BL190" s="61" t="inlineStr">
        <is>
          <t>GMAP-SIGA</t>
        </is>
      </c>
      <c r="BM190" s="251" t="inlineStr">
        <is>
          <t>NF</t>
        </is>
      </c>
      <c r="BN190" s="337" t="inlineStr">
        <is>
          <t>Coposa Centro</t>
        </is>
      </c>
      <c r="BO190" s="251" t="inlineStr">
        <is>
          <t>SI / PMAP</t>
        </is>
      </c>
      <c r="BP190" s="106" t="inlineStr">
        <is>
          <t>CMW-32 COPOSA CENTRO/NF</t>
        </is>
      </c>
      <c r="BQ190" s="106">
        <f>VLOOKUP(BP190,[1]AGUA!$1:$1048576,2,FALSE)</f>
        <v/>
      </c>
      <c r="BR190" s="106">
        <f>VLOOKUP(BP190,[1]AGUA!$1:$1048576,6,FALSE)</f>
        <v/>
      </c>
      <c r="BS190" s="106">
        <f>VLOOKUP(BP190,[1]AGUA!$1:$1048576,7,FALSE)</f>
        <v/>
      </c>
      <c r="BT190" s="188"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105" t="n"/>
      <c r="CK190" s="105" t="n"/>
      <c r="CL190" s="105" t="n"/>
      <c r="CM190" s="105" t="n"/>
      <c r="CN190" s="105" t="n"/>
      <c r="CO190" s="105" t="n"/>
      <c r="CP190" s="105" t="n"/>
      <c r="CQ190" s="105" t="n"/>
      <c r="CR190" s="105" t="n"/>
      <c r="CS190" s="242" t="n">
        <v>1</v>
      </c>
      <c r="CT190" s="105" t="n"/>
      <c r="CU190" s="105" t="n"/>
      <c r="CV190" s="105" t="n"/>
      <c r="CW190" s="105" t="n"/>
      <c r="CX190" s="105" t="n"/>
      <c r="CY190" s="105" t="n"/>
      <c r="CZ190" s="124">
        <f>+COUNTA(BV190:CY190)</f>
        <v/>
      </c>
      <c r="DA190" s="206" t="n"/>
      <c r="DB190" s="251" t="n"/>
      <c r="DC190" s="251" t="n"/>
      <c r="DD190" s="251" t="n"/>
      <c r="DE190" s="251" t="n"/>
      <c r="DF190" s="251" t="n"/>
      <c r="DG190" s="251" t="n"/>
      <c r="DH190" s="251" t="n"/>
      <c r="DI190" s="251" t="n"/>
      <c r="DJ190" s="251" t="inlineStr">
        <is>
          <t>T</t>
        </is>
      </c>
      <c r="DK190" s="251" t="n">
        <v>15</v>
      </c>
      <c r="DL190" s="95" t="n">
        <v>28</v>
      </c>
      <c r="DM190" s="251" t="n"/>
      <c r="DN190" s="95" t="n"/>
      <c r="DO190" s="95" t="n"/>
    </row>
    <row r="191" ht="13" customHeight="1">
      <c r="A191" s="203" t="inlineStr">
        <is>
          <t>CMW-33</t>
        </is>
      </c>
      <c r="B191" s="305"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1" t="inlineStr">
        <is>
          <t>532MACMW</t>
        </is>
      </c>
      <c r="BL191" s="61" t="inlineStr">
        <is>
          <t>GMAP-SIGA</t>
        </is>
      </c>
      <c r="BM191" s="251" t="inlineStr">
        <is>
          <t>NF</t>
        </is>
      </c>
      <c r="BN191" s="337" t="inlineStr">
        <is>
          <t>Coposa Centro</t>
        </is>
      </c>
      <c r="BO191" s="251"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05" t="n"/>
      <c r="CX191" s="105" t="n"/>
      <c r="CY191" s="105" t="n"/>
      <c r="CZ191" s="124">
        <f>+COUNTA(BV191:CY191)</f>
        <v/>
      </c>
      <c r="DA191" s="251" t="n"/>
      <c r="DB191" s="251" t="n"/>
      <c r="DC191" s="251" t="n"/>
      <c r="DD191" s="251" t="n"/>
      <c r="DE191" s="251" t="n"/>
      <c r="DF191" s="251" t="n"/>
      <c r="DG191" s="251" t="n"/>
      <c r="DH191" s="251" t="n"/>
      <c r="DI191" s="251" t="n"/>
      <c r="DJ191" s="251" t="inlineStr">
        <is>
          <t>TD</t>
        </is>
      </c>
      <c r="DK191" s="251" t="n">
        <v>22</v>
      </c>
      <c r="DL191" s="95" t="n">
        <v>28</v>
      </c>
      <c r="DM191" s="251" t="n"/>
      <c r="DN191" s="95" t="n"/>
      <c r="DO191" s="95" t="n"/>
    </row>
    <row r="192" ht="13" customHeight="1">
      <c r="A192" s="203" t="inlineStr">
        <is>
          <t>CMW-36</t>
        </is>
      </c>
      <c r="B192" s="305"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1" t="inlineStr">
        <is>
          <t>532MACMW</t>
        </is>
      </c>
      <c r="BL192" s="61" t="inlineStr">
        <is>
          <t>GMAP-SIGA</t>
        </is>
      </c>
      <c r="BM192" s="251" t="inlineStr">
        <is>
          <t>NF</t>
        </is>
      </c>
      <c r="BN192" s="337" t="inlineStr">
        <is>
          <t>Coposa Centro</t>
        </is>
      </c>
      <c r="BO192" s="251"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42" t="n">
        <v>1</v>
      </c>
      <c r="CU192" s="105" t="n"/>
      <c r="CV192" s="105" t="n"/>
      <c r="CW192" s="105" t="n"/>
      <c r="CX192" s="105" t="n"/>
      <c r="CY192" s="105" t="n"/>
      <c r="CZ192" s="124">
        <f>+COUNTA(BV192:CY192)</f>
        <v/>
      </c>
      <c r="DA192" s="251" t="n"/>
      <c r="DB192" s="251" t="n"/>
      <c r="DC192" s="251" t="n"/>
      <c r="DD192" s="251" t="n"/>
      <c r="DE192" s="251" t="n"/>
      <c r="DF192" s="251" t="n"/>
      <c r="DG192" s="251" t="n"/>
      <c r="DH192" s="251" t="n"/>
      <c r="DI192" s="251" t="n"/>
      <c r="DJ192" s="251" t="inlineStr">
        <is>
          <t>M</t>
        </is>
      </c>
      <c r="DK192" s="251" t="n">
        <v>22</v>
      </c>
      <c r="DL192" s="95" t="n">
        <v>28</v>
      </c>
      <c r="DM192" s="251" t="n"/>
      <c r="DN192" s="95" t="n"/>
      <c r="DO192" s="95" t="n"/>
    </row>
    <row r="193" ht="13" customHeight="1">
      <c r="A193" s="205" t="inlineStr">
        <is>
          <t>CO-1</t>
        </is>
      </c>
      <c r="B193" s="305"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1" t="inlineStr">
        <is>
          <t>NF</t>
        </is>
      </c>
      <c r="BN193" s="337" t="inlineStr">
        <is>
          <t>Jachucoposa</t>
        </is>
      </c>
      <c r="BO193" s="251" t="inlineStr">
        <is>
          <t>SI</t>
        </is>
      </c>
      <c r="BP193" s="251"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105" t="n"/>
      <c r="CL193" s="105" t="n"/>
      <c r="CM193" s="105" t="n"/>
      <c r="CN193" s="105" t="n"/>
      <c r="CO193" s="105" t="n"/>
      <c r="CP193" s="105" t="n"/>
      <c r="CQ193" s="105" t="n"/>
      <c r="CR193" s="105" t="n"/>
      <c r="CS193" s="242" t="n">
        <v>1</v>
      </c>
      <c r="CT193" s="105" t="n"/>
      <c r="CU193" s="105" t="n"/>
      <c r="CV193" s="105" t="n"/>
      <c r="CW193" s="105" t="n"/>
      <c r="CX193" s="105" t="n"/>
      <c r="CY193" s="105" t="n"/>
      <c r="CZ193" s="124">
        <f>+COUNTA(BV193:CY193)</f>
        <v/>
      </c>
      <c r="DA193" s="205" t="n"/>
      <c r="DB193" s="251" t="n"/>
      <c r="DC193" s="251" t="n"/>
      <c r="DD193" s="251" t="n"/>
      <c r="DE193" s="251" t="n"/>
      <c r="DF193" s="251" t="n"/>
      <c r="DG193" s="251" t="n"/>
      <c r="DH193" s="251" t="n"/>
      <c r="DI193" s="251" t="n"/>
      <c r="DJ193" s="251" t="inlineStr">
        <is>
          <t>M</t>
        </is>
      </c>
      <c r="DK193" s="251" t="n">
        <v>15</v>
      </c>
      <c r="DL193" s="95" t="n">
        <v>28</v>
      </c>
      <c r="DM193" s="251" t="n"/>
      <c r="DN193" s="95" t="n"/>
      <c r="DO193" s="95" t="n"/>
    </row>
    <row r="194" ht="13" customHeight="1">
      <c r="A194" s="203" t="inlineStr">
        <is>
          <t>CO-1</t>
        </is>
      </c>
      <c r="B194" s="305"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1" t="inlineStr">
        <is>
          <t>ASUB</t>
        </is>
      </c>
      <c r="BN194" s="337" t="inlineStr">
        <is>
          <t>Jachucoposa</t>
        </is>
      </c>
      <c r="BO194" s="251" t="inlineStr">
        <is>
          <t>SI</t>
        </is>
      </c>
      <c r="BP194" s="251"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5" t="n"/>
      <c r="CL194" s="105" t="n"/>
      <c r="CM194" s="105" t="n"/>
      <c r="CN194" s="105" t="n"/>
      <c r="CO194" s="105" t="n"/>
      <c r="CP194" s="105" t="n"/>
      <c r="CQ194" s="105" t="n"/>
      <c r="CR194" s="105" t="n"/>
      <c r="CS194" s="105" t="n"/>
      <c r="CT194" s="105" t="n"/>
      <c r="CU194" s="105" t="n"/>
      <c r="CV194" s="105" t="n"/>
      <c r="CW194" s="105" t="n"/>
      <c r="CX194" s="105" t="n"/>
      <c r="CY194" s="105" t="n"/>
      <c r="CZ194" s="124">
        <f>+COUNTA(BV194:CY194)</f>
        <v/>
      </c>
      <c r="DA194" s="251" t="n"/>
      <c r="DB194" s="251" t="n"/>
      <c r="DC194" s="251" t="n"/>
      <c r="DD194" s="251" t="n"/>
      <c r="DE194" s="251" t="n"/>
      <c r="DF194" s="251" t="n"/>
      <c r="DG194" s="251" t="n"/>
      <c r="DH194" s="251" t="n"/>
      <c r="DI194" s="251" t="n"/>
      <c r="DJ194" s="251" t="n"/>
      <c r="DK194" s="251" t="n"/>
      <c r="DL194" s="95" t="n"/>
      <c r="DM194" s="251" t="inlineStr">
        <is>
          <t>TD</t>
        </is>
      </c>
      <c r="DN194" s="95" t="n">
        <v>15</v>
      </c>
      <c r="DO194" s="95" t="n">
        <v>28</v>
      </c>
    </row>
    <row r="195" ht="13" customHeight="1">
      <c r="A195" s="205" t="inlineStr">
        <is>
          <t>CO-2</t>
        </is>
      </c>
      <c r="B195" s="305"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1" t="inlineStr">
        <is>
          <t>NF</t>
        </is>
      </c>
      <c r="BN195" s="337" t="inlineStr">
        <is>
          <t>Jachucoposa</t>
        </is>
      </c>
      <c r="BO195" s="251" t="inlineStr">
        <is>
          <t>SI</t>
        </is>
      </c>
      <c r="BP195" s="251"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105" t="n"/>
      <c r="CL195" s="105" t="n"/>
      <c r="CM195" s="105" t="n"/>
      <c r="CN195" s="105" t="n"/>
      <c r="CO195" s="105" t="n"/>
      <c r="CP195" s="105" t="n"/>
      <c r="CQ195" s="105" t="n"/>
      <c r="CR195" s="105" t="n"/>
      <c r="CS195" s="242" t="n">
        <v>1</v>
      </c>
      <c r="CT195" s="105" t="n"/>
      <c r="CU195" s="105" t="n"/>
      <c r="CV195" s="105" t="n"/>
      <c r="CW195" s="105" t="n"/>
      <c r="CX195" s="105" t="n"/>
      <c r="CY195" s="105" t="n"/>
      <c r="CZ195" s="124">
        <f>+COUNTA(BV195:CY195)</f>
        <v/>
      </c>
      <c r="DA195" s="205" t="n"/>
      <c r="DB195" s="251" t="n"/>
      <c r="DC195" s="251" t="n"/>
      <c r="DD195" s="251" t="n"/>
      <c r="DE195" s="251" t="n"/>
      <c r="DF195" s="251" t="n"/>
      <c r="DG195" s="251" t="n"/>
      <c r="DH195" s="251" t="n"/>
      <c r="DI195" s="251" t="n"/>
      <c r="DJ195" s="251" t="n"/>
      <c r="DK195" s="251" t="n"/>
      <c r="DL195" s="95" t="n"/>
      <c r="DM195" s="251" t="n"/>
      <c r="DN195" s="95" t="n"/>
      <c r="DO195" s="95" t="n"/>
    </row>
    <row r="196" ht="13" customHeight="1">
      <c r="A196" s="203" t="inlineStr">
        <is>
          <t>CO-2</t>
        </is>
      </c>
      <c r="B196" s="305"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1" t="inlineStr">
        <is>
          <t>ASUB</t>
        </is>
      </c>
      <c r="BN196" s="337" t="inlineStr">
        <is>
          <t>Jachucoposa</t>
        </is>
      </c>
      <c r="BO196" s="251" t="inlineStr">
        <is>
          <t>SI</t>
        </is>
      </c>
      <c r="BP196" s="251"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5" t="n"/>
      <c r="CL196" s="105" t="n"/>
      <c r="CM196" s="105" t="n"/>
      <c r="CN196" s="105" t="n"/>
      <c r="CO196" s="105" t="n"/>
      <c r="CP196" s="105" t="n"/>
      <c r="CQ196" s="105" t="n"/>
      <c r="CR196" s="105" t="n"/>
      <c r="CS196" s="105" t="n"/>
      <c r="CT196" s="105" t="n"/>
      <c r="CU196" s="105" t="n"/>
      <c r="CV196" s="105" t="n"/>
      <c r="CW196" s="105" t="n"/>
      <c r="CX196" s="105" t="n"/>
      <c r="CY196" s="105" t="n"/>
      <c r="CZ196" s="124">
        <f>+COUNTA(BV196:CY196)</f>
        <v/>
      </c>
      <c r="DA196" s="251" t="n"/>
      <c r="DB196" s="251" t="n"/>
      <c r="DC196" s="251" t="n"/>
      <c r="DD196" s="251" t="n"/>
      <c r="DE196" s="251" t="n"/>
      <c r="DF196" s="251" t="n"/>
      <c r="DG196" s="251" t="n"/>
      <c r="DH196" s="251" t="n"/>
      <c r="DI196" s="251" t="n"/>
      <c r="DJ196" s="251" t="n"/>
      <c r="DK196" s="251" t="n"/>
      <c r="DL196" s="95" t="n"/>
      <c r="DM196" s="251" t="n"/>
      <c r="DN196" s="95" t="n"/>
      <c r="DO196" s="95" t="n"/>
    </row>
    <row r="197" ht="13" customHeight="1">
      <c r="A197" s="203" t="inlineStr">
        <is>
          <t>CP-01-I</t>
        </is>
      </c>
      <c r="B197" s="305"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1" t="inlineStr">
        <is>
          <t>532MACP</t>
        </is>
      </c>
      <c r="BL197" s="61" t="inlineStr">
        <is>
          <t>GMAP-SIGA</t>
        </is>
      </c>
      <c r="BM197" s="251" t="inlineStr">
        <is>
          <t>NF</t>
        </is>
      </c>
      <c r="BN197" s="106" t="inlineStr">
        <is>
          <t>Falla Pabellón</t>
        </is>
      </c>
      <c r="BO197" s="251"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42" t="n">
        <v>1</v>
      </c>
      <c r="CL197" s="105" t="n"/>
      <c r="CM197" s="105" t="n"/>
      <c r="CN197" s="105" t="n"/>
      <c r="CO197" s="105" t="n"/>
      <c r="CP197" s="105" t="n"/>
      <c r="CQ197" s="105" t="n"/>
      <c r="CR197" s="105" t="n"/>
      <c r="CS197" s="105" t="n"/>
      <c r="CT197" s="105" t="n"/>
      <c r="CU197" s="105" t="n"/>
      <c r="CV197" s="105" t="n"/>
      <c r="CW197" s="105" t="n"/>
      <c r="CX197" s="105" t="n"/>
      <c r="CY197" s="105" t="n"/>
      <c r="CZ197" s="124">
        <f>+COUNTA(BV197:CY197)</f>
        <v/>
      </c>
      <c r="DA197" s="251" t="n"/>
      <c r="DB197" s="251" t="n"/>
      <c r="DC197" s="251" t="n"/>
      <c r="DD197" s="251" t="n"/>
      <c r="DE197" s="251" t="n"/>
      <c r="DF197" s="251" t="n"/>
      <c r="DG197" s="251" t="n"/>
      <c r="DH197" s="251" t="n"/>
      <c r="DI197" s="251" t="n"/>
      <c r="DJ197" s="251" t="inlineStr">
        <is>
          <t>M</t>
        </is>
      </c>
      <c r="DK197" s="251" t="n">
        <v>15</v>
      </c>
      <c r="DL197" s="95" t="n">
        <v>21</v>
      </c>
      <c r="DM197" s="251" t="n"/>
      <c r="DN197" s="95" t="n"/>
      <c r="DO197" s="95" t="n"/>
    </row>
    <row r="198" ht="13" customHeight="1">
      <c r="A198" s="203" t="inlineStr">
        <is>
          <t>CP-02-C</t>
        </is>
      </c>
      <c r="B198" s="305"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1" t="inlineStr">
        <is>
          <t>532MACP</t>
        </is>
      </c>
      <c r="BL198" s="61" t="inlineStr">
        <is>
          <t>GMAP-SIGA</t>
        </is>
      </c>
      <c r="BM198" s="251" t="inlineStr">
        <is>
          <t>NF</t>
        </is>
      </c>
      <c r="BN198" s="106" t="inlineStr">
        <is>
          <t>Falla Pabellón</t>
        </is>
      </c>
      <c r="BO198" s="251"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42" t="n">
        <v>1</v>
      </c>
      <c r="CL198" s="105" t="n"/>
      <c r="CM198" s="105" t="n"/>
      <c r="CN198" s="105" t="n"/>
      <c r="CO198" s="105" t="n"/>
      <c r="CP198" s="105" t="n"/>
      <c r="CQ198" s="105" t="n"/>
      <c r="CR198" s="105" t="n"/>
      <c r="CS198" s="105" t="n"/>
      <c r="CT198" s="105" t="n"/>
      <c r="CU198" s="105" t="n"/>
      <c r="CV198" s="105" t="n"/>
      <c r="CW198" s="105" t="n"/>
      <c r="CX198" s="105" t="n"/>
      <c r="CY198" s="105" t="n"/>
      <c r="CZ198" s="124">
        <f>+COUNTA(BV198:CY198)</f>
        <v/>
      </c>
      <c r="DA198" s="251" t="n"/>
      <c r="DB198" s="251" t="n"/>
      <c r="DC198" s="251" t="n"/>
      <c r="DD198" s="251" t="n"/>
      <c r="DE198" s="251" t="n"/>
      <c r="DF198" s="251" t="n"/>
      <c r="DG198" s="251" t="n"/>
      <c r="DH198" s="251" t="n"/>
      <c r="DI198" s="251" t="n"/>
      <c r="DJ198" s="251" t="inlineStr">
        <is>
          <t>M</t>
        </is>
      </c>
      <c r="DK198" s="251" t="n">
        <v>15</v>
      </c>
      <c r="DL198" s="95" t="n">
        <v>21</v>
      </c>
      <c r="DM198" s="251" t="n"/>
      <c r="DN198" s="95" t="n"/>
      <c r="DO198" s="95" t="n"/>
    </row>
    <row r="199" ht="13" customHeight="1">
      <c r="A199" s="203" t="inlineStr">
        <is>
          <t>CP-03-M</t>
        </is>
      </c>
      <c r="B199" s="305" t="inlineStr">
        <is>
          <t>CP-03-M FALLA PABELLON</t>
        </is>
      </c>
      <c r="C199" s="7" t="n"/>
      <c r="D199" s="125" t="inlineStr">
        <is>
          <t>MONITOREO INTERNO</t>
        </is>
      </c>
      <c r="E199" s="125" t="inlineStr">
        <is>
          <t>NO</t>
        </is>
      </c>
      <c r="F199" s="125" t="inlineStr">
        <is>
          <t>NO</t>
        </is>
      </c>
      <c r="G199" s="125" t="inlineStr">
        <is>
          <t>NO</t>
        </is>
      </c>
      <c r="H199" s="125" t="n">
        <v>533509.9507329999</v>
      </c>
      <c r="I199" s="125" t="n">
        <v>7706600.87265</v>
      </c>
      <c r="J199" s="125" t="inlineStr">
        <is>
          <t>Construido</t>
        </is>
      </c>
      <c r="K199" s="125" t="inlineStr">
        <is>
          <t>-</t>
        </is>
      </c>
      <c r="L199" s="125" t="inlineStr">
        <is>
          <t>Agua Subterránea</t>
        </is>
      </c>
      <c r="M199" s="125" t="inlineStr">
        <is>
          <t>Cordillera</t>
        </is>
      </c>
      <c r="N199" s="125" t="inlineStr">
        <is>
          <t xml:space="preserve"> Ex Pozo Producción</t>
        </is>
      </c>
      <c r="O199" s="125" t="inlineStr">
        <is>
          <t>Falla Pabellón</t>
        </is>
      </c>
      <c r="P199" s="125" t="inlineStr">
        <is>
          <t>NO</t>
        </is>
      </c>
      <c r="Q199" s="125" t="inlineStr">
        <is>
          <t>-</t>
        </is>
      </c>
      <c r="R199" s="125" t="inlineStr">
        <is>
          <t>-</t>
        </is>
      </c>
      <c r="S199" s="125" t="inlineStr">
        <is>
          <t>-</t>
        </is>
      </c>
      <c r="T199" s="125" t="inlineStr">
        <is>
          <t>SI</t>
        </is>
      </c>
      <c r="U199" s="125" t="inlineStr">
        <is>
          <t>Mensual</t>
        </is>
      </c>
      <c r="V199" s="125" t="inlineStr">
        <is>
          <t>SI</t>
        </is>
      </c>
      <c r="W199" s="125" t="inlineStr">
        <is>
          <t>Mensual</t>
        </is>
      </c>
      <c r="X199" s="125" t="inlineStr">
        <is>
          <t>NO</t>
        </is>
      </c>
      <c r="Y199" s="125" t="inlineStr">
        <is>
          <t>-</t>
        </is>
      </c>
      <c r="Z199" s="125" t="inlineStr">
        <is>
          <t>NO</t>
        </is>
      </c>
      <c r="AA199" s="125" t="inlineStr">
        <is>
          <t>-</t>
        </is>
      </c>
      <c r="AB199" s="125" t="inlineStr">
        <is>
          <t>NO</t>
        </is>
      </c>
      <c r="AC199" s="125" t="inlineStr">
        <is>
          <t>-</t>
        </is>
      </c>
      <c r="AD199" s="125" t="inlineStr">
        <is>
          <t>NO</t>
        </is>
      </c>
      <c r="AE199" s="125" t="inlineStr">
        <is>
          <t>-</t>
        </is>
      </c>
      <c r="AF199" s="125" t="inlineStr">
        <is>
          <t>-</t>
        </is>
      </c>
      <c r="AG199" s="125" t="inlineStr">
        <is>
          <t>NO</t>
        </is>
      </c>
      <c r="AH199" s="125" t="inlineStr">
        <is>
          <t>-</t>
        </is>
      </c>
      <c r="AI199" s="125" t="inlineStr">
        <is>
          <t>NO</t>
        </is>
      </c>
      <c r="AJ199" s="125" t="inlineStr">
        <is>
          <t>-</t>
        </is>
      </c>
      <c r="AK199" s="126" t="inlineStr">
        <is>
          <t>NO</t>
        </is>
      </c>
      <c r="AL199" s="125" t="inlineStr">
        <is>
          <t>-</t>
        </is>
      </c>
      <c r="AM199" s="125" t="inlineStr">
        <is>
          <t>-</t>
        </is>
      </c>
      <c r="AN199" s="126" t="inlineStr">
        <is>
          <t>NO</t>
        </is>
      </c>
      <c r="AO199" s="125" t="inlineStr">
        <is>
          <t>-</t>
        </is>
      </c>
      <c r="AP199" s="126" t="inlineStr">
        <is>
          <t>NO</t>
        </is>
      </c>
      <c r="AQ199" s="125" t="inlineStr">
        <is>
          <t>-</t>
        </is>
      </c>
      <c r="AR199" s="126" t="inlineStr">
        <is>
          <t>NO</t>
        </is>
      </c>
      <c r="AS199" s="125" t="inlineStr">
        <is>
          <t>-</t>
        </is>
      </c>
      <c r="AT199" s="125" t="inlineStr">
        <is>
          <t>NO</t>
        </is>
      </c>
      <c r="AU199" s="125" t="inlineStr">
        <is>
          <t>-</t>
        </is>
      </c>
      <c r="AV199" s="126" t="inlineStr">
        <is>
          <t>NO</t>
        </is>
      </c>
      <c r="AW199" s="125" t="inlineStr">
        <is>
          <t>-</t>
        </is>
      </c>
      <c r="AX199" s="125" t="inlineStr">
        <is>
          <t>NO</t>
        </is>
      </c>
      <c r="AY199" s="125" t="inlineStr">
        <is>
          <t>-</t>
        </is>
      </c>
      <c r="AZ199" s="125" t="inlineStr">
        <is>
          <t>NO</t>
        </is>
      </c>
      <c r="BA199" s="125" t="inlineStr">
        <is>
          <t>-</t>
        </is>
      </c>
      <c r="BB199" s="125" t="inlineStr">
        <is>
          <t>NO</t>
        </is>
      </c>
      <c r="BC199" s="125" t="inlineStr">
        <is>
          <t>-</t>
        </is>
      </c>
      <c r="BD199" s="125" t="inlineStr">
        <is>
          <t>NO</t>
        </is>
      </c>
      <c r="BE199" s="125" t="inlineStr">
        <is>
          <t>-</t>
        </is>
      </c>
      <c r="BF199" s="125" t="inlineStr">
        <is>
          <t>No aplica</t>
        </is>
      </c>
      <c r="BG199" s="125" t="inlineStr">
        <is>
          <t>Monitoreo interno</t>
        </is>
      </c>
      <c r="BH199" s="125" t="inlineStr">
        <is>
          <t>No aplica</t>
        </is>
      </c>
      <c r="BI199" s="125" t="n"/>
      <c r="BJ199" s="125" t="n"/>
      <c r="BK199" s="252" t="inlineStr">
        <is>
          <t>532MACP</t>
        </is>
      </c>
      <c r="BL199" s="61" t="inlineStr">
        <is>
          <t>GTAM</t>
        </is>
      </c>
      <c r="BM199" s="251" t="inlineStr">
        <is>
          <t>NF</t>
        </is>
      </c>
      <c r="BN199" s="106" t="inlineStr">
        <is>
          <t>Falla Pabellón</t>
        </is>
      </c>
      <c r="BO199" s="251"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42" t="n">
        <v>1</v>
      </c>
      <c r="CL199" s="105" t="n"/>
      <c r="CM199" s="105" t="n"/>
      <c r="CN199" s="105" t="n"/>
      <c r="CO199" s="105" t="n"/>
      <c r="CP199" s="105" t="n"/>
      <c r="CQ199" s="105" t="n"/>
      <c r="CR199" s="105" t="n"/>
      <c r="CS199" s="105" t="n"/>
      <c r="CT199" s="105" t="n"/>
      <c r="CU199" s="105" t="n"/>
      <c r="CV199" s="105" t="n"/>
      <c r="CW199" s="105" t="n"/>
      <c r="CX199" s="105" t="n"/>
      <c r="CY199" s="105" t="n"/>
      <c r="CZ199" s="124">
        <f>+COUNTA(BV199:CY199)</f>
        <v/>
      </c>
      <c r="DA199" s="251" t="n"/>
      <c r="DB199" s="251" t="n"/>
      <c r="DC199" s="251" t="n"/>
      <c r="DD199" s="251" t="n"/>
      <c r="DE199" s="251" t="n"/>
      <c r="DF199" s="251" t="n"/>
      <c r="DG199" s="251" t="n"/>
      <c r="DH199" s="251" t="n"/>
      <c r="DI199" s="251" t="n"/>
      <c r="DJ199" s="251" t="inlineStr">
        <is>
          <t>M</t>
        </is>
      </c>
      <c r="DK199" s="251" t="n">
        <v>15</v>
      </c>
      <c r="DL199" s="95" t="n">
        <v>21</v>
      </c>
      <c r="DM199" s="251" t="n"/>
      <c r="DN199" s="95" t="n"/>
      <c r="DO199" s="95" t="n"/>
    </row>
    <row r="200" ht="13" customHeight="1">
      <c r="A200" s="203" t="inlineStr">
        <is>
          <t>CP-04-L</t>
        </is>
      </c>
      <c r="B200" s="305"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1" t="inlineStr">
        <is>
          <t>532MACP</t>
        </is>
      </c>
      <c r="BL200" s="61" t="inlineStr">
        <is>
          <t>GMAP-SIGA</t>
        </is>
      </c>
      <c r="BM200" s="251" t="inlineStr">
        <is>
          <t>NF</t>
        </is>
      </c>
      <c r="BN200" s="106" t="inlineStr">
        <is>
          <t>Falla Pabellón</t>
        </is>
      </c>
      <c r="BO200" s="251"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42" t="n">
        <v>1</v>
      </c>
      <c r="CL200" s="105" t="n"/>
      <c r="CM200" s="105" t="n"/>
      <c r="CN200" s="105" t="n"/>
      <c r="CO200" s="105" t="n"/>
      <c r="CP200" s="105" t="n"/>
      <c r="CQ200" s="105" t="n"/>
      <c r="CR200" s="105" t="n"/>
      <c r="CS200" s="105" t="n"/>
      <c r="CT200" s="105" t="n"/>
      <c r="CU200" s="105" t="n"/>
      <c r="CV200" s="105" t="n"/>
      <c r="CW200" s="105" t="n"/>
      <c r="CX200" s="105" t="n"/>
      <c r="CY200" s="105" t="n"/>
      <c r="CZ200" s="124">
        <f>+COUNTA(BV200:CY200)</f>
        <v/>
      </c>
      <c r="DA200" s="251" t="n"/>
      <c r="DB200" s="251" t="n"/>
      <c r="DC200" s="251" t="n"/>
      <c r="DD200" s="251" t="n"/>
      <c r="DE200" s="251" t="n"/>
      <c r="DF200" s="251" t="n"/>
      <c r="DG200" s="251" t="n"/>
      <c r="DH200" s="251" t="n"/>
      <c r="DI200" s="251" t="n"/>
      <c r="DJ200" s="251" t="inlineStr">
        <is>
          <t>M</t>
        </is>
      </c>
      <c r="DK200" s="251" t="n">
        <v>15</v>
      </c>
      <c r="DL200" s="95" t="n">
        <v>21</v>
      </c>
      <c r="DM200" s="251" t="n"/>
      <c r="DN200" s="95" t="n"/>
      <c r="DO200" s="95" t="n"/>
    </row>
    <row r="201" ht="13" customHeight="1">
      <c r="A201" s="203" t="inlineStr">
        <is>
          <t>CP-04-L</t>
        </is>
      </c>
      <c r="B201" s="305"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1" t="n"/>
      <c r="BL201" s="61" t="n"/>
      <c r="BM201" s="251" t="inlineStr">
        <is>
          <t>ASUB</t>
        </is>
      </c>
      <c r="BN201" s="106" t="inlineStr">
        <is>
          <t>Falla Pabellón</t>
        </is>
      </c>
      <c r="BO201" s="251"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42" t="n">
        <v>1</v>
      </c>
      <c r="CL201" s="105" t="n"/>
      <c r="CM201" s="105" t="n"/>
      <c r="CN201" s="105" t="n"/>
      <c r="CO201" s="105" t="n"/>
      <c r="CP201" s="105" t="n"/>
      <c r="CQ201" s="105" t="n"/>
      <c r="CR201" s="105" t="n"/>
      <c r="CS201" s="105" t="n"/>
      <c r="CT201" s="105" t="n"/>
      <c r="CU201" s="105" t="n"/>
      <c r="CV201" s="105" t="n"/>
      <c r="CW201" s="105" t="n"/>
      <c r="CX201" s="105" t="n"/>
      <c r="CY201" s="105" t="n"/>
      <c r="CZ201" s="124">
        <f>+COUNTA(BV201:CY201)</f>
        <v/>
      </c>
      <c r="DA201" s="251" t="n"/>
      <c r="DB201" s="251" t="n"/>
      <c r="DC201" s="251" t="n"/>
      <c r="DD201" s="251" t="n"/>
      <c r="DE201" s="251" t="n"/>
      <c r="DF201" s="251" t="n"/>
      <c r="DG201" s="251" t="n"/>
      <c r="DH201" s="251" t="n"/>
      <c r="DI201" s="251" t="n"/>
      <c r="DJ201" s="251" t="n"/>
      <c r="DK201" s="251" t="n"/>
      <c r="DL201" s="95" t="n"/>
      <c r="DM201" s="251" t="n"/>
      <c r="DN201" s="95" t="n"/>
      <c r="DO201" s="95" t="n"/>
    </row>
    <row r="202" ht="13" customHeight="1">
      <c r="A202" s="203" t="inlineStr">
        <is>
          <t>CP-05-H</t>
        </is>
      </c>
      <c r="B202" s="305"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1" t="inlineStr">
        <is>
          <t>532MACP</t>
        </is>
      </c>
      <c r="BL202" s="61" t="inlineStr">
        <is>
          <t>GMAP-SIGA</t>
        </is>
      </c>
      <c r="BM202" s="251" t="inlineStr">
        <is>
          <t>NF</t>
        </is>
      </c>
      <c r="BN202" s="106" t="inlineStr">
        <is>
          <t>Falla Pabellón</t>
        </is>
      </c>
      <c r="BO202" s="251"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42" t="n">
        <v>1</v>
      </c>
      <c r="CL202" s="105" t="n"/>
      <c r="CM202" s="105" t="n"/>
      <c r="CN202" s="105" t="n"/>
      <c r="CO202" s="105" t="n"/>
      <c r="CP202" s="105" t="n"/>
      <c r="CQ202" s="105" t="n"/>
      <c r="CR202" s="105" t="n"/>
      <c r="CS202" s="105" t="n"/>
      <c r="CT202" s="105" t="n"/>
      <c r="CU202" s="105" t="n"/>
      <c r="CV202" s="105" t="n"/>
      <c r="CW202" s="105" t="n"/>
      <c r="CX202" s="105" t="n"/>
      <c r="CY202" s="105" t="n"/>
      <c r="CZ202" s="124">
        <f>+COUNTA(BV202:CY202)</f>
        <v/>
      </c>
      <c r="DA202" s="251" t="n"/>
      <c r="DB202" s="251" t="n"/>
      <c r="DC202" s="251" t="n"/>
      <c r="DD202" s="251" t="n"/>
      <c r="DE202" s="251" t="n"/>
      <c r="DF202" s="251" t="n"/>
      <c r="DG202" s="251" t="n"/>
      <c r="DH202" s="251" t="n"/>
      <c r="DI202" s="251" t="n"/>
      <c r="DJ202" s="251" t="inlineStr">
        <is>
          <t>M</t>
        </is>
      </c>
      <c r="DK202" s="251" t="n">
        <v>15</v>
      </c>
      <c r="DL202" s="95" t="n">
        <v>21</v>
      </c>
      <c r="DM202" s="251" t="n"/>
      <c r="DN202" s="95" t="n"/>
      <c r="DO202" s="95" t="n"/>
    </row>
    <row r="203" ht="13" customHeight="1">
      <c r="A203" s="203" t="inlineStr">
        <is>
          <t>CP-06-J</t>
        </is>
      </c>
      <c r="B203" s="305"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1" t="inlineStr">
        <is>
          <t>532MACP</t>
        </is>
      </c>
      <c r="BL203" s="61" t="inlineStr">
        <is>
          <t>GMAP-SIGA</t>
        </is>
      </c>
      <c r="BM203" s="251" t="inlineStr">
        <is>
          <t>NF</t>
        </is>
      </c>
      <c r="BN203" s="106" t="inlineStr">
        <is>
          <t>Falla Pabellón</t>
        </is>
      </c>
      <c r="BO203" s="251"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42" t="n">
        <v>1</v>
      </c>
      <c r="CL203" s="105" t="n"/>
      <c r="CM203" s="105" t="n"/>
      <c r="CN203" s="105" t="n"/>
      <c r="CO203" s="105" t="n"/>
      <c r="CP203" s="105" t="n"/>
      <c r="CQ203" s="105" t="n"/>
      <c r="CR203" s="105" t="n"/>
      <c r="CS203" s="105" t="n"/>
      <c r="CT203" s="105" t="n"/>
      <c r="CU203" s="105" t="n"/>
      <c r="CV203" s="105" t="n"/>
      <c r="CW203" s="105" t="n"/>
      <c r="CX203" s="105" t="n"/>
      <c r="CY203" s="105" t="n"/>
      <c r="CZ203" s="124">
        <f>+COUNTA(BV203:CY203)</f>
        <v/>
      </c>
      <c r="DA203" s="251" t="n"/>
      <c r="DB203" s="251" t="n"/>
      <c r="DC203" s="251" t="n"/>
      <c r="DD203" s="251" t="n"/>
      <c r="DE203" s="251" t="n"/>
      <c r="DF203" s="251" t="n"/>
      <c r="DG203" s="251" t="n"/>
      <c r="DH203" s="251" t="n"/>
      <c r="DI203" s="251" t="n"/>
      <c r="DJ203" s="251" t="inlineStr">
        <is>
          <t>M</t>
        </is>
      </c>
      <c r="DK203" s="251" t="n">
        <v>15</v>
      </c>
      <c r="DL203" s="95" t="n">
        <v>21</v>
      </c>
      <c r="DM203" s="251" t="n"/>
      <c r="DN203" s="95" t="n"/>
      <c r="DO203" s="95" t="n"/>
    </row>
    <row r="204" ht="13" customHeight="1">
      <c r="A204" s="203" t="inlineStr">
        <is>
          <t>CP-07-F</t>
        </is>
      </c>
      <c r="B204" s="305"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1" t="inlineStr">
        <is>
          <t>532MACP</t>
        </is>
      </c>
      <c r="BL204" s="61" t="inlineStr">
        <is>
          <t>GMAP-SIGA</t>
        </is>
      </c>
      <c r="BM204" s="251" t="inlineStr">
        <is>
          <t>NF</t>
        </is>
      </c>
      <c r="BN204" s="106" t="inlineStr">
        <is>
          <t>Falla Pabellón</t>
        </is>
      </c>
      <c r="BO204" s="251"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42" t="n">
        <v>1</v>
      </c>
      <c r="CL204" s="105" t="n"/>
      <c r="CM204" s="105" t="n"/>
      <c r="CN204" s="105" t="n"/>
      <c r="CO204" s="105" t="n"/>
      <c r="CP204" s="105" t="n"/>
      <c r="CQ204" s="105" t="n"/>
      <c r="CR204" s="105" t="n"/>
      <c r="CS204" s="105" t="n"/>
      <c r="CT204" s="105" t="n"/>
      <c r="CU204" s="105" t="n"/>
      <c r="CV204" s="105" t="n"/>
      <c r="CW204" s="105" t="n"/>
      <c r="CX204" s="105" t="n"/>
      <c r="CY204" s="105" t="n"/>
      <c r="CZ204" s="124">
        <f>+COUNTA(BV204:CY204)</f>
        <v/>
      </c>
      <c r="DA204" s="251" t="n"/>
      <c r="DB204" s="251" t="n"/>
      <c r="DC204" s="251" t="n"/>
      <c r="DD204" s="251" t="n"/>
      <c r="DE204" s="251" t="n"/>
      <c r="DF204" s="251" t="n"/>
      <c r="DG204" s="251" t="n"/>
      <c r="DH204" s="251" t="n"/>
      <c r="DI204" s="251" t="n"/>
      <c r="DJ204" s="251" t="inlineStr">
        <is>
          <t>M</t>
        </is>
      </c>
      <c r="DK204" s="251" t="n">
        <v>15</v>
      </c>
      <c r="DL204" s="95" t="n">
        <v>21</v>
      </c>
      <c r="DM204" s="251" t="n"/>
      <c r="DN204" s="95" t="n"/>
      <c r="DO204" s="95" t="n"/>
    </row>
    <row r="205" ht="13" customHeight="1">
      <c r="A205" s="203" t="inlineStr">
        <is>
          <t>CP-08-D</t>
        </is>
      </c>
      <c r="B205" s="305"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1" t="inlineStr">
        <is>
          <t>532MACP</t>
        </is>
      </c>
      <c r="BL205" s="61" t="inlineStr">
        <is>
          <t>GMAP-SIGA</t>
        </is>
      </c>
      <c r="BM205" s="251" t="inlineStr">
        <is>
          <t>NF</t>
        </is>
      </c>
      <c r="BN205" s="106" t="inlineStr">
        <is>
          <t>Falla Pabellón</t>
        </is>
      </c>
      <c r="BO205" s="251"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42" t="n">
        <v>1</v>
      </c>
      <c r="CL205" s="105" t="n"/>
      <c r="CM205" s="105" t="n"/>
      <c r="CN205" s="105" t="n"/>
      <c r="CO205" s="105" t="n"/>
      <c r="CP205" s="105" t="n"/>
      <c r="CQ205" s="105" t="n"/>
      <c r="CR205" s="105" t="n"/>
      <c r="CS205" s="105" t="n"/>
      <c r="CT205" s="105" t="n"/>
      <c r="CU205" s="105" t="n"/>
      <c r="CV205" s="105" t="n"/>
      <c r="CW205" s="105" t="n"/>
      <c r="CX205" s="105" t="n"/>
      <c r="CY205" s="105" t="n"/>
      <c r="CZ205" s="124">
        <f>+COUNTA(BV205:CY205)</f>
        <v/>
      </c>
      <c r="DA205" s="251" t="n"/>
      <c r="DB205" s="251" t="n"/>
      <c r="DC205" s="251" t="n"/>
      <c r="DD205" s="251" t="n"/>
      <c r="DE205" s="251" t="n"/>
      <c r="DF205" s="251" t="n"/>
      <c r="DG205" s="251" t="n"/>
      <c r="DH205" s="251" t="n"/>
      <c r="DI205" s="251" t="n"/>
      <c r="DJ205" s="251" t="inlineStr">
        <is>
          <t>M</t>
        </is>
      </c>
      <c r="DK205" s="251" t="n">
        <v>15</v>
      </c>
      <c r="DL205" s="95" t="n">
        <v>21</v>
      </c>
      <c r="DM205" s="251" t="n"/>
      <c r="DN205" s="95" t="n"/>
      <c r="DO205" s="95" t="n"/>
    </row>
    <row r="206" ht="13" customHeight="1">
      <c r="A206" s="203" t="inlineStr">
        <is>
          <t>CP-09-G</t>
        </is>
      </c>
      <c r="B206" s="305"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1" t="inlineStr">
        <is>
          <t>532MACP</t>
        </is>
      </c>
      <c r="BL206" s="61" t="inlineStr">
        <is>
          <t>GMAP-SIGA</t>
        </is>
      </c>
      <c r="BM206" s="251" t="inlineStr">
        <is>
          <t>NF</t>
        </is>
      </c>
      <c r="BN206" s="106" t="inlineStr">
        <is>
          <t>Falla Pabellón</t>
        </is>
      </c>
      <c r="BO206" s="251"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42" t="n">
        <v>1</v>
      </c>
      <c r="CL206" s="105" t="n"/>
      <c r="CM206" s="105" t="n"/>
      <c r="CN206" s="105" t="n"/>
      <c r="CO206" s="105" t="n"/>
      <c r="CP206" s="105" t="n"/>
      <c r="CQ206" s="105" t="n"/>
      <c r="CR206" s="105" t="n"/>
      <c r="CS206" s="105" t="n"/>
      <c r="CT206" s="105" t="n"/>
      <c r="CU206" s="105" t="n"/>
      <c r="CV206" s="105" t="n"/>
      <c r="CW206" s="105" t="n"/>
      <c r="CX206" s="105" t="n"/>
      <c r="CY206" s="105" t="n"/>
      <c r="CZ206" s="124">
        <f>+COUNTA(BV206:CY206)</f>
        <v/>
      </c>
      <c r="DA206" s="251" t="n"/>
      <c r="DB206" s="251" t="n"/>
      <c r="DC206" s="251" t="n"/>
      <c r="DD206" s="251" t="n"/>
      <c r="DE206" s="251" t="n"/>
      <c r="DF206" s="251" t="n"/>
      <c r="DG206" s="251" t="n"/>
      <c r="DH206" s="251" t="n"/>
      <c r="DI206" s="251" t="n"/>
      <c r="DJ206" s="251" t="inlineStr">
        <is>
          <t>M</t>
        </is>
      </c>
      <c r="DK206" s="251" t="n">
        <v>15</v>
      </c>
      <c r="DL206" s="95" t="n">
        <v>21</v>
      </c>
      <c r="DM206" s="251" t="n"/>
      <c r="DN206" s="95" t="n"/>
      <c r="DO206" s="95" t="n"/>
    </row>
    <row r="207" ht="13" customHeight="1">
      <c r="A207" s="203" t="inlineStr">
        <is>
          <t>CP-10-B</t>
        </is>
      </c>
      <c r="B207" s="305"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1" t="inlineStr">
        <is>
          <t>532MACP</t>
        </is>
      </c>
      <c r="BL207" s="61" t="inlineStr">
        <is>
          <t>GMAP-SIGA</t>
        </is>
      </c>
      <c r="BM207" s="251" t="inlineStr">
        <is>
          <t>NF</t>
        </is>
      </c>
      <c r="BN207" s="106" t="inlineStr">
        <is>
          <t>Falla Pabellón</t>
        </is>
      </c>
      <c r="BO207" s="251"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42" t="n">
        <v>1</v>
      </c>
      <c r="CL207" s="105" t="n"/>
      <c r="CM207" s="105" t="n"/>
      <c r="CN207" s="105" t="n"/>
      <c r="CO207" s="105" t="n"/>
      <c r="CP207" s="105" t="n"/>
      <c r="CQ207" s="105" t="n"/>
      <c r="CR207" s="105" t="n"/>
      <c r="CS207" s="105" t="n"/>
      <c r="CT207" s="105" t="n"/>
      <c r="CU207" s="105" t="n"/>
      <c r="CV207" s="105" t="n"/>
      <c r="CW207" s="105" t="n"/>
      <c r="CX207" s="105" t="n"/>
      <c r="CY207" s="105" t="n"/>
      <c r="CZ207" s="124">
        <f>+COUNTA(BV207:CY207)</f>
        <v/>
      </c>
      <c r="DA207" s="251" t="n"/>
      <c r="DB207" s="251" t="n"/>
      <c r="DC207" s="251" t="n"/>
      <c r="DD207" s="251" t="n"/>
      <c r="DE207" s="251" t="n"/>
      <c r="DF207" s="251" t="n"/>
      <c r="DG207" s="251" t="n"/>
      <c r="DH207" s="251" t="n"/>
      <c r="DI207" s="251" t="n"/>
      <c r="DJ207" s="251" t="inlineStr">
        <is>
          <t>M</t>
        </is>
      </c>
      <c r="DK207" s="251" t="n">
        <v>15</v>
      </c>
      <c r="DL207" s="95" t="n">
        <v>21</v>
      </c>
      <c r="DM207" s="251" t="n"/>
      <c r="DN207" s="95" t="n"/>
      <c r="DO207" s="95" t="n"/>
    </row>
    <row r="208" ht="13" customHeight="1">
      <c r="A208" s="203" t="inlineStr">
        <is>
          <t>CP-11-E</t>
        </is>
      </c>
      <c r="B208" s="305"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1" t="inlineStr">
        <is>
          <t>532MACP</t>
        </is>
      </c>
      <c r="BL208" s="61" t="inlineStr">
        <is>
          <t>GMAP-SIGA</t>
        </is>
      </c>
      <c r="BM208" s="251" t="inlineStr">
        <is>
          <t>NF</t>
        </is>
      </c>
      <c r="BN208" s="106" t="inlineStr">
        <is>
          <t>Falla Pabellón</t>
        </is>
      </c>
      <c r="BO208" s="251"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42" t="n">
        <v>1</v>
      </c>
      <c r="CL208" s="105" t="n"/>
      <c r="CM208" s="105" t="n"/>
      <c r="CN208" s="105" t="n"/>
      <c r="CO208" s="105" t="n"/>
      <c r="CP208" s="105" t="n"/>
      <c r="CQ208" s="105" t="n"/>
      <c r="CR208" s="105" t="n"/>
      <c r="CS208" s="105" t="n"/>
      <c r="CT208" s="105" t="n"/>
      <c r="CU208" s="105" t="n"/>
      <c r="CV208" s="105" t="n"/>
      <c r="CW208" s="105" t="n"/>
      <c r="CX208" s="105" t="n"/>
      <c r="CY208" s="105" t="n"/>
      <c r="CZ208" s="124">
        <f>+COUNTA(BV208:CY208)</f>
        <v/>
      </c>
      <c r="DA208" s="251" t="n"/>
      <c r="DB208" s="251" t="n"/>
      <c r="DC208" s="251" t="n"/>
      <c r="DD208" s="251" t="n"/>
      <c r="DE208" s="251" t="n"/>
      <c r="DF208" s="251" t="n"/>
      <c r="DG208" s="251" t="n"/>
      <c r="DH208" s="251" t="n"/>
      <c r="DI208" s="251" t="n"/>
      <c r="DJ208" s="251" t="inlineStr">
        <is>
          <t>M</t>
        </is>
      </c>
      <c r="DK208" s="251" t="n">
        <v>15</v>
      </c>
      <c r="DL208" s="95" t="n">
        <v>21</v>
      </c>
      <c r="DM208" s="251" t="n"/>
      <c r="DN208" s="95" t="n"/>
      <c r="DO208" s="95" t="n"/>
    </row>
    <row r="209" ht="13" customHeight="1">
      <c r="A209" s="203" t="inlineStr">
        <is>
          <t>CP-12-K</t>
        </is>
      </c>
      <c r="B209" s="305"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1" t="inlineStr">
        <is>
          <t>532MACP</t>
        </is>
      </c>
      <c r="BL209" s="61" t="inlineStr">
        <is>
          <t>GMAP-SIGA</t>
        </is>
      </c>
      <c r="BM209" s="251" t="inlineStr">
        <is>
          <t>NF</t>
        </is>
      </c>
      <c r="BN209" s="106" t="inlineStr">
        <is>
          <t>Falla Pabellón</t>
        </is>
      </c>
      <c r="BO209" s="251"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42" t="n">
        <v>1</v>
      </c>
      <c r="CL209" s="105" t="n"/>
      <c r="CM209" s="105" t="n"/>
      <c r="CN209" s="105" t="n"/>
      <c r="CO209" s="105" t="n"/>
      <c r="CP209" s="105" t="n"/>
      <c r="CQ209" s="105" t="n"/>
      <c r="CR209" s="105" t="n"/>
      <c r="CS209" s="105" t="n"/>
      <c r="CT209" s="105" t="n"/>
      <c r="CU209" s="105" t="n"/>
      <c r="CV209" s="105" t="n"/>
      <c r="CW209" s="105" t="n"/>
      <c r="CX209" s="105" t="n"/>
      <c r="CY209" s="105" t="n"/>
      <c r="CZ209" s="124">
        <f>+COUNTA(BV209:CY209)</f>
        <v/>
      </c>
      <c r="DA209" s="251" t="n"/>
      <c r="DB209" s="251" t="n"/>
      <c r="DC209" s="251" t="n"/>
      <c r="DD209" s="251" t="n"/>
      <c r="DE209" s="251" t="n"/>
      <c r="DF209" s="251" t="n"/>
      <c r="DG209" s="251" t="n"/>
      <c r="DH209" s="251" t="n"/>
      <c r="DI209" s="251" t="n"/>
      <c r="DJ209" s="251" t="inlineStr">
        <is>
          <t>M</t>
        </is>
      </c>
      <c r="DK209" s="251" t="n">
        <v>15</v>
      </c>
      <c r="DL209" s="95" t="n">
        <v>21</v>
      </c>
      <c r="DM209" s="251" t="n"/>
      <c r="DN209" s="95" t="n"/>
      <c r="DO209" s="95" t="n"/>
    </row>
    <row r="210" ht="13" customHeight="1">
      <c r="A210" s="203" t="inlineStr">
        <is>
          <t>CP-13-A</t>
        </is>
      </c>
      <c r="B210" s="305"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1" t="inlineStr">
        <is>
          <t>532MACP</t>
        </is>
      </c>
      <c r="BL210" s="61" t="inlineStr">
        <is>
          <t>GMAP-SIGA</t>
        </is>
      </c>
      <c r="BM210" s="251" t="inlineStr">
        <is>
          <t>NF</t>
        </is>
      </c>
      <c r="BN210" s="106" t="inlineStr">
        <is>
          <t>Falla Pabellón</t>
        </is>
      </c>
      <c r="BO210" s="251"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105" t="n"/>
      <c r="BW210" s="105" t="n"/>
      <c r="BX210" s="105" t="n"/>
      <c r="BY210" s="105" t="n"/>
      <c r="BZ210" s="105" t="n"/>
      <c r="CA210" s="105" t="n"/>
      <c r="CB210" s="105" t="n"/>
      <c r="CC210" s="105" t="n"/>
      <c r="CD210" s="105" t="n"/>
      <c r="CE210" s="105" t="n"/>
      <c r="CF210" s="105" t="n"/>
      <c r="CG210" s="105" t="n"/>
      <c r="CH210" s="105" t="n"/>
      <c r="CI210" s="105" t="n"/>
      <c r="CJ210" s="105" t="n"/>
      <c r="CK210" s="142" t="n">
        <v>1</v>
      </c>
      <c r="CL210" s="105" t="n"/>
      <c r="CM210" s="105" t="n"/>
      <c r="CN210" s="105" t="n"/>
      <c r="CO210" s="105" t="n"/>
      <c r="CP210" s="105" t="n"/>
      <c r="CQ210" s="105" t="n"/>
      <c r="CR210" s="105" t="n"/>
      <c r="CS210" s="105" t="n"/>
      <c r="CT210" s="105" t="n"/>
      <c r="CU210" s="105" t="n"/>
      <c r="CV210" s="105" t="n"/>
      <c r="CW210" s="105" t="n"/>
      <c r="CX210" s="105" t="n"/>
      <c r="CY210" s="105" t="n"/>
      <c r="CZ210" s="124">
        <f>+COUNTA(BV210:CY210)</f>
        <v/>
      </c>
      <c r="DA210" s="251" t="n"/>
      <c r="DB210" s="251" t="n"/>
      <c r="DC210" s="251" t="n"/>
      <c r="DD210" s="251" t="n"/>
      <c r="DE210" s="251" t="n"/>
      <c r="DF210" s="251" t="n"/>
      <c r="DG210" s="251" t="n"/>
      <c r="DH210" s="251" t="n"/>
      <c r="DI210" s="251" t="n"/>
      <c r="DJ210" s="251" t="inlineStr">
        <is>
          <t>M</t>
        </is>
      </c>
      <c r="DK210" s="251" t="n">
        <v>15</v>
      </c>
      <c r="DL210" s="95" t="n">
        <v>21</v>
      </c>
      <c r="DM210" s="251" t="n"/>
      <c r="DN210" s="95" t="n"/>
      <c r="DO210" s="95" t="n"/>
    </row>
    <row r="211" ht="13" customHeight="1">
      <c r="A211" s="203" t="inlineStr">
        <is>
          <t>CPMA-01</t>
        </is>
      </c>
      <c r="B211" s="305"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1" t="inlineStr">
        <is>
          <t>532MACPMA</t>
        </is>
      </c>
      <c r="BL211" s="61" t="inlineStr">
        <is>
          <t>GMAP-SIGA</t>
        </is>
      </c>
      <c r="BM211" s="251" t="inlineStr">
        <is>
          <t>NF</t>
        </is>
      </c>
      <c r="BN211" s="337" t="inlineStr">
        <is>
          <t>Jachucoposa</t>
        </is>
      </c>
      <c r="BO211" s="251" t="inlineStr">
        <is>
          <t>SI</t>
        </is>
      </c>
      <c r="BP211" s="106" t="inlineStr">
        <is>
          <t>CPMA-01 JACHUCOPOSA/NF</t>
        </is>
      </c>
      <c r="BQ211" s="106">
        <f>VLOOKUP(BP211,[1]AGUA!$1:$1048576,2,FALSE)</f>
        <v/>
      </c>
      <c r="BR211" s="106">
        <f>VLOOKUP(BP211,[1]AGUA!$1:$1048576,6,FALSE)</f>
        <v/>
      </c>
      <c r="BS211" s="106">
        <f>VLOOKUP(BP211,[1]AGUA!$1:$1048576,7,FALSE)</f>
        <v/>
      </c>
      <c r="BT211" s="106" t="n"/>
      <c r="BU211" s="123" t="inlineStr">
        <is>
          <t>SE MODIFICO (29-09-2023) X CMDIC SOLO NF</t>
        </is>
      </c>
      <c r="BV211" s="105" t="n"/>
      <c r="BW211" s="105" t="n"/>
      <c r="BX211" s="105" t="n"/>
      <c r="BY211" s="142" t="n">
        <v>1</v>
      </c>
      <c r="BZ211" s="105" t="n"/>
      <c r="CA211" s="105" t="n"/>
      <c r="CB211" s="105" t="n"/>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24">
        <f>+COUNTA(BV211:CY211)</f>
        <v/>
      </c>
      <c r="DA211" s="251" t="n"/>
      <c r="DB211" s="251" t="n"/>
      <c r="DC211" s="251" t="n"/>
      <c r="DD211" s="251" t="n"/>
      <c r="DE211" s="251" t="n"/>
      <c r="DF211" s="251" t="n"/>
      <c r="DG211" s="251" t="n"/>
      <c r="DH211" s="251" t="n"/>
      <c r="DI211" s="251" t="n"/>
      <c r="DJ211" s="251" t="inlineStr">
        <is>
          <t>M</t>
        </is>
      </c>
      <c r="DK211" s="251" t="n">
        <v>1</v>
      </c>
      <c r="DL211" s="95" t="n">
        <v>7</v>
      </c>
      <c r="DM211" s="169" t="inlineStr">
        <is>
          <t>SE ELIMINO</t>
        </is>
      </c>
      <c r="DN211" s="95" t="n"/>
      <c r="DO211" s="95" t="n"/>
    </row>
    <row r="212" ht="13" customHeight="1">
      <c r="A212" s="215" t="inlineStr">
        <is>
          <t>CPMA-02</t>
        </is>
      </c>
      <c r="B212" s="305"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1" t="n"/>
      <c r="BL212" s="61" t="n"/>
      <c r="BM212" s="251" t="inlineStr">
        <is>
          <t>NF</t>
        </is>
      </c>
      <c r="BN212" s="337" t="inlineStr">
        <is>
          <t>Jachucoposa</t>
        </is>
      </c>
      <c r="BO212" s="251" t="inlineStr">
        <is>
          <t>SI</t>
        </is>
      </c>
      <c r="BP212" s="106" t="n"/>
      <c r="BQ212" s="106">
        <f>VLOOKUP(BP212,[1]AGUA!$1:$1048576,2,FALSE)</f>
        <v/>
      </c>
      <c r="BR212" s="106">
        <f>VLOOKUP(BP212,[1]AGUA!$1:$1048576,6,FALSE)</f>
        <v/>
      </c>
      <c r="BS212" s="106">
        <f>VLOOKUP(BP212,[1]AGUA!$1:$1048576,7,FALSE)</f>
        <v/>
      </c>
      <c r="BT212" s="106" t="inlineStr">
        <is>
          <t>CAV DAP</t>
        </is>
      </c>
      <c r="BU212" s="123"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24">
        <f>+COUNTA(BV212:CY212)</f>
        <v/>
      </c>
      <c r="DA212" s="251" t="n"/>
      <c r="DB212" s="251" t="n"/>
      <c r="DC212" s="251" t="n"/>
      <c r="DD212" s="251" t="n"/>
      <c r="DE212" s="251" t="n"/>
      <c r="DF212" s="251" t="n"/>
      <c r="DG212" s="251" t="n"/>
      <c r="DH212" s="251" t="n"/>
      <c r="DI212" s="251" t="n"/>
      <c r="DJ212" s="251" t="n"/>
      <c r="DK212" s="251" t="n"/>
      <c r="DL212" s="95" t="n"/>
      <c r="DM212" s="169" t="n"/>
      <c r="DN212" s="95" t="n"/>
      <c r="DO212" s="95" t="n"/>
    </row>
    <row r="213" ht="11.15" customHeight="1">
      <c r="A213" s="215" t="inlineStr">
        <is>
          <t>CPS-01</t>
        </is>
      </c>
      <c r="B213" s="305"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1" t="inlineStr">
        <is>
          <t>532MACPS</t>
        </is>
      </c>
      <c r="BL213" s="61" t="inlineStr">
        <is>
          <t>GMAP-SIGA</t>
        </is>
      </c>
      <c r="BM213" s="251" t="inlineStr">
        <is>
          <t>NF</t>
        </is>
      </c>
      <c r="BN213" s="337" t="inlineStr">
        <is>
          <t>Jachucoposa</t>
        </is>
      </c>
      <c r="BO213" s="251"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24">
        <f>+COUNTA(BV213:CY213)</f>
        <v/>
      </c>
      <c r="DA213" s="251" t="n"/>
      <c r="DB213" s="251" t="n"/>
      <c r="DC213" s="251" t="n"/>
      <c r="DD213" s="251" t="n"/>
      <c r="DE213" s="251" t="n"/>
      <c r="DF213" s="251" t="n"/>
      <c r="DG213" s="251" t="n"/>
      <c r="DH213" s="251" t="n"/>
      <c r="DI213" s="251" t="n"/>
      <c r="DJ213" s="251" t="inlineStr">
        <is>
          <t>TD</t>
        </is>
      </c>
      <c r="DK213" s="251" t="n">
        <v>15</v>
      </c>
      <c r="DL213" s="95" t="n">
        <v>21</v>
      </c>
      <c r="DM213" s="251" t="n"/>
      <c r="DN213" s="95" t="n"/>
      <c r="DO213" s="95" t="n"/>
    </row>
    <row r="214" ht="13" customHeight="1">
      <c r="A214" s="215" t="inlineStr">
        <is>
          <t>CPS-02</t>
        </is>
      </c>
      <c r="B214" s="305"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1" t="inlineStr">
        <is>
          <t>532MACPS</t>
        </is>
      </c>
      <c r="BL214" s="61" t="inlineStr">
        <is>
          <t>GMAP-SIGA</t>
        </is>
      </c>
      <c r="BM214" s="251" t="inlineStr">
        <is>
          <t>NF</t>
        </is>
      </c>
      <c r="BN214" s="337" t="inlineStr">
        <is>
          <t>Jachucoposa</t>
        </is>
      </c>
      <c r="BO214" s="251"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05" t="n"/>
      <c r="CM214" s="105" t="n"/>
      <c r="CN214" s="105" t="n"/>
      <c r="CO214" s="105" t="n"/>
      <c r="CP214" s="105" t="n"/>
      <c r="CQ214" s="105" t="n"/>
      <c r="CR214" s="105" t="n"/>
      <c r="CS214" s="105" t="n"/>
      <c r="CT214" s="105" t="n"/>
      <c r="CU214" s="105" t="n"/>
      <c r="CV214" s="105" t="n"/>
      <c r="CW214" s="105" t="n"/>
      <c r="CX214" s="105" t="n"/>
      <c r="CY214" s="105" t="n"/>
      <c r="CZ214" s="124">
        <f>+COUNTA(BV214:CY214)</f>
        <v/>
      </c>
      <c r="DA214" s="251" t="n"/>
      <c r="DB214" s="251" t="n"/>
      <c r="DC214" s="251" t="n"/>
      <c r="DD214" s="251" t="n"/>
      <c r="DE214" s="251" t="n"/>
      <c r="DF214" s="251" t="n"/>
      <c r="DG214" s="251" t="n"/>
      <c r="DH214" s="251" t="n"/>
      <c r="DI214" s="251" t="n"/>
      <c r="DJ214" s="251" t="inlineStr">
        <is>
          <t>TD</t>
        </is>
      </c>
      <c r="DK214" s="251" t="n">
        <v>15</v>
      </c>
      <c r="DL214" s="95" t="n">
        <v>21</v>
      </c>
      <c r="DM214" s="251" t="n"/>
      <c r="DN214" s="95" t="n"/>
      <c r="DO214" s="95" t="n"/>
    </row>
    <row r="215" ht="13" customHeight="1">
      <c r="A215" s="215" t="inlineStr">
        <is>
          <t>CPS-03</t>
        </is>
      </c>
      <c r="B215" s="305"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1" t="inlineStr">
        <is>
          <t>532MACPS</t>
        </is>
      </c>
      <c r="BL215" s="61" t="inlineStr">
        <is>
          <t>GMAP-SIGA</t>
        </is>
      </c>
      <c r="BM215" s="251" t="inlineStr">
        <is>
          <t>NF</t>
        </is>
      </c>
      <c r="BN215" s="337" t="inlineStr">
        <is>
          <t>Jachucoposa</t>
        </is>
      </c>
      <c r="BO215" s="251"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05" t="n"/>
      <c r="CM215" s="105" t="n"/>
      <c r="CN215" s="105" t="n"/>
      <c r="CO215" s="105" t="n"/>
      <c r="CP215" s="105" t="n"/>
      <c r="CQ215" s="105" t="n"/>
      <c r="CR215" s="105" t="n"/>
      <c r="CS215" s="105" t="n"/>
      <c r="CT215" s="105" t="n"/>
      <c r="CU215" s="105" t="n"/>
      <c r="CV215" s="105" t="n"/>
      <c r="CW215" s="105" t="n"/>
      <c r="CX215" s="105" t="n"/>
      <c r="CY215" s="105" t="n"/>
      <c r="CZ215" s="124">
        <f>+COUNTA(BV215:CY215)</f>
        <v/>
      </c>
      <c r="DA215" s="251" t="n"/>
      <c r="DB215" s="251" t="n"/>
      <c r="DC215" s="251" t="n"/>
      <c r="DD215" s="251" t="n"/>
      <c r="DE215" s="251" t="n"/>
      <c r="DF215" s="251" t="n"/>
      <c r="DG215" s="251" t="n"/>
      <c r="DH215" s="251" t="n"/>
      <c r="DI215" s="251" t="n"/>
      <c r="DJ215" s="251" t="inlineStr">
        <is>
          <t>T</t>
        </is>
      </c>
      <c r="DK215" s="251" t="n">
        <v>15</v>
      </c>
      <c r="DL215" s="95" t="n">
        <v>21</v>
      </c>
      <c r="DM215" s="251" t="n"/>
      <c r="DN215" s="95" t="n"/>
      <c r="DO215" s="95" t="n"/>
    </row>
    <row r="216" ht="13" customHeight="1">
      <c r="A216" s="215" t="inlineStr">
        <is>
          <t>CPS-04</t>
        </is>
      </c>
      <c r="B216" s="305"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1" t="inlineStr">
        <is>
          <t>532MACPS</t>
        </is>
      </c>
      <c r="BL216" s="61" t="inlineStr">
        <is>
          <t>GMAP-SIGA</t>
        </is>
      </c>
      <c r="BM216" s="251" t="inlineStr">
        <is>
          <t>NF</t>
        </is>
      </c>
      <c r="BN216" s="337" t="inlineStr">
        <is>
          <t>Jachucoposa</t>
        </is>
      </c>
      <c r="BO216" s="251"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05" t="n"/>
      <c r="CM216" s="105" t="n"/>
      <c r="CN216" s="105" t="n"/>
      <c r="CO216" s="105" t="n"/>
      <c r="CP216" s="105" t="n"/>
      <c r="CQ216" s="105" t="n"/>
      <c r="CR216" s="105" t="n"/>
      <c r="CS216" s="105" t="n"/>
      <c r="CT216" s="105" t="n"/>
      <c r="CU216" s="105" t="n"/>
      <c r="CV216" s="105" t="n"/>
      <c r="CW216" s="105" t="n"/>
      <c r="CX216" s="105" t="n"/>
      <c r="CY216" s="105" t="n"/>
      <c r="CZ216" s="124">
        <f>+COUNTA(BV216:CY216)</f>
        <v/>
      </c>
      <c r="DA216" s="251" t="n"/>
      <c r="DB216" s="251" t="n"/>
      <c r="DC216" s="251" t="n"/>
      <c r="DD216" s="251" t="n"/>
      <c r="DE216" s="251" t="n"/>
      <c r="DF216" s="251" t="n"/>
      <c r="DG216" s="251" t="n"/>
      <c r="DH216" s="251" t="n"/>
      <c r="DI216" s="251" t="n"/>
      <c r="DJ216" s="251" t="inlineStr">
        <is>
          <t>T</t>
        </is>
      </c>
      <c r="DK216" s="251" t="n">
        <v>15</v>
      </c>
      <c r="DL216" s="95" t="n">
        <v>21</v>
      </c>
      <c r="DM216" s="251" t="n"/>
      <c r="DN216" s="95" t="n"/>
      <c r="DO216" s="95" t="n"/>
    </row>
    <row r="217" ht="13" customHeight="1">
      <c r="A217" s="215" t="inlineStr">
        <is>
          <t>CPS-05</t>
        </is>
      </c>
      <c r="B217" s="305"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1" t="inlineStr">
        <is>
          <t>532MACPS</t>
        </is>
      </c>
      <c r="BL217" s="61" t="inlineStr">
        <is>
          <t>GMAP-SIGA</t>
        </is>
      </c>
      <c r="BM217" s="251" t="inlineStr">
        <is>
          <t>NF</t>
        </is>
      </c>
      <c r="BN217" s="337" t="inlineStr">
        <is>
          <t>Jachucoposa</t>
        </is>
      </c>
      <c r="BO217" s="251"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05" t="n"/>
      <c r="CM217" s="105" t="n"/>
      <c r="CN217" s="105" t="n"/>
      <c r="CO217" s="105" t="n"/>
      <c r="CP217" s="105" t="n"/>
      <c r="CQ217" s="105" t="n"/>
      <c r="CR217" s="105" t="n"/>
      <c r="CS217" s="105" t="n"/>
      <c r="CT217" s="105" t="n"/>
      <c r="CU217" s="105" t="n"/>
      <c r="CV217" s="105" t="n"/>
      <c r="CW217" s="105" t="n"/>
      <c r="CX217" s="105" t="n"/>
      <c r="CY217" s="105" t="n"/>
      <c r="CZ217" s="124">
        <f>+COUNTA(BV217:CY217)</f>
        <v/>
      </c>
      <c r="DA217" s="251" t="n"/>
      <c r="DB217" s="251" t="n"/>
      <c r="DC217" s="251" t="n"/>
      <c r="DD217" s="251" t="n"/>
      <c r="DE217" s="251" t="n"/>
      <c r="DF217" s="251" t="n"/>
      <c r="DG217" s="251" t="n"/>
      <c r="DH217" s="251" t="n"/>
      <c r="DI217" s="251" t="n"/>
      <c r="DJ217" s="251" t="inlineStr">
        <is>
          <t>T</t>
        </is>
      </c>
      <c r="DK217" s="251" t="n">
        <v>15</v>
      </c>
      <c r="DL217" s="95" t="n">
        <v>21</v>
      </c>
      <c r="DM217" s="251" t="n"/>
      <c r="DN217" s="95" t="n"/>
      <c r="DO217" s="95" t="n"/>
    </row>
    <row r="218" ht="13" customHeight="1">
      <c r="A218" s="215" t="inlineStr">
        <is>
          <t>CPS-06</t>
        </is>
      </c>
      <c r="B218" s="305"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1" t="inlineStr">
        <is>
          <t>532MACPS</t>
        </is>
      </c>
      <c r="BL218" s="61" t="inlineStr">
        <is>
          <t>GMAP-SIGA</t>
        </is>
      </c>
      <c r="BM218" s="251" t="inlineStr">
        <is>
          <t>NF</t>
        </is>
      </c>
      <c r="BN218" s="337" t="inlineStr">
        <is>
          <t>Jachucoposa</t>
        </is>
      </c>
      <c r="BO218" s="251"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05" t="n"/>
      <c r="CM218" s="105" t="n"/>
      <c r="CN218" s="105" t="n"/>
      <c r="CO218" s="105" t="n"/>
      <c r="CP218" s="105" t="n"/>
      <c r="CQ218" s="105" t="n"/>
      <c r="CR218" s="105" t="n"/>
      <c r="CS218" s="105" t="n"/>
      <c r="CT218" s="105" t="n"/>
      <c r="CU218" s="105" t="n"/>
      <c r="CV218" s="105" t="n"/>
      <c r="CW218" s="105" t="n"/>
      <c r="CX218" s="105" t="n"/>
      <c r="CY218" s="105" t="n"/>
      <c r="CZ218" s="124">
        <f>+COUNTA(BV218:CY218)</f>
        <v/>
      </c>
      <c r="DA218" s="251" t="n"/>
      <c r="DB218" s="251" t="n"/>
      <c r="DC218" s="251" t="n"/>
      <c r="DD218" s="251" t="n"/>
      <c r="DE218" s="251" t="n"/>
      <c r="DF218" s="251" t="n"/>
      <c r="DG218" s="251" t="n"/>
      <c r="DH218" s="251" t="n"/>
      <c r="DI218" s="251" t="n"/>
      <c r="DJ218" s="251" t="inlineStr">
        <is>
          <t>T</t>
        </is>
      </c>
      <c r="DK218" s="251" t="n">
        <v>15</v>
      </c>
      <c r="DL218" s="95" t="n">
        <v>21</v>
      </c>
      <c r="DM218" s="251" t="n"/>
      <c r="DN218" s="95" t="n"/>
      <c r="DO218" s="95" t="n"/>
    </row>
    <row r="219" ht="13" customHeight="1">
      <c r="A219" s="215" t="inlineStr">
        <is>
          <t>CPS-07</t>
        </is>
      </c>
      <c r="B219" s="305"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1" t="inlineStr">
        <is>
          <t>532MACPS</t>
        </is>
      </c>
      <c r="BL219" s="61" t="inlineStr">
        <is>
          <t>GMAP-SIGA</t>
        </is>
      </c>
      <c r="BM219" s="251" t="inlineStr">
        <is>
          <t>NF</t>
        </is>
      </c>
      <c r="BN219" s="337" t="inlineStr">
        <is>
          <t>Jachucoposa</t>
        </is>
      </c>
      <c r="BO219" s="251"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05" t="n"/>
      <c r="CM219" s="105" t="n"/>
      <c r="CN219" s="105" t="n"/>
      <c r="CO219" s="105" t="n"/>
      <c r="CP219" s="105" t="n"/>
      <c r="CQ219" s="105" t="n"/>
      <c r="CR219" s="105" t="n"/>
      <c r="CS219" s="105" t="n"/>
      <c r="CT219" s="105" t="n"/>
      <c r="CU219" s="105" t="n"/>
      <c r="CV219" s="105" t="n"/>
      <c r="CW219" s="105" t="n"/>
      <c r="CX219" s="105" t="n"/>
      <c r="CY219" s="105" t="n"/>
      <c r="CZ219" s="124">
        <f>+COUNTA(BV219:CY219)</f>
        <v/>
      </c>
      <c r="DA219" s="251" t="n"/>
      <c r="DB219" s="251" t="n"/>
      <c r="DC219" s="251" t="n"/>
      <c r="DD219" s="251" t="n"/>
      <c r="DE219" s="251" t="n"/>
      <c r="DF219" s="251" t="n"/>
      <c r="DG219" s="251" t="n"/>
      <c r="DH219" s="251" t="n"/>
      <c r="DI219" s="251" t="n"/>
      <c r="DJ219" s="251" t="inlineStr">
        <is>
          <t>T</t>
        </is>
      </c>
      <c r="DK219" s="251" t="n">
        <v>15</v>
      </c>
      <c r="DL219" s="95" t="n">
        <v>21</v>
      </c>
      <c r="DM219" s="251" t="n"/>
      <c r="DN219" s="95" t="n"/>
      <c r="DO219" s="95" t="n"/>
    </row>
    <row r="220" ht="13" customHeight="1">
      <c r="A220" s="215" t="inlineStr">
        <is>
          <t>CPS-09</t>
        </is>
      </c>
      <c r="B220" s="305"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1" t="inlineStr">
        <is>
          <t>532MACPS</t>
        </is>
      </c>
      <c r="BL220" s="61" t="inlineStr">
        <is>
          <t>GMAP-SIGA</t>
        </is>
      </c>
      <c r="BM220" s="251" t="inlineStr">
        <is>
          <t>NF</t>
        </is>
      </c>
      <c r="BN220" s="337" t="inlineStr">
        <is>
          <t>Jachucoposa</t>
        </is>
      </c>
      <c r="BO220" s="251"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05" t="n"/>
      <c r="CM220" s="105" t="n"/>
      <c r="CN220" s="105" t="n"/>
      <c r="CO220" s="105" t="n"/>
      <c r="CP220" s="105" t="n"/>
      <c r="CQ220" s="105" t="n"/>
      <c r="CR220" s="105" t="n"/>
      <c r="CS220" s="105" t="n"/>
      <c r="CT220" s="105" t="n"/>
      <c r="CU220" s="105" t="n"/>
      <c r="CV220" s="105" t="n"/>
      <c r="CW220" s="105" t="n"/>
      <c r="CX220" s="105" t="n"/>
      <c r="CY220" s="105" t="n"/>
      <c r="CZ220" s="124">
        <f>+COUNTA(BV220:CY220)</f>
        <v/>
      </c>
      <c r="DA220" s="251" t="n"/>
      <c r="DB220" s="251" t="n"/>
      <c r="DC220" s="251" t="n"/>
      <c r="DD220" s="251" t="n"/>
      <c r="DE220" s="251" t="n"/>
      <c r="DF220" s="251" t="n"/>
      <c r="DG220" s="251" t="n"/>
      <c r="DH220" s="251" t="n"/>
      <c r="DI220" s="251" t="n"/>
      <c r="DJ220" s="251" t="inlineStr">
        <is>
          <t>T</t>
        </is>
      </c>
      <c r="DK220" s="251" t="n">
        <v>15</v>
      </c>
      <c r="DL220" s="95" t="n">
        <v>21</v>
      </c>
      <c r="DM220" s="251" t="n"/>
      <c r="DN220" s="95" t="n"/>
      <c r="DO220" s="95" t="n"/>
    </row>
    <row r="221" ht="13" customHeight="1">
      <c r="A221" s="215" t="inlineStr">
        <is>
          <t>CPS-10</t>
        </is>
      </c>
      <c r="B221" s="305"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1" t="inlineStr">
        <is>
          <t>532MACPS</t>
        </is>
      </c>
      <c r="BL221" s="61" t="inlineStr">
        <is>
          <t>GMAP-SIGA</t>
        </is>
      </c>
      <c r="BM221" s="251" t="inlineStr">
        <is>
          <t>NF</t>
        </is>
      </c>
      <c r="BN221" s="337" t="inlineStr">
        <is>
          <t>Jachucoposa</t>
        </is>
      </c>
      <c r="BO221" s="251"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05" t="n"/>
      <c r="CM221" s="105" t="n"/>
      <c r="CN221" s="105" t="n"/>
      <c r="CO221" s="105" t="n"/>
      <c r="CP221" s="105" t="n"/>
      <c r="CQ221" s="105" t="n"/>
      <c r="CR221" s="105" t="n"/>
      <c r="CS221" s="105" t="n"/>
      <c r="CT221" s="105" t="n"/>
      <c r="CU221" s="105" t="n"/>
      <c r="CV221" s="105" t="n"/>
      <c r="CW221" s="105" t="n"/>
      <c r="CX221" s="105" t="n"/>
      <c r="CY221" s="105" t="n"/>
      <c r="CZ221" s="124">
        <f>+COUNTA(BV221:CY221)</f>
        <v/>
      </c>
      <c r="DA221" s="251" t="n"/>
      <c r="DB221" s="251" t="n"/>
      <c r="DC221" s="251" t="n"/>
      <c r="DD221" s="251" t="n"/>
      <c r="DE221" s="251" t="n"/>
      <c r="DF221" s="251" t="n"/>
      <c r="DG221" s="251" t="n"/>
      <c r="DH221" s="251" t="n"/>
      <c r="DI221" s="251" t="n"/>
      <c r="DJ221" s="251" t="inlineStr">
        <is>
          <t>T</t>
        </is>
      </c>
      <c r="DK221" s="251" t="n">
        <v>15</v>
      </c>
      <c r="DL221" s="95" t="n">
        <v>21</v>
      </c>
      <c r="DM221" s="251" t="n"/>
      <c r="DN221" s="95" t="n"/>
      <c r="DO221" s="95" t="n"/>
    </row>
    <row r="222" ht="13" customHeight="1">
      <c r="A222" s="215" t="inlineStr">
        <is>
          <t>CPS-11</t>
        </is>
      </c>
      <c r="B222" s="305"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1" t="inlineStr">
        <is>
          <t>532MACPS</t>
        </is>
      </c>
      <c r="BL222" s="61" t="inlineStr">
        <is>
          <t>GMAP-SIGA</t>
        </is>
      </c>
      <c r="BM222" s="251" t="inlineStr">
        <is>
          <t>NF</t>
        </is>
      </c>
      <c r="BN222" s="337" t="inlineStr">
        <is>
          <t>Jachucoposa</t>
        </is>
      </c>
      <c r="BO222" s="251"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05" t="n"/>
      <c r="CM222" s="105" t="n"/>
      <c r="CN222" s="105" t="n"/>
      <c r="CO222" s="105" t="n"/>
      <c r="CP222" s="105" t="n"/>
      <c r="CQ222" s="105" t="n"/>
      <c r="CR222" s="105" t="n"/>
      <c r="CS222" s="105" t="n"/>
      <c r="CT222" s="105" t="n"/>
      <c r="CU222" s="105" t="n"/>
      <c r="CV222" s="105" t="n"/>
      <c r="CW222" s="105" t="n"/>
      <c r="CX222" s="105" t="n"/>
      <c r="CY222" s="105" t="n"/>
      <c r="CZ222" s="124">
        <f>+COUNTA(BV222:CY222)</f>
        <v/>
      </c>
      <c r="DA222" s="251" t="n"/>
      <c r="DB222" s="251" t="n"/>
      <c r="DC222" s="251" t="n"/>
      <c r="DD222" s="251" t="n"/>
      <c r="DE222" s="251" t="n"/>
      <c r="DF222" s="251" t="n"/>
      <c r="DG222" s="251" t="n"/>
      <c r="DH222" s="251" t="n"/>
      <c r="DI222" s="251" t="n"/>
      <c r="DJ222" s="251" t="inlineStr">
        <is>
          <t>T</t>
        </is>
      </c>
      <c r="DK222" s="251" t="n">
        <v>15</v>
      </c>
      <c r="DL222" s="95" t="n">
        <v>21</v>
      </c>
      <c r="DM222" s="251" t="n"/>
      <c r="DN222" s="95" t="n"/>
      <c r="DO222" s="95" t="n"/>
    </row>
    <row r="223" ht="13" customHeight="1">
      <c r="A223" s="215" t="inlineStr">
        <is>
          <t>CPS-12</t>
        </is>
      </c>
      <c r="B223" s="305"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1" t="inlineStr">
        <is>
          <t>532MACPS</t>
        </is>
      </c>
      <c r="BL223" s="61" t="inlineStr">
        <is>
          <t>GMAP-SIGA</t>
        </is>
      </c>
      <c r="BM223" s="251" t="inlineStr">
        <is>
          <t>NF</t>
        </is>
      </c>
      <c r="BN223" s="337" t="inlineStr">
        <is>
          <t>Jachucoposa</t>
        </is>
      </c>
      <c r="BO223" s="251"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05" t="n"/>
      <c r="CM223" s="105" t="n"/>
      <c r="CN223" s="105" t="n"/>
      <c r="CO223" s="105" t="n"/>
      <c r="CP223" s="105" t="n"/>
      <c r="CQ223" s="105" t="n"/>
      <c r="CR223" s="105" t="n"/>
      <c r="CS223" s="105" t="n"/>
      <c r="CT223" s="105" t="n"/>
      <c r="CU223" s="105" t="n"/>
      <c r="CV223" s="105" t="n"/>
      <c r="CW223" s="105" t="n"/>
      <c r="CX223" s="105" t="n"/>
      <c r="CY223" s="105" t="n"/>
      <c r="CZ223" s="124">
        <f>+COUNTA(BV223:CY223)</f>
        <v/>
      </c>
      <c r="DA223" s="251" t="n"/>
      <c r="DB223" s="251" t="n"/>
      <c r="DC223" s="251" t="n"/>
      <c r="DD223" s="251" t="n"/>
      <c r="DE223" s="251" t="n"/>
      <c r="DF223" s="251" t="n"/>
      <c r="DG223" s="251" t="n"/>
      <c r="DH223" s="251" t="n"/>
      <c r="DI223" s="251" t="n"/>
      <c r="DJ223" s="251" t="inlineStr">
        <is>
          <t>T</t>
        </is>
      </c>
      <c r="DK223" s="251" t="n">
        <v>15</v>
      </c>
      <c r="DL223" s="95" t="n">
        <v>21</v>
      </c>
      <c r="DM223" s="251" t="n"/>
      <c r="DN223" s="95" t="n"/>
      <c r="DO223" s="95" t="n"/>
    </row>
    <row r="224" ht="13" customHeight="1">
      <c r="A224" s="215" t="inlineStr">
        <is>
          <t>CPS-13</t>
        </is>
      </c>
      <c r="B224" s="305"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1" t="inlineStr">
        <is>
          <t>532MACPS</t>
        </is>
      </c>
      <c r="BL224" s="61" t="inlineStr">
        <is>
          <t>GMAP-SIGA</t>
        </is>
      </c>
      <c r="BM224" s="251" t="inlineStr">
        <is>
          <t>NF</t>
        </is>
      </c>
      <c r="BN224" s="337" t="inlineStr">
        <is>
          <t>Jachucoposa</t>
        </is>
      </c>
      <c r="BO224" s="251"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05" t="n"/>
      <c r="CM224" s="105" t="n"/>
      <c r="CN224" s="105" t="n"/>
      <c r="CO224" s="105" t="n"/>
      <c r="CP224" s="105" t="n"/>
      <c r="CQ224" s="105" t="n"/>
      <c r="CR224" s="105" t="n"/>
      <c r="CS224" s="105" t="n"/>
      <c r="CT224" s="105" t="n"/>
      <c r="CU224" s="105" t="n"/>
      <c r="CV224" s="105" t="n"/>
      <c r="CW224" s="105" t="n"/>
      <c r="CX224" s="105" t="n"/>
      <c r="CY224" s="105" t="n"/>
      <c r="CZ224" s="124">
        <f>+COUNTA(BV224:CY224)</f>
        <v/>
      </c>
      <c r="DA224" s="251" t="n"/>
      <c r="DB224" s="251" t="n"/>
      <c r="DC224" s="251" t="n"/>
      <c r="DD224" s="251" t="n"/>
      <c r="DE224" s="251" t="n"/>
      <c r="DF224" s="251" t="n"/>
      <c r="DG224" s="251" t="n"/>
      <c r="DH224" s="251" t="n"/>
      <c r="DI224" s="251" t="n"/>
      <c r="DJ224" s="251" t="inlineStr">
        <is>
          <t>T</t>
        </is>
      </c>
      <c r="DK224" s="251" t="n">
        <v>15</v>
      </c>
      <c r="DL224" s="95" t="n">
        <v>21</v>
      </c>
      <c r="DM224" s="251" t="n"/>
      <c r="DN224" s="95" t="n"/>
      <c r="DO224" s="95" t="n"/>
    </row>
    <row r="225" ht="13" customHeight="1">
      <c r="A225" s="215" t="inlineStr">
        <is>
          <t>CPS-14</t>
        </is>
      </c>
      <c r="B225" s="305"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1" t="inlineStr">
        <is>
          <t>532MACPS</t>
        </is>
      </c>
      <c r="BL225" s="61" t="inlineStr">
        <is>
          <t>GMAP-SIGA</t>
        </is>
      </c>
      <c r="BM225" s="251" t="inlineStr">
        <is>
          <t>NF</t>
        </is>
      </c>
      <c r="BN225" s="337" t="inlineStr">
        <is>
          <t>Jachucoposa</t>
        </is>
      </c>
      <c r="BO225" s="251"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05" t="n"/>
      <c r="CM225" s="105" t="n"/>
      <c r="CN225" s="105" t="n"/>
      <c r="CO225" s="105" t="n"/>
      <c r="CP225" s="105" t="n"/>
      <c r="CQ225" s="105" t="n"/>
      <c r="CR225" s="105" t="n"/>
      <c r="CS225" s="105" t="n"/>
      <c r="CT225" s="105" t="n"/>
      <c r="CU225" s="105" t="n"/>
      <c r="CV225" s="105" t="n"/>
      <c r="CW225" s="105" t="n"/>
      <c r="CX225" s="105" t="n"/>
      <c r="CY225" s="105" t="n"/>
      <c r="CZ225" s="124">
        <f>+COUNTA(BV225:CY225)</f>
        <v/>
      </c>
      <c r="DA225" s="251" t="n"/>
      <c r="DB225" s="251" t="n"/>
      <c r="DC225" s="251" t="n"/>
      <c r="DD225" s="251" t="n"/>
      <c r="DE225" s="251" t="n"/>
      <c r="DF225" s="251" t="n"/>
      <c r="DG225" s="251" t="n"/>
      <c r="DH225" s="251" t="n"/>
      <c r="DI225" s="251" t="n"/>
      <c r="DJ225" s="251" t="inlineStr">
        <is>
          <t>T</t>
        </is>
      </c>
      <c r="DK225" s="251" t="n">
        <v>15</v>
      </c>
      <c r="DL225" s="95" t="n">
        <v>21</v>
      </c>
      <c r="DM225" s="251" t="n"/>
      <c r="DN225" s="95" t="n"/>
      <c r="DO225" s="95" t="n"/>
    </row>
    <row r="226" ht="13" customHeight="1">
      <c r="A226" s="215" t="inlineStr">
        <is>
          <t>CPS-15</t>
        </is>
      </c>
      <c r="B226" s="305"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1" t="inlineStr">
        <is>
          <t>532MACPS</t>
        </is>
      </c>
      <c r="BL226" s="61" t="inlineStr">
        <is>
          <t>GMAP-SIGA</t>
        </is>
      </c>
      <c r="BM226" s="251" t="inlineStr">
        <is>
          <t>NF</t>
        </is>
      </c>
      <c r="BN226" s="337" t="inlineStr">
        <is>
          <t>Jachucoposa</t>
        </is>
      </c>
      <c r="BO226" s="251"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05" t="n"/>
      <c r="CM226" s="105" t="n"/>
      <c r="CN226" s="105" t="n"/>
      <c r="CO226" s="105" t="n"/>
      <c r="CP226" s="105" t="n"/>
      <c r="CQ226" s="105" t="n"/>
      <c r="CR226" s="105" t="n"/>
      <c r="CS226" s="105" t="n"/>
      <c r="CT226" s="105" t="n"/>
      <c r="CU226" s="105" t="n"/>
      <c r="CV226" s="105" t="n"/>
      <c r="CW226" s="105" t="n"/>
      <c r="CX226" s="105" t="n"/>
      <c r="CY226" s="105" t="n"/>
      <c r="CZ226" s="124">
        <f>+COUNTA(BV226:CY226)</f>
        <v/>
      </c>
      <c r="DA226" s="251" t="n"/>
      <c r="DB226" s="251" t="n"/>
      <c r="DC226" s="251" t="n"/>
      <c r="DD226" s="251" t="n"/>
      <c r="DE226" s="251" t="n"/>
      <c r="DF226" s="251" t="n"/>
      <c r="DG226" s="251" t="n"/>
      <c r="DH226" s="251" t="n"/>
      <c r="DI226" s="251" t="n"/>
      <c r="DJ226" s="251" t="inlineStr">
        <is>
          <t>T</t>
        </is>
      </c>
      <c r="DK226" s="251" t="n">
        <v>15</v>
      </c>
      <c r="DL226" s="95" t="n">
        <v>21</v>
      </c>
      <c r="DM226" s="251" t="n"/>
      <c r="DN226" s="95" t="n"/>
      <c r="DO226" s="95" t="n"/>
    </row>
    <row r="227" ht="13" customHeight="1">
      <c r="A227" s="215" t="inlineStr">
        <is>
          <t>CPS-16</t>
        </is>
      </c>
      <c r="B227" s="305"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1" t="inlineStr">
        <is>
          <t>532MACPS</t>
        </is>
      </c>
      <c r="BL227" s="61" t="inlineStr">
        <is>
          <t>GMAP-SIGA</t>
        </is>
      </c>
      <c r="BM227" s="251" t="inlineStr">
        <is>
          <t>NF</t>
        </is>
      </c>
      <c r="BN227" s="337" t="inlineStr">
        <is>
          <t>Jachucoposa</t>
        </is>
      </c>
      <c r="BO227" s="251"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05" t="n"/>
      <c r="CM227" s="105" t="n"/>
      <c r="CN227" s="105" t="n"/>
      <c r="CO227" s="105" t="n"/>
      <c r="CP227" s="105" t="n"/>
      <c r="CQ227" s="105" t="n"/>
      <c r="CR227" s="105" t="n"/>
      <c r="CS227" s="105" t="n"/>
      <c r="CT227" s="105" t="n"/>
      <c r="CU227" s="105" t="n"/>
      <c r="CV227" s="105" t="n"/>
      <c r="CW227" s="105" t="n"/>
      <c r="CX227" s="105" t="n"/>
      <c r="CY227" s="105" t="n"/>
      <c r="CZ227" s="124">
        <f>+COUNTA(BV227:CY227)</f>
        <v/>
      </c>
      <c r="DA227" s="251" t="n"/>
      <c r="DB227" s="251" t="n"/>
      <c r="DC227" s="251" t="n"/>
      <c r="DD227" s="251" t="n"/>
      <c r="DE227" s="251" t="n"/>
      <c r="DF227" s="251" t="n"/>
      <c r="DG227" s="251" t="n"/>
      <c r="DH227" s="251" t="n"/>
      <c r="DI227" s="251" t="n"/>
      <c r="DJ227" s="251" t="inlineStr">
        <is>
          <t>T</t>
        </is>
      </c>
      <c r="DK227" s="251" t="n">
        <v>15</v>
      </c>
      <c r="DL227" s="95" t="n">
        <v>21</v>
      </c>
      <c r="DM227" s="251" t="n"/>
      <c r="DN227" s="95" t="n"/>
      <c r="DO227" s="95" t="n"/>
    </row>
    <row r="228" ht="13" customHeight="1">
      <c r="A228" s="215" t="inlineStr">
        <is>
          <t>CPS-17</t>
        </is>
      </c>
      <c r="B228" s="305"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1" t="inlineStr">
        <is>
          <t>532MACPS</t>
        </is>
      </c>
      <c r="BL228" s="61" t="inlineStr">
        <is>
          <t>GMAP-SIGA</t>
        </is>
      </c>
      <c r="BM228" s="251" t="inlineStr">
        <is>
          <t>NF</t>
        </is>
      </c>
      <c r="BN228" s="337" t="inlineStr">
        <is>
          <t>Jachucoposa</t>
        </is>
      </c>
      <c r="BO228" s="251"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05" t="n"/>
      <c r="CM228" s="105" t="n"/>
      <c r="CN228" s="105" t="n"/>
      <c r="CO228" s="105" t="n"/>
      <c r="CP228" s="105" t="n"/>
      <c r="CQ228" s="105" t="n"/>
      <c r="CR228" s="105" t="n"/>
      <c r="CS228" s="105" t="n"/>
      <c r="CT228" s="105" t="n"/>
      <c r="CU228" s="105" t="n"/>
      <c r="CV228" s="105" t="n"/>
      <c r="CW228" s="105" t="n"/>
      <c r="CX228" s="105" t="n"/>
      <c r="CY228" s="105" t="n"/>
      <c r="CZ228" s="124">
        <f>+COUNTA(BV228:CY228)</f>
        <v/>
      </c>
      <c r="DA228" s="251" t="n"/>
      <c r="DB228" s="251" t="n"/>
      <c r="DC228" s="251" t="n"/>
      <c r="DD228" s="251" t="n"/>
      <c r="DE228" s="251" t="n"/>
      <c r="DF228" s="251" t="n"/>
      <c r="DG228" s="251" t="n"/>
      <c r="DH228" s="251" t="n"/>
      <c r="DI228" s="251" t="n"/>
      <c r="DJ228" s="251" t="inlineStr">
        <is>
          <t>T</t>
        </is>
      </c>
      <c r="DK228" s="251" t="n">
        <v>15</v>
      </c>
      <c r="DL228" s="95" t="n">
        <v>21</v>
      </c>
      <c r="DM228" s="251" t="n"/>
      <c r="DN228" s="95" t="n"/>
      <c r="DO228" s="95" t="n"/>
    </row>
    <row r="229" ht="13" customHeight="1">
      <c r="A229" s="215" t="inlineStr">
        <is>
          <t>CPS-18</t>
        </is>
      </c>
      <c r="B229" s="305"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1" t="inlineStr">
        <is>
          <t>532MACPS</t>
        </is>
      </c>
      <c r="BL229" s="61" t="inlineStr">
        <is>
          <t>GMAP-SIGA</t>
        </is>
      </c>
      <c r="BM229" s="251" t="inlineStr">
        <is>
          <t>NF</t>
        </is>
      </c>
      <c r="BN229" s="337" t="inlineStr">
        <is>
          <t>Jachucoposa</t>
        </is>
      </c>
      <c r="BO229" s="251"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05" t="n"/>
      <c r="CM229" s="105" t="n"/>
      <c r="CN229" s="105" t="n"/>
      <c r="CO229" s="105" t="n"/>
      <c r="CP229" s="105" t="n"/>
      <c r="CQ229" s="105" t="n"/>
      <c r="CR229" s="105" t="n"/>
      <c r="CS229" s="105" t="n"/>
      <c r="CT229" s="105" t="n"/>
      <c r="CU229" s="105" t="n"/>
      <c r="CV229" s="105" t="n"/>
      <c r="CW229" s="105" t="n"/>
      <c r="CX229" s="105" t="n"/>
      <c r="CY229" s="105" t="n"/>
      <c r="CZ229" s="124">
        <f>+COUNTA(BV229:CY229)</f>
        <v/>
      </c>
      <c r="DA229" s="251" t="n"/>
      <c r="DB229" s="251" t="n"/>
      <c r="DC229" s="251" t="n"/>
      <c r="DD229" s="251" t="n"/>
      <c r="DE229" s="251" t="n"/>
      <c r="DF229" s="251" t="n"/>
      <c r="DG229" s="251" t="n"/>
      <c r="DH229" s="251" t="n"/>
      <c r="DI229" s="251" t="n"/>
      <c r="DJ229" s="251" t="inlineStr">
        <is>
          <t>T</t>
        </is>
      </c>
      <c r="DK229" s="251" t="n">
        <v>15</v>
      </c>
      <c r="DL229" s="95" t="n">
        <v>21</v>
      </c>
      <c r="DM229" s="251" t="n"/>
      <c r="DN229" s="95" t="n"/>
      <c r="DO229" s="95" t="n"/>
    </row>
    <row r="230" ht="13" customHeight="1">
      <c r="A230" s="215" t="inlineStr">
        <is>
          <t>CPS-19</t>
        </is>
      </c>
      <c r="B230" s="305"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1" t="inlineStr">
        <is>
          <t>532MACPS</t>
        </is>
      </c>
      <c r="BL230" s="61" t="inlineStr">
        <is>
          <t>GMAP-SIGA</t>
        </is>
      </c>
      <c r="BM230" s="251" t="inlineStr">
        <is>
          <t>NF</t>
        </is>
      </c>
      <c r="BN230" s="337" t="inlineStr">
        <is>
          <t>Jachucoposa</t>
        </is>
      </c>
      <c r="BO230" s="251"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05" t="n"/>
      <c r="CM230" s="105" t="n"/>
      <c r="CN230" s="105" t="n"/>
      <c r="CO230" s="105" t="n"/>
      <c r="CP230" s="105" t="n"/>
      <c r="CQ230" s="105" t="n"/>
      <c r="CR230" s="105" t="n"/>
      <c r="CS230" s="105" t="n"/>
      <c r="CT230" s="105" t="n"/>
      <c r="CU230" s="105" t="n"/>
      <c r="CV230" s="105" t="n"/>
      <c r="CW230" s="105" t="n"/>
      <c r="CX230" s="105" t="n"/>
      <c r="CY230" s="105" t="n"/>
      <c r="CZ230" s="124">
        <f>+COUNTA(BV230:CY230)</f>
        <v/>
      </c>
      <c r="DA230" s="251" t="n"/>
      <c r="DB230" s="251" t="n"/>
      <c r="DC230" s="251" t="n"/>
      <c r="DD230" s="251" t="n"/>
      <c r="DE230" s="251" t="n"/>
      <c r="DF230" s="251" t="n"/>
      <c r="DG230" s="251" t="n"/>
      <c r="DH230" s="251" t="n"/>
      <c r="DI230" s="251" t="n"/>
      <c r="DJ230" s="251" t="inlineStr">
        <is>
          <t>T</t>
        </is>
      </c>
      <c r="DK230" s="251" t="n">
        <v>15</v>
      </c>
      <c r="DL230" s="95" t="n">
        <v>21</v>
      </c>
      <c r="DM230" s="251" t="n"/>
      <c r="DN230" s="95" t="n"/>
      <c r="DO230" s="95" t="n"/>
    </row>
    <row r="231" ht="13" customHeight="1">
      <c r="A231" s="215" t="inlineStr">
        <is>
          <t>CPS-20</t>
        </is>
      </c>
      <c r="B231" s="305"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1" t="inlineStr">
        <is>
          <t>532MACPS</t>
        </is>
      </c>
      <c r="BL231" s="61" t="inlineStr">
        <is>
          <t>GMAP-SIGA</t>
        </is>
      </c>
      <c r="BM231" s="251" t="inlineStr">
        <is>
          <t>NF</t>
        </is>
      </c>
      <c r="BN231" s="337" t="inlineStr">
        <is>
          <t>Jachucoposa</t>
        </is>
      </c>
      <c r="BO231" s="251" t="inlineStr">
        <is>
          <t>SI</t>
        </is>
      </c>
      <c r="BP231" s="106" t="inlineStr">
        <is>
          <t>CPS-20 JACHUCOPOSA/NF</t>
        </is>
      </c>
      <c r="BQ231" s="106">
        <f>VLOOKUP(BP231,[1]AGUA!$1:$1048576,2,FALSE)</f>
        <v/>
      </c>
      <c r="BR231" s="106">
        <f>VLOOKUP(BP231,[1]AGUA!$1:$1048576,6,FALSE)</f>
        <v/>
      </c>
      <c r="BS231" s="106">
        <f>VLOOKUP(BP231,[1]AGUA!$1:$1048576,7,FALSE)</f>
        <v/>
      </c>
      <c r="BT231" s="106" t="n"/>
      <c r="BU231" s="227"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42" t="n">
        <v>1</v>
      </c>
      <c r="CN231" s="105" t="n"/>
      <c r="CO231" s="105" t="n"/>
      <c r="CP231" s="105" t="n"/>
      <c r="CQ231" s="105" t="n"/>
      <c r="CR231" s="105" t="n"/>
      <c r="CS231" s="105" t="n"/>
      <c r="CT231" s="105" t="n"/>
      <c r="CU231" s="105" t="n"/>
      <c r="CV231" s="105" t="n"/>
      <c r="CW231" s="105" t="n"/>
      <c r="CX231" s="105" t="n"/>
      <c r="CY231" s="105" t="n"/>
      <c r="CZ231" s="124">
        <f>+COUNTA(BV231:CY231)</f>
        <v/>
      </c>
      <c r="DA231" s="251" t="n"/>
      <c r="DB231" s="251" t="n"/>
      <c r="DC231" s="251" t="n"/>
      <c r="DD231" s="251" t="n"/>
      <c r="DE231" s="251" t="n"/>
      <c r="DF231" s="251" t="n"/>
      <c r="DG231" s="251" t="n"/>
      <c r="DH231" s="251" t="n"/>
      <c r="DI231" s="251" t="n"/>
      <c r="DJ231" s="251" t="inlineStr">
        <is>
          <t>M</t>
        </is>
      </c>
      <c r="DK231" s="251" t="n">
        <v>15</v>
      </c>
      <c r="DL231" s="95" t="n">
        <v>21</v>
      </c>
      <c r="DM231" s="251" t="n"/>
      <c r="DN231" s="95" t="n"/>
      <c r="DO231" s="95" t="n"/>
    </row>
    <row r="232" ht="13" customHeight="1">
      <c r="A232" s="215" t="inlineStr">
        <is>
          <t>CPS-21</t>
        </is>
      </c>
      <c r="B232" s="305"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1" t="inlineStr">
        <is>
          <t>532MACPS</t>
        </is>
      </c>
      <c r="BL232" s="61" t="inlineStr">
        <is>
          <t>GMAP-SIGA</t>
        </is>
      </c>
      <c r="BM232" s="251" t="inlineStr">
        <is>
          <t>NF</t>
        </is>
      </c>
      <c r="BN232" s="337" t="inlineStr">
        <is>
          <t>Jachucoposa</t>
        </is>
      </c>
      <c r="BO232" s="251"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05" t="n"/>
      <c r="CM232" s="105" t="n"/>
      <c r="CN232" s="105" t="n"/>
      <c r="CO232" s="105" t="n"/>
      <c r="CP232" s="105" t="n"/>
      <c r="CQ232" s="105" t="n"/>
      <c r="CR232" s="105" t="n"/>
      <c r="CS232" s="105" t="n"/>
      <c r="CT232" s="105" t="n"/>
      <c r="CU232" s="105" t="n"/>
      <c r="CV232" s="105" t="n"/>
      <c r="CW232" s="105" t="n"/>
      <c r="CX232" s="105" t="n"/>
      <c r="CY232" s="105" t="n"/>
      <c r="CZ232" s="124">
        <f>+COUNTA(BV232:CY232)</f>
        <v/>
      </c>
      <c r="DA232" s="251" t="n"/>
      <c r="DB232" s="251" t="n"/>
      <c r="DC232" s="251" t="n"/>
      <c r="DD232" s="251" t="n"/>
      <c r="DE232" s="251" t="n"/>
      <c r="DF232" s="251" t="n"/>
      <c r="DG232" s="251" t="n"/>
      <c r="DH232" s="251" t="n"/>
      <c r="DI232" s="251" t="n"/>
      <c r="DJ232" s="251" t="inlineStr">
        <is>
          <t>T</t>
        </is>
      </c>
      <c r="DK232" s="251" t="n">
        <v>15</v>
      </c>
      <c r="DL232" s="95" t="n">
        <v>21</v>
      </c>
      <c r="DM232" s="251" t="n"/>
      <c r="DN232" s="95" t="n"/>
      <c r="DO232" s="95" t="n"/>
    </row>
    <row r="233" ht="13" customHeight="1">
      <c r="A233" s="215" t="inlineStr">
        <is>
          <t>CPS-22</t>
        </is>
      </c>
      <c r="B233" s="305"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1" t="inlineStr">
        <is>
          <t>532MACPS</t>
        </is>
      </c>
      <c r="BL233" s="61" t="inlineStr">
        <is>
          <t>GMAP-SIGA</t>
        </is>
      </c>
      <c r="BM233" s="251" t="inlineStr">
        <is>
          <t>NF</t>
        </is>
      </c>
      <c r="BN233" s="337" t="inlineStr">
        <is>
          <t>Jachucoposa</t>
        </is>
      </c>
      <c r="BO233" s="251"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05" t="n"/>
      <c r="CM233" s="105" t="n"/>
      <c r="CN233" s="105" t="n"/>
      <c r="CO233" s="105" t="n"/>
      <c r="CP233" s="105" t="n"/>
      <c r="CQ233" s="105" t="n"/>
      <c r="CR233" s="105" t="n"/>
      <c r="CS233" s="105" t="n"/>
      <c r="CT233" s="105" t="n"/>
      <c r="CU233" s="105" t="n"/>
      <c r="CV233" s="105" t="n"/>
      <c r="CW233" s="105" t="n"/>
      <c r="CX233" s="105" t="n"/>
      <c r="CY233" s="105" t="n"/>
      <c r="CZ233" s="124">
        <f>+COUNTA(BV233:CY233)</f>
        <v/>
      </c>
      <c r="DA233" s="251" t="n"/>
      <c r="DB233" s="251" t="n"/>
      <c r="DC233" s="251" t="n"/>
      <c r="DD233" s="251" t="n"/>
      <c r="DE233" s="251" t="n"/>
      <c r="DF233" s="251" t="n"/>
      <c r="DG233" s="251" t="n"/>
      <c r="DH233" s="251" t="n"/>
      <c r="DI233" s="251" t="n"/>
      <c r="DJ233" s="251" t="inlineStr">
        <is>
          <t>T</t>
        </is>
      </c>
      <c r="DK233" s="251" t="n">
        <v>15</v>
      </c>
      <c r="DL233" s="95" t="n">
        <v>21</v>
      </c>
      <c r="DM233" s="251" t="n"/>
      <c r="DN233" s="95" t="n"/>
      <c r="DO233" s="95" t="n"/>
    </row>
    <row r="234" ht="13" customHeight="1">
      <c r="A234" s="203" t="inlineStr">
        <is>
          <t>CPS-23</t>
        </is>
      </c>
      <c r="B234" s="305"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1" t="inlineStr">
        <is>
          <t>532MACPS</t>
        </is>
      </c>
      <c r="BL234" s="61" t="inlineStr">
        <is>
          <t>GMAP-SIGA</t>
        </is>
      </c>
      <c r="BM234" s="251" t="inlineStr">
        <is>
          <t>NF</t>
        </is>
      </c>
      <c r="BN234" s="337" t="inlineStr">
        <is>
          <t>Jachucoposa</t>
        </is>
      </c>
      <c r="BO234" s="251"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42" t="n">
        <v>1</v>
      </c>
      <c r="CN234" s="105" t="n"/>
      <c r="CO234" s="105" t="n"/>
      <c r="CP234" s="105" t="n"/>
      <c r="CQ234" s="105" t="n"/>
      <c r="CR234" s="105" t="n"/>
      <c r="CS234" s="105" t="n"/>
      <c r="CT234" s="105" t="n"/>
      <c r="CU234" s="105" t="n"/>
      <c r="CV234" s="105" t="n"/>
      <c r="CW234" s="105" t="n"/>
      <c r="CX234" s="105" t="n"/>
      <c r="CY234" s="105" t="n"/>
      <c r="CZ234" s="124">
        <f>+COUNTA(BV234:CY234)</f>
        <v/>
      </c>
      <c r="DA234" s="251" t="n"/>
      <c r="DB234" s="251" t="n"/>
      <c r="DC234" s="251" t="n"/>
      <c r="DD234" s="251" t="n"/>
      <c r="DE234" s="251" t="n"/>
      <c r="DF234" s="251" t="n"/>
      <c r="DG234" s="251" t="n"/>
      <c r="DH234" s="251" t="n"/>
      <c r="DI234" s="251" t="n"/>
      <c r="DJ234" s="251" t="inlineStr">
        <is>
          <t>M</t>
        </is>
      </c>
      <c r="DK234" s="251" t="n">
        <v>15</v>
      </c>
      <c r="DL234" s="95" t="n">
        <v>21</v>
      </c>
      <c r="DM234" s="251" t="n"/>
      <c r="DN234" s="95" t="n"/>
      <c r="DO234" s="95" t="n"/>
    </row>
    <row r="235" ht="13" customHeight="1">
      <c r="A235" s="203" t="inlineStr">
        <is>
          <t>CPS-24</t>
        </is>
      </c>
      <c r="B235" s="305"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1" t="inlineStr">
        <is>
          <t>532MACPS</t>
        </is>
      </c>
      <c r="BL235" s="61" t="inlineStr">
        <is>
          <t>GMAP-SIGA</t>
        </is>
      </c>
      <c r="BM235" s="251" t="inlineStr">
        <is>
          <t>NF</t>
        </is>
      </c>
      <c r="BN235" s="337" t="inlineStr">
        <is>
          <t>Jachucoposa</t>
        </is>
      </c>
      <c r="BO235" s="251"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05" t="n"/>
      <c r="CM235" s="105" t="n"/>
      <c r="CN235" s="105" t="n"/>
      <c r="CO235" s="105" t="n"/>
      <c r="CP235" s="105" t="n"/>
      <c r="CQ235" s="105" t="n"/>
      <c r="CR235" s="105" t="n"/>
      <c r="CS235" s="105" t="n"/>
      <c r="CT235" s="105" t="n"/>
      <c r="CU235" s="105" t="n"/>
      <c r="CV235" s="105" t="n"/>
      <c r="CW235" s="105" t="n"/>
      <c r="CX235" s="105" t="n"/>
      <c r="CY235" s="105" t="n"/>
      <c r="CZ235" s="124">
        <f>+COUNTA(BV235:CY235)</f>
        <v/>
      </c>
      <c r="DA235" s="251" t="n"/>
      <c r="DB235" s="251" t="n"/>
      <c r="DC235" s="251" t="n"/>
      <c r="DD235" s="251" t="n"/>
      <c r="DE235" s="251" t="n"/>
      <c r="DF235" s="251" t="n"/>
      <c r="DG235" s="251" t="n"/>
      <c r="DH235" s="251" t="n"/>
      <c r="DI235" s="251" t="n"/>
      <c r="DJ235" s="251" t="inlineStr">
        <is>
          <t>T</t>
        </is>
      </c>
      <c r="DK235" s="251" t="n">
        <v>15</v>
      </c>
      <c r="DL235" s="95" t="n">
        <v>21</v>
      </c>
      <c r="DM235" s="251" t="n"/>
      <c r="DN235" s="95" t="n"/>
      <c r="DO235" s="95" t="n"/>
    </row>
    <row r="236" ht="13" customHeight="1">
      <c r="A236" s="203" t="inlineStr">
        <is>
          <t>CPS-25</t>
        </is>
      </c>
      <c r="B236" s="305"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1" t="inlineStr">
        <is>
          <t>532MACPS</t>
        </is>
      </c>
      <c r="BL236" s="61" t="inlineStr">
        <is>
          <t>GMAP-SIGA</t>
        </is>
      </c>
      <c r="BM236" s="251" t="inlineStr">
        <is>
          <t>NF</t>
        </is>
      </c>
      <c r="BN236" s="337" t="inlineStr">
        <is>
          <t>Jachucoposa</t>
        </is>
      </c>
      <c r="BO236" s="251"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05" t="n"/>
      <c r="CM236" s="105" t="n"/>
      <c r="CN236" s="105" t="n"/>
      <c r="CO236" s="105" t="n"/>
      <c r="CP236" s="105" t="n"/>
      <c r="CQ236" s="105" t="n"/>
      <c r="CR236" s="105" t="n"/>
      <c r="CS236" s="105" t="n"/>
      <c r="CT236" s="105" t="n"/>
      <c r="CU236" s="105" t="n"/>
      <c r="CV236" s="105" t="n"/>
      <c r="CW236" s="105" t="n"/>
      <c r="CX236" s="105" t="n"/>
      <c r="CY236" s="105" t="n"/>
      <c r="CZ236" s="124">
        <f>+COUNTA(BV236:CY236)</f>
        <v/>
      </c>
      <c r="DA236" s="251" t="n"/>
      <c r="DB236" s="251" t="n"/>
      <c r="DC236" s="251" t="n"/>
      <c r="DD236" s="251" t="n"/>
      <c r="DE236" s="251" t="n"/>
      <c r="DF236" s="251" t="n"/>
      <c r="DG236" s="251" t="n"/>
      <c r="DH236" s="251" t="n"/>
      <c r="DI236" s="251" t="n"/>
      <c r="DJ236" s="251" t="inlineStr">
        <is>
          <t>T</t>
        </is>
      </c>
      <c r="DK236" s="251" t="n">
        <v>15</v>
      </c>
      <c r="DL236" s="95" t="n">
        <v>21</v>
      </c>
      <c r="DM236" s="251" t="n"/>
      <c r="DN236" s="95" t="n"/>
      <c r="DO236" s="95" t="n"/>
    </row>
    <row r="237" ht="13" customHeight="1">
      <c r="A237" s="203" t="inlineStr">
        <is>
          <t>CPS-26</t>
        </is>
      </c>
      <c r="B237" s="305"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1" t="inlineStr">
        <is>
          <t>532MACPS</t>
        </is>
      </c>
      <c r="BL237" s="61" t="inlineStr">
        <is>
          <t>GMAP-SIGA</t>
        </is>
      </c>
      <c r="BM237" s="251" t="inlineStr">
        <is>
          <t>NF</t>
        </is>
      </c>
      <c r="BN237" s="337" t="inlineStr">
        <is>
          <t>Jachucoposa</t>
        </is>
      </c>
      <c r="BO237" s="251"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05" t="n"/>
      <c r="CM237" s="105" t="n"/>
      <c r="CN237" s="105" t="n"/>
      <c r="CO237" s="105" t="n"/>
      <c r="CP237" s="105" t="n"/>
      <c r="CQ237" s="105" t="n"/>
      <c r="CR237" s="105" t="n"/>
      <c r="CS237" s="105" t="n"/>
      <c r="CT237" s="105" t="n"/>
      <c r="CU237" s="105" t="n"/>
      <c r="CV237" s="105" t="n"/>
      <c r="CW237" s="105" t="n"/>
      <c r="CX237" s="105" t="n"/>
      <c r="CY237" s="105" t="n"/>
      <c r="CZ237" s="124">
        <f>+COUNTA(BV237:CY237)</f>
        <v/>
      </c>
      <c r="DA237" s="251" t="n"/>
      <c r="DB237" s="251" t="n"/>
      <c r="DC237" s="251" t="n"/>
      <c r="DD237" s="251" t="n"/>
      <c r="DE237" s="251" t="n"/>
      <c r="DF237" s="251" t="n"/>
      <c r="DG237" s="251" t="n"/>
      <c r="DH237" s="251" t="n"/>
      <c r="DI237" s="251" t="n"/>
      <c r="DJ237" s="251" t="inlineStr">
        <is>
          <t>T</t>
        </is>
      </c>
      <c r="DK237" s="251" t="n">
        <v>15</v>
      </c>
      <c r="DL237" s="95" t="n">
        <v>21</v>
      </c>
      <c r="DM237" s="251" t="n"/>
      <c r="DN237" s="95" t="n"/>
      <c r="DO237" s="95" t="n"/>
    </row>
    <row r="238" ht="13" customHeight="1">
      <c r="A238" s="215" t="inlineStr">
        <is>
          <t>CPS-27</t>
        </is>
      </c>
      <c r="B238" s="305"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1" t="inlineStr">
        <is>
          <t>532MACPS</t>
        </is>
      </c>
      <c r="BL238" s="61" t="inlineStr">
        <is>
          <t>GMAP-SIGA</t>
        </is>
      </c>
      <c r="BM238" s="251" t="inlineStr">
        <is>
          <t>NF</t>
        </is>
      </c>
      <c r="BN238" s="337" t="inlineStr">
        <is>
          <t>Jachucoposa</t>
        </is>
      </c>
      <c r="BO238" s="251"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05" t="n"/>
      <c r="CM238" s="105" t="n"/>
      <c r="CN238" s="105" t="n"/>
      <c r="CO238" s="105" t="n"/>
      <c r="CP238" s="105" t="n"/>
      <c r="CQ238" s="105" t="n"/>
      <c r="CR238" s="105" t="n"/>
      <c r="CS238" s="105" t="n"/>
      <c r="CT238" s="105" t="n"/>
      <c r="CU238" s="105" t="n"/>
      <c r="CV238" s="105" t="n"/>
      <c r="CW238" s="105" t="n"/>
      <c r="CX238" s="105" t="n"/>
      <c r="CY238" s="105" t="n"/>
      <c r="CZ238" s="124">
        <f>+COUNTA(BV238:CY238)</f>
        <v/>
      </c>
      <c r="DA238" s="251" t="n"/>
      <c r="DB238" s="251" t="n"/>
      <c r="DC238" s="251" t="n"/>
      <c r="DD238" s="251" t="n"/>
      <c r="DE238" s="251" t="n"/>
      <c r="DF238" s="251" t="n"/>
      <c r="DG238" s="251" t="n"/>
      <c r="DH238" s="251" t="n"/>
      <c r="DI238" s="251" t="n"/>
      <c r="DJ238" s="251" t="inlineStr">
        <is>
          <t>T</t>
        </is>
      </c>
      <c r="DK238" s="251" t="n">
        <v>15</v>
      </c>
      <c r="DL238" s="95" t="n">
        <v>21</v>
      </c>
      <c r="DM238" s="251" t="n"/>
      <c r="DN238" s="95" t="n"/>
      <c r="DO238" s="95" t="n"/>
    </row>
    <row r="239" ht="13" customHeight="1">
      <c r="A239" s="215" t="inlineStr">
        <is>
          <t>CPS-28</t>
        </is>
      </c>
      <c r="B239" s="305"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1" t="inlineStr">
        <is>
          <t>532MACPS</t>
        </is>
      </c>
      <c r="BL239" s="61" t="inlineStr">
        <is>
          <t>GMAP-SIGA</t>
        </is>
      </c>
      <c r="BM239" s="251" t="inlineStr">
        <is>
          <t>NF</t>
        </is>
      </c>
      <c r="BN239" s="337" t="inlineStr">
        <is>
          <t>Jachucoposa</t>
        </is>
      </c>
      <c r="BO239" s="251"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05" t="n"/>
      <c r="CM239" s="105" t="n"/>
      <c r="CN239" s="105" t="n"/>
      <c r="CO239" s="105" t="n"/>
      <c r="CP239" s="105" t="n"/>
      <c r="CQ239" s="105" t="n"/>
      <c r="CR239" s="105" t="n"/>
      <c r="CS239" s="105" t="n"/>
      <c r="CT239" s="105" t="n"/>
      <c r="CU239" s="105" t="n"/>
      <c r="CV239" s="105" t="n"/>
      <c r="CW239" s="105" t="n"/>
      <c r="CX239" s="105" t="n"/>
      <c r="CY239" s="105" t="n"/>
      <c r="CZ239" s="124">
        <f>+COUNTA(BV239:CY239)</f>
        <v/>
      </c>
      <c r="DA239" s="251" t="n"/>
      <c r="DB239" s="251" t="n"/>
      <c r="DC239" s="251" t="n"/>
      <c r="DD239" s="251" t="n"/>
      <c r="DE239" s="251" t="n"/>
      <c r="DF239" s="251" t="n"/>
      <c r="DG239" s="251" t="n"/>
      <c r="DH239" s="251" t="n"/>
      <c r="DI239" s="251" t="n"/>
      <c r="DJ239" s="251" t="inlineStr">
        <is>
          <t>T</t>
        </is>
      </c>
      <c r="DK239" s="251" t="n">
        <v>15</v>
      </c>
      <c r="DL239" s="95" t="n">
        <v>21</v>
      </c>
      <c r="DM239" s="251" t="n"/>
      <c r="DN239" s="95" t="n"/>
      <c r="DO239" s="95" t="n"/>
    </row>
    <row r="240" ht="13" customHeight="1">
      <c r="A240" s="215" t="inlineStr">
        <is>
          <t>CPS-33</t>
        </is>
      </c>
      <c r="B240" s="305"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1" t="inlineStr">
        <is>
          <t>532MACPS</t>
        </is>
      </c>
      <c r="BL240" s="61" t="inlineStr">
        <is>
          <t>GMAP-SIGA</t>
        </is>
      </c>
      <c r="BM240" s="251" t="inlineStr">
        <is>
          <t>NF</t>
        </is>
      </c>
      <c r="BN240" s="337" t="inlineStr">
        <is>
          <t>Jachucoposa</t>
        </is>
      </c>
      <c r="BO240" s="251"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05" t="n"/>
      <c r="CM240" s="105" t="n"/>
      <c r="CN240" s="105" t="n"/>
      <c r="CO240" s="105" t="n"/>
      <c r="CP240" s="105" t="n"/>
      <c r="CQ240" s="105" t="n"/>
      <c r="CR240" s="105" t="n"/>
      <c r="CS240" s="105" t="n"/>
      <c r="CT240" s="105" t="n"/>
      <c r="CU240" s="105" t="n"/>
      <c r="CV240" s="105" t="n"/>
      <c r="CW240" s="105" t="n"/>
      <c r="CX240" s="105" t="n"/>
      <c r="CY240" s="105" t="n"/>
      <c r="CZ240" s="124">
        <f>+COUNTA(BV240:CY240)</f>
        <v/>
      </c>
      <c r="DA240" s="251" t="n"/>
      <c r="DB240" s="251" t="n"/>
      <c r="DC240" s="251" t="n"/>
      <c r="DD240" s="251" t="n"/>
      <c r="DE240" s="251" t="n"/>
      <c r="DF240" s="251" t="n"/>
      <c r="DG240" s="251" t="n"/>
      <c r="DH240" s="251" t="n"/>
      <c r="DI240" s="251" t="n"/>
      <c r="DJ240" s="251" t="inlineStr">
        <is>
          <t>T</t>
        </is>
      </c>
      <c r="DK240" s="251" t="n">
        <v>15</v>
      </c>
      <c r="DL240" s="95" t="n">
        <v>21</v>
      </c>
      <c r="DM240" s="251" t="n"/>
      <c r="DN240" s="95" t="n"/>
      <c r="DO240" s="95" t="n"/>
    </row>
    <row r="241" ht="13" customHeight="1">
      <c r="A241" s="215" t="inlineStr">
        <is>
          <t>CPS-34</t>
        </is>
      </c>
      <c r="B241" s="305"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1" t="inlineStr">
        <is>
          <t>532MACPS</t>
        </is>
      </c>
      <c r="BL241" s="61" t="inlineStr">
        <is>
          <t>GMAP-SIGA</t>
        </is>
      </c>
      <c r="BM241" s="251" t="inlineStr">
        <is>
          <t>NF</t>
        </is>
      </c>
      <c r="BN241" s="337" t="inlineStr">
        <is>
          <t>Jachucoposa</t>
        </is>
      </c>
      <c r="BO241" s="251"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05" t="n"/>
      <c r="CM241" s="105" t="n"/>
      <c r="CN241" s="105" t="n"/>
      <c r="CO241" s="105" t="n"/>
      <c r="CP241" s="105" t="n"/>
      <c r="CQ241" s="105" t="n"/>
      <c r="CR241" s="105" t="n"/>
      <c r="CS241" s="105" t="n"/>
      <c r="CT241" s="105" t="n"/>
      <c r="CU241" s="105" t="n"/>
      <c r="CV241" s="105" t="n"/>
      <c r="CW241" s="105" t="n"/>
      <c r="CX241" s="105" t="n"/>
      <c r="CY241" s="105" t="n"/>
      <c r="CZ241" s="124">
        <f>+COUNTA(BV241:CY241)</f>
        <v/>
      </c>
      <c r="DA241" s="251" t="n"/>
      <c r="DB241" s="251" t="n"/>
      <c r="DC241" s="251" t="n"/>
      <c r="DD241" s="251" t="n"/>
      <c r="DE241" s="251" t="n"/>
      <c r="DF241" s="251" t="n"/>
      <c r="DG241" s="251" t="n"/>
      <c r="DH241" s="251" t="n"/>
      <c r="DI241" s="251" t="n"/>
      <c r="DJ241" s="251" t="inlineStr">
        <is>
          <t>T</t>
        </is>
      </c>
      <c r="DK241" s="251" t="n">
        <v>15</v>
      </c>
      <c r="DL241" s="95" t="n">
        <v>21</v>
      </c>
      <c r="DM241" s="251" t="n"/>
      <c r="DN241" s="95" t="n"/>
      <c r="DO241" s="95" t="n"/>
    </row>
    <row r="242" ht="13" customHeight="1">
      <c r="A242" s="215" t="inlineStr">
        <is>
          <t>CPS-35</t>
        </is>
      </c>
      <c r="B242" s="305"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1" t="inlineStr">
        <is>
          <t>532MACPS</t>
        </is>
      </c>
      <c r="BL242" s="61" t="inlineStr">
        <is>
          <t>GMAP-SIGA</t>
        </is>
      </c>
      <c r="BM242" s="251" t="inlineStr">
        <is>
          <t>NF</t>
        </is>
      </c>
      <c r="BN242" s="337" t="inlineStr">
        <is>
          <t>Jachucoposa</t>
        </is>
      </c>
      <c r="BO242" s="251"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05" t="n"/>
      <c r="CM242" s="105" t="n"/>
      <c r="CN242" s="105" t="n"/>
      <c r="CO242" s="105" t="n"/>
      <c r="CP242" s="105" t="n"/>
      <c r="CQ242" s="105" t="n"/>
      <c r="CR242" s="105" t="n"/>
      <c r="CS242" s="105" t="n"/>
      <c r="CT242" s="105" t="n"/>
      <c r="CU242" s="105" t="n"/>
      <c r="CV242" s="105" t="n"/>
      <c r="CW242" s="105" t="n"/>
      <c r="CX242" s="105" t="n"/>
      <c r="CY242" s="105" t="n"/>
      <c r="CZ242" s="124">
        <f>+COUNTA(BV242:CY242)</f>
        <v/>
      </c>
      <c r="DA242" s="251" t="n"/>
      <c r="DB242" s="251" t="n"/>
      <c r="DC242" s="251" t="n"/>
      <c r="DD242" s="251" t="n"/>
      <c r="DE242" s="251" t="n"/>
      <c r="DF242" s="251" t="n"/>
      <c r="DG242" s="251" t="n"/>
      <c r="DH242" s="251" t="n"/>
      <c r="DI242" s="251" t="n"/>
      <c r="DJ242" s="251" t="inlineStr">
        <is>
          <t>T</t>
        </is>
      </c>
      <c r="DK242" s="251" t="n">
        <v>15</v>
      </c>
      <c r="DL242" s="95" t="n">
        <v>21</v>
      </c>
      <c r="DM242" s="251" t="n"/>
      <c r="DN242" s="95" t="n"/>
      <c r="DO242" s="95" t="n"/>
    </row>
    <row r="243" ht="13" customHeight="1">
      <c r="A243" s="215" t="inlineStr">
        <is>
          <t>CPS-36</t>
        </is>
      </c>
      <c r="B243" s="305"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1" t="inlineStr">
        <is>
          <t>532MACPS</t>
        </is>
      </c>
      <c r="BL243" s="61" t="inlineStr">
        <is>
          <t>GMAP-SIGA</t>
        </is>
      </c>
      <c r="BM243" s="251" t="inlineStr">
        <is>
          <t>NF</t>
        </is>
      </c>
      <c r="BN243" s="337" t="inlineStr">
        <is>
          <t>Jachucoposa</t>
        </is>
      </c>
      <c r="BO243" s="251"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05" t="n"/>
      <c r="CM243" s="105" t="n"/>
      <c r="CN243" s="105" t="n"/>
      <c r="CO243" s="105" t="n"/>
      <c r="CP243" s="105" t="n"/>
      <c r="CQ243" s="105" t="n"/>
      <c r="CR243" s="105" t="n"/>
      <c r="CS243" s="105" t="n"/>
      <c r="CT243" s="105" t="n"/>
      <c r="CU243" s="105" t="n"/>
      <c r="CV243" s="105" t="n"/>
      <c r="CW243" s="105" t="n"/>
      <c r="CX243" s="105" t="n"/>
      <c r="CY243" s="105" t="n"/>
      <c r="CZ243" s="124">
        <f>+COUNTA(BV243:CY243)</f>
        <v/>
      </c>
      <c r="DA243" s="251" t="n"/>
      <c r="DB243" s="251" t="n"/>
      <c r="DC243" s="251" t="n"/>
      <c r="DD243" s="251" t="n"/>
      <c r="DE243" s="251" t="n"/>
      <c r="DF243" s="251" t="n"/>
      <c r="DG243" s="251" t="n"/>
      <c r="DH243" s="251" t="n"/>
      <c r="DI243" s="251" t="n"/>
      <c r="DJ243" s="251" t="inlineStr">
        <is>
          <t>T</t>
        </is>
      </c>
      <c r="DK243" s="251" t="n">
        <v>15</v>
      </c>
      <c r="DL243" s="95" t="n">
        <v>21</v>
      </c>
      <c r="DM243" s="251" t="n"/>
      <c r="DN243" s="95" t="n"/>
      <c r="DO243" s="95" t="n"/>
    </row>
    <row r="244" ht="13" customHeight="1">
      <c r="A244" s="215" t="inlineStr">
        <is>
          <t>CPS-37</t>
        </is>
      </c>
      <c r="B244" s="305"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1" t="inlineStr">
        <is>
          <t>532MACPS</t>
        </is>
      </c>
      <c r="BL244" s="61" t="inlineStr">
        <is>
          <t>GMAP-SIGA</t>
        </is>
      </c>
      <c r="BM244" s="251" t="inlineStr">
        <is>
          <t>NF</t>
        </is>
      </c>
      <c r="BN244" s="337" t="inlineStr">
        <is>
          <t>Jachucoposa</t>
        </is>
      </c>
      <c r="BO244" s="251"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05" t="n"/>
      <c r="CM244" s="105" t="n"/>
      <c r="CN244" s="105" t="n"/>
      <c r="CO244" s="105" t="n"/>
      <c r="CP244" s="105" t="n"/>
      <c r="CQ244" s="105" t="n"/>
      <c r="CR244" s="105" t="n"/>
      <c r="CS244" s="105" t="n"/>
      <c r="CT244" s="105" t="n"/>
      <c r="CU244" s="105" t="n"/>
      <c r="CV244" s="105" t="n"/>
      <c r="CW244" s="105" t="n"/>
      <c r="CX244" s="105" t="n"/>
      <c r="CY244" s="105" t="n"/>
      <c r="CZ244" s="124">
        <f>+COUNTA(BV244:CY244)</f>
        <v/>
      </c>
      <c r="DA244" s="251" t="n"/>
      <c r="DB244" s="251" t="n"/>
      <c r="DC244" s="251" t="n"/>
      <c r="DD244" s="251" t="n"/>
      <c r="DE244" s="251" t="n"/>
      <c r="DF244" s="251" t="n"/>
      <c r="DG244" s="251" t="n"/>
      <c r="DH244" s="251" t="n"/>
      <c r="DI244" s="251" t="n"/>
      <c r="DJ244" s="251" t="inlineStr">
        <is>
          <t>T</t>
        </is>
      </c>
      <c r="DK244" s="251" t="n">
        <v>15</v>
      </c>
      <c r="DL244" s="95" t="n">
        <v>21</v>
      </c>
      <c r="DM244" s="251" t="n"/>
      <c r="DN244" s="95" t="n"/>
      <c r="DO244" s="95" t="n"/>
    </row>
    <row r="245" ht="13" customHeight="1">
      <c r="A245" s="215" t="inlineStr">
        <is>
          <t>CPS-38</t>
        </is>
      </c>
      <c r="B245" s="305"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1" t="inlineStr">
        <is>
          <t>532MACPS</t>
        </is>
      </c>
      <c r="BL245" s="61" t="inlineStr">
        <is>
          <t>GMAP-SIGA</t>
        </is>
      </c>
      <c r="BM245" s="251" t="inlineStr">
        <is>
          <t>NF</t>
        </is>
      </c>
      <c r="BN245" s="337" t="inlineStr">
        <is>
          <t>Jachucoposa</t>
        </is>
      </c>
      <c r="BO245" s="251"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05" t="n"/>
      <c r="CM245" s="105" t="n"/>
      <c r="CN245" s="105" t="n"/>
      <c r="CO245" s="105" t="n"/>
      <c r="CP245" s="105" t="n"/>
      <c r="CQ245" s="105" t="n"/>
      <c r="CR245" s="105" t="n"/>
      <c r="CS245" s="105" t="n"/>
      <c r="CT245" s="105" t="n"/>
      <c r="CU245" s="105" t="n"/>
      <c r="CV245" s="105" t="n"/>
      <c r="CW245" s="105" t="n"/>
      <c r="CX245" s="105" t="n"/>
      <c r="CY245" s="105" t="n"/>
      <c r="CZ245" s="124">
        <f>+COUNTA(BV245:CY245)</f>
        <v/>
      </c>
      <c r="DA245" s="251" t="n"/>
      <c r="DB245" s="251" t="n"/>
      <c r="DC245" s="251" t="n"/>
      <c r="DD245" s="251" t="n"/>
      <c r="DE245" s="251" t="n"/>
      <c r="DF245" s="251" t="n"/>
      <c r="DG245" s="251" t="n"/>
      <c r="DH245" s="251" t="n"/>
      <c r="DI245" s="251" t="n"/>
      <c r="DJ245" s="251" t="inlineStr">
        <is>
          <t>T</t>
        </is>
      </c>
      <c r="DK245" s="251" t="n">
        <v>15</v>
      </c>
      <c r="DL245" s="95" t="n">
        <v>21</v>
      </c>
      <c r="DM245" s="251" t="n"/>
      <c r="DN245" s="95" t="n"/>
      <c r="DO245" s="95" t="n"/>
    </row>
    <row r="246" ht="13" customHeight="1">
      <c r="A246" s="215" t="inlineStr">
        <is>
          <t>CPS-40</t>
        </is>
      </c>
      <c r="B246" s="305"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1" t="inlineStr">
        <is>
          <t>532MACPS</t>
        </is>
      </c>
      <c r="BL246" s="61" t="inlineStr">
        <is>
          <t>GMAP-SIGA</t>
        </is>
      </c>
      <c r="BM246" s="251" t="inlineStr">
        <is>
          <t>NF</t>
        </is>
      </c>
      <c r="BN246" s="337" t="inlineStr">
        <is>
          <t>Jachucoposa</t>
        </is>
      </c>
      <c r="BO246" s="251"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05" t="n"/>
      <c r="CM246" s="105" t="n"/>
      <c r="CN246" s="105" t="n"/>
      <c r="CO246" s="105" t="n"/>
      <c r="CP246" s="105" t="n"/>
      <c r="CQ246" s="105" t="n"/>
      <c r="CR246" s="105" t="n"/>
      <c r="CS246" s="105" t="n"/>
      <c r="CT246" s="105" t="n"/>
      <c r="CU246" s="105" t="n"/>
      <c r="CV246" s="105" t="n"/>
      <c r="CW246" s="105" t="n"/>
      <c r="CX246" s="105" t="n"/>
      <c r="CY246" s="105" t="n"/>
      <c r="CZ246" s="124">
        <f>+COUNTA(BV246:CY246)</f>
        <v/>
      </c>
      <c r="DA246" s="251" t="n"/>
      <c r="DB246" s="251" t="n"/>
      <c r="DC246" s="251" t="n"/>
      <c r="DD246" s="251" t="n"/>
      <c r="DE246" s="251" t="n"/>
      <c r="DF246" s="251" t="n"/>
      <c r="DG246" s="251" t="n"/>
      <c r="DH246" s="251" t="n"/>
      <c r="DI246" s="251" t="n"/>
      <c r="DJ246" s="251" t="inlineStr">
        <is>
          <t>T</t>
        </is>
      </c>
      <c r="DK246" s="251" t="n">
        <v>15</v>
      </c>
      <c r="DL246" s="95" t="n">
        <v>21</v>
      </c>
      <c r="DM246" s="251" t="n"/>
      <c r="DN246" s="95" t="n"/>
      <c r="DO246" s="95" t="n"/>
    </row>
    <row r="247" ht="13" customHeight="1">
      <c r="A247" s="215" t="inlineStr">
        <is>
          <t>CPS-41</t>
        </is>
      </c>
      <c r="B247" s="305"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1" t="inlineStr">
        <is>
          <t>532MACPS</t>
        </is>
      </c>
      <c r="BL247" s="61" t="inlineStr">
        <is>
          <t>GMAP-SIGA</t>
        </is>
      </c>
      <c r="BM247" s="251" t="inlineStr">
        <is>
          <t>NF</t>
        </is>
      </c>
      <c r="BN247" s="337" t="inlineStr">
        <is>
          <t>Jachucoposa</t>
        </is>
      </c>
      <c r="BO247" s="251"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05" t="n"/>
      <c r="CM247" s="105" t="n"/>
      <c r="CN247" s="105" t="n"/>
      <c r="CO247" s="105" t="n"/>
      <c r="CP247" s="105" t="n"/>
      <c r="CQ247" s="105" t="n"/>
      <c r="CR247" s="105" t="n"/>
      <c r="CS247" s="105" t="n"/>
      <c r="CT247" s="105" t="n"/>
      <c r="CU247" s="105" t="n"/>
      <c r="CV247" s="105" t="n"/>
      <c r="CW247" s="105" t="n"/>
      <c r="CX247" s="105" t="n"/>
      <c r="CY247" s="105" t="n"/>
      <c r="CZ247" s="124">
        <f>+COUNTA(BV247:CY247)</f>
        <v/>
      </c>
      <c r="DA247" s="251" t="n"/>
      <c r="DB247" s="251" t="n"/>
      <c r="DC247" s="251" t="n"/>
      <c r="DD247" s="251" t="n"/>
      <c r="DE247" s="251" t="n"/>
      <c r="DF247" s="251" t="n"/>
      <c r="DG247" s="251" t="n"/>
      <c r="DH247" s="251" t="n"/>
      <c r="DI247" s="251" t="n"/>
      <c r="DJ247" s="251" t="inlineStr">
        <is>
          <t>T</t>
        </is>
      </c>
      <c r="DK247" s="251" t="n">
        <v>15</v>
      </c>
      <c r="DL247" s="95" t="n">
        <v>21</v>
      </c>
      <c r="DM247" s="251" t="n"/>
      <c r="DN247" s="95" t="n"/>
      <c r="DO247" s="95" t="n"/>
    </row>
    <row r="248" ht="13" customHeight="1">
      <c r="A248" s="215" t="inlineStr">
        <is>
          <t>CPS-43</t>
        </is>
      </c>
      <c r="B248" s="305"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1" t="inlineStr">
        <is>
          <t>532MACPS</t>
        </is>
      </c>
      <c r="BL248" s="61" t="inlineStr">
        <is>
          <t>GMAP-SIGA</t>
        </is>
      </c>
      <c r="BM248" s="251" t="inlineStr">
        <is>
          <t>NF</t>
        </is>
      </c>
      <c r="BN248" s="337" t="inlineStr">
        <is>
          <t>Jachucoposa</t>
        </is>
      </c>
      <c r="BO248" s="251"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05" t="n"/>
      <c r="CM248" s="105" t="n"/>
      <c r="CN248" s="105" t="n"/>
      <c r="CO248" s="105" t="n"/>
      <c r="CP248" s="105" t="n"/>
      <c r="CQ248" s="105" t="n"/>
      <c r="CR248" s="105" t="n"/>
      <c r="CS248" s="105" t="n"/>
      <c r="CT248" s="105" t="n"/>
      <c r="CU248" s="105" t="n"/>
      <c r="CV248" s="105" t="n"/>
      <c r="CW248" s="105" t="n"/>
      <c r="CX248" s="105" t="n"/>
      <c r="CY248" s="105" t="n"/>
      <c r="CZ248" s="124">
        <f>+COUNTA(BV248:CY248)</f>
        <v/>
      </c>
      <c r="DA248" s="251" t="n"/>
      <c r="DB248" s="251" t="n"/>
      <c r="DC248" s="251" t="n"/>
      <c r="DD248" s="251" t="n"/>
      <c r="DE248" s="251" t="n"/>
      <c r="DF248" s="251" t="n"/>
      <c r="DG248" s="251" t="n"/>
      <c r="DH248" s="251" t="n"/>
      <c r="DI248" s="251" t="n"/>
      <c r="DJ248" s="251" t="inlineStr">
        <is>
          <t>T</t>
        </is>
      </c>
      <c r="DK248" s="251" t="n">
        <v>15</v>
      </c>
      <c r="DL248" s="95" t="n">
        <v>21</v>
      </c>
      <c r="DM248" s="251" t="n"/>
      <c r="DN248" s="95" t="n"/>
      <c r="DO248" s="95" t="n"/>
    </row>
    <row r="249" ht="13" customHeight="1">
      <c r="A249" s="215" t="inlineStr">
        <is>
          <t>CPS-44</t>
        </is>
      </c>
      <c r="B249" s="305"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1" t="inlineStr">
        <is>
          <t>532MACPS</t>
        </is>
      </c>
      <c r="BL249" s="61" t="inlineStr">
        <is>
          <t>GMAP-SIGA</t>
        </is>
      </c>
      <c r="BM249" s="251" t="inlineStr">
        <is>
          <t>NF</t>
        </is>
      </c>
      <c r="BN249" s="337" t="inlineStr">
        <is>
          <t>Jachucoposa</t>
        </is>
      </c>
      <c r="BO249" s="251"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24">
        <f>+COUNTA(BV249:CY249)</f>
        <v/>
      </c>
      <c r="DA249" s="251" t="n"/>
      <c r="DB249" s="251" t="n"/>
      <c r="DC249" s="251" t="n"/>
      <c r="DD249" s="251" t="n"/>
      <c r="DE249" s="251" t="n"/>
      <c r="DF249" s="251" t="n"/>
      <c r="DG249" s="251" t="n"/>
      <c r="DH249" s="251" t="n"/>
      <c r="DI249" s="251" t="n"/>
      <c r="DJ249" s="251" t="inlineStr">
        <is>
          <t>T</t>
        </is>
      </c>
      <c r="DK249" s="251" t="n">
        <v>15</v>
      </c>
      <c r="DL249" s="95" t="n">
        <v>21</v>
      </c>
      <c r="DM249" s="251" t="n"/>
      <c r="DN249" s="95" t="n"/>
      <c r="DO249" s="95" t="n"/>
    </row>
    <row r="250" ht="13" customHeight="1">
      <c r="A250" s="215" t="inlineStr">
        <is>
          <t>CPS-45</t>
        </is>
      </c>
      <c r="B250" s="305"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1" t="inlineStr">
        <is>
          <t>532MACPS</t>
        </is>
      </c>
      <c r="BL250" s="61" t="inlineStr">
        <is>
          <t>GMAP-SIGA</t>
        </is>
      </c>
      <c r="BM250" s="251" t="inlineStr">
        <is>
          <t>NF</t>
        </is>
      </c>
      <c r="BN250" s="337" t="inlineStr">
        <is>
          <t>Jachucoposa</t>
        </is>
      </c>
      <c r="BO250" s="251"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24">
        <f>+COUNTA(BV250:CY250)</f>
        <v/>
      </c>
      <c r="DA250" s="251" t="n"/>
      <c r="DB250" s="251" t="n"/>
      <c r="DC250" s="251" t="n"/>
      <c r="DD250" s="251" t="n"/>
      <c r="DE250" s="251" t="n"/>
      <c r="DF250" s="251" t="n"/>
      <c r="DG250" s="251" t="n"/>
      <c r="DH250" s="251" t="n"/>
      <c r="DI250" s="251" t="n"/>
      <c r="DJ250" s="251" t="inlineStr">
        <is>
          <t>T</t>
        </is>
      </c>
      <c r="DK250" s="251" t="n">
        <v>15</v>
      </c>
      <c r="DL250" s="95" t="n">
        <v>21</v>
      </c>
      <c r="DM250" s="251" t="n"/>
      <c r="DN250" s="95" t="n"/>
      <c r="DO250" s="95" t="n"/>
    </row>
    <row r="251" ht="13" customHeight="1">
      <c r="A251" s="215" t="inlineStr">
        <is>
          <t>CPS-46</t>
        </is>
      </c>
      <c r="B251" s="305"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1" t="inlineStr">
        <is>
          <t>532MACPS</t>
        </is>
      </c>
      <c r="BL251" s="61" t="inlineStr">
        <is>
          <t>GMAP-SIGA</t>
        </is>
      </c>
      <c r="BM251" s="251" t="inlineStr">
        <is>
          <t>NF</t>
        </is>
      </c>
      <c r="BN251" s="337" t="inlineStr">
        <is>
          <t>Jachucoposa</t>
        </is>
      </c>
      <c r="BO251" s="251"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24">
        <f>+COUNTA(BV251:CY251)</f>
        <v/>
      </c>
      <c r="DA251" s="251" t="n"/>
      <c r="DB251" s="251" t="n"/>
      <c r="DC251" s="251" t="n"/>
      <c r="DD251" s="251" t="n"/>
      <c r="DE251" s="251" t="n"/>
      <c r="DF251" s="251" t="n"/>
      <c r="DG251" s="251" t="n"/>
      <c r="DH251" s="251" t="n"/>
      <c r="DI251" s="251" t="n"/>
      <c r="DJ251" s="251" t="inlineStr">
        <is>
          <t>T</t>
        </is>
      </c>
      <c r="DK251" s="251" t="n">
        <v>15</v>
      </c>
      <c r="DL251" s="95" t="n">
        <v>21</v>
      </c>
      <c r="DM251" s="251" t="n"/>
      <c r="DN251" s="95" t="n"/>
      <c r="DO251" s="95" t="n"/>
    </row>
    <row r="252" ht="13" customHeight="1">
      <c r="A252" s="215" t="inlineStr">
        <is>
          <t>CPS-47</t>
        </is>
      </c>
      <c r="B252" s="305"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1" t="inlineStr">
        <is>
          <t>532MACPS</t>
        </is>
      </c>
      <c r="BL252" s="61" t="inlineStr">
        <is>
          <t>GMAP-SIGA</t>
        </is>
      </c>
      <c r="BM252" s="251" t="inlineStr">
        <is>
          <t>NF</t>
        </is>
      </c>
      <c r="BN252" s="337" t="inlineStr">
        <is>
          <t>Jachucoposa</t>
        </is>
      </c>
      <c r="BO252" s="251"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24">
        <f>+COUNTA(BV252:CY252)</f>
        <v/>
      </c>
      <c r="DA252" s="251" t="n"/>
      <c r="DB252" s="251" t="n"/>
      <c r="DC252" s="251" t="n"/>
      <c r="DD252" s="251" t="n"/>
      <c r="DE252" s="251" t="n"/>
      <c r="DF252" s="251" t="n"/>
      <c r="DG252" s="251" t="n"/>
      <c r="DH252" s="251" t="n"/>
      <c r="DI252" s="251" t="n"/>
      <c r="DJ252" s="251" t="inlineStr">
        <is>
          <t>T</t>
        </is>
      </c>
      <c r="DK252" s="251" t="n">
        <v>15</v>
      </c>
      <c r="DL252" s="95" t="n">
        <v>21</v>
      </c>
      <c r="DM252" s="251" t="n"/>
      <c r="DN252" s="95" t="n"/>
      <c r="DO252" s="95" t="n"/>
    </row>
    <row r="253" ht="13" customHeight="1">
      <c r="A253" s="215" t="inlineStr">
        <is>
          <t>CPS-48</t>
        </is>
      </c>
      <c r="B253" s="305"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1" t="inlineStr">
        <is>
          <t>532MACPS</t>
        </is>
      </c>
      <c r="BL253" s="61" t="inlineStr">
        <is>
          <t>GMAP-SIGA</t>
        </is>
      </c>
      <c r="BM253" s="251" t="inlineStr">
        <is>
          <t>NF</t>
        </is>
      </c>
      <c r="BN253" s="337" t="inlineStr">
        <is>
          <t>Jachucoposa</t>
        </is>
      </c>
      <c r="BO253" s="251"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24">
        <f>+COUNTA(BV253:CY253)</f>
        <v/>
      </c>
      <c r="DA253" s="251" t="n"/>
      <c r="DB253" s="251" t="n"/>
      <c r="DC253" s="251" t="n"/>
      <c r="DD253" s="251" t="n"/>
      <c r="DE253" s="251" t="n"/>
      <c r="DF253" s="251" t="n"/>
      <c r="DG253" s="251" t="n"/>
      <c r="DH253" s="251" t="n"/>
      <c r="DI253" s="251" t="n"/>
      <c r="DJ253" s="251" t="inlineStr">
        <is>
          <t>T</t>
        </is>
      </c>
      <c r="DK253" s="251" t="n">
        <v>15</v>
      </c>
      <c r="DL253" s="95" t="n">
        <v>21</v>
      </c>
      <c r="DM253" s="251" t="n"/>
      <c r="DN253" s="95" t="n"/>
      <c r="DO253" s="95" t="n"/>
    </row>
    <row r="254" ht="13" customHeight="1">
      <c r="A254" s="215" t="inlineStr">
        <is>
          <t>CPS-49</t>
        </is>
      </c>
      <c r="B254" s="305"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1" t="inlineStr">
        <is>
          <t>532MACPS</t>
        </is>
      </c>
      <c r="BL254" s="61" t="inlineStr">
        <is>
          <t>GMAP-SIGA</t>
        </is>
      </c>
      <c r="BM254" s="251" t="inlineStr">
        <is>
          <t>NF</t>
        </is>
      </c>
      <c r="BN254" s="337" t="inlineStr">
        <is>
          <t>Jachucoposa</t>
        </is>
      </c>
      <c r="BO254" s="251"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24">
        <f>+COUNTA(BV254:CY254)</f>
        <v/>
      </c>
      <c r="DA254" s="251" t="n"/>
      <c r="DB254" s="251" t="n"/>
      <c r="DC254" s="251" t="n"/>
      <c r="DD254" s="251" t="n"/>
      <c r="DE254" s="251" t="n"/>
      <c r="DF254" s="251" t="n"/>
      <c r="DG254" s="251" t="n"/>
      <c r="DH254" s="251" t="n"/>
      <c r="DI254" s="251" t="n"/>
      <c r="DJ254" s="251" t="inlineStr">
        <is>
          <t>T</t>
        </is>
      </c>
      <c r="DK254" s="251" t="n">
        <v>15</v>
      </c>
      <c r="DL254" s="95" t="n">
        <v>21</v>
      </c>
      <c r="DM254" s="251" t="n"/>
      <c r="DN254" s="95" t="n"/>
      <c r="DO254" s="95" t="n"/>
    </row>
    <row r="255" ht="13" customHeight="1">
      <c r="A255" s="215" t="inlineStr">
        <is>
          <t>CPS-50</t>
        </is>
      </c>
      <c r="B255" s="305"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1" t="inlineStr">
        <is>
          <t>532MACPS</t>
        </is>
      </c>
      <c r="BL255" s="61" t="inlineStr">
        <is>
          <t>GMAP-SIGA</t>
        </is>
      </c>
      <c r="BM255" s="251" t="inlineStr">
        <is>
          <t>NF</t>
        </is>
      </c>
      <c r="BN255" s="337" t="inlineStr">
        <is>
          <t>Jachucoposa</t>
        </is>
      </c>
      <c r="BO255" s="251"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24">
        <f>+COUNTA(BV255:CY255)</f>
        <v/>
      </c>
      <c r="DA255" s="251" t="n"/>
      <c r="DB255" s="251" t="n"/>
      <c r="DC255" s="251" t="n"/>
      <c r="DD255" s="251" t="n"/>
      <c r="DE255" s="251" t="n"/>
      <c r="DF255" s="251" t="n"/>
      <c r="DG255" s="251" t="n"/>
      <c r="DH255" s="251" t="n"/>
      <c r="DI255" s="251" t="n"/>
      <c r="DJ255" s="251" t="inlineStr">
        <is>
          <t>T</t>
        </is>
      </c>
      <c r="DK255" s="251" t="n">
        <v>15</v>
      </c>
      <c r="DL255" s="95" t="n">
        <v>21</v>
      </c>
      <c r="DM255" s="251" t="n"/>
      <c r="DN255" s="95" t="n"/>
      <c r="DO255" s="95" t="n"/>
    </row>
    <row r="256" ht="13" customHeight="1">
      <c r="A256" s="215" t="inlineStr">
        <is>
          <t>CPS-54</t>
        </is>
      </c>
      <c r="B256" s="305"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1" t="inlineStr">
        <is>
          <t>532MACPS</t>
        </is>
      </c>
      <c r="BL256" s="61" t="inlineStr">
        <is>
          <t>GMAP-SIGA</t>
        </is>
      </c>
      <c r="BM256" s="251" t="inlineStr">
        <is>
          <t>NF</t>
        </is>
      </c>
      <c r="BN256" s="337" t="inlineStr">
        <is>
          <t>Jachucoposa</t>
        </is>
      </c>
      <c r="BO256" s="251"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42" t="n">
        <v>1</v>
      </c>
      <c r="CN256" s="105" t="n"/>
      <c r="CO256" s="105" t="n"/>
      <c r="CP256" s="105" t="n"/>
      <c r="CQ256" s="105" t="n"/>
      <c r="CR256" s="105" t="n"/>
      <c r="CS256" s="105" t="n"/>
      <c r="CT256" s="105" t="n"/>
      <c r="CU256" s="105" t="n"/>
      <c r="CV256" s="105" t="n"/>
      <c r="CW256" s="105" t="n"/>
      <c r="CX256" s="105" t="n"/>
      <c r="CY256" s="105" t="n"/>
      <c r="CZ256" s="124">
        <f>+COUNTA(BV256:CY256)</f>
        <v/>
      </c>
      <c r="DA256" s="251" t="n"/>
      <c r="DB256" s="251" t="n"/>
      <c r="DC256" s="251" t="n"/>
      <c r="DD256" s="251" t="n"/>
      <c r="DE256" s="251" t="n"/>
      <c r="DF256" s="251" t="n"/>
      <c r="DG256" s="251" t="n"/>
      <c r="DH256" s="251" t="n"/>
      <c r="DI256" s="251" t="n"/>
      <c r="DJ256" s="251" t="inlineStr">
        <is>
          <t>M</t>
        </is>
      </c>
      <c r="DK256" s="251" t="n">
        <v>15</v>
      </c>
      <c r="DL256" s="95" t="n">
        <v>21</v>
      </c>
      <c r="DM256" s="251" t="n"/>
      <c r="DN256" s="95" t="n"/>
      <c r="DO256" s="95" t="n"/>
    </row>
    <row r="257" ht="14.5" customHeight="1">
      <c r="A257" s="215" t="inlineStr">
        <is>
          <t>CPS-55</t>
        </is>
      </c>
      <c r="B257" s="305"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1" t="inlineStr">
        <is>
          <t>532MACPS</t>
        </is>
      </c>
      <c r="BL257" s="61" t="inlineStr">
        <is>
          <t>GMAP-SIGA</t>
        </is>
      </c>
      <c r="BM257" s="251" t="inlineStr">
        <is>
          <t>NF</t>
        </is>
      </c>
      <c r="BN257" s="337" t="inlineStr">
        <is>
          <t>Jachucoposa</t>
        </is>
      </c>
      <c r="BO257" s="251"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42" t="n">
        <v>1</v>
      </c>
      <c r="CN257" s="105" t="n"/>
      <c r="CO257" s="105" t="n"/>
      <c r="CP257" s="105" t="n"/>
      <c r="CQ257" s="105" t="n"/>
      <c r="CR257" s="105" t="n"/>
      <c r="CS257" s="105" t="n"/>
      <c r="CT257" s="105" t="n"/>
      <c r="CU257" s="105" t="n"/>
      <c r="CV257" s="105" t="n"/>
      <c r="CW257" s="105" t="n"/>
      <c r="CX257" s="105" t="n"/>
      <c r="CY257" s="105" t="n"/>
      <c r="CZ257" s="124">
        <f>+COUNTA(BV257:CY257)</f>
        <v/>
      </c>
      <c r="DA257" s="251" t="n"/>
      <c r="DB257" s="251" t="n"/>
      <c r="DC257" s="251" t="n"/>
      <c r="DD257" s="251" t="n"/>
      <c r="DE257" s="251" t="n"/>
      <c r="DF257" s="251" t="n"/>
      <c r="DG257" s="251" t="n"/>
      <c r="DH257" s="251" t="n"/>
      <c r="DI257" s="251" t="n"/>
      <c r="DJ257" s="251" t="inlineStr">
        <is>
          <t>M</t>
        </is>
      </c>
      <c r="DK257" s="251" t="n">
        <v>15</v>
      </c>
      <c r="DL257" s="95" t="n">
        <v>21</v>
      </c>
      <c r="DM257" s="251" t="n"/>
      <c r="DN257" s="95" t="n"/>
      <c r="DO257" s="95" t="n"/>
    </row>
    <row r="258" ht="13" customHeight="1">
      <c r="A258" s="203" t="inlineStr">
        <is>
          <t>CPZ-01</t>
        </is>
      </c>
      <c r="B258" s="305"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1" t="inlineStr">
        <is>
          <t>532MACPZ</t>
        </is>
      </c>
      <c r="BL258" s="61" t="inlineStr">
        <is>
          <t>GMAP-SIGA</t>
        </is>
      </c>
      <c r="BM258" s="251" t="inlineStr">
        <is>
          <t>NF</t>
        </is>
      </c>
      <c r="BN258" s="337" t="inlineStr">
        <is>
          <t>Coposa sur</t>
        </is>
      </c>
      <c r="BO258" s="251"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05" t="n"/>
      <c r="CQ258" s="105" t="n"/>
      <c r="CR258" s="105" t="n"/>
      <c r="CS258" s="105" t="n"/>
      <c r="CT258" s="105" t="n"/>
      <c r="CU258" s="105" t="n"/>
      <c r="CV258" s="105" t="n"/>
      <c r="CW258" s="105" t="n"/>
      <c r="CX258" s="105" t="n"/>
      <c r="CY258" s="105" t="n"/>
      <c r="CZ258" s="124">
        <f>+COUNTA(BV258:CY258)</f>
        <v/>
      </c>
      <c r="DA258" s="251" t="n"/>
      <c r="DB258" s="251" t="n"/>
      <c r="DC258" s="251" t="n"/>
      <c r="DD258" s="251" t="n"/>
      <c r="DE258" s="251" t="n"/>
      <c r="DF258" s="251" t="n"/>
      <c r="DG258" s="251" t="n"/>
      <c r="DH258" s="251" t="n"/>
      <c r="DI258" s="251" t="n"/>
      <c r="DJ258" s="251" t="inlineStr">
        <is>
          <t>M</t>
        </is>
      </c>
      <c r="DK258" s="251" t="n">
        <v>22</v>
      </c>
      <c r="DL258" s="95" t="n">
        <v>28</v>
      </c>
      <c r="DM258" s="251" t="n"/>
      <c r="DN258" s="95" t="n"/>
      <c r="DO258" s="95" t="n"/>
    </row>
    <row r="259" ht="13" customHeight="1">
      <c r="A259" s="203" t="inlineStr">
        <is>
          <t>CPZ-03A</t>
        </is>
      </c>
      <c r="B259" s="305"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1" t="inlineStr">
        <is>
          <t>532MACPZ</t>
        </is>
      </c>
      <c r="BL259" s="61" t="inlineStr">
        <is>
          <t>GMAP-SIGA</t>
        </is>
      </c>
      <c r="BM259" s="251" t="inlineStr">
        <is>
          <t>NF</t>
        </is>
      </c>
      <c r="BN259" s="337" t="inlineStr">
        <is>
          <t>Coposa Norte</t>
        </is>
      </c>
      <c r="BO259" s="168"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CA259" s="105" t="n"/>
      <c r="CB259" s="105" t="n"/>
      <c r="CC259" s="105" t="n"/>
      <c r="CD259" s="105" t="n"/>
      <c r="CE259" s="105" t="n"/>
      <c r="CF259" s="105" t="n"/>
      <c r="CG259" s="142" t="n">
        <v>1</v>
      </c>
      <c r="CH259" s="105" t="n"/>
      <c r="CI259" s="105" t="n"/>
      <c r="CJ259" s="105" t="n"/>
      <c r="CK259" s="105" t="n"/>
      <c r="CL259" s="105" t="n"/>
      <c r="CM259" s="105" t="n"/>
      <c r="CN259" s="105" t="n"/>
      <c r="CO259" s="105" t="n"/>
      <c r="CP259" s="105" t="n"/>
      <c r="CQ259" s="105" t="n"/>
      <c r="CR259" s="105" t="n"/>
      <c r="CS259" s="105" t="n"/>
      <c r="CT259" s="105" t="n"/>
      <c r="CU259" s="105" t="n"/>
      <c r="CV259" s="105" t="n"/>
      <c r="CW259" s="105" t="n"/>
      <c r="CX259" s="105" t="n"/>
      <c r="CY259" s="105" t="n"/>
      <c r="CZ259" s="124">
        <f>+COUNTA(BV259:CY259)</f>
        <v/>
      </c>
      <c r="DA259" s="251" t="n"/>
      <c r="DB259" s="251" t="n"/>
      <c r="DC259" s="251" t="n"/>
      <c r="DD259" s="251" t="n"/>
      <c r="DE259" s="251" t="n"/>
      <c r="DF259" s="251" t="n"/>
      <c r="DG259" s="251" t="n"/>
      <c r="DH259" s="251" t="n"/>
      <c r="DI259" s="251" t="n"/>
      <c r="DJ259" s="251" t="inlineStr">
        <is>
          <t>M</t>
        </is>
      </c>
      <c r="DK259" s="251" t="n">
        <v>8</v>
      </c>
      <c r="DL259" s="95" t="n">
        <v>14</v>
      </c>
      <c r="DM259" s="251" t="n"/>
      <c r="DN259" s="95" t="n"/>
      <c r="DO259" s="95" t="n"/>
    </row>
    <row r="260" ht="13" customHeight="1">
      <c r="A260" s="203" t="inlineStr">
        <is>
          <t>CPZ-03B1</t>
        </is>
      </c>
      <c r="B260" s="305"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1" t="inlineStr">
        <is>
          <t>532MACPZ</t>
        </is>
      </c>
      <c r="BL260" s="61" t="inlineStr">
        <is>
          <t>GMAP-SIGA</t>
        </is>
      </c>
      <c r="BM260" s="251" t="inlineStr">
        <is>
          <t>NF</t>
        </is>
      </c>
      <c r="BN260" s="337" t="inlineStr">
        <is>
          <t>Coposa Norte</t>
        </is>
      </c>
      <c r="BO260" s="168"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CA260" s="105" t="n"/>
      <c r="CB260" s="105" t="n"/>
      <c r="CC260" s="105" t="n"/>
      <c r="CD260" s="105" t="n"/>
      <c r="CE260" s="105" t="n"/>
      <c r="CF260" s="105" t="n"/>
      <c r="CG260" s="142" t="n">
        <v>1</v>
      </c>
      <c r="CH260" s="105" t="n"/>
      <c r="CI260" s="105" t="n"/>
      <c r="CJ260" s="105" t="n"/>
      <c r="CK260" s="105" t="n"/>
      <c r="CL260" s="105" t="n"/>
      <c r="CM260" s="105" t="n"/>
      <c r="CN260" s="105" t="n"/>
      <c r="CO260" s="105" t="n"/>
      <c r="CP260" s="105" t="n"/>
      <c r="CQ260" s="105" t="n"/>
      <c r="CR260" s="105" t="n"/>
      <c r="CS260" s="105" t="n"/>
      <c r="CT260" s="105" t="n"/>
      <c r="CU260" s="105" t="n"/>
      <c r="CV260" s="105" t="n"/>
      <c r="CW260" s="105" t="n"/>
      <c r="CX260" s="105" t="n"/>
      <c r="CY260" s="105" t="n"/>
      <c r="CZ260" s="124">
        <f>+COUNTA(BV260:CY260)</f>
        <v/>
      </c>
      <c r="DA260" s="251" t="n"/>
      <c r="DB260" s="251" t="n"/>
      <c r="DC260" s="251" t="n"/>
      <c r="DD260" s="251" t="n"/>
      <c r="DE260" s="251" t="n"/>
      <c r="DF260" s="251" t="n"/>
      <c r="DG260" s="251" t="n"/>
      <c r="DH260" s="251" t="n"/>
      <c r="DI260" s="251" t="n"/>
      <c r="DJ260" s="251" t="inlineStr">
        <is>
          <t>M</t>
        </is>
      </c>
      <c r="DK260" s="251" t="n">
        <v>8</v>
      </c>
      <c r="DL260" s="95" t="n">
        <v>14</v>
      </c>
      <c r="DM260" s="251" t="n"/>
      <c r="DN260" s="95" t="n"/>
      <c r="DO260" s="95" t="n"/>
    </row>
    <row r="261" ht="12.65" customHeight="1">
      <c r="A261" s="205" t="inlineStr">
        <is>
          <t>CPZ-04A</t>
        </is>
      </c>
      <c r="B261" s="305"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1" t="inlineStr">
        <is>
          <t>532MACPZ</t>
        </is>
      </c>
      <c r="BL261" s="61" t="inlineStr">
        <is>
          <t>GMAP-SIGA</t>
        </is>
      </c>
      <c r="BM261" s="251" t="inlineStr">
        <is>
          <t>NF</t>
        </is>
      </c>
      <c r="BN261" s="337" t="inlineStr">
        <is>
          <t>Jachucoposa</t>
        </is>
      </c>
      <c r="BO261" s="251"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142" t="n">
        <v>1</v>
      </c>
      <c r="BZ261" s="105" t="n"/>
      <c r="CA261" s="105" t="n"/>
      <c r="CB261" s="105" t="n"/>
      <c r="CC261" s="105" t="n"/>
      <c r="CD261" s="242" t="n">
        <v>1</v>
      </c>
      <c r="CE261" s="105" t="n"/>
      <c r="CF261" s="105" t="n"/>
      <c r="CG261" s="105" t="n"/>
      <c r="CH261" s="105" t="n"/>
      <c r="CI261" s="105" t="n"/>
      <c r="CJ261" s="105" t="n"/>
      <c r="CK261" s="105" t="n"/>
      <c r="CL261" s="105" t="n"/>
      <c r="CM261" s="142" t="n">
        <v>1</v>
      </c>
      <c r="CN261" s="105" t="n"/>
      <c r="CO261" s="105" t="n"/>
      <c r="CP261" s="242" t="n">
        <v>1</v>
      </c>
      <c r="CQ261" s="105" t="n"/>
      <c r="CR261" s="105" t="n"/>
      <c r="CS261" s="105" t="n"/>
      <c r="CT261" s="105" t="n"/>
      <c r="CU261" s="105" t="n"/>
      <c r="CV261" s="105" t="n"/>
      <c r="CW261" s="105" t="n"/>
      <c r="CX261" s="105" t="n"/>
      <c r="CY261" s="142" t="n">
        <v>1</v>
      </c>
      <c r="CZ261" s="124">
        <f>+COUNTA(BV261:CY261)</f>
        <v/>
      </c>
      <c r="DA261" s="206" t="n"/>
      <c r="DB261" s="251" t="n"/>
      <c r="DC261" s="251" t="n"/>
      <c r="DD261" s="251" t="n"/>
      <c r="DE261" s="251" t="n"/>
      <c r="DF261" s="251" t="n"/>
      <c r="DG261" s="251" t="n"/>
      <c r="DH261" s="251" t="n"/>
      <c r="DI261" s="251" t="n"/>
      <c r="DJ261" s="168" t="inlineStr">
        <is>
          <t>S</t>
        </is>
      </c>
      <c r="DK261" s="251" t="n">
        <v>15</v>
      </c>
      <c r="DL261" s="95" t="n">
        <v>28</v>
      </c>
      <c r="DM261" s="251" t="n"/>
      <c r="DN261" s="95" t="n"/>
      <c r="DO261" s="95" t="n"/>
    </row>
    <row r="262" ht="13" customHeight="1">
      <c r="A262" s="205" t="inlineStr">
        <is>
          <t>CPZ-04B</t>
        </is>
      </c>
      <c r="B262" s="305"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1" t="inlineStr">
        <is>
          <t>532MACPZ</t>
        </is>
      </c>
      <c r="BL262" s="61" t="inlineStr">
        <is>
          <t>GMAP-SIGA</t>
        </is>
      </c>
      <c r="BM262" s="251" t="inlineStr">
        <is>
          <t>NF</t>
        </is>
      </c>
      <c r="BN262" s="337" t="inlineStr">
        <is>
          <t>Jachucoposa</t>
        </is>
      </c>
      <c r="BO262" s="251"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142" t="n">
        <v>1</v>
      </c>
      <c r="BZ262" s="105" t="n"/>
      <c r="CA262" s="105" t="n"/>
      <c r="CB262" s="105" t="n"/>
      <c r="CC262" s="105" t="n"/>
      <c r="CD262" s="242" t="n">
        <v>1</v>
      </c>
      <c r="CE262" s="105" t="n"/>
      <c r="CF262" s="105" t="n"/>
      <c r="CG262" s="105" t="n"/>
      <c r="CH262" s="105" t="n"/>
      <c r="CI262" s="105" t="n"/>
      <c r="CJ262" s="105" t="n"/>
      <c r="CK262" s="105" t="n"/>
      <c r="CL262" s="105" t="n"/>
      <c r="CM262" s="142" t="n">
        <v>1</v>
      </c>
      <c r="CN262" s="105" t="n"/>
      <c r="CO262" s="105" t="n"/>
      <c r="CP262" s="242" t="n">
        <v>1</v>
      </c>
      <c r="CQ262" s="105" t="n"/>
      <c r="CR262" s="105" t="n"/>
      <c r="CS262" s="105" t="n"/>
      <c r="CT262" s="105" t="n"/>
      <c r="CU262" s="105" t="n"/>
      <c r="CV262" s="105" t="n"/>
      <c r="CW262" s="105" t="n"/>
      <c r="CX262" s="105" t="n"/>
      <c r="CY262" s="142" t="n">
        <v>1</v>
      </c>
      <c r="CZ262" s="124">
        <f>+COUNTA(BV262:CY262)</f>
        <v/>
      </c>
      <c r="DA262" s="206" t="n"/>
      <c r="DB262" s="251" t="n"/>
      <c r="DC262" s="251" t="n"/>
      <c r="DD262" s="251" t="n"/>
      <c r="DE262" s="251" t="n"/>
      <c r="DF262" s="251" t="n"/>
      <c r="DG262" s="251" t="n"/>
      <c r="DH262" s="251" t="n"/>
      <c r="DI262" s="251" t="n"/>
      <c r="DJ262" s="168" t="inlineStr">
        <is>
          <t>S</t>
        </is>
      </c>
      <c r="DK262" s="251" t="n">
        <v>15</v>
      </c>
      <c r="DL262" s="95" t="n">
        <v>28</v>
      </c>
      <c r="DM262" s="251" t="n"/>
      <c r="DN262" s="95" t="n"/>
      <c r="DO262" s="95" t="n"/>
    </row>
    <row r="263" ht="13" customHeight="1">
      <c r="A263" s="205" t="inlineStr">
        <is>
          <t>CPZ-05A</t>
        </is>
      </c>
      <c r="B263" s="305"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1" t="inlineStr">
        <is>
          <t>532MACPZ</t>
        </is>
      </c>
      <c r="BL263" s="61" t="inlineStr">
        <is>
          <t>GMAP-SIGA</t>
        </is>
      </c>
      <c r="BM263" s="251" t="inlineStr">
        <is>
          <t>NF</t>
        </is>
      </c>
      <c r="BN263" s="337" t="inlineStr">
        <is>
          <t>Jachucoposa</t>
        </is>
      </c>
      <c r="BO263" s="251"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242" t="inlineStr">
        <is>
          <t>R</t>
        </is>
      </c>
      <c r="BW263" s="243" t="n"/>
      <c r="BX263" s="243" t="n"/>
      <c r="BZ263" s="243" t="n"/>
      <c r="CA263" s="243" t="n"/>
      <c r="CB263" s="243" t="n"/>
      <c r="CC263" s="243" t="n"/>
      <c r="CD263" s="243" t="n"/>
      <c r="CE263" s="243" t="n"/>
      <c r="CG263" s="243" t="n"/>
      <c r="CH263" s="243" t="n"/>
      <c r="CI263" s="243" t="n"/>
      <c r="CJ263" s="243" t="n"/>
      <c r="CK263" s="243" t="n"/>
      <c r="CL263" s="243" t="n"/>
      <c r="CM263" s="243" t="n"/>
      <c r="CN263" s="243" t="n"/>
      <c r="CO263" s="244" t="n"/>
      <c r="CP263" s="244" t="n"/>
      <c r="CQ263" s="244" t="n"/>
      <c r="CR263" s="244" t="n"/>
      <c r="CS263" s="242" t="n">
        <v>1</v>
      </c>
      <c r="CT263" s="105" t="n"/>
      <c r="CU263" s="105" t="n"/>
      <c r="CV263" s="105" t="n"/>
      <c r="CW263" s="105" t="n"/>
      <c r="CX263" s="105" t="n"/>
      <c r="CY263" s="105" t="n"/>
      <c r="CZ263" s="124">
        <f>+COUNTA(BV263:CY263)</f>
        <v/>
      </c>
      <c r="DA263" s="206" t="n"/>
      <c r="DB263" s="251" t="n"/>
      <c r="DC263" s="251" t="n"/>
      <c r="DD263" s="251" t="n"/>
      <c r="DE263" s="251" t="n"/>
      <c r="DF263" s="251" t="n"/>
      <c r="DG263" s="251" t="n"/>
      <c r="DH263" s="251" t="n"/>
      <c r="DI263" s="251" t="n"/>
      <c r="DJ263" s="251" t="inlineStr">
        <is>
          <t>Q</t>
        </is>
      </c>
      <c r="DK263" s="226" t="inlineStr">
        <is>
          <t>1- 15</t>
        </is>
      </c>
      <c r="DL263" s="226" t="inlineStr">
        <is>
          <t>14-28</t>
        </is>
      </c>
      <c r="DM263" s="251" t="n"/>
      <c r="DN263" s="95" t="n"/>
      <c r="DO263" s="95" t="n"/>
    </row>
    <row r="264" ht="16" customHeight="1">
      <c r="A264" s="205" t="inlineStr">
        <is>
          <t>CPZ-05B</t>
        </is>
      </c>
      <c r="B264" s="305"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1" t="inlineStr">
        <is>
          <t>532MACPZ</t>
        </is>
      </c>
      <c r="BL264" s="61" t="inlineStr">
        <is>
          <t>GMAP-SIGA</t>
        </is>
      </c>
      <c r="BM264" s="251" t="inlineStr">
        <is>
          <t>NF</t>
        </is>
      </c>
      <c r="BN264" s="337" t="inlineStr">
        <is>
          <t>Jachucoposa</t>
        </is>
      </c>
      <c r="BO264" s="251"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242" t="inlineStr">
        <is>
          <t>R</t>
        </is>
      </c>
      <c r="BW264" s="243" t="n"/>
      <c r="BX264" s="243" t="n"/>
      <c r="BY264" s="243" t="n"/>
      <c r="BZ264" s="243" t="n"/>
      <c r="CA264" s="243" t="n"/>
      <c r="CB264" s="243" t="n"/>
      <c r="CC264" s="243" t="n"/>
      <c r="CD264" s="243" t="n"/>
      <c r="CE264" s="243" t="n"/>
      <c r="CF264" s="244" t="n"/>
      <c r="CG264" s="243" t="n"/>
      <c r="CH264" s="243" t="n"/>
      <c r="CI264" s="243" t="n"/>
      <c r="CJ264" s="243" t="n"/>
      <c r="CK264" s="243" t="n"/>
      <c r="CL264" s="243" t="n"/>
      <c r="CM264" s="243" t="n"/>
      <c r="CN264" s="243" t="n"/>
      <c r="CO264" s="244" t="n"/>
      <c r="CP264" s="244" t="n"/>
      <c r="CQ264" s="244" t="n"/>
      <c r="CR264" s="244" t="n"/>
      <c r="CS264" s="242" t="n">
        <v>1</v>
      </c>
      <c r="CT264" s="105" t="n"/>
      <c r="CU264" s="105" t="n"/>
      <c r="CV264" s="105" t="n"/>
      <c r="CW264" s="105" t="n"/>
      <c r="CX264" s="105" t="n"/>
      <c r="CY264" s="105" t="n"/>
      <c r="CZ264" s="124">
        <f>+COUNTA(BV264:CY264)</f>
        <v/>
      </c>
      <c r="DA264" s="206" t="n"/>
      <c r="DB264" s="251" t="n"/>
      <c r="DC264" s="251" t="n"/>
      <c r="DD264" s="251" t="n"/>
      <c r="DE264" s="251" t="n"/>
      <c r="DF264" s="251" t="n"/>
      <c r="DG264" s="251" t="n"/>
      <c r="DH264" s="251" t="n"/>
      <c r="DI264" s="251" t="n"/>
      <c r="DJ264" s="251" t="inlineStr">
        <is>
          <t>Q</t>
        </is>
      </c>
      <c r="DK264" s="226" t="inlineStr">
        <is>
          <t>1- 15</t>
        </is>
      </c>
      <c r="DL264" s="226" t="inlineStr">
        <is>
          <t>14-28</t>
        </is>
      </c>
      <c r="DM264" s="251" t="n"/>
      <c r="DN264" s="95" t="n"/>
      <c r="DO264" s="95" t="n"/>
    </row>
    <row r="265" ht="12.5" customHeight="1">
      <c r="A265" s="203" t="inlineStr">
        <is>
          <t>CPZ-05B</t>
        </is>
      </c>
      <c r="B265" s="305"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1" t="n"/>
      <c r="BL265" s="61" t="n"/>
      <c r="BM265" s="251" t="inlineStr">
        <is>
          <t>ASUB</t>
        </is>
      </c>
      <c r="BN265" s="337" t="inlineStr">
        <is>
          <t>Jachucoposa</t>
        </is>
      </c>
      <c r="BO265" s="251"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24">
        <f>+COUNTA(BV265:CY265)</f>
        <v/>
      </c>
      <c r="DA265" s="206" t="n"/>
      <c r="DB265" s="251" t="n"/>
      <c r="DC265" s="251" t="n"/>
      <c r="DD265" s="251" t="n"/>
      <c r="DE265" s="251" t="n"/>
      <c r="DF265" s="251" t="n"/>
      <c r="DG265" s="251" t="n"/>
      <c r="DH265" s="251" t="n"/>
      <c r="DI265" s="251" t="n"/>
      <c r="DJ265" s="251" t="n"/>
      <c r="DK265" s="251" t="n"/>
      <c r="DL265" s="95" t="n"/>
      <c r="DM265" s="251" t="n"/>
      <c r="DN265" s="95" t="n"/>
      <c r="DO265" s="95" t="n"/>
    </row>
    <row r="266" ht="12" customHeight="1">
      <c r="A266" s="205" t="inlineStr">
        <is>
          <t>CPZ-06A</t>
        </is>
      </c>
      <c r="B266" s="305"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1" t="inlineStr">
        <is>
          <t>532MACPZ</t>
        </is>
      </c>
      <c r="BL266" s="61" t="inlineStr">
        <is>
          <t>GMAP-SIGA</t>
        </is>
      </c>
      <c r="BM266" s="251" t="inlineStr">
        <is>
          <t>NF</t>
        </is>
      </c>
      <c r="BN266" s="337" t="inlineStr">
        <is>
          <t>Jachucoposa</t>
        </is>
      </c>
      <c r="BO266" s="251"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242" t="inlineStr">
        <is>
          <t>R</t>
        </is>
      </c>
      <c r="BW266" s="243" t="n"/>
      <c r="BX266" s="243" t="n"/>
      <c r="BY266" s="243" t="n"/>
      <c r="BZ266" s="243" t="n"/>
      <c r="CA266" s="243" t="n"/>
      <c r="CB266" s="243" t="n"/>
      <c r="CC266" s="243" t="n"/>
      <c r="CD266" s="243" t="n"/>
      <c r="CE266" s="243" t="n"/>
      <c r="CF266" s="244" t="n"/>
      <c r="CG266" s="243" t="n"/>
      <c r="CH266" s="243" t="n"/>
      <c r="CI266" s="243" t="n"/>
      <c r="CJ266" s="243" t="n"/>
      <c r="CK266" s="243" t="n"/>
      <c r="CL266" s="243" t="n"/>
      <c r="CM266" s="243" t="n"/>
      <c r="CN266" s="243" t="n"/>
      <c r="CO266" s="244" t="n"/>
      <c r="CP266" s="244" t="n"/>
      <c r="CQ266" s="244" t="n"/>
      <c r="CR266" s="244" t="n"/>
      <c r="CS266" s="242" t="n">
        <v>1</v>
      </c>
      <c r="CT266" s="105" t="n"/>
      <c r="CU266" s="105" t="n"/>
      <c r="CV266" s="105" t="n"/>
      <c r="CW266" s="105" t="n"/>
      <c r="CX266" s="105" t="n"/>
      <c r="CY266" s="105" t="n"/>
      <c r="CZ266" s="124">
        <f>+COUNTA(BV266:CY266)</f>
        <v/>
      </c>
      <c r="DA266" s="206" t="n"/>
      <c r="DB266" s="251" t="n"/>
      <c r="DC266" s="251" t="n"/>
      <c r="DD266" s="251" t="n"/>
      <c r="DE266" s="251" t="n"/>
      <c r="DF266" s="251" t="n"/>
      <c r="DG266" s="251" t="n"/>
      <c r="DH266" s="251" t="n"/>
      <c r="DI266" s="251" t="n"/>
      <c r="DJ266" s="251" t="inlineStr">
        <is>
          <t>Q</t>
        </is>
      </c>
      <c r="DK266" s="226" t="inlineStr">
        <is>
          <t>1- 15</t>
        </is>
      </c>
      <c r="DL266" s="226" t="inlineStr">
        <is>
          <t>14-28</t>
        </is>
      </c>
      <c r="DM266" s="251" t="n"/>
      <c r="DN266" s="95" t="n"/>
      <c r="DO266" s="95" t="n"/>
    </row>
    <row r="267" ht="12" customHeight="1">
      <c r="A267" s="205" t="inlineStr">
        <is>
          <t>CPZ-06B</t>
        </is>
      </c>
      <c r="B267" s="305"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1" t="inlineStr">
        <is>
          <t>532MACPZ</t>
        </is>
      </c>
      <c r="BL267" s="61" t="inlineStr">
        <is>
          <t>GMAP-SIGA</t>
        </is>
      </c>
      <c r="BM267" s="251" t="inlineStr">
        <is>
          <t>NF</t>
        </is>
      </c>
      <c r="BN267" s="337" t="inlineStr">
        <is>
          <t>Jachucoposa</t>
        </is>
      </c>
      <c r="BO267" s="251"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242" t="inlineStr">
        <is>
          <t>R</t>
        </is>
      </c>
      <c r="BW267" s="243" t="n"/>
      <c r="BX267" s="243" t="n"/>
      <c r="BY267" s="243" t="n"/>
      <c r="BZ267" s="243" t="n"/>
      <c r="CA267" s="243" t="n"/>
      <c r="CB267" s="243" t="n"/>
      <c r="CC267" s="243" t="n"/>
      <c r="CD267" s="243" t="n"/>
      <c r="CE267" s="243" t="n"/>
      <c r="CF267" s="244" t="n"/>
      <c r="CG267" s="243" t="n"/>
      <c r="CH267" s="243" t="n"/>
      <c r="CI267" s="243" t="n"/>
      <c r="CJ267" s="243" t="n"/>
      <c r="CK267" s="243" t="n"/>
      <c r="CL267" s="243" t="n"/>
      <c r="CM267" s="243" t="n"/>
      <c r="CN267" s="243" t="n"/>
      <c r="CO267" s="244" t="n"/>
      <c r="CP267" s="244" t="n"/>
      <c r="CQ267" s="244" t="n"/>
      <c r="CR267" s="244" t="n"/>
      <c r="CS267" s="242" t="n">
        <v>1</v>
      </c>
      <c r="CT267" s="105" t="n"/>
      <c r="CU267" s="105" t="n"/>
      <c r="CV267" s="105" t="n"/>
      <c r="CW267" s="105" t="n"/>
      <c r="CX267" s="105" t="n"/>
      <c r="CY267" s="105" t="n"/>
      <c r="CZ267" s="124">
        <f>+COUNTA(BV267:CY267)</f>
        <v/>
      </c>
      <c r="DA267" s="206" t="n"/>
      <c r="DB267" s="251" t="n"/>
      <c r="DC267" s="251" t="n"/>
      <c r="DD267" s="251" t="n"/>
      <c r="DE267" s="251" t="n"/>
      <c r="DF267" s="251" t="n"/>
      <c r="DG267" s="251" t="n"/>
      <c r="DH267" s="251" t="n"/>
      <c r="DI267" s="251" t="n"/>
      <c r="DJ267" s="251" t="inlineStr">
        <is>
          <t>Q</t>
        </is>
      </c>
      <c r="DK267" s="226" t="inlineStr">
        <is>
          <t>1- 15</t>
        </is>
      </c>
      <c r="DL267" s="226" t="inlineStr">
        <is>
          <t>14-28</t>
        </is>
      </c>
      <c r="DM267" s="251" t="n"/>
      <c r="DN267" s="95" t="n"/>
      <c r="DO267" s="95" t="n"/>
    </row>
    <row r="268" ht="15" customHeight="1">
      <c r="A268" s="205" t="inlineStr">
        <is>
          <t>CPZ-07A</t>
        </is>
      </c>
      <c r="B268" s="305"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1" t="inlineStr">
        <is>
          <t>532MACPZ</t>
        </is>
      </c>
      <c r="BL268" s="61" t="inlineStr">
        <is>
          <t>GMAP-SIGA</t>
        </is>
      </c>
      <c r="BM268" s="251" t="inlineStr">
        <is>
          <t>NF</t>
        </is>
      </c>
      <c r="BN268" s="337" t="inlineStr">
        <is>
          <t>Jachucoposa</t>
        </is>
      </c>
      <c r="BO268" s="251"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105" t="n"/>
      <c r="CN268" s="105" t="n"/>
      <c r="CO268" s="105" t="n"/>
      <c r="CP268" s="105" t="n"/>
      <c r="CQ268" s="242" t="n">
        <v>1</v>
      </c>
      <c r="CR268" s="105" t="n"/>
      <c r="CS268" s="105" t="n"/>
      <c r="CT268" s="105" t="n"/>
      <c r="CU268" s="105" t="n"/>
      <c r="CV268" s="105" t="n"/>
      <c r="CW268" s="105" t="n"/>
      <c r="CX268" s="105" t="n"/>
      <c r="CY268" s="105" t="n"/>
      <c r="CZ268" s="124">
        <f>+COUNTA(BV268:CY268)</f>
        <v/>
      </c>
      <c r="DA268" s="206" t="n"/>
      <c r="DB268" s="251" t="n"/>
      <c r="DC268" s="251" t="n"/>
      <c r="DD268" s="251" t="n"/>
      <c r="DE268" s="251" t="n"/>
      <c r="DF268" s="251" t="n"/>
      <c r="DG268" s="251" t="n"/>
      <c r="DH268" s="251" t="n"/>
      <c r="DI268" s="251" t="n"/>
      <c r="DJ268" s="251" t="inlineStr">
        <is>
          <t>M</t>
        </is>
      </c>
      <c r="DK268" s="251" t="n">
        <v>15</v>
      </c>
      <c r="DL268" s="95" t="n">
        <v>21</v>
      </c>
      <c r="DM268" s="251" t="n"/>
      <c r="DN268" s="95" t="n"/>
      <c r="DO268" s="95" t="n"/>
    </row>
    <row r="269" ht="12.5" customHeight="1">
      <c r="A269" s="203" t="inlineStr">
        <is>
          <t>CPZ-07B</t>
        </is>
      </c>
      <c r="B269" s="305"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1" t="inlineStr">
        <is>
          <t>532MACPZ</t>
        </is>
      </c>
      <c r="BL269" s="61" t="inlineStr">
        <is>
          <t>GMAP-SIGA</t>
        </is>
      </c>
      <c r="BM269" s="251" t="inlineStr">
        <is>
          <t>NF</t>
        </is>
      </c>
      <c r="BN269" s="337" t="inlineStr">
        <is>
          <t>Jachucoposa</t>
        </is>
      </c>
      <c r="BO269" s="251"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05" t="n"/>
      <c r="CP269" s="105" t="n"/>
      <c r="CQ269" s="105" t="n"/>
      <c r="CR269" s="105" t="n"/>
      <c r="CS269" s="105" t="n"/>
      <c r="CT269" s="105" t="n"/>
      <c r="CU269" s="105" t="n"/>
      <c r="CV269" s="105" t="n"/>
      <c r="CW269" s="105" t="n"/>
      <c r="CX269" s="105" t="n"/>
      <c r="CY269" s="105" t="n"/>
      <c r="CZ269" s="124">
        <f>+COUNTA(BV269:CY269)</f>
        <v/>
      </c>
      <c r="DA269" s="251" t="n"/>
      <c r="DB269" s="251" t="n"/>
      <c r="DC269" s="251" t="n"/>
      <c r="DD269" s="251" t="n"/>
      <c r="DE269" s="251" t="n"/>
      <c r="DF269" s="251" t="n"/>
      <c r="DG269" s="251" t="n"/>
      <c r="DH269" s="251" t="n"/>
      <c r="DI269" s="251" t="n"/>
      <c r="DJ269" s="251" t="inlineStr">
        <is>
          <t>T</t>
        </is>
      </c>
      <c r="DK269" s="251" t="n">
        <v>15</v>
      </c>
      <c r="DL269" s="95" t="n">
        <v>21</v>
      </c>
      <c r="DM269" s="251" t="n"/>
      <c r="DN269" s="95" t="n"/>
      <c r="DO269" s="95" t="n"/>
    </row>
    <row r="270" ht="12.5" customHeight="1">
      <c r="A270" s="203" t="inlineStr">
        <is>
          <t>CPZ-07C</t>
        </is>
      </c>
      <c r="B270" s="305"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1" t="inlineStr">
        <is>
          <t>532MACPZ</t>
        </is>
      </c>
      <c r="BL270" s="61" t="inlineStr">
        <is>
          <t>GMAP-SIGA</t>
        </is>
      </c>
      <c r="BM270" s="251" t="inlineStr">
        <is>
          <t>NF</t>
        </is>
      </c>
      <c r="BN270" s="337" t="inlineStr">
        <is>
          <t>Jachucoposa</t>
        </is>
      </c>
      <c r="BO270" s="251"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24">
        <f>+COUNTA(BV270:CY270)</f>
        <v/>
      </c>
      <c r="DA270" s="251" t="n"/>
      <c r="DB270" s="251" t="n"/>
      <c r="DC270" s="251" t="n"/>
      <c r="DD270" s="251" t="n"/>
      <c r="DE270" s="251" t="n"/>
      <c r="DF270" s="251" t="n"/>
      <c r="DG270" s="251" t="n"/>
      <c r="DH270" s="251" t="n"/>
      <c r="DI270" s="251" t="n"/>
      <c r="DJ270" s="251" t="inlineStr">
        <is>
          <t>T</t>
        </is>
      </c>
      <c r="DK270" s="251" t="n">
        <v>15</v>
      </c>
      <c r="DL270" s="95" t="n">
        <v>21</v>
      </c>
      <c r="DM270" s="251" t="n"/>
      <c r="DN270" s="95" t="n"/>
      <c r="DO270" s="95" t="n"/>
    </row>
    <row r="271" ht="14.15" customHeight="1">
      <c r="A271" s="203" t="inlineStr">
        <is>
          <t>CPZ-08A</t>
        </is>
      </c>
      <c r="B271" s="305"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1" t="inlineStr">
        <is>
          <t>532MACPZ</t>
        </is>
      </c>
      <c r="BL271" s="61" t="inlineStr">
        <is>
          <t>GMAP-SIGA</t>
        </is>
      </c>
      <c r="BM271" s="251" t="inlineStr">
        <is>
          <t>NF</t>
        </is>
      </c>
      <c r="BN271" s="337" t="inlineStr">
        <is>
          <t>Jachucoposa</t>
        </is>
      </c>
      <c r="BO271" s="251"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05" t="n"/>
      <c r="CP271" s="105" t="n"/>
      <c r="CQ271" s="105" t="n"/>
      <c r="CR271" s="105" t="n"/>
      <c r="CS271" s="105" t="n"/>
      <c r="CT271" s="105" t="n"/>
      <c r="CU271" s="105" t="n"/>
      <c r="CV271" s="105" t="n"/>
      <c r="CW271" s="105" t="n"/>
      <c r="CX271" s="105" t="n"/>
      <c r="CY271" s="105" t="n"/>
      <c r="CZ271" s="124">
        <f>+COUNTA(BV271:CY271)</f>
        <v/>
      </c>
      <c r="DA271" s="251" t="n"/>
      <c r="DB271" s="251" t="n"/>
      <c r="DC271" s="251" t="n"/>
      <c r="DD271" s="251" t="n"/>
      <c r="DE271" s="251" t="n"/>
      <c r="DF271" s="251" t="n"/>
      <c r="DG271" s="251" t="n"/>
      <c r="DH271" s="251" t="n"/>
      <c r="DI271" s="251" t="n"/>
      <c r="DJ271" s="251" t="inlineStr">
        <is>
          <t>T</t>
        </is>
      </c>
      <c r="DK271" s="251" t="n">
        <v>15</v>
      </c>
      <c r="DL271" s="95" t="n">
        <v>21</v>
      </c>
      <c r="DM271" s="251" t="n"/>
      <c r="DN271" s="95" t="n"/>
      <c r="DO271" s="95" t="n"/>
    </row>
    <row r="272" ht="14.15" customHeight="1">
      <c r="A272" s="203" t="inlineStr">
        <is>
          <t>CPZ-08A</t>
        </is>
      </c>
      <c r="B272" s="305"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1" t="inlineStr">
        <is>
          <t>532MACPZ</t>
        </is>
      </c>
      <c r="BL272" s="61" t="inlineStr">
        <is>
          <t>GMAP-SIGA</t>
        </is>
      </c>
      <c r="BM272" s="251" t="inlineStr">
        <is>
          <t>ASUB</t>
        </is>
      </c>
      <c r="BN272" s="337" t="inlineStr">
        <is>
          <t>Jachucoposa</t>
        </is>
      </c>
      <c r="BO272" s="251" t="n"/>
      <c r="BP272" s="106" t="n"/>
      <c r="BQ272" s="106">
        <f>VLOOKUP(BP272,[1]AGUA!$1:$1048576,2,FALSE)</f>
        <v/>
      </c>
      <c r="BR272" s="106">
        <f>VLOOKUP(BP272,[1]AGUA!$1:$1048576,6,FALSE)</f>
        <v/>
      </c>
      <c r="BS272" s="106">
        <f>VLOOKUP(BP272,[1]AGUA!$1:$1048576,7,FALSE)</f>
        <v/>
      </c>
      <c r="BT272" s="106" t="inlineStr">
        <is>
          <t>CAV DAP</t>
        </is>
      </c>
      <c r="BU272" s="227"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05" t="n"/>
      <c r="CP272" s="105" t="n"/>
      <c r="CQ272" s="105" t="n"/>
      <c r="CR272" s="105" t="n"/>
      <c r="CS272" s="105" t="n"/>
      <c r="CT272" s="105" t="n"/>
      <c r="CU272" s="105" t="n"/>
      <c r="CV272" s="105" t="n"/>
      <c r="CW272" s="105" t="n"/>
      <c r="CX272" s="105" t="n"/>
      <c r="CY272" s="105" t="n"/>
      <c r="CZ272" s="124">
        <f>+COUNTA(BV272:CY272)</f>
        <v/>
      </c>
      <c r="DA272" s="251" t="n"/>
      <c r="DB272" s="251" t="n"/>
      <c r="DC272" s="251" t="n"/>
      <c r="DD272" s="251" t="n"/>
      <c r="DE272" s="251" t="n"/>
      <c r="DF272" s="251" t="n"/>
      <c r="DG272" s="251" t="n"/>
      <c r="DH272" s="251" t="n"/>
      <c r="DI272" s="251" t="n"/>
      <c r="DJ272" s="251" t="n"/>
      <c r="DK272" s="251" t="n"/>
      <c r="DL272" s="95" t="n"/>
      <c r="DM272" s="251" t="n"/>
      <c r="DN272" s="95" t="n"/>
      <c r="DO272" s="95" t="n"/>
    </row>
    <row r="273" ht="12.5" customHeight="1">
      <c r="A273" s="203" t="inlineStr">
        <is>
          <t>CPZ-08B</t>
        </is>
      </c>
      <c r="B273" s="305"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1" t="inlineStr">
        <is>
          <t>532MACPZ</t>
        </is>
      </c>
      <c r="BL273" s="61" t="inlineStr">
        <is>
          <t>GMAP-SIGA</t>
        </is>
      </c>
      <c r="BM273" s="251" t="inlineStr">
        <is>
          <t>NF</t>
        </is>
      </c>
      <c r="BN273" s="337" t="inlineStr">
        <is>
          <t>Jachucoposa</t>
        </is>
      </c>
      <c r="BO273" s="251"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05" t="n"/>
      <c r="CP273" s="105" t="n"/>
      <c r="CQ273" s="105" t="n"/>
      <c r="CR273" s="105" t="n"/>
      <c r="CS273" s="105" t="n"/>
      <c r="CT273" s="105" t="n"/>
      <c r="CU273" s="105" t="n"/>
      <c r="CV273" s="105" t="n"/>
      <c r="CW273" s="105" t="n"/>
      <c r="CX273" s="105" t="n"/>
      <c r="CY273" s="105" t="n"/>
      <c r="CZ273" s="124">
        <f>+COUNTA(BV273:CY273)</f>
        <v/>
      </c>
      <c r="DA273" s="251" t="n"/>
      <c r="DB273" s="251" t="n"/>
      <c r="DC273" s="251" t="n"/>
      <c r="DD273" s="251" t="n"/>
      <c r="DE273" s="251" t="n"/>
      <c r="DF273" s="251" t="n"/>
      <c r="DG273" s="251" t="n"/>
      <c r="DH273" s="251" t="n"/>
      <c r="DI273" s="251" t="n"/>
      <c r="DJ273" s="251" t="inlineStr">
        <is>
          <t>T</t>
        </is>
      </c>
      <c r="DK273" s="251" t="n">
        <v>15</v>
      </c>
      <c r="DL273" s="95" t="n">
        <v>21</v>
      </c>
      <c r="DM273" s="251" t="n"/>
      <c r="DN273" s="95" t="n"/>
      <c r="DO273" s="95" t="n"/>
    </row>
    <row r="274" ht="12" customHeight="1">
      <c r="A274" s="203" t="inlineStr">
        <is>
          <t>CPZ-08C</t>
        </is>
      </c>
      <c r="B274" s="305"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1" t="inlineStr">
        <is>
          <t>532MACPZ</t>
        </is>
      </c>
      <c r="BL274" s="61" t="inlineStr">
        <is>
          <t>GMAP-SIGA</t>
        </is>
      </c>
      <c r="BM274" s="251" t="inlineStr">
        <is>
          <t>NF</t>
        </is>
      </c>
      <c r="BN274" s="337" t="inlineStr">
        <is>
          <t>Jachucoposa</t>
        </is>
      </c>
      <c r="BO274" s="251"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42" t="n">
        <v>1</v>
      </c>
      <c r="CN274" s="105" t="n"/>
      <c r="CO274" s="105" t="n"/>
      <c r="CP274" s="105" t="n"/>
      <c r="CQ274" s="105" t="n"/>
      <c r="CR274" s="105" t="n"/>
      <c r="CS274" s="105" t="n"/>
      <c r="CT274" s="105" t="n"/>
      <c r="CU274" s="105" t="n"/>
      <c r="CV274" s="105" t="n"/>
      <c r="CW274" s="105" t="n"/>
      <c r="CX274" s="105" t="n"/>
      <c r="CY274" s="142" t="n">
        <v>1</v>
      </c>
      <c r="CZ274" s="124">
        <f>+COUNTA(BV274:CY274)</f>
        <v/>
      </c>
      <c r="DA274" s="251" t="n"/>
      <c r="DB274" s="251" t="n"/>
      <c r="DC274" s="251" t="n"/>
      <c r="DD274" s="251" t="n"/>
      <c r="DE274" s="251" t="n"/>
      <c r="DF274" s="251" t="n"/>
      <c r="DG274" s="251" t="n"/>
      <c r="DH274" s="251" t="n"/>
      <c r="DI274" s="251" t="n"/>
      <c r="DJ274" s="251" t="inlineStr">
        <is>
          <t>M</t>
        </is>
      </c>
      <c r="DK274" s="251" t="n">
        <v>15</v>
      </c>
      <c r="DL274" s="95" t="n">
        <v>21</v>
      </c>
      <c r="DM274" s="251" t="n"/>
      <c r="DN274" s="95" t="n"/>
      <c r="DO274" s="95" t="n"/>
    </row>
    <row r="275" ht="15" customHeight="1">
      <c r="A275" s="205" t="inlineStr">
        <is>
          <t>CPZ-10</t>
        </is>
      </c>
      <c r="B275" s="305"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1" t="inlineStr">
        <is>
          <t>532MACPZ</t>
        </is>
      </c>
      <c r="BL275" s="61" t="inlineStr">
        <is>
          <t>GMAP-SIGA</t>
        </is>
      </c>
      <c r="BM275" s="251" t="inlineStr">
        <is>
          <t>NF</t>
        </is>
      </c>
      <c r="BN275" s="106" t="inlineStr">
        <is>
          <t>Falla Pabellón</t>
        </is>
      </c>
      <c r="BO275" s="251"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42" t="n">
        <v>1</v>
      </c>
      <c r="BZ275" s="105" t="n"/>
      <c r="CA275" s="105" t="n"/>
      <c r="CB275" s="105" t="n"/>
      <c r="CC275" s="242" t="n">
        <v>1</v>
      </c>
      <c r="CD275" s="105" t="n"/>
      <c r="CE275" s="105" t="n"/>
      <c r="CF275" s="105" t="n"/>
      <c r="CG275" s="105" t="n"/>
      <c r="CH275" s="105" t="n"/>
      <c r="CI275" s="105" t="n"/>
      <c r="CJ275" s="105" t="n"/>
      <c r="CK275" s="105" t="n"/>
      <c r="CL275" s="105" t="n"/>
      <c r="CM275" s="142" t="n">
        <v>1</v>
      </c>
      <c r="CN275" s="105" t="n"/>
      <c r="CO275" s="105" t="n"/>
      <c r="CP275" s="105" t="n"/>
      <c r="CQ275" s="242" t="n">
        <v>1</v>
      </c>
      <c r="CR275" s="105" t="n"/>
      <c r="CS275" s="105" t="n"/>
      <c r="CT275" s="105" t="n"/>
      <c r="CU275" s="105" t="n"/>
      <c r="CV275" s="105" t="n"/>
      <c r="CW275" s="105" t="n"/>
      <c r="CX275" s="105" t="n"/>
      <c r="CY275" s="142" t="n">
        <v>1</v>
      </c>
      <c r="CZ275" s="124">
        <f>+COUNTA(BV275:CY275)</f>
        <v/>
      </c>
      <c r="DA275" s="206" t="n"/>
      <c r="DB275" s="251" t="n"/>
      <c r="DC275" s="251" t="n"/>
      <c r="DD275" s="251" t="n"/>
      <c r="DE275" s="251" t="n"/>
      <c r="DF275" s="251" t="n"/>
      <c r="DG275" s="251" t="n"/>
      <c r="DH275" s="251" t="n"/>
      <c r="DI275" s="251" t="n"/>
      <c r="DJ275" s="168" t="inlineStr">
        <is>
          <t>S</t>
        </is>
      </c>
      <c r="DK275" s="251" t="n">
        <v>15</v>
      </c>
      <c r="DL275" s="95" t="n">
        <v>28</v>
      </c>
      <c r="DM275" s="251" t="n"/>
      <c r="DN275" s="95" t="n"/>
      <c r="DO275" s="95" t="n"/>
    </row>
    <row r="276" ht="14.15" customHeight="1">
      <c r="A276" s="215" t="inlineStr">
        <is>
          <t>CPZ-11A</t>
        </is>
      </c>
      <c r="B276" s="305"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1" t="n"/>
      <c r="BL276" s="61" t="n"/>
      <c r="BM276" s="251" t="inlineStr">
        <is>
          <t>NF</t>
        </is>
      </c>
      <c r="BN276" s="106" t="inlineStr">
        <is>
          <t>Coposa Centro</t>
        </is>
      </c>
      <c r="BO276" s="251"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24">
        <f>+COUNTA(BV276:CY276)</f>
        <v/>
      </c>
      <c r="DA276" s="105" t="n"/>
      <c r="DB276" s="251" t="n"/>
      <c r="DC276" s="251" t="n"/>
      <c r="DD276" s="251" t="n"/>
      <c r="DE276" s="251" t="n"/>
      <c r="DF276" s="251" t="n"/>
      <c r="DG276" s="251" t="n"/>
      <c r="DH276" s="251" t="n"/>
      <c r="DI276" s="251" t="n"/>
      <c r="DJ276" s="168" t="n"/>
      <c r="DK276" s="251" t="n"/>
      <c r="DL276" s="95" t="n"/>
      <c r="DM276" s="251" t="n"/>
      <c r="DN276" s="95" t="n"/>
      <c r="DO276" s="95" t="n"/>
    </row>
    <row r="277" ht="15" customHeight="1">
      <c r="A277" s="215" t="inlineStr">
        <is>
          <t>CPZ-11A</t>
        </is>
      </c>
      <c r="B277" s="305"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1" t="n"/>
      <c r="BL277" s="61" t="n"/>
      <c r="BM277" s="251" t="inlineStr">
        <is>
          <t>ASUB</t>
        </is>
      </c>
      <c r="BN277" s="106" t="inlineStr">
        <is>
          <t>Coposa Centro</t>
        </is>
      </c>
      <c r="BO277" s="251"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24">
        <f>+COUNTA(BV277:CY277)</f>
        <v/>
      </c>
      <c r="DA277" s="105" t="n"/>
      <c r="DB277" s="251" t="n"/>
      <c r="DC277" s="251" t="n"/>
      <c r="DD277" s="251" t="n"/>
      <c r="DE277" s="251" t="n"/>
      <c r="DF277" s="251" t="n"/>
      <c r="DG277" s="251" t="n"/>
      <c r="DH277" s="251" t="n"/>
      <c r="DI277" s="251" t="n"/>
      <c r="DJ277" s="168" t="n"/>
      <c r="DK277" s="251" t="n"/>
      <c r="DL277" s="95" t="n"/>
      <c r="DM277" s="251" t="n"/>
      <c r="DN277" s="95" t="n"/>
      <c r="DO277" s="95" t="n"/>
    </row>
    <row r="278" ht="12" customHeight="1">
      <c r="A278" s="215" t="inlineStr">
        <is>
          <t>CPZ-11C</t>
        </is>
      </c>
      <c r="B278" s="305"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1" t="n"/>
      <c r="BL278" s="61" t="n"/>
      <c r="BM278" s="251" t="inlineStr">
        <is>
          <t>NF</t>
        </is>
      </c>
      <c r="BN278" s="106" t="inlineStr">
        <is>
          <t>Coposa Centro</t>
        </is>
      </c>
      <c r="BO278" s="251"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24">
        <f>+COUNTA(BV278:CY278)</f>
        <v/>
      </c>
      <c r="DA278" s="105" t="n"/>
      <c r="DB278" s="251" t="n"/>
      <c r="DC278" s="251" t="n"/>
      <c r="DD278" s="251" t="n"/>
      <c r="DE278" s="251" t="n"/>
      <c r="DF278" s="251" t="n"/>
      <c r="DG278" s="251" t="n"/>
      <c r="DH278" s="251" t="n"/>
      <c r="DI278" s="251" t="n"/>
      <c r="DJ278" s="168" t="n"/>
      <c r="DK278" s="251" t="n"/>
      <c r="DL278" s="95" t="n"/>
      <c r="DM278" s="251" t="n"/>
      <c r="DN278" s="95" t="n"/>
      <c r="DO278" s="95" t="n"/>
    </row>
    <row r="279" ht="12" customHeight="1">
      <c r="A279" s="215" t="inlineStr">
        <is>
          <t>CPZ-11C</t>
        </is>
      </c>
      <c r="B279" s="305"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1" t="n"/>
      <c r="BL279" s="61" t="n"/>
      <c r="BM279" s="251" t="inlineStr">
        <is>
          <t>ASUB</t>
        </is>
      </c>
      <c r="BN279" s="106" t="inlineStr">
        <is>
          <t>Coposa Centro</t>
        </is>
      </c>
      <c r="BO279" s="251"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24">
        <f>+COUNTA(BV279:CY279)</f>
        <v/>
      </c>
      <c r="DA279" s="105" t="n"/>
      <c r="DB279" s="251" t="n"/>
      <c r="DC279" s="251" t="n"/>
      <c r="DD279" s="251" t="n"/>
      <c r="DE279" s="251" t="n"/>
      <c r="DF279" s="251" t="n"/>
      <c r="DG279" s="251" t="n"/>
      <c r="DH279" s="251" t="n"/>
      <c r="DI279" s="251" t="n"/>
      <c r="DJ279" s="168" t="n"/>
      <c r="DK279" s="251" t="n"/>
      <c r="DL279" s="95" t="n"/>
      <c r="DM279" s="251" t="n"/>
      <c r="DN279" s="95" t="n"/>
      <c r="DO279" s="95" t="n"/>
    </row>
    <row r="280" ht="13.5" customHeight="1">
      <c r="A280" s="215" t="inlineStr">
        <is>
          <t>CPZ-13C</t>
        </is>
      </c>
      <c r="B280" s="305"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1" t="n"/>
      <c r="BL280" s="61" t="n"/>
      <c r="BM280" s="251" t="inlineStr">
        <is>
          <t>NF</t>
        </is>
      </c>
      <c r="BN280" s="106" t="inlineStr">
        <is>
          <t>Coposa Centro</t>
        </is>
      </c>
      <c r="BO280" s="251"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24">
        <f>+COUNTA(BV280:CY280)</f>
        <v/>
      </c>
      <c r="DA280" s="105" t="n"/>
      <c r="DB280" s="251" t="n"/>
      <c r="DC280" s="251" t="n"/>
      <c r="DD280" s="251" t="n"/>
      <c r="DE280" s="251" t="n"/>
      <c r="DF280" s="251" t="n"/>
      <c r="DG280" s="251" t="n"/>
      <c r="DH280" s="251" t="n"/>
      <c r="DI280" s="251" t="n"/>
      <c r="DJ280" s="168" t="n"/>
      <c r="DK280" s="251" t="n"/>
      <c r="DL280" s="95" t="n"/>
      <c r="DM280" s="251" t="n"/>
      <c r="DN280" s="95" t="n"/>
      <c r="DO280" s="95" t="n"/>
    </row>
    <row r="281" ht="14.15" customHeight="1">
      <c r="A281" s="215" t="inlineStr">
        <is>
          <t>CPZ-13C</t>
        </is>
      </c>
      <c r="B281" s="305"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1" t="n"/>
      <c r="BL281" s="61" t="n"/>
      <c r="BM281" s="251" t="inlineStr">
        <is>
          <t>ASUB</t>
        </is>
      </c>
      <c r="BN281" s="106" t="inlineStr">
        <is>
          <t>Coposa Centro</t>
        </is>
      </c>
      <c r="BO281" s="251"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24">
        <f>+COUNTA(BV281:CY281)</f>
        <v/>
      </c>
      <c r="DA281" s="105" t="n"/>
      <c r="DB281" s="251" t="n"/>
      <c r="DC281" s="251" t="n"/>
      <c r="DD281" s="251" t="n"/>
      <c r="DE281" s="251" t="n"/>
      <c r="DF281" s="251" t="n"/>
      <c r="DG281" s="251" t="n"/>
      <c r="DH281" s="251" t="n"/>
      <c r="DI281" s="251" t="n"/>
      <c r="DJ281" s="168" t="n"/>
      <c r="DK281" s="251" t="n"/>
      <c r="DL281" s="95" t="n"/>
      <c r="DM281" s="251" t="n"/>
      <c r="DN281" s="95" t="n"/>
      <c r="DO281" s="95" t="n"/>
    </row>
    <row r="282" ht="12.65" customHeight="1">
      <c r="A282" s="203" t="inlineStr">
        <is>
          <t>CPZ-16A</t>
        </is>
      </c>
      <c r="B282" s="305"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1" t="inlineStr">
        <is>
          <t>532MACPZ</t>
        </is>
      </c>
      <c r="BL282" s="61" t="inlineStr">
        <is>
          <t>GMAP-SIGA</t>
        </is>
      </c>
      <c r="BM282" s="251" t="inlineStr">
        <is>
          <t>NF</t>
        </is>
      </c>
      <c r="BN282" s="337" t="inlineStr">
        <is>
          <t>Jachucoposa</t>
        </is>
      </c>
      <c r="BO282" s="251"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05" t="n"/>
      <c r="CP282" s="105" t="n"/>
      <c r="CQ282" s="105" t="n"/>
      <c r="CR282" s="105" t="n"/>
      <c r="CS282" s="105" t="n"/>
      <c r="CT282" s="105" t="n"/>
      <c r="CU282" s="105" t="n"/>
      <c r="CV282" s="105" t="n"/>
      <c r="CW282" s="105" t="n"/>
      <c r="CX282" s="105" t="n"/>
      <c r="CY282" s="105" t="n"/>
      <c r="CZ282" s="124">
        <f>+COUNTA(BV282:CY282)</f>
        <v/>
      </c>
      <c r="DA282" s="251" t="n"/>
      <c r="DB282" s="251" t="n"/>
      <c r="DC282" s="251" t="n"/>
      <c r="DD282" s="251" t="n"/>
      <c r="DE282" s="251" t="n"/>
      <c r="DF282" s="251" t="n"/>
      <c r="DG282" s="251" t="n"/>
      <c r="DH282" s="251" t="n"/>
      <c r="DI282" s="251" t="n"/>
      <c r="DJ282" s="251" t="inlineStr">
        <is>
          <t>T</t>
        </is>
      </c>
      <c r="DK282" s="251" t="n">
        <v>15</v>
      </c>
      <c r="DL282" s="95" t="n">
        <v>21</v>
      </c>
      <c r="DM282" s="251" t="n"/>
      <c r="DN282" s="95" t="n"/>
      <c r="DO282" s="95" t="n"/>
    </row>
    <row r="283" ht="13" customHeight="1">
      <c r="A283" s="203" t="inlineStr">
        <is>
          <t>CPZ-16B</t>
        </is>
      </c>
      <c r="B283" s="305"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1" t="inlineStr">
        <is>
          <t>532MACPZ</t>
        </is>
      </c>
      <c r="BL283" s="61" t="inlineStr">
        <is>
          <t>GMAP-SIGA</t>
        </is>
      </c>
      <c r="BM283" s="251" t="inlineStr">
        <is>
          <t>NF</t>
        </is>
      </c>
      <c r="BN283" s="337" t="inlineStr">
        <is>
          <t>Jachucoposa</t>
        </is>
      </c>
      <c r="BO283" s="251"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05" t="n"/>
      <c r="CP283" s="105" t="n"/>
      <c r="CQ283" s="105" t="n"/>
      <c r="CR283" s="105" t="n"/>
      <c r="CS283" s="105" t="n"/>
      <c r="CT283" s="105" t="n"/>
      <c r="CU283" s="105" t="n"/>
      <c r="CV283" s="105" t="n"/>
      <c r="CW283" s="105" t="n"/>
      <c r="CX283" s="105" t="n"/>
      <c r="CY283" s="105" t="n"/>
      <c r="CZ283" s="124">
        <f>+COUNTA(BV283:CY283)</f>
        <v/>
      </c>
      <c r="DA283" s="251" t="n"/>
      <c r="DB283" s="251" t="n"/>
      <c r="DC283" s="251" t="n"/>
      <c r="DD283" s="251" t="n"/>
      <c r="DE283" s="251" t="n"/>
      <c r="DF283" s="251" t="n"/>
      <c r="DG283" s="251" t="n"/>
      <c r="DH283" s="251" t="n"/>
      <c r="DI283" s="251" t="n"/>
      <c r="DJ283" s="251" t="inlineStr">
        <is>
          <t>T</t>
        </is>
      </c>
      <c r="DK283" s="251" t="n">
        <v>15</v>
      </c>
      <c r="DL283" s="95" t="n">
        <v>21</v>
      </c>
      <c r="DM283" s="251" t="n"/>
      <c r="DN283" s="95" t="n"/>
      <c r="DO283" s="95" t="n"/>
    </row>
    <row r="284" ht="13" customHeight="1">
      <c r="A284" s="215" t="inlineStr">
        <is>
          <t>CPZ-16B</t>
        </is>
      </c>
      <c r="B284" s="305"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1" t="n"/>
      <c r="BL284" s="61" t="n"/>
      <c r="BM284" s="251" t="inlineStr">
        <is>
          <t>ASUB</t>
        </is>
      </c>
      <c r="BN284" s="337" t="inlineStr">
        <is>
          <t>Jachucoposa</t>
        </is>
      </c>
      <c r="BO284" s="251"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24">
        <f>+COUNTA(BV284:CY284)</f>
        <v/>
      </c>
      <c r="DA284" s="251" t="n"/>
      <c r="DB284" s="251" t="n"/>
      <c r="DC284" s="251" t="n"/>
      <c r="DD284" s="251" t="n"/>
      <c r="DE284" s="251" t="n"/>
      <c r="DF284" s="251" t="n"/>
      <c r="DG284" s="251" t="n"/>
      <c r="DH284" s="251" t="n"/>
      <c r="DI284" s="251" t="n"/>
      <c r="DJ284" s="251" t="n"/>
      <c r="DK284" s="251" t="n"/>
      <c r="DL284" s="95" t="n"/>
      <c r="DM284" s="251" t="n"/>
      <c r="DN284" s="95" t="n"/>
      <c r="DO284" s="95" t="n"/>
    </row>
    <row r="285" ht="13" customHeight="1">
      <c r="A285" s="203" t="inlineStr">
        <is>
          <t>CPZ-16C</t>
        </is>
      </c>
      <c r="B285" s="305"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1" t="inlineStr">
        <is>
          <t>532MACPZ</t>
        </is>
      </c>
      <c r="BL285" s="61" t="inlineStr">
        <is>
          <t>GMAP-SIGA</t>
        </is>
      </c>
      <c r="BM285" s="251" t="inlineStr">
        <is>
          <t>NF</t>
        </is>
      </c>
      <c r="BN285" s="337" t="inlineStr">
        <is>
          <t>Jachucoposa</t>
        </is>
      </c>
      <c r="BO285" s="251"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05" t="n"/>
      <c r="CP285" s="105" t="n"/>
      <c r="CQ285" s="105" t="n"/>
      <c r="CR285" s="105" t="n"/>
      <c r="CS285" s="105" t="n"/>
      <c r="CT285" s="105" t="n"/>
      <c r="CU285" s="105" t="n"/>
      <c r="CV285" s="105" t="n"/>
      <c r="CW285" s="105" t="n"/>
      <c r="CX285" s="105" t="n"/>
      <c r="CY285" s="105" t="n"/>
      <c r="CZ285" s="124">
        <f>+COUNTA(BV285:CY285)</f>
        <v/>
      </c>
      <c r="DA285" s="251" t="n"/>
      <c r="DB285" s="251" t="n"/>
      <c r="DC285" s="251" t="n"/>
      <c r="DD285" s="251" t="n"/>
      <c r="DE285" s="251" t="n"/>
      <c r="DF285" s="251" t="n"/>
      <c r="DG285" s="251" t="n"/>
      <c r="DH285" s="251" t="n"/>
      <c r="DI285" s="251" t="n"/>
      <c r="DJ285" s="251" t="inlineStr">
        <is>
          <t>T</t>
        </is>
      </c>
      <c r="DK285" s="251" t="n">
        <v>15</v>
      </c>
      <c r="DL285" s="95" t="n">
        <v>21</v>
      </c>
      <c r="DM285" s="251" t="n"/>
      <c r="DN285" s="95" t="n"/>
      <c r="DO285" s="95" t="n"/>
    </row>
    <row r="286" ht="13" customHeight="1">
      <c r="A286" s="203" t="inlineStr">
        <is>
          <t>CTP-01</t>
        </is>
      </c>
      <c r="B286" s="305"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1" t="inlineStr">
        <is>
          <t>532MACTP</t>
        </is>
      </c>
      <c r="BL286" s="61" t="inlineStr">
        <is>
          <t>GMAP-SIGA</t>
        </is>
      </c>
      <c r="BM286" s="251" t="inlineStr">
        <is>
          <t>NF</t>
        </is>
      </c>
      <c r="BN286" s="337" t="inlineStr">
        <is>
          <t>Coposa Norte</t>
        </is>
      </c>
      <c r="BO286" s="168"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05" t="n"/>
      <c r="CG286" s="142" t="n">
        <v>1</v>
      </c>
      <c r="CH286" s="105" t="n"/>
      <c r="CI286" s="105" t="n"/>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24">
        <f>+COUNTA(BV286:CY286)</f>
        <v/>
      </c>
      <c r="DA286" s="251" t="n"/>
      <c r="DB286" s="251" t="n"/>
      <c r="DC286" s="251" t="n"/>
      <c r="DD286" s="251" t="n"/>
      <c r="DE286" s="251" t="n"/>
      <c r="DF286" s="251" t="n"/>
      <c r="DG286" s="251" t="n"/>
      <c r="DH286" s="251" t="n"/>
      <c r="DI286" s="251" t="n"/>
      <c r="DJ286" s="251" t="inlineStr">
        <is>
          <t>M</t>
        </is>
      </c>
      <c r="DK286" s="251" t="n">
        <v>8</v>
      </c>
      <c r="DL286" s="95" t="n">
        <v>14</v>
      </c>
      <c r="DM286" s="251" t="n"/>
      <c r="DN286" s="95" t="n"/>
      <c r="DO286" s="95" t="n"/>
    </row>
    <row r="287" ht="13" customHeight="1">
      <c r="A287" s="203" t="inlineStr">
        <is>
          <t>CTP-03</t>
        </is>
      </c>
      <c r="B287" s="305"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1" t="inlineStr">
        <is>
          <t>532MACTP</t>
        </is>
      </c>
      <c r="BL287" s="61" t="inlineStr">
        <is>
          <t>GMAP-SIGA</t>
        </is>
      </c>
      <c r="BM287" s="251" t="inlineStr">
        <is>
          <t>NF</t>
        </is>
      </c>
      <c r="BN287" s="337" t="inlineStr">
        <is>
          <t>Jachucoposa</t>
        </is>
      </c>
      <c r="BO287" s="251"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24">
        <f>+COUNTA(BV287:CY287)</f>
        <v/>
      </c>
      <c r="DA287" s="251" t="n"/>
      <c r="DB287" s="251" t="n"/>
      <c r="DC287" s="251" t="n"/>
      <c r="DD287" s="251" t="n"/>
      <c r="DE287" s="251" t="n"/>
      <c r="DF287" s="251" t="n"/>
      <c r="DG287" s="251" t="n"/>
      <c r="DH287" s="251" t="n"/>
      <c r="DI287" s="251" t="n"/>
      <c r="DJ287" s="251" t="inlineStr">
        <is>
          <t>SE ELIMINA</t>
        </is>
      </c>
      <c r="DK287" s="251" t="n"/>
      <c r="DL287" s="95" t="n"/>
      <c r="DM287" s="251" t="n"/>
      <c r="DN287" s="95" t="n"/>
      <c r="DO287" s="95" t="n"/>
    </row>
    <row r="288" ht="13" customHeight="1">
      <c r="A288" s="203" t="inlineStr">
        <is>
          <t>CWE-01</t>
        </is>
      </c>
      <c r="B288" s="305" t="inlineStr">
        <is>
          <t>CWE-01 FALLA PABELLON</t>
        </is>
      </c>
      <c r="C288" s="251"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1" t="inlineStr">
        <is>
          <t>532MACWE</t>
        </is>
      </c>
      <c r="BL288" s="7" t="inlineStr">
        <is>
          <t>GMAP-SIGA</t>
        </is>
      </c>
      <c r="BM288" s="251" t="inlineStr">
        <is>
          <t>NF</t>
        </is>
      </c>
      <c r="BN288" s="106" t="inlineStr">
        <is>
          <t>Falla Pabellón</t>
        </is>
      </c>
      <c r="BO288" s="251" t="inlineStr">
        <is>
          <t>SI</t>
        </is>
      </c>
      <c r="BP288" s="106" t="inlineStr">
        <is>
          <t>CWE-01 FALLA PABELLON/NF</t>
        </is>
      </c>
      <c r="BQ288" s="106">
        <f>VLOOKUP(BP288,[1]AGUA!$1:$1048576,2,FALSE)</f>
        <v/>
      </c>
      <c r="BR288" s="106">
        <f>VLOOKUP(BP288,[1]AGUA!$1:$1048576,6,FALSE)</f>
        <v/>
      </c>
      <c r="BS288" s="106">
        <f>VLOOKUP(BP288,[1]AGUA!$1:$1048576,7,FALSE)</f>
        <v/>
      </c>
      <c r="BT288" s="106" t="n"/>
      <c r="BU288" s="253" t="n"/>
      <c r="BV288" s="105" t="n"/>
      <c r="BW288" s="105" t="n"/>
      <c r="BX288" s="105" t="n"/>
      <c r="BY288" s="105" t="n"/>
      <c r="BZ288" s="105" t="n"/>
      <c r="CA288" s="105" t="n"/>
      <c r="CB288" s="105" t="n"/>
      <c r="CC288" s="105" t="n"/>
      <c r="CD288" s="105" t="n"/>
      <c r="CE288" s="105" t="n"/>
      <c r="CF288" s="105" t="n"/>
      <c r="CG288" s="105" t="n"/>
      <c r="CH288" s="105" t="n"/>
      <c r="CI288" s="105" t="n"/>
      <c r="CJ288" s="105" t="n"/>
      <c r="CK288" s="142" t="n">
        <v>1</v>
      </c>
      <c r="CL288" s="105" t="n"/>
      <c r="CM288" s="105" t="n"/>
      <c r="CN288" s="105" t="n"/>
      <c r="CO288" s="105" t="n"/>
      <c r="CP288" s="105" t="n"/>
      <c r="CQ288" s="105" t="n"/>
      <c r="CR288" s="105" t="n"/>
      <c r="CS288" s="105" t="n"/>
      <c r="CT288" s="105" t="n"/>
      <c r="CU288" s="105" t="n"/>
      <c r="CV288" s="105" t="n"/>
      <c r="CW288" s="105" t="n"/>
      <c r="CX288" s="105" t="n"/>
      <c r="CY288" s="105" t="n"/>
      <c r="CZ288" s="124">
        <f>+COUNTA(BV288:CY288)</f>
        <v/>
      </c>
      <c r="DA288" s="251" t="n"/>
      <c r="DB288" s="251" t="n"/>
      <c r="DC288" s="251" t="n"/>
      <c r="DD288" s="251" t="n"/>
      <c r="DE288" s="251" t="n"/>
      <c r="DF288" s="251" t="n"/>
      <c r="DG288" s="251" t="n"/>
      <c r="DH288" s="251" t="n"/>
      <c r="DI288" s="251" t="n"/>
      <c r="DJ288" s="251" t="inlineStr">
        <is>
          <t>T</t>
        </is>
      </c>
      <c r="DK288" s="251" t="n">
        <v>15</v>
      </c>
      <c r="DL288" s="95" t="n">
        <v>21</v>
      </c>
      <c r="DM288" s="251" t="n"/>
      <c r="DN288" s="95" t="n"/>
      <c r="DO288" s="95" t="n"/>
    </row>
    <row r="289" ht="13" customHeight="1">
      <c r="A289" s="203" t="inlineStr">
        <is>
          <t>CWE-01</t>
        </is>
      </c>
      <c r="B289" s="376" t="n"/>
      <c r="C289" s="376"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76" t="n"/>
      <c r="BL289" s="7" t="inlineStr">
        <is>
          <t>GMAP-SIGA</t>
        </is>
      </c>
      <c r="BM289" s="168" t="inlineStr">
        <is>
          <t>ASUB</t>
        </is>
      </c>
      <c r="BN289" s="106" t="inlineStr">
        <is>
          <t>Falla Pabellón</t>
        </is>
      </c>
      <c r="BO289" s="251"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77" t="n"/>
      <c r="BV289" s="105" t="n"/>
      <c r="BW289" s="105" t="n"/>
      <c r="BX289" s="105" t="n"/>
      <c r="BY289" s="105" t="n"/>
      <c r="BZ289" s="105" t="n"/>
      <c r="CA289" s="105" t="n"/>
      <c r="CB289" s="105" t="n"/>
      <c r="CC289" s="105" t="n"/>
      <c r="CD289" s="105" t="n"/>
      <c r="CE289" s="105" t="n"/>
      <c r="CF289" s="105" t="n"/>
      <c r="CG289" s="105" t="n"/>
      <c r="CH289" s="105" t="n"/>
      <c r="CI289" s="105" t="n"/>
      <c r="CJ289" s="105" t="n"/>
      <c r="CK289" s="107" t="n">
        <v>1</v>
      </c>
      <c r="CL289" s="105" t="n"/>
      <c r="CM289" s="105" t="n"/>
      <c r="CN289" s="105" t="n"/>
      <c r="CO289" s="105" t="n"/>
      <c r="CP289" s="105" t="n"/>
      <c r="CQ289" s="105" t="n"/>
      <c r="CR289" s="105" t="n"/>
      <c r="CS289" s="105" t="n"/>
      <c r="CT289" s="105" t="n"/>
      <c r="CU289" s="105" t="n"/>
      <c r="CV289" s="105" t="n"/>
      <c r="CW289" s="105" t="n"/>
      <c r="CX289" s="105" t="n"/>
      <c r="CY289" s="105" t="n"/>
      <c r="CZ289" s="124">
        <f>+COUNTA(BV289:CY289)</f>
        <v/>
      </c>
      <c r="DA289" s="251" t="n"/>
      <c r="DB289" s="251" t="n"/>
      <c r="DC289" s="251" t="n"/>
      <c r="DD289" s="251" t="n"/>
      <c r="DE289" s="251" t="n"/>
      <c r="DF289" s="251" t="n"/>
      <c r="DG289" s="251" t="n"/>
      <c r="DH289" s="251" t="n"/>
      <c r="DI289" s="251" t="n"/>
      <c r="DJ289" s="251" t="n"/>
      <c r="DK289" s="251" t="n"/>
      <c r="DL289" s="95" t="n"/>
      <c r="DM289" s="251" t="inlineStr">
        <is>
          <t>T</t>
        </is>
      </c>
      <c r="DN289" s="95" t="n">
        <v>15</v>
      </c>
      <c r="DO289" s="95" t="n">
        <v>21</v>
      </c>
    </row>
    <row r="290" ht="12" customHeight="1">
      <c r="A290" s="203" t="inlineStr">
        <is>
          <t>CWE-02A</t>
        </is>
      </c>
      <c r="B290" s="305" t="inlineStr">
        <is>
          <t>CWE-02A COPOSA SUR</t>
        </is>
      </c>
      <c r="C290" s="251"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1" t="inlineStr">
        <is>
          <t>532MACWE</t>
        </is>
      </c>
      <c r="BL290" s="7" t="inlineStr">
        <is>
          <t>GMAP-SIGA</t>
        </is>
      </c>
      <c r="BM290" s="251" t="inlineStr">
        <is>
          <t>NF</t>
        </is>
      </c>
      <c r="BN290" s="337" t="inlineStr">
        <is>
          <t>Coposa sur</t>
        </is>
      </c>
      <c r="BO290" s="251" t="inlineStr">
        <is>
          <t>SI</t>
        </is>
      </c>
      <c r="BP290" s="106" t="inlineStr">
        <is>
          <t>CWE-02A COPOSA SUR/NF</t>
        </is>
      </c>
      <c r="BQ290" s="106">
        <f>VLOOKUP(BP290,[1]AGUA!$1:$1048576,2,FALSE)</f>
        <v/>
      </c>
      <c r="BR290" s="106">
        <f>VLOOKUP(BP290,[1]AGUA!$1:$1048576,6,FALSE)</f>
        <v/>
      </c>
      <c r="BS290" s="106">
        <f>VLOOKUP(BP290,[1]AGUA!$1:$1048576,7,FALSE)</f>
        <v/>
      </c>
      <c r="BT290" s="106" t="n"/>
      <c r="BU290" s="253" t="n"/>
      <c r="BV290" s="105" t="n"/>
      <c r="BW290" s="105" t="n"/>
      <c r="BX290" s="105" t="n"/>
      <c r="BY290" s="105" t="n"/>
      <c r="BZ290" s="105" t="n"/>
      <c r="CA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42" t="n">
        <v>1</v>
      </c>
      <c r="CW290" s="105" t="n"/>
      <c r="CX290" s="105" t="n"/>
      <c r="CY290" s="105" t="n"/>
      <c r="CZ290" s="124">
        <f>+COUNTA(BV290:CY290)</f>
        <v/>
      </c>
      <c r="DA290" s="251" t="n"/>
      <c r="DB290" s="251" t="n"/>
      <c r="DC290" s="251" t="n"/>
      <c r="DD290" s="251" t="n"/>
      <c r="DE290" s="251" t="n"/>
      <c r="DF290" s="251" t="n"/>
      <c r="DG290" s="251" t="n"/>
      <c r="DH290" s="251" t="n"/>
      <c r="DI290" s="251" t="n"/>
      <c r="DJ290" s="251" t="inlineStr">
        <is>
          <t>T</t>
        </is>
      </c>
      <c r="DK290" s="251" t="n">
        <v>1</v>
      </c>
      <c r="DL290" s="95" t="n">
        <v>7</v>
      </c>
      <c r="DM290" s="251" t="n"/>
      <c r="DN290" s="95" t="n"/>
      <c r="DO290" s="95" t="n"/>
    </row>
    <row r="291" ht="18" customHeight="1">
      <c r="A291" s="203" t="inlineStr">
        <is>
          <t>CWE-02A</t>
        </is>
      </c>
      <c r="B291" s="376" t="n"/>
      <c r="C291" s="376"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76" t="n"/>
      <c r="BL291" s="7" t="inlineStr">
        <is>
          <t>GMAP-SIGA</t>
        </is>
      </c>
      <c r="BM291" s="251" t="inlineStr">
        <is>
          <t>ASUB</t>
        </is>
      </c>
      <c r="BN291" s="337" t="inlineStr">
        <is>
          <t>Coposa sur</t>
        </is>
      </c>
      <c r="BO291" s="251" t="inlineStr">
        <is>
          <t>SI</t>
        </is>
      </c>
      <c r="BP291" s="106" t="inlineStr">
        <is>
          <t>CWE-02A COPOSA SUR/ASUB</t>
        </is>
      </c>
      <c r="BQ291" s="106">
        <f>VLOOKUP(BP291,[1]AGUA!$1:$1048576,2,FALSE)</f>
        <v/>
      </c>
      <c r="BR291" s="106">
        <f>VLOOKUP(BP291,[1]AGUA!$1:$1048576,6,FALSE)</f>
        <v/>
      </c>
      <c r="BS291" s="106">
        <f>VLOOKUP(BP291,[1]AGUA!$1:$1048576,7,FALSE)</f>
        <v/>
      </c>
      <c r="BT291" s="106" t="n"/>
      <c r="BU291" s="377" t="n"/>
      <c r="BV291" s="105" t="n"/>
      <c r="BW291" s="105" t="n"/>
      <c r="BX291" s="105" t="n"/>
      <c r="BY291" s="105" t="n"/>
      <c r="BZ291" s="105" t="n"/>
      <c r="CA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5" t="n"/>
      <c r="CU291" s="105" t="n"/>
      <c r="CV291" s="107" t="n">
        <v>1</v>
      </c>
      <c r="CW291" s="105" t="n"/>
      <c r="CX291" s="105" t="n"/>
      <c r="CY291" s="105" t="n"/>
      <c r="CZ291" s="124">
        <f>+COUNTA(BV291:CY291)</f>
        <v/>
      </c>
      <c r="DA291" s="251" t="n"/>
      <c r="DB291" s="251" t="n"/>
      <c r="DC291" s="251" t="n"/>
      <c r="DD291" s="251" t="n"/>
      <c r="DE291" s="251" t="n"/>
      <c r="DF291" s="251" t="n"/>
      <c r="DG291" s="251" t="n"/>
      <c r="DH291" s="251" t="n"/>
      <c r="DI291" s="251" t="n"/>
      <c r="DJ291" s="251" t="n"/>
      <c r="DK291" s="251" t="n"/>
      <c r="DL291" s="95" t="n"/>
      <c r="DM291" s="251" t="inlineStr">
        <is>
          <t>T</t>
        </is>
      </c>
      <c r="DN291" s="95" t="n">
        <v>22</v>
      </c>
      <c r="DO291" s="95" t="n">
        <v>28</v>
      </c>
    </row>
    <row r="292" ht="12" customHeight="1">
      <c r="A292" s="203" t="inlineStr">
        <is>
          <t>CWE-03</t>
        </is>
      </c>
      <c r="B292" s="305"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1" t="inlineStr">
        <is>
          <t>532MACWE</t>
        </is>
      </c>
      <c r="BL292" s="61" t="inlineStr">
        <is>
          <t>GMAP-SIGA</t>
        </is>
      </c>
      <c r="BM292" s="251" t="inlineStr">
        <is>
          <t>NF</t>
        </is>
      </c>
      <c r="BN292" s="337" t="inlineStr">
        <is>
          <t>Coposa sur</t>
        </is>
      </c>
      <c r="BO292" s="251"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05" t="n"/>
      <c r="CQ292" s="105" t="n"/>
      <c r="CR292" s="105" t="n"/>
      <c r="CS292" s="105" t="n"/>
      <c r="CT292" s="105" t="n"/>
      <c r="CU292" s="105" t="n"/>
      <c r="CV292" s="105" t="n"/>
      <c r="CW292" s="105" t="n"/>
      <c r="CX292" s="105" t="n"/>
      <c r="CY292" s="105" t="n"/>
      <c r="CZ292" s="124">
        <f>+COUNTA(BV292:CY292)</f>
        <v/>
      </c>
      <c r="DA292" s="251" t="n"/>
      <c r="DB292" s="251" t="n"/>
      <c r="DC292" s="251" t="n"/>
      <c r="DD292" s="251" t="n"/>
      <c r="DE292" s="251" t="n"/>
      <c r="DF292" s="251" t="n"/>
      <c r="DG292" s="251" t="n"/>
      <c r="DH292" s="251" t="n"/>
      <c r="DI292" s="251" t="n"/>
      <c r="DJ292" s="251" t="inlineStr">
        <is>
          <t>M</t>
        </is>
      </c>
      <c r="DK292" s="251" t="n">
        <v>22</v>
      </c>
      <c r="DL292" s="95" t="n">
        <v>28</v>
      </c>
      <c r="DM292" s="251" t="n"/>
      <c r="DN292" s="95" t="n"/>
      <c r="DO292" s="95" t="n"/>
    </row>
    <row r="293" ht="13.5" customHeight="1">
      <c r="A293" s="205" t="inlineStr">
        <is>
          <t>CWE-05</t>
        </is>
      </c>
      <c r="B293" s="305"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1" t="inlineStr">
        <is>
          <t>532MACWE</t>
        </is>
      </c>
      <c r="BL293" s="61" t="inlineStr">
        <is>
          <t>GMAP-SIGA</t>
        </is>
      </c>
      <c r="BM293" s="251" t="inlineStr">
        <is>
          <t>NF</t>
        </is>
      </c>
      <c r="BN293" s="106" t="inlineStr">
        <is>
          <t>Falla Pabellón</t>
        </is>
      </c>
      <c r="BO293" s="251"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42" t="n">
        <v>1</v>
      </c>
      <c r="BZ293" s="105" t="n"/>
      <c r="CA293" s="105" t="n"/>
      <c r="CB293" s="105" t="n"/>
      <c r="CC293" s="242" t="n">
        <v>1</v>
      </c>
      <c r="CD293" s="105" t="n"/>
      <c r="CE293" s="105" t="n"/>
      <c r="CF293" s="105" t="n"/>
      <c r="CG293" s="105" t="n"/>
      <c r="CH293" s="105" t="n"/>
      <c r="CI293" s="105" t="n"/>
      <c r="CJ293" s="105" t="n"/>
      <c r="CK293" s="105" t="n"/>
      <c r="CL293" s="105" t="n"/>
      <c r="CM293" s="142" t="n">
        <v>1</v>
      </c>
      <c r="CN293" s="105" t="n"/>
      <c r="CO293" s="105" t="n"/>
      <c r="CP293" s="105" t="n"/>
      <c r="CQ293" s="242" t="n">
        <v>1</v>
      </c>
      <c r="CR293" s="105" t="n"/>
      <c r="CS293" s="105" t="n"/>
      <c r="CT293" s="105" t="n"/>
      <c r="CU293" s="105" t="n"/>
      <c r="CV293" s="105" t="n"/>
      <c r="CW293" s="105" t="n"/>
      <c r="CX293" s="105" t="n"/>
      <c r="CY293" s="142" t="n">
        <v>1</v>
      </c>
      <c r="CZ293" s="124">
        <f>+COUNTA(BV293:CY293)</f>
        <v/>
      </c>
      <c r="DA293" s="206" t="n"/>
      <c r="DB293" s="251" t="n"/>
      <c r="DC293" s="251" t="n"/>
      <c r="DD293" s="251" t="n"/>
      <c r="DE293" s="251" t="n"/>
      <c r="DF293" s="251" t="n"/>
      <c r="DG293" s="251" t="n"/>
      <c r="DH293" s="251" t="n"/>
      <c r="DI293" s="251" t="n"/>
      <c r="DJ293" s="168" t="inlineStr">
        <is>
          <t>S</t>
        </is>
      </c>
      <c r="DK293" s="251" t="n">
        <v>15</v>
      </c>
      <c r="DL293" s="95" t="n">
        <v>28</v>
      </c>
      <c r="DM293" s="251" t="n"/>
      <c r="DN293" s="95" t="n"/>
      <c r="DO293" s="95" t="n"/>
    </row>
    <row r="294" ht="14.5" customHeight="1">
      <c r="A294" s="203" t="inlineStr">
        <is>
          <t>CWE-06</t>
        </is>
      </c>
      <c r="B294" s="305" t="inlineStr">
        <is>
          <t>CWE-06 FALLA PABELLON</t>
        </is>
      </c>
      <c r="C294" s="251"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1" t="inlineStr">
        <is>
          <t>532MACWE</t>
        </is>
      </c>
      <c r="BL294" s="7" t="inlineStr">
        <is>
          <t>GMAP-SIGA</t>
        </is>
      </c>
      <c r="BM294" s="251" t="inlineStr">
        <is>
          <t>NF</t>
        </is>
      </c>
      <c r="BN294" s="106" t="inlineStr">
        <is>
          <t>Falla Pabellón</t>
        </is>
      </c>
      <c r="BO294" s="251" t="inlineStr">
        <is>
          <t>SI</t>
        </is>
      </c>
      <c r="BP294" s="106" t="inlineStr">
        <is>
          <t>CWE-06 FALLA PABELLON/NF</t>
        </is>
      </c>
      <c r="BQ294" s="106">
        <f>VLOOKUP(BP294,[1]AGUA!$1:$1048576,2,FALSE)</f>
        <v/>
      </c>
      <c r="BR294" s="106">
        <f>VLOOKUP(BP294,[1]AGUA!$1:$1048576,6,FALSE)</f>
        <v/>
      </c>
      <c r="BS294" s="106">
        <f>VLOOKUP(BP294,[1]AGUA!$1:$1048576,7,FALSE)</f>
        <v/>
      </c>
      <c r="BT294" s="106" t="n"/>
      <c r="BU294" s="253" t="n"/>
      <c r="BV294" s="105" t="n"/>
      <c r="BW294" s="105" t="n"/>
      <c r="BX294" s="105" t="n"/>
      <c r="BY294" s="105" t="n"/>
      <c r="BZ294" s="105" t="n"/>
      <c r="CA294" s="105" t="n"/>
      <c r="CB294" s="105" t="n"/>
      <c r="CC294" s="105" t="n"/>
      <c r="CD294" s="105" t="n"/>
      <c r="CE294" s="105" t="n"/>
      <c r="CF294" s="105" t="n"/>
      <c r="CG294" s="105" t="n"/>
      <c r="CH294" s="105" t="n"/>
      <c r="CI294" s="105" t="n"/>
      <c r="CJ294" s="105" t="n"/>
      <c r="CK294" s="142" t="n">
        <v>1</v>
      </c>
      <c r="CL294" s="105" t="n"/>
      <c r="CM294" s="105" t="n"/>
      <c r="CN294" s="105" t="n"/>
      <c r="CO294" s="105" t="n"/>
      <c r="CP294" s="105" t="n"/>
      <c r="CQ294" s="105" t="n"/>
      <c r="CR294" s="105" t="n"/>
      <c r="CS294" s="105" t="n"/>
      <c r="CT294" s="105" t="n"/>
      <c r="CU294" s="105" t="n"/>
      <c r="CV294" s="105" t="n"/>
      <c r="CW294" s="105" t="n"/>
      <c r="CX294" s="105" t="n"/>
      <c r="CY294" s="105" t="n"/>
      <c r="CZ294" s="124">
        <f>+COUNTA(BV294:CY294)</f>
        <v/>
      </c>
      <c r="DA294" s="251" t="n"/>
      <c r="DB294" s="251" t="n"/>
      <c r="DC294" s="251" t="n"/>
      <c r="DD294" s="251" t="n"/>
      <c r="DE294" s="251" t="n"/>
      <c r="DF294" s="251" t="n"/>
      <c r="DG294" s="251" t="n"/>
      <c r="DH294" s="251" t="n"/>
      <c r="DI294" s="251" t="n"/>
      <c r="DJ294" s="251" t="inlineStr">
        <is>
          <t>T</t>
        </is>
      </c>
      <c r="DK294" s="251" t="n">
        <v>15</v>
      </c>
      <c r="DL294" s="95" t="n">
        <v>21</v>
      </c>
      <c r="DM294" s="251" t="n"/>
      <c r="DN294" s="95" t="n"/>
      <c r="DO294" s="95" t="n"/>
    </row>
    <row r="295" ht="12.5" customHeight="1">
      <c r="A295" s="203" t="inlineStr">
        <is>
          <t>CWE-06</t>
        </is>
      </c>
      <c r="B295" s="376" t="n"/>
      <c r="C295" s="376"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76" t="n"/>
      <c r="BL295" s="7" t="inlineStr">
        <is>
          <t>GMAP-SIGA</t>
        </is>
      </c>
      <c r="BM295" s="168" t="inlineStr">
        <is>
          <t>ASUB</t>
        </is>
      </c>
      <c r="BN295" s="106" t="inlineStr">
        <is>
          <t>Falla Pabellón</t>
        </is>
      </c>
      <c r="BO295" s="251" t="inlineStr">
        <is>
          <t>SI</t>
        </is>
      </c>
      <c r="BP295" s="106" t="inlineStr">
        <is>
          <t>CWE-06 FALLA PABELLON/ASUB</t>
        </is>
      </c>
      <c r="BQ295" s="106">
        <f>VLOOKUP(BP295,[1]AGUA!$1:$1048576,2,FALSE)</f>
        <v/>
      </c>
      <c r="BR295" s="106">
        <f>VLOOKUP(BP295,[1]AGUA!$1:$1048576,6,FALSE)</f>
        <v/>
      </c>
      <c r="BS295" s="106">
        <f>VLOOKUP(BP295,[1]AGUA!$1:$1048576,7,FALSE)</f>
        <v/>
      </c>
      <c r="BT295" s="106" t="n"/>
      <c r="BU295" s="377" t="n"/>
      <c r="BV295" s="105" t="n"/>
      <c r="BW295" s="105" t="n"/>
      <c r="BX295" s="105" t="n"/>
      <c r="BY295" s="105" t="n"/>
      <c r="BZ295" s="105" t="n"/>
      <c r="CA295" s="105" t="n"/>
      <c r="CB295" s="105" t="n"/>
      <c r="CC295" s="105" t="n"/>
      <c r="CD295" s="105" t="n"/>
      <c r="CE295" s="105" t="n"/>
      <c r="CF295" s="105" t="n"/>
      <c r="CG295" s="105" t="n"/>
      <c r="CH295" s="105" t="n"/>
      <c r="CI295" s="105" t="n"/>
      <c r="CJ295" s="105" t="n"/>
      <c r="CK295" s="107" t="n">
        <v>1</v>
      </c>
      <c r="CL295" s="105" t="n"/>
      <c r="CM295" s="105" t="n"/>
      <c r="CN295" s="105" t="n"/>
      <c r="CO295" s="105" t="n"/>
      <c r="CP295" s="105" t="n"/>
      <c r="CQ295" s="105" t="n"/>
      <c r="CR295" s="105" t="n"/>
      <c r="CS295" s="105" t="n"/>
      <c r="CT295" s="105" t="n"/>
      <c r="CU295" s="105" t="n"/>
      <c r="CV295" s="105" t="n"/>
      <c r="CW295" s="105" t="n"/>
      <c r="CX295" s="105" t="n"/>
      <c r="CY295" s="105" t="n"/>
      <c r="CZ295" s="124">
        <f>+COUNTA(BV295:CY295)</f>
        <v/>
      </c>
      <c r="DA295" s="251" t="n"/>
      <c r="DB295" s="251" t="n"/>
      <c r="DC295" s="251" t="n"/>
      <c r="DD295" s="251" t="n"/>
      <c r="DE295" s="251" t="n"/>
      <c r="DF295" s="251" t="n"/>
      <c r="DG295" s="251" t="n"/>
      <c r="DH295" s="251" t="n"/>
      <c r="DI295" s="251" t="n"/>
      <c r="DJ295" s="251" t="n"/>
      <c r="DK295" s="251" t="n"/>
      <c r="DL295" s="95" t="n"/>
      <c r="DM295" s="251" t="inlineStr">
        <is>
          <t>T</t>
        </is>
      </c>
      <c r="DN295" s="95" t="n">
        <v>15</v>
      </c>
      <c r="DO295" s="95" t="n">
        <v>21</v>
      </c>
    </row>
    <row r="296" ht="12.5" customHeight="1">
      <c r="A296" s="203" t="inlineStr">
        <is>
          <t>CWE-07</t>
        </is>
      </c>
      <c r="B296" s="305" t="inlineStr">
        <is>
          <t>CWE-07 COPOSA SUR</t>
        </is>
      </c>
      <c r="C296" s="251"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1" t="inlineStr">
        <is>
          <t>532MACWE</t>
        </is>
      </c>
      <c r="BL296" s="7" t="inlineStr">
        <is>
          <t>GMAP-SIGA</t>
        </is>
      </c>
      <c r="BM296" s="251" t="inlineStr">
        <is>
          <t>NF</t>
        </is>
      </c>
      <c r="BN296" s="337" t="inlineStr">
        <is>
          <t>Coposa sur</t>
        </is>
      </c>
      <c r="BO296" s="168" t="inlineStr">
        <is>
          <t>SI / PAT FRONTERA</t>
        </is>
      </c>
      <c r="BP296" s="106" t="inlineStr">
        <is>
          <t>CWE-07 COPOSA SUR/NF</t>
        </is>
      </c>
      <c r="BQ296" s="106">
        <f>VLOOKUP(BP296,[1]AGUA!$1:$1048576,2,FALSE)</f>
        <v/>
      </c>
      <c r="BR296" s="106">
        <f>VLOOKUP(BP296,[1]AGUA!$1:$1048576,6,FALSE)</f>
        <v/>
      </c>
      <c r="BS296" s="106">
        <f>VLOOKUP(BP296,[1]AGUA!$1:$1048576,7,FALSE)</f>
        <v/>
      </c>
      <c r="BT296" s="106" t="n"/>
      <c r="BU296" s="253"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42" t="n">
        <v>1</v>
      </c>
      <c r="CM296" s="105" t="n"/>
      <c r="CN296" s="105" t="n"/>
      <c r="CO296" s="105" t="n"/>
      <c r="CP296" s="105" t="n"/>
      <c r="CQ296" s="105" t="n"/>
      <c r="CR296" s="105" t="n"/>
      <c r="CS296" s="105" t="n"/>
      <c r="CT296" s="105" t="n"/>
      <c r="CU296" s="105" t="n"/>
      <c r="CV296" s="105" t="n"/>
      <c r="CW296" s="105" t="n"/>
      <c r="CX296" s="105" t="n"/>
      <c r="CY296" s="105" t="n"/>
      <c r="CZ296" s="124">
        <f>+COUNTA(BV296:CY296)</f>
        <v/>
      </c>
      <c r="DA296" s="251" t="n"/>
      <c r="DB296" s="251" t="n"/>
      <c r="DC296" s="251" t="n"/>
      <c r="DD296" s="251" t="n"/>
      <c r="DE296" s="251" t="n"/>
      <c r="DF296" s="251" t="n"/>
      <c r="DG296" s="251" t="n"/>
      <c r="DH296" s="251" t="n"/>
      <c r="DI296" s="251" t="n"/>
      <c r="DJ296" s="251" t="inlineStr">
        <is>
          <t>M</t>
        </is>
      </c>
      <c r="DK296" s="251" t="n">
        <v>8</v>
      </c>
      <c r="DL296" s="95" t="n">
        <v>21</v>
      </c>
      <c r="DM296" s="251" t="n"/>
      <c r="DN296" s="95" t="n"/>
      <c r="DO296" s="95" t="n"/>
    </row>
    <row r="297" ht="13" customHeight="1">
      <c r="A297" s="203" t="inlineStr">
        <is>
          <t>CWE-07</t>
        </is>
      </c>
      <c r="B297" s="376" t="n"/>
      <c r="C297" s="376"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76" t="n"/>
      <c r="BL297" s="7" t="inlineStr">
        <is>
          <t>GMAP-SIGA</t>
        </is>
      </c>
      <c r="BM297" s="251" t="inlineStr">
        <is>
          <t>ASUB</t>
        </is>
      </c>
      <c r="BN297" s="337" t="inlineStr">
        <is>
          <t>Coposa sur</t>
        </is>
      </c>
      <c r="BO297" s="251" t="inlineStr">
        <is>
          <t>SI / PAT FRONTERA</t>
        </is>
      </c>
      <c r="BP297" s="106" t="inlineStr">
        <is>
          <t>CWE-07 COPOSA SUR/ASUB</t>
        </is>
      </c>
      <c r="BQ297" s="106">
        <f>VLOOKUP(BP297,[1]AGUA!$1:$1048576,2,FALSE)</f>
        <v/>
      </c>
      <c r="BR297" s="106">
        <f>VLOOKUP(BP297,[1]AGUA!$1:$1048576,6,FALSE)</f>
        <v/>
      </c>
      <c r="BS297" s="106">
        <f>VLOOKUP(BP297,[1]AGUA!$1:$1048576,7,FALSE)</f>
        <v/>
      </c>
      <c r="BT297" s="106" t="n"/>
      <c r="BU297" s="377" t="n"/>
      <c r="BV297" s="105" t="n"/>
      <c r="BW297" s="105" t="n"/>
      <c r="BX297" s="105" t="n"/>
      <c r="BY297" s="105" t="n"/>
      <c r="BZ297" s="105" t="n"/>
      <c r="CA297" s="105" t="n"/>
      <c r="CB297" s="105" t="n"/>
      <c r="CC297" s="105" t="n"/>
      <c r="CD297" s="105" t="n"/>
      <c r="CE297" s="105" t="n"/>
      <c r="CF297" s="105" t="n"/>
      <c r="CG297" s="105" t="n"/>
      <c r="CH297" s="105" t="n"/>
      <c r="CI297" s="105" t="n"/>
      <c r="CJ297" s="105" t="n"/>
      <c r="CK297" s="105" t="n"/>
      <c r="CL297" s="107" t="n">
        <v>1</v>
      </c>
      <c r="CM297" s="105" t="n"/>
      <c r="CN297" s="105" t="n"/>
      <c r="CO297" s="105" t="n"/>
      <c r="CP297" s="105" t="n"/>
      <c r="CQ297" s="105" t="n"/>
      <c r="CR297" s="105" t="n"/>
      <c r="CS297" s="105" t="n"/>
      <c r="CT297" s="105" t="n"/>
      <c r="CU297" s="105" t="n"/>
      <c r="CV297" s="105" t="n"/>
      <c r="CW297" s="105" t="n"/>
      <c r="CX297" s="105" t="n"/>
      <c r="CY297" s="105" t="n"/>
      <c r="CZ297" s="124">
        <f>+COUNTA(BV297:CY297)</f>
        <v/>
      </c>
      <c r="DA297" s="251" t="n"/>
      <c r="DB297" s="251" t="n"/>
      <c r="DC297" s="251" t="n"/>
      <c r="DD297" s="251" t="n"/>
      <c r="DE297" s="251" t="n"/>
      <c r="DF297" s="251" t="n"/>
      <c r="DG297" s="251" t="n"/>
      <c r="DH297" s="251" t="n"/>
      <c r="DI297" s="251" t="n"/>
      <c r="DJ297" s="251" t="n"/>
      <c r="DK297" s="251" t="n"/>
      <c r="DL297" s="95" t="n"/>
      <c r="DM297" s="251" t="inlineStr">
        <is>
          <t>T</t>
        </is>
      </c>
      <c r="DN297" s="95" t="n">
        <v>8</v>
      </c>
      <c r="DO297" s="95" t="n">
        <v>14</v>
      </c>
    </row>
    <row r="298" ht="15" customHeight="1">
      <c r="A298" s="203" t="inlineStr">
        <is>
          <t>CWE-08</t>
        </is>
      </c>
      <c r="B298" s="305" t="inlineStr">
        <is>
          <t>CWE-08 COPOSA SUR</t>
        </is>
      </c>
      <c r="C298" s="251"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1" t="inlineStr">
        <is>
          <t>532MACWE</t>
        </is>
      </c>
      <c r="BL298" s="7" t="inlineStr">
        <is>
          <t>GMAP-SIGA</t>
        </is>
      </c>
      <c r="BM298" s="251" t="inlineStr">
        <is>
          <t>NF</t>
        </is>
      </c>
      <c r="BN298" s="337" t="inlineStr">
        <is>
          <t>Coposa sur</t>
        </is>
      </c>
      <c r="BO298" s="168" t="inlineStr">
        <is>
          <t>SI / PAT FRONTERA</t>
        </is>
      </c>
      <c r="BP298" s="106" t="inlineStr">
        <is>
          <t>CWE-08 COPOSA SUR/NF</t>
        </is>
      </c>
      <c r="BQ298" s="106">
        <f>VLOOKUP(BP298,[1]AGUA!$1:$1048576,2,FALSE)</f>
        <v/>
      </c>
      <c r="BR298" s="106">
        <f>VLOOKUP(BP298,[1]AGUA!$1:$1048576,6,FALSE)</f>
        <v/>
      </c>
      <c r="BS298" s="106">
        <f>VLOOKUP(BP298,[1]AGUA!$1:$1048576,7,FALSE)</f>
        <v/>
      </c>
      <c r="BT298" s="106" t="n"/>
      <c r="BU298" s="253"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42" t="n">
        <v>1</v>
      </c>
      <c r="CM298" s="105" t="n"/>
      <c r="CN298" s="105" t="n"/>
      <c r="CO298" s="105" t="n"/>
      <c r="CP298" s="105" t="n"/>
      <c r="CQ298" s="105" t="n"/>
      <c r="CR298" s="105" t="n"/>
      <c r="CS298" s="105" t="n"/>
      <c r="CT298" s="105" t="n"/>
      <c r="CU298" s="105" t="n"/>
      <c r="CV298" s="105" t="n"/>
      <c r="CW298" s="105" t="n"/>
      <c r="CX298" s="105" t="n"/>
      <c r="CY298" s="105" t="n"/>
      <c r="CZ298" s="124">
        <f>+COUNTA(BV298:CY298)</f>
        <v/>
      </c>
      <c r="DA298" s="251" t="n"/>
      <c r="DB298" s="251" t="n"/>
      <c r="DC298" s="251" t="n"/>
      <c r="DD298" s="251" t="n"/>
      <c r="DE298" s="251" t="n"/>
      <c r="DF298" s="251" t="n"/>
      <c r="DG298" s="251" t="n"/>
      <c r="DH298" s="251" t="n"/>
      <c r="DI298" s="251" t="n"/>
      <c r="DJ298" s="251" t="inlineStr">
        <is>
          <t>M</t>
        </is>
      </c>
      <c r="DK298" s="251" t="n">
        <v>8</v>
      </c>
      <c r="DL298" s="95" t="n">
        <v>14</v>
      </c>
      <c r="DM298" s="251" t="n"/>
      <c r="DN298" s="95" t="n"/>
      <c r="DO298" s="95" t="n"/>
    </row>
    <row r="299" ht="13" customHeight="1">
      <c r="A299" s="203" t="inlineStr">
        <is>
          <t>CWE-08</t>
        </is>
      </c>
      <c r="B299" s="376" t="n"/>
      <c r="C299" s="376"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76" t="n"/>
      <c r="BL299" s="7" t="inlineStr">
        <is>
          <t>GMAP-SIGA</t>
        </is>
      </c>
      <c r="BM299" s="251" t="inlineStr">
        <is>
          <t>ASUB</t>
        </is>
      </c>
      <c r="BN299" s="337" t="inlineStr">
        <is>
          <t>Coposa sur</t>
        </is>
      </c>
      <c r="BO299" s="251" t="inlineStr">
        <is>
          <t>SI / PAT FRONTERA</t>
        </is>
      </c>
      <c r="BP299" s="106" t="inlineStr">
        <is>
          <t>CWE-08 COPOSA SUR/ASUB</t>
        </is>
      </c>
      <c r="BQ299" s="106">
        <f>VLOOKUP(BP299,[1]AGUA!$1:$1048576,2,FALSE)</f>
        <v/>
      </c>
      <c r="BR299" s="106">
        <f>VLOOKUP(BP299,[1]AGUA!$1:$1048576,6,FALSE)</f>
        <v/>
      </c>
      <c r="BS299" s="106">
        <f>VLOOKUP(BP299,[1]AGUA!$1:$1048576,7,FALSE)</f>
        <v/>
      </c>
      <c r="BT299" s="106" t="n"/>
      <c r="BU299" s="377" t="n"/>
      <c r="BV299" s="105" t="n"/>
      <c r="BW299" s="105" t="n"/>
      <c r="BX299" s="105" t="n"/>
      <c r="BY299" s="105" t="n"/>
      <c r="BZ299" s="105" t="n"/>
      <c r="CA299" s="105" t="n"/>
      <c r="CB299" s="105" t="n"/>
      <c r="CC299" s="105" t="n"/>
      <c r="CD299" s="105" t="n"/>
      <c r="CE299" s="105" t="n"/>
      <c r="CF299" s="105" t="n"/>
      <c r="CG299" s="105" t="n"/>
      <c r="CH299" s="105" t="n"/>
      <c r="CI299" s="105" t="n"/>
      <c r="CJ299" s="105" t="n"/>
      <c r="CK299" s="105" t="n"/>
      <c r="CL299" s="107" t="n">
        <v>1</v>
      </c>
      <c r="CM299" s="105" t="n"/>
      <c r="CN299" s="105" t="n"/>
      <c r="CO299" s="105" t="n"/>
      <c r="CP299" s="105" t="n"/>
      <c r="CQ299" s="105" t="n"/>
      <c r="CR299" s="105" t="n"/>
      <c r="CS299" s="105" t="n"/>
      <c r="CT299" s="105" t="n"/>
      <c r="CU299" s="105" t="n"/>
      <c r="CV299" s="105" t="n"/>
      <c r="CW299" s="105" t="n"/>
      <c r="CX299" s="105" t="n"/>
      <c r="CY299" s="105" t="n"/>
      <c r="CZ299" s="124">
        <f>+COUNTA(BV299:CY299)</f>
        <v/>
      </c>
      <c r="DA299" s="251" t="n"/>
      <c r="DB299" s="251" t="n"/>
      <c r="DC299" s="251" t="n"/>
      <c r="DD299" s="251" t="n"/>
      <c r="DE299" s="251" t="n"/>
      <c r="DF299" s="251" t="n"/>
      <c r="DG299" s="251" t="n"/>
      <c r="DH299" s="251" t="n"/>
      <c r="DI299" s="251" t="n"/>
      <c r="DJ299" s="251" t="n"/>
      <c r="DK299" s="251" t="n"/>
      <c r="DL299" s="95" t="n"/>
      <c r="DM299" s="251" t="inlineStr">
        <is>
          <t>T</t>
        </is>
      </c>
      <c r="DN299" s="251" t="n">
        <v>8</v>
      </c>
      <c r="DO299" s="95" t="n">
        <v>14</v>
      </c>
    </row>
    <row r="300" ht="13" customHeight="1">
      <c r="A300" s="203" t="inlineStr">
        <is>
          <t>CWE-09B</t>
        </is>
      </c>
      <c r="B300" s="305" t="inlineStr">
        <is>
          <t>CWE-09B COPOSA SUR</t>
        </is>
      </c>
      <c r="C300" s="251"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1" t="inlineStr">
        <is>
          <t>532MACWE</t>
        </is>
      </c>
      <c r="BL300" s="7" t="inlineStr">
        <is>
          <t>GMAP-SIGA</t>
        </is>
      </c>
      <c r="BM300" s="251" t="inlineStr">
        <is>
          <t>NF</t>
        </is>
      </c>
      <c r="BN300" s="337" t="inlineStr">
        <is>
          <t>Coposa sur</t>
        </is>
      </c>
      <c r="BO300" s="168" t="inlineStr">
        <is>
          <t>SI / PAT FRONTERA</t>
        </is>
      </c>
      <c r="BP300" s="106" t="inlineStr">
        <is>
          <t>CWE-09B COPOSA SUR/NF</t>
        </is>
      </c>
      <c r="BQ300" s="106">
        <f>VLOOKUP(BP300,[1]AGUA!$1:$1048576,2,FALSE)</f>
        <v/>
      </c>
      <c r="BR300" s="106">
        <f>VLOOKUP(BP300,[1]AGUA!$1:$1048576,6,FALSE)</f>
        <v/>
      </c>
      <c r="BS300" s="106">
        <f>VLOOKUP(BP300,[1]AGUA!$1:$1048576,7,FALSE)</f>
        <v/>
      </c>
      <c r="BT300" s="106" t="n"/>
      <c r="BU300" s="253"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42" t="n">
        <v>1</v>
      </c>
      <c r="CM300" s="105" t="n"/>
      <c r="CN300" s="105" t="n"/>
      <c r="CO300" s="105" t="n"/>
      <c r="CP300" s="105" t="n"/>
      <c r="CQ300" s="105" t="n"/>
      <c r="CR300" s="105" t="n"/>
      <c r="CS300" s="105" t="n"/>
      <c r="CT300" s="105" t="n"/>
      <c r="CU300" s="105" t="n"/>
      <c r="CV300" s="105" t="n"/>
      <c r="CW300" s="105" t="n"/>
      <c r="CX300" s="105" t="n"/>
      <c r="CY300" s="105" t="n"/>
      <c r="CZ300" s="124">
        <f>+COUNTA(BV300:CY300)</f>
        <v/>
      </c>
      <c r="DA300" s="251" t="n"/>
      <c r="DB300" s="251" t="n"/>
      <c r="DC300" s="251" t="n"/>
      <c r="DD300" s="251" t="n"/>
      <c r="DE300" s="251" t="n"/>
      <c r="DF300" s="251" t="n"/>
      <c r="DG300" s="251" t="n"/>
      <c r="DH300" s="251" t="n"/>
      <c r="DI300" s="251" t="n"/>
      <c r="DJ300" s="251" t="inlineStr">
        <is>
          <t>M</t>
        </is>
      </c>
      <c r="DK300" s="251" t="n">
        <v>8</v>
      </c>
      <c r="DL300" s="95" t="n">
        <v>14</v>
      </c>
      <c r="DM300" s="251" t="n"/>
      <c r="DN300" s="251" t="n"/>
      <c r="DO300" s="95" t="n"/>
    </row>
    <row r="301" ht="13" customHeight="1">
      <c r="A301" s="203" t="inlineStr">
        <is>
          <t>CWE-09B</t>
        </is>
      </c>
      <c r="B301" s="376" t="n"/>
      <c r="C301" s="376"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76" t="n"/>
      <c r="BL301" s="7" t="inlineStr">
        <is>
          <t>GMAP-SIGA</t>
        </is>
      </c>
      <c r="BM301" s="251" t="inlineStr">
        <is>
          <t>ASUB</t>
        </is>
      </c>
      <c r="BN301" s="337" t="inlineStr">
        <is>
          <t>Coposa sur</t>
        </is>
      </c>
      <c r="BO301" s="251"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77" t="n"/>
      <c r="BV301" s="105" t="n"/>
      <c r="BW301" s="105" t="n"/>
      <c r="BX301" s="105" t="n"/>
      <c r="BY301" s="105" t="n"/>
      <c r="BZ301" s="105" t="n"/>
      <c r="CA301" s="105" t="n"/>
      <c r="CB301" s="105" t="n"/>
      <c r="CC301" s="105" t="n"/>
      <c r="CD301" s="105" t="n"/>
      <c r="CE301" s="105" t="n"/>
      <c r="CF301" s="105" t="n"/>
      <c r="CG301" s="105" t="n"/>
      <c r="CH301" s="105" t="n"/>
      <c r="CI301" s="105" t="n"/>
      <c r="CJ301" s="105" t="n"/>
      <c r="CK301" s="105" t="n"/>
      <c r="CL301" s="107" t="n">
        <v>1</v>
      </c>
      <c r="CM301" s="105" t="n"/>
      <c r="CN301" s="105" t="n"/>
      <c r="CO301" s="105" t="n"/>
      <c r="CP301" s="105" t="n"/>
      <c r="CQ301" s="105" t="n"/>
      <c r="CR301" s="105" t="n"/>
      <c r="CS301" s="105" t="n"/>
      <c r="CT301" s="105" t="n"/>
      <c r="CU301" s="105" t="n"/>
      <c r="CV301" s="105" t="n"/>
      <c r="CW301" s="105" t="n"/>
      <c r="CX301" s="105" t="n"/>
      <c r="CY301" s="105" t="n"/>
      <c r="CZ301" s="124">
        <f>+COUNTA(BV301:CY301)</f>
        <v/>
      </c>
      <c r="DA301" s="251" t="n"/>
      <c r="DB301" s="251" t="n"/>
      <c r="DC301" s="251" t="n"/>
      <c r="DD301" s="251" t="n"/>
      <c r="DE301" s="251" t="n"/>
      <c r="DF301" s="251" t="n"/>
      <c r="DG301" s="251" t="n"/>
      <c r="DH301" s="251" t="n"/>
      <c r="DI301" s="251" t="n"/>
      <c r="DJ301" s="251" t="n"/>
      <c r="DK301" s="251" t="n"/>
      <c r="DL301" s="95" t="n"/>
      <c r="DM301" s="251" t="inlineStr">
        <is>
          <t>T</t>
        </is>
      </c>
      <c r="DN301" s="95" t="n">
        <v>8</v>
      </c>
      <c r="DO301" s="95" t="n">
        <v>14</v>
      </c>
    </row>
    <row r="302" ht="12.5" customHeight="1">
      <c r="A302" s="216" t="inlineStr">
        <is>
          <t>CWE-10A</t>
        </is>
      </c>
      <c r="B302" s="305"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1" t="inlineStr">
        <is>
          <t>532MACWE</t>
        </is>
      </c>
      <c r="BL302" s="61" t="inlineStr">
        <is>
          <t>GMAP-SIGA</t>
        </is>
      </c>
      <c r="BM302" s="251" t="inlineStr">
        <is>
          <t>NF</t>
        </is>
      </c>
      <c r="BN302" s="106" t="inlineStr">
        <is>
          <t>Falla Pabellón</t>
        </is>
      </c>
      <c r="BO302" s="251"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M302" s="105" t="n"/>
      <c r="CN302" s="105" t="n"/>
      <c r="CO302" s="105" t="n"/>
      <c r="CP302" s="105" t="n"/>
      <c r="CQ302" s="217" t="n">
        <v>1</v>
      </c>
      <c r="CR302" s="105" t="n"/>
      <c r="CS302" s="105" t="n"/>
      <c r="CT302" s="105" t="n"/>
      <c r="CU302" s="105" t="n"/>
      <c r="CV302" s="105" t="n"/>
      <c r="CW302" s="105" t="n"/>
      <c r="CX302" s="105" t="n"/>
      <c r="CY302" s="105" t="n"/>
      <c r="CZ302" s="124">
        <f>+COUNTA(BV302:CY302)</f>
        <v/>
      </c>
      <c r="DA302" s="217" t="n"/>
      <c r="DB302" s="105" t="n"/>
      <c r="DC302" s="251" t="n"/>
      <c r="DD302" s="251" t="n"/>
      <c r="DE302" s="251" t="n"/>
      <c r="DF302" s="251" t="n"/>
      <c r="DG302" s="251" t="n"/>
      <c r="DH302" s="251" t="n"/>
      <c r="DI302" s="251" t="n"/>
      <c r="DJ302" s="251" t="inlineStr">
        <is>
          <t>M</t>
        </is>
      </c>
      <c r="DK302" s="251" t="n">
        <v>15</v>
      </c>
      <c r="DL302" s="95" t="n">
        <v>28</v>
      </c>
      <c r="DM302" s="251" t="n"/>
      <c r="DN302" s="95" t="n"/>
      <c r="DO302" s="95" t="n"/>
    </row>
    <row r="303" ht="13" customHeight="1">
      <c r="A303" s="205" t="inlineStr">
        <is>
          <t>CWE-10B</t>
        </is>
      </c>
      <c r="B303" s="305"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1" t="inlineStr">
        <is>
          <t>532MACWE</t>
        </is>
      </c>
      <c r="BL303" s="61" t="inlineStr">
        <is>
          <t>GMAP-SIGA</t>
        </is>
      </c>
      <c r="BM303" s="251" t="inlineStr">
        <is>
          <t>NF</t>
        </is>
      </c>
      <c r="BN303" s="106" t="inlineStr">
        <is>
          <t>Falla Pabellón</t>
        </is>
      </c>
      <c r="BO303" s="251"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M303" s="105" t="n"/>
      <c r="CN303" s="105" t="n"/>
      <c r="CO303" s="105" t="n"/>
      <c r="CP303" s="105" t="n"/>
      <c r="CQ303" s="242" t="n">
        <v>1</v>
      </c>
      <c r="CR303" s="105" t="n"/>
      <c r="CS303" s="105" t="n"/>
      <c r="CT303" s="105" t="n"/>
      <c r="CU303" s="105" t="n"/>
      <c r="CV303" s="105" t="n"/>
      <c r="CW303" s="105" t="n"/>
      <c r="CX303" s="105" t="n"/>
      <c r="CY303" s="105" t="n"/>
      <c r="CZ303" s="124">
        <f>+COUNTA(BV303:CY303)</f>
        <v/>
      </c>
      <c r="DA303" s="206" t="n"/>
      <c r="DB303" s="105" t="n"/>
      <c r="DC303" s="251" t="n"/>
      <c r="DD303" s="251" t="n"/>
      <c r="DE303" s="251" t="n"/>
      <c r="DF303" s="251" t="n"/>
      <c r="DG303" s="251" t="n"/>
      <c r="DH303" s="251" t="n"/>
      <c r="DI303" s="251" t="n"/>
      <c r="DJ303" s="251" t="inlineStr">
        <is>
          <t>M</t>
        </is>
      </c>
      <c r="DK303" s="251" t="n">
        <v>15</v>
      </c>
      <c r="DL303" s="95" t="n">
        <v>28</v>
      </c>
      <c r="DM303" s="251" t="n"/>
      <c r="DN303" s="95" t="n"/>
      <c r="DO303" s="95" t="n"/>
    </row>
    <row r="304" ht="13" customHeight="1">
      <c r="A304" s="203" t="inlineStr">
        <is>
          <t>CWE-12</t>
        </is>
      </c>
      <c r="B304" s="305" t="inlineStr">
        <is>
          <t>CWE-12 JACHUCOPOSA</t>
        </is>
      </c>
      <c r="C304" s="251"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1" t="inlineStr">
        <is>
          <t>532MACWE</t>
        </is>
      </c>
      <c r="BL304" s="7" t="inlineStr">
        <is>
          <t>GMAP-SIGA</t>
        </is>
      </c>
      <c r="BM304" s="251" t="inlineStr">
        <is>
          <t>NF</t>
        </is>
      </c>
      <c r="BN304" s="337" t="inlineStr">
        <is>
          <t>Jachucoposa</t>
        </is>
      </c>
      <c r="BO304" s="251" t="inlineStr">
        <is>
          <t>SI</t>
        </is>
      </c>
      <c r="BP304" s="106" t="inlineStr">
        <is>
          <t>CWE-12 JACHUCOPOSA/NF</t>
        </is>
      </c>
      <c r="BQ304" s="106">
        <f>VLOOKUP(BP304,[1]AGUA!$1:$1048576,2,FALSE)</f>
        <v/>
      </c>
      <c r="BR304" s="106">
        <f>VLOOKUP(BP304,[1]AGUA!$1:$1048576,6,FALSE)</f>
        <v/>
      </c>
      <c r="BS304" s="106">
        <f>VLOOKUP(BP304,[1]AGUA!$1:$1048576,7,FALSE)</f>
        <v/>
      </c>
      <c r="BT304" s="106" t="n"/>
      <c r="BU304" s="253" t="n"/>
      <c r="BV304" s="105" t="n"/>
      <c r="BW304" s="105" t="n"/>
      <c r="BX304" s="105" t="n"/>
      <c r="BY304" s="105" t="n"/>
      <c r="BZ304" s="105" t="n"/>
      <c r="CA304" s="105" t="n"/>
      <c r="CB304" s="105" t="n"/>
      <c r="CC304" s="105" t="n"/>
      <c r="CD304" s="105" t="n"/>
      <c r="CE304" s="105" t="n"/>
      <c r="CF304" s="105" t="n"/>
      <c r="CG304" s="105" t="n"/>
      <c r="CH304" s="105" t="n"/>
      <c r="CI304" s="105" t="n"/>
      <c r="CJ304" s="105" t="n"/>
      <c r="CK304" s="142" t="n">
        <v>1</v>
      </c>
      <c r="CL304" s="105" t="n"/>
      <c r="CM304" s="105" t="n"/>
      <c r="CN304" s="105" t="n"/>
      <c r="CO304" s="105" t="n"/>
      <c r="CP304" s="105" t="n"/>
      <c r="CQ304" s="105" t="n"/>
      <c r="CR304" s="105" t="n"/>
      <c r="CS304" s="105" t="n"/>
      <c r="CT304" s="105" t="n"/>
      <c r="CU304" s="105" t="n"/>
      <c r="CV304" s="105" t="n"/>
      <c r="CW304" s="105" t="n"/>
      <c r="CX304" s="105" t="n"/>
      <c r="CY304" s="105" t="n"/>
      <c r="CZ304" s="124">
        <f>+COUNTA(BV304:CY304)</f>
        <v/>
      </c>
      <c r="DA304" s="251" t="n"/>
      <c r="DB304" s="251" t="n"/>
      <c r="DC304" s="251" t="n"/>
      <c r="DD304" s="251" t="n"/>
      <c r="DE304" s="251" t="n"/>
      <c r="DF304" s="251" t="n"/>
      <c r="DG304" s="251" t="n"/>
      <c r="DH304" s="251" t="n"/>
      <c r="DI304" s="251" t="n"/>
      <c r="DJ304" s="251" t="inlineStr">
        <is>
          <t>T</t>
        </is>
      </c>
      <c r="DK304" s="251" t="n">
        <v>15</v>
      </c>
      <c r="DL304" s="95" t="n">
        <v>21</v>
      </c>
      <c r="DM304" s="251" t="n"/>
      <c r="DN304" s="95" t="n"/>
      <c r="DO304" s="95" t="n"/>
    </row>
    <row r="305" ht="13" customHeight="1">
      <c r="A305" s="203" t="inlineStr">
        <is>
          <t>CWE-12</t>
        </is>
      </c>
      <c r="B305" s="376" t="n"/>
      <c r="C305" s="376"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76" t="n"/>
      <c r="BL305" s="7" t="inlineStr">
        <is>
          <t>GMAP-SIGA</t>
        </is>
      </c>
      <c r="BM305" s="168" t="inlineStr">
        <is>
          <t>ASUB</t>
        </is>
      </c>
      <c r="BN305" s="337" t="inlineStr">
        <is>
          <t>Jachucoposa</t>
        </is>
      </c>
      <c r="BO305" s="251" t="inlineStr">
        <is>
          <t>SI</t>
        </is>
      </c>
      <c r="BP305" s="106" t="inlineStr">
        <is>
          <t>CWE-12 JACHUCOPOSA/ASUB</t>
        </is>
      </c>
      <c r="BQ305" s="106">
        <f>VLOOKUP(BP305,[1]AGUA!$1:$1048576,2,FALSE)</f>
        <v/>
      </c>
      <c r="BR305" s="106">
        <f>VLOOKUP(BP305,[1]AGUA!$1:$1048576,6,FALSE)</f>
        <v/>
      </c>
      <c r="BS305" s="106">
        <f>VLOOKUP(BP305,[1]AGUA!$1:$1048576,7,FALSE)</f>
        <v/>
      </c>
      <c r="BT305" s="106" t="n"/>
      <c r="BU305" s="377" t="n"/>
      <c r="BV305" s="105" t="n"/>
      <c r="BW305" s="105" t="n"/>
      <c r="BX305" s="105" t="n"/>
      <c r="BY305" s="105" t="n"/>
      <c r="BZ305" s="105" t="n"/>
      <c r="CA305" s="105" t="n"/>
      <c r="CB305" s="105" t="n"/>
      <c r="CC305" s="105" t="n"/>
      <c r="CD305" s="105" t="n"/>
      <c r="CE305" s="105" t="n"/>
      <c r="CF305" s="105" t="n"/>
      <c r="CG305" s="105" t="n"/>
      <c r="CH305" s="105" t="n"/>
      <c r="CI305" s="105" t="n"/>
      <c r="CJ305" s="105" t="n"/>
      <c r="CK305" s="107" t="n">
        <v>1</v>
      </c>
      <c r="CL305" s="105" t="n"/>
      <c r="CM305" s="105" t="n"/>
      <c r="CN305" s="105" t="n"/>
      <c r="CO305" s="105" t="n"/>
      <c r="CP305" s="105" t="n"/>
      <c r="CQ305" s="105" t="n"/>
      <c r="CR305" s="105" t="n"/>
      <c r="CS305" s="105" t="n"/>
      <c r="CT305" s="105" t="n"/>
      <c r="CU305" s="105" t="n"/>
      <c r="CV305" s="105" t="n"/>
      <c r="CW305" s="105" t="n"/>
      <c r="CX305" s="105" t="n"/>
      <c r="CY305" s="105" t="n"/>
      <c r="CZ305" s="124">
        <f>+COUNTA(BV305:CY305)</f>
        <v/>
      </c>
      <c r="DA305" s="251" t="n"/>
      <c r="DB305" s="251" t="n"/>
      <c r="DC305" s="251" t="n"/>
      <c r="DD305" s="251" t="n"/>
      <c r="DE305" s="251" t="n"/>
      <c r="DF305" s="251" t="n"/>
      <c r="DG305" s="251" t="n"/>
      <c r="DH305" s="251" t="n"/>
      <c r="DI305" s="251" t="n"/>
      <c r="DJ305" s="251" t="n"/>
      <c r="DK305" s="251" t="n"/>
      <c r="DL305" s="95" t="n"/>
      <c r="DM305" s="251" t="inlineStr">
        <is>
          <t>T</t>
        </is>
      </c>
      <c r="DN305" s="95" t="n">
        <v>15</v>
      </c>
      <c r="DO305" s="95" t="n">
        <v>21</v>
      </c>
    </row>
    <row r="306" ht="13.5" customHeight="1">
      <c r="A306" s="203" t="inlineStr">
        <is>
          <t>CWE-15</t>
        </is>
      </c>
      <c r="B306" s="305"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1" t="inlineStr">
        <is>
          <t>532MACWE</t>
        </is>
      </c>
      <c r="BL306" s="7" t="inlineStr">
        <is>
          <t>GMAP-SIGA</t>
        </is>
      </c>
      <c r="BM306" s="251" t="inlineStr">
        <is>
          <t>NF</t>
        </is>
      </c>
      <c r="BN306" s="337" t="inlineStr">
        <is>
          <t>Coposa Norte</t>
        </is>
      </c>
      <c r="BO306" s="168"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05" t="n"/>
      <c r="CG306" s="105" t="n"/>
      <c r="CH306" s="105" t="n"/>
      <c r="CI306" s="105" t="n"/>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24">
        <f>+COUNTA(BV306:CY306)</f>
        <v/>
      </c>
      <c r="DA306" s="251" t="n"/>
      <c r="DB306" s="251" t="n"/>
      <c r="DC306" s="251" t="n"/>
      <c r="DD306" s="251" t="n"/>
      <c r="DE306" s="251" t="n"/>
      <c r="DF306" s="251" t="n"/>
      <c r="DG306" s="251" t="n"/>
      <c r="DH306" s="251" t="n"/>
      <c r="DI306" s="251" t="n"/>
      <c r="DJ306" s="251" t="inlineStr">
        <is>
          <t>M</t>
        </is>
      </c>
      <c r="DK306" s="251" t="n">
        <v>8</v>
      </c>
      <c r="DL306" s="95" t="n">
        <v>14</v>
      </c>
      <c r="DM306" s="251" t="n"/>
      <c r="DN306" s="95" t="n"/>
      <c r="DO306" s="95" t="n"/>
    </row>
    <row r="307" ht="12.65" customHeight="1">
      <c r="A307" s="203" t="inlineStr">
        <is>
          <t>CWE-16</t>
        </is>
      </c>
      <c r="B307" s="305"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2" t="inlineStr">
        <is>
          <t>532MACWE</t>
        </is>
      </c>
      <c r="BL307" s="7" t="inlineStr">
        <is>
          <t>GMAP-SIGA</t>
        </is>
      </c>
      <c r="BM307" s="251" t="inlineStr">
        <is>
          <t>NF</t>
        </is>
      </c>
      <c r="BN307" s="337" t="inlineStr">
        <is>
          <t>Coposa Norte</t>
        </is>
      </c>
      <c r="BO307" s="168"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05" t="n"/>
      <c r="CG307" s="105" t="n"/>
      <c r="CH307" s="105" t="n"/>
      <c r="CI307" s="105" t="n"/>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24">
        <f>+COUNTA(BV307:CY307)</f>
        <v/>
      </c>
      <c r="DA307" s="251" t="n"/>
      <c r="DB307" s="251" t="n"/>
      <c r="DC307" s="251" t="n"/>
      <c r="DD307" s="251" t="n"/>
      <c r="DE307" s="251" t="n"/>
      <c r="DF307" s="251" t="n"/>
      <c r="DG307" s="251" t="n"/>
      <c r="DH307" s="251" t="n"/>
      <c r="DI307" s="251" t="n"/>
      <c r="DJ307" s="251" t="inlineStr">
        <is>
          <t>M</t>
        </is>
      </c>
      <c r="DK307" s="251" t="n">
        <v>8</v>
      </c>
      <c r="DL307" s="95" t="n">
        <v>14</v>
      </c>
      <c r="DM307" s="251" t="n"/>
      <c r="DN307" s="95" t="n"/>
      <c r="DO307" s="95" t="n"/>
    </row>
    <row r="308" ht="13" customHeight="1">
      <c r="A308" s="203" t="inlineStr">
        <is>
          <t>CWE-18 (1)</t>
        </is>
      </c>
      <c r="B308" s="305"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1" t="inlineStr">
        <is>
          <t>532MACWE</t>
        </is>
      </c>
      <c r="BL308" s="61" t="inlineStr">
        <is>
          <t>GMAP-SIGA</t>
        </is>
      </c>
      <c r="BM308" s="251" t="inlineStr">
        <is>
          <t>NF</t>
        </is>
      </c>
      <c r="BN308" s="106" t="inlineStr">
        <is>
          <t>Falla Pabellón</t>
        </is>
      </c>
      <c r="BO308" s="251" t="inlineStr">
        <is>
          <t>NO</t>
        </is>
      </c>
      <c r="BP308" s="106" t="inlineStr">
        <is>
          <t>CWE-18 (1) FALLA PABELLON/NF</t>
        </is>
      </c>
      <c r="BQ308" s="106">
        <f>VLOOKUP(BP308,[1]AGUA!$1:$1048576,2,FALSE)</f>
        <v/>
      </c>
      <c r="BR308" s="106">
        <f>VLOOKUP(BP308,[1]AGUA!$1:$1048576,6,FALSE)</f>
        <v/>
      </c>
      <c r="BS308" s="106">
        <f>VLOOKUP(BP308,[1]AGUA!$1:$1048576,7,FALSE)</f>
        <v/>
      </c>
      <c r="BT308" s="106" t="n"/>
      <c r="BU308" s="101" t="n"/>
      <c r="BW308" s="105" t="n"/>
      <c r="BX308" s="105" t="n"/>
      <c r="BY308" s="142" t="n">
        <v>1</v>
      </c>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24">
        <f>+COUNTA(BW308:CY308)</f>
        <v/>
      </c>
      <c r="DA308" s="251" t="n"/>
      <c r="DB308" s="251" t="n"/>
      <c r="DC308" s="251" t="n"/>
      <c r="DD308" s="251" t="n"/>
      <c r="DE308" s="251" t="n"/>
      <c r="DF308" s="251" t="n"/>
      <c r="DG308" s="251" t="n"/>
      <c r="DH308" s="251" t="n"/>
      <c r="DI308" s="251" t="n"/>
      <c r="DJ308" s="251" t="inlineStr">
        <is>
          <t>T</t>
        </is>
      </c>
      <c r="DK308" s="251" t="n">
        <v>1</v>
      </c>
      <c r="DL308" s="95" t="n">
        <v>7</v>
      </c>
      <c r="DM308" s="251" t="n"/>
      <c r="DN308" s="95" t="n"/>
      <c r="DO308" s="95" t="n"/>
    </row>
    <row r="309" ht="13" customHeight="1">
      <c r="A309" s="203" t="inlineStr">
        <is>
          <t>CWE-18 (2)</t>
        </is>
      </c>
      <c r="B309" s="305"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1" t="inlineStr">
        <is>
          <t>532MACWE</t>
        </is>
      </c>
      <c r="BL309" s="61" t="inlineStr">
        <is>
          <t>GMAP-SIGA</t>
        </is>
      </c>
      <c r="BM309" s="251" t="inlineStr">
        <is>
          <t>NF</t>
        </is>
      </c>
      <c r="BN309" s="106" t="inlineStr">
        <is>
          <t>Falla Pabellón</t>
        </is>
      </c>
      <c r="BO309" s="251" t="inlineStr">
        <is>
          <t>NO</t>
        </is>
      </c>
      <c r="BP309" s="106" t="inlineStr">
        <is>
          <t>CWE-18 (2) FALLA PABELLON/NF</t>
        </is>
      </c>
      <c r="BQ309" s="106">
        <f>VLOOKUP(BP309,[1]AGUA!$1:$1048576,2,FALSE)</f>
        <v/>
      </c>
      <c r="BR309" s="106">
        <f>VLOOKUP(BP309,[1]AGUA!$1:$1048576,6,FALSE)</f>
        <v/>
      </c>
      <c r="BS309" s="106">
        <f>VLOOKUP(BP309,[1]AGUA!$1:$1048576,7,FALSE)</f>
        <v/>
      </c>
      <c r="BT309" s="106" t="n"/>
      <c r="BU309" s="101" t="n"/>
      <c r="BW309" s="105" t="n"/>
      <c r="BX309" s="105" t="n"/>
      <c r="BY309" s="142" t="n">
        <v>1</v>
      </c>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24">
        <f>+COUNTA(BW309:CY309)</f>
        <v/>
      </c>
      <c r="DA309" s="251" t="n"/>
      <c r="DB309" s="251" t="n"/>
      <c r="DC309" s="251" t="n"/>
      <c r="DD309" s="251" t="n"/>
      <c r="DE309" s="251" t="n"/>
      <c r="DF309" s="251" t="n"/>
      <c r="DG309" s="251" t="n"/>
      <c r="DH309" s="251" t="n"/>
      <c r="DI309" s="251" t="n"/>
      <c r="DJ309" s="251" t="inlineStr">
        <is>
          <t>T</t>
        </is>
      </c>
      <c r="DK309" s="251" t="n">
        <v>1</v>
      </c>
      <c r="DL309" s="95" t="n">
        <v>7</v>
      </c>
      <c r="DM309" s="251" t="n"/>
      <c r="DN309" s="95" t="n"/>
      <c r="DO309" s="95" t="n"/>
    </row>
    <row r="310" ht="14.5" customHeight="1">
      <c r="A310" s="205" t="inlineStr">
        <is>
          <t>CWE-19</t>
        </is>
      </c>
      <c r="B310" s="305" t="inlineStr">
        <is>
          <t>CWE-19 JACHUCOPOSA</t>
        </is>
      </c>
      <c r="C310" s="251"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1" t="inlineStr">
        <is>
          <t>532MACWE</t>
        </is>
      </c>
      <c r="BL310" s="7" t="inlineStr">
        <is>
          <t>GMAP-SIGA</t>
        </is>
      </c>
      <c r="BM310" s="251" t="inlineStr">
        <is>
          <t>NF</t>
        </is>
      </c>
      <c r="BN310" s="337" t="inlineStr">
        <is>
          <t>Jachucoposa</t>
        </is>
      </c>
      <c r="BO310" s="251"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3" t="n"/>
      <c r="BV310" s="105" t="n"/>
      <c r="BW310" s="105" t="n"/>
      <c r="BX310" s="105" t="n"/>
      <c r="BY310" s="105" t="n"/>
      <c r="BZ310" s="105" t="n"/>
      <c r="CA310" s="105" t="n"/>
      <c r="CB310" s="105" t="n"/>
      <c r="CC310" s="105" t="n"/>
      <c r="CD310" s="105" t="n"/>
      <c r="CE310" s="242" t="n">
        <v>1</v>
      </c>
      <c r="CF310" s="105" t="n"/>
      <c r="CG310" s="105" t="n"/>
      <c r="CH310" s="105" t="n"/>
      <c r="CI310" s="105" t="n"/>
      <c r="CJ310" s="105" t="n"/>
      <c r="CK310" s="105" t="n"/>
      <c r="CL310" s="105" t="n"/>
      <c r="CM310" s="105" t="n"/>
      <c r="CN310" s="105" t="n"/>
      <c r="CO310" s="105" t="n"/>
      <c r="CP310" s="105" t="n"/>
      <c r="CQ310" s="242" t="n">
        <v>1</v>
      </c>
      <c r="CR310" s="105" t="n"/>
      <c r="CS310" s="105" t="n"/>
      <c r="CT310" s="105" t="n"/>
      <c r="CU310" s="105" t="n"/>
      <c r="CV310" s="105" t="n"/>
      <c r="CW310" s="105" t="n"/>
      <c r="CX310" s="105" t="n"/>
      <c r="CY310" s="105" t="n"/>
      <c r="CZ310" s="124">
        <f>+COUNTA(BV310:CY310)</f>
        <v/>
      </c>
      <c r="DA310" s="206" t="n"/>
      <c r="DB310" s="251" t="n"/>
      <c r="DC310" s="251" t="n"/>
      <c r="DD310" s="251" t="n"/>
      <c r="DE310" s="251" t="n"/>
      <c r="DF310" s="251" t="n"/>
      <c r="DG310" s="251" t="n"/>
      <c r="DH310" s="251" t="n"/>
      <c r="DI310" s="251" t="n"/>
      <c r="DJ310" s="251" t="inlineStr">
        <is>
          <t>M</t>
        </is>
      </c>
      <c r="DK310" s="251" t="n">
        <v>15</v>
      </c>
      <c r="DL310" s="95" t="n">
        <v>28</v>
      </c>
      <c r="DM310" s="251" t="n"/>
      <c r="DN310" s="95" t="n"/>
      <c r="DO310" s="95" t="n"/>
    </row>
    <row r="311" ht="12.5" customHeight="1">
      <c r="A311" s="203" t="inlineStr">
        <is>
          <t>CWE-19</t>
        </is>
      </c>
      <c r="B311" s="376" t="n"/>
      <c r="C311" s="376"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76" t="n"/>
      <c r="BL311" s="7" t="inlineStr">
        <is>
          <t>GMAP-SIGA</t>
        </is>
      </c>
      <c r="BM311" s="168" t="inlineStr">
        <is>
          <t>ASUB</t>
        </is>
      </c>
      <c r="BN311" s="337" t="inlineStr">
        <is>
          <t>Jachucoposa</t>
        </is>
      </c>
      <c r="BO311" s="251"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77"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5" t="n"/>
      <c r="CO311" s="105" t="n"/>
      <c r="CP311" s="105" t="n"/>
      <c r="CQ311" s="107" t="n">
        <v>1</v>
      </c>
      <c r="CR311" s="105" t="n"/>
      <c r="CS311" s="105" t="n"/>
      <c r="CT311" s="105" t="n"/>
      <c r="CU311" s="105" t="n"/>
      <c r="CV311" s="105" t="n"/>
      <c r="CW311" s="105" t="n"/>
      <c r="CX311" s="105" t="n"/>
      <c r="CY311" s="105" t="n"/>
      <c r="CZ311" s="124">
        <f>+COUNTA(BV311:CY311)</f>
        <v/>
      </c>
      <c r="DA311" s="251" t="n"/>
      <c r="DB311" s="251" t="n"/>
      <c r="DC311" s="251" t="n"/>
      <c r="DD311" s="251" t="n"/>
      <c r="DE311" s="251" t="n"/>
      <c r="DF311" s="251" t="n"/>
      <c r="DG311" s="251" t="n"/>
      <c r="DH311" s="251" t="n"/>
      <c r="DI311" s="251" t="n"/>
      <c r="DJ311" s="251" t="n"/>
      <c r="DK311" s="251" t="n"/>
      <c r="DL311" s="95" t="n"/>
      <c r="DM311" s="251" t="inlineStr">
        <is>
          <t>T</t>
        </is>
      </c>
      <c r="DN311" s="95" t="n">
        <v>15</v>
      </c>
      <c r="DO311" s="95" t="n">
        <v>21</v>
      </c>
    </row>
    <row r="312" ht="15" customHeight="1">
      <c r="A312" s="205" t="inlineStr">
        <is>
          <t>CWE-20</t>
        </is>
      </c>
      <c r="B312" s="305"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1" t="inlineStr">
        <is>
          <t>532MACWE</t>
        </is>
      </c>
      <c r="BL312" s="61" t="inlineStr">
        <is>
          <t>GMAP-SIGA</t>
        </is>
      </c>
      <c r="BM312" s="251" t="inlineStr">
        <is>
          <t>NF</t>
        </is>
      </c>
      <c r="BN312" s="337" t="inlineStr">
        <is>
          <t>Coposa sur</t>
        </is>
      </c>
      <c r="BO312" s="251"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105" t="n"/>
      <c r="CB312" s="105" t="n"/>
      <c r="CC312" s="105" t="n"/>
      <c r="CD312" s="105" t="n"/>
      <c r="CE312" s="242" t="n">
        <v>1</v>
      </c>
      <c r="CF312" s="105" t="n"/>
      <c r="CG312" s="105" t="n"/>
      <c r="CH312" s="105" t="n"/>
      <c r="CI312" s="105" t="n"/>
      <c r="CJ312" s="105" t="n"/>
      <c r="CK312" s="105" t="n"/>
      <c r="CL312" s="105" t="n"/>
      <c r="CM312" s="105" t="n"/>
      <c r="CN312" s="105" t="n"/>
      <c r="CO312" s="105" t="n"/>
      <c r="CP312" s="105" t="n"/>
      <c r="CQ312" s="105" t="n"/>
      <c r="CR312" s="242" t="n">
        <v>1</v>
      </c>
      <c r="CS312" s="105" t="n"/>
      <c r="CT312" s="105" t="n"/>
      <c r="CU312" s="105" t="n"/>
      <c r="CV312" s="105" t="n"/>
      <c r="CW312" s="105" t="n"/>
      <c r="CX312" s="105" t="n"/>
      <c r="CY312" s="105" t="n"/>
      <c r="CZ312" s="124">
        <f>+COUNTA(BV312:CY312)</f>
        <v/>
      </c>
      <c r="DA312" s="206" t="n"/>
      <c r="DB312" s="251" t="n"/>
      <c r="DC312" s="251" t="n"/>
      <c r="DD312" s="251" t="n"/>
      <c r="DE312" s="251" t="n"/>
      <c r="DF312" s="251" t="n"/>
      <c r="DG312" s="251" t="n"/>
      <c r="DH312" s="251" t="n"/>
      <c r="DI312" s="251" t="n"/>
      <c r="DJ312" s="251" t="inlineStr">
        <is>
          <t>Q</t>
        </is>
      </c>
      <c r="DK312" s="226" t="inlineStr">
        <is>
          <t>1- 15</t>
        </is>
      </c>
      <c r="DL312" s="226" t="inlineStr">
        <is>
          <t>14-28</t>
        </is>
      </c>
      <c r="DM312" s="251" t="n"/>
      <c r="DN312" s="95" t="n"/>
      <c r="DO312" s="95" t="n"/>
    </row>
    <row r="313" ht="12.5" customHeight="1">
      <c r="A313" s="203" t="inlineStr">
        <is>
          <t>CWE-20</t>
        </is>
      </c>
      <c r="B313" s="305"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1" t="n"/>
      <c r="BL313" s="61" t="n"/>
      <c r="BM313" s="251" t="inlineStr">
        <is>
          <t>ASUB</t>
        </is>
      </c>
      <c r="BN313" s="337" t="inlineStr">
        <is>
          <t>Coposa sur</t>
        </is>
      </c>
      <c r="BO313" s="251"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05" t="n"/>
      <c r="CL313" s="105" t="n"/>
      <c r="CM313" s="105" t="n"/>
      <c r="CN313" s="105" t="n"/>
      <c r="CO313" s="105" t="n"/>
      <c r="CP313" s="105" t="n"/>
      <c r="CQ313" s="105" t="n"/>
      <c r="CR313" s="105" t="n"/>
      <c r="CS313" s="105" t="n"/>
      <c r="CT313" s="105" t="n"/>
      <c r="CU313" s="105" t="n"/>
      <c r="CV313" s="105" t="n"/>
      <c r="CW313" s="105" t="n"/>
      <c r="CX313" s="105" t="n"/>
      <c r="CY313" s="105" t="n"/>
      <c r="CZ313" s="124">
        <f>+COUNTA(BV313:CY313)</f>
        <v/>
      </c>
      <c r="DA313" s="206" t="n"/>
      <c r="DB313" s="251" t="n"/>
      <c r="DC313" s="251" t="n"/>
      <c r="DD313" s="251" t="n"/>
      <c r="DE313" s="251" t="n"/>
      <c r="DF313" s="251" t="n"/>
      <c r="DG313" s="251" t="n"/>
      <c r="DH313" s="251" t="n"/>
      <c r="DI313" s="251" t="n"/>
      <c r="DJ313" s="251" t="n"/>
      <c r="DK313" s="251" t="n"/>
      <c r="DL313" s="95" t="n"/>
      <c r="DM313" s="251" t="n"/>
      <c r="DN313" s="95" t="n"/>
      <c r="DO313" s="95" t="n"/>
    </row>
    <row r="314" ht="13" customHeight="1">
      <c r="A314" s="205" t="inlineStr">
        <is>
          <t>CWE-21</t>
        </is>
      </c>
      <c r="B314" s="305"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1" t="inlineStr">
        <is>
          <t>532MACWE</t>
        </is>
      </c>
      <c r="BL314" s="61" t="inlineStr">
        <is>
          <t>GMAP-SIGA</t>
        </is>
      </c>
      <c r="BM314" s="251" t="inlineStr">
        <is>
          <t>NF</t>
        </is>
      </c>
      <c r="BN314" s="337" t="inlineStr">
        <is>
          <t>Jachucoposa</t>
        </is>
      </c>
      <c r="BO314" s="251"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05" t="n"/>
      <c r="CN314" s="105" t="n"/>
      <c r="CO314" s="105" t="n"/>
      <c r="CP314" s="105" t="n"/>
      <c r="CQ314" s="105" t="n"/>
      <c r="CR314" s="242" t="n">
        <v>1</v>
      </c>
      <c r="CS314" s="105" t="n"/>
      <c r="CT314" s="105" t="n"/>
      <c r="CU314" s="105" t="n"/>
      <c r="CV314" s="105" t="n"/>
      <c r="CW314" s="105" t="n"/>
      <c r="CX314" s="105" t="n"/>
      <c r="CY314" s="105" t="n"/>
      <c r="CZ314" s="124">
        <f>+COUNTA(BV314:CY314)</f>
        <v/>
      </c>
      <c r="DA314" s="206" t="n"/>
      <c r="DB314" s="251" t="n"/>
      <c r="DC314" s="251" t="n"/>
      <c r="DD314" s="251" t="n"/>
      <c r="DE314" s="251" t="n"/>
      <c r="DF314" s="251" t="n"/>
      <c r="DG314" s="251" t="n"/>
      <c r="DH314" s="251" t="n"/>
      <c r="DI314" s="251" t="n"/>
      <c r="DJ314" s="251" t="inlineStr">
        <is>
          <t>M</t>
        </is>
      </c>
      <c r="DK314" s="251" t="n">
        <v>15</v>
      </c>
      <c r="DL314" s="95" t="n">
        <v>28</v>
      </c>
      <c r="DM314" s="251" t="n"/>
      <c r="DN314" s="95" t="n"/>
      <c r="DO314" s="95" t="n"/>
    </row>
    <row r="315" ht="12.65" customHeight="1">
      <c r="A315" s="203" t="inlineStr">
        <is>
          <t>CWE-22 (1)</t>
        </is>
      </c>
      <c r="B315" s="305"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1" t="inlineStr">
        <is>
          <t>532MACWE</t>
        </is>
      </c>
      <c r="BL315" s="61" t="inlineStr">
        <is>
          <t>GMAP-SIGA</t>
        </is>
      </c>
      <c r="BM315" s="251" t="inlineStr">
        <is>
          <t>NF</t>
        </is>
      </c>
      <c r="BN315" s="106" t="inlineStr">
        <is>
          <t>Falla Pabellón</t>
        </is>
      </c>
      <c r="BO315" s="251"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24">
        <f>+COUNTA(BV315:CY315)</f>
        <v/>
      </c>
      <c r="DA315" s="251" t="n"/>
      <c r="DB315" s="251" t="n"/>
      <c r="DC315" s="251" t="n"/>
      <c r="DD315" s="251" t="n"/>
      <c r="DE315" s="251" t="n"/>
      <c r="DF315" s="251" t="n"/>
      <c r="DG315" s="251" t="n"/>
      <c r="DH315" s="251" t="n"/>
      <c r="DI315" s="251" t="n"/>
      <c r="DJ315" s="251" t="inlineStr">
        <is>
          <t>T</t>
        </is>
      </c>
      <c r="DK315" s="251" t="n">
        <v>15</v>
      </c>
      <c r="DL315" s="95" t="n">
        <v>21</v>
      </c>
      <c r="DM315" s="251" t="n"/>
      <c r="DN315" s="95" t="n"/>
      <c r="DO315" s="95" t="n"/>
    </row>
    <row r="316" ht="13" customHeight="1">
      <c r="A316" s="203" t="inlineStr">
        <is>
          <t>CWE-22 (2)</t>
        </is>
      </c>
      <c r="B316" s="305"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1" t="inlineStr">
        <is>
          <t>532MACWE</t>
        </is>
      </c>
      <c r="BL316" s="61" t="inlineStr">
        <is>
          <t>GMAP-SIGA</t>
        </is>
      </c>
      <c r="BM316" s="251" t="inlineStr">
        <is>
          <t>NF</t>
        </is>
      </c>
      <c r="BN316" s="106" t="inlineStr">
        <is>
          <t>Falla Pabellón</t>
        </is>
      </c>
      <c r="BO316" s="251"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24">
        <f>+COUNTA(BV316:CY316)</f>
        <v/>
      </c>
      <c r="DA316" s="251" t="n"/>
      <c r="DB316" s="251" t="n"/>
      <c r="DC316" s="251" t="n"/>
      <c r="DD316" s="251" t="n"/>
      <c r="DE316" s="251" t="n"/>
      <c r="DF316" s="251" t="n"/>
      <c r="DG316" s="251" t="n"/>
      <c r="DH316" s="251" t="n"/>
      <c r="DI316" s="251" t="n"/>
      <c r="DJ316" s="251" t="inlineStr">
        <is>
          <t>T</t>
        </is>
      </c>
      <c r="DK316" s="251" t="n">
        <v>15</v>
      </c>
      <c r="DL316" s="95" t="n">
        <v>21</v>
      </c>
      <c r="DM316" s="251" t="n"/>
      <c r="DN316" s="95" t="n"/>
      <c r="DO316" s="95" t="n"/>
    </row>
    <row r="317" ht="13" customHeight="1">
      <c r="A317" s="203" t="inlineStr">
        <is>
          <t>CWE-22 (3)</t>
        </is>
      </c>
      <c r="B317" s="305"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1" t="inlineStr">
        <is>
          <t>532MACWE</t>
        </is>
      </c>
      <c r="BL317" s="61" t="inlineStr">
        <is>
          <t>GMAP-SIGA</t>
        </is>
      </c>
      <c r="BM317" s="251" t="inlineStr">
        <is>
          <t>NF</t>
        </is>
      </c>
      <c r="BN317" s="106" t="inlineStr">
        <is>
          <t>Falla Pabellón</t>
        </is>
      </c>
      <c r="BO317" s="251"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24">
        <f>+COUNTA(BV317:CY317)</f>
        <v/>
      </c>
      <c r="DA317" s="251" t="n"/>
      <c r="DB317" s="251" t="n"/>
      <c r="DC317" s="251" t="n"/>
      <c r="DD317" s="251" t="n"/>
      <c r="DE317" s="251" t="n"/>
      <c r="DF317" s="251" t="n"/>
      <c r="DG317" s="251" t="n"/>
      <c r="DH317" s="251" t="n"/>
      <c r="DI317" s="251" t="n"/>
      <c r="DJ317" s="251" t="inlineStr">
        <is>
          <t>T</t>
        </is>
      </c>
      <c r="DK317" s="251" t="n">
        <v>15</v>
      </c>
      <c r="DL317" s="95" t="n">
        <v>21</v>
      </c>
      <c r="DM317" s="251" t="n"/>
      <c r="DN317" s="95" t="n"/>
      <c r="DO317" s="95" t="n"/>
    </row>
    <row r="318" ht="13" customHeight="1">
      <c r="A318" s="203" t="inlineStr">
        <is>
          <t>CWE-22 (4)</t>
        </is>
      </c>
      <c r="B318" s="305"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1" t="inlineStr">
        <is>
          <t>532MACWE</t>
        </is>
      </c>
      <c r="BL318" s="61" t="inlineStr">
        <is>
          <t>GMAP-SIGA</t>
        </is>
      </c>
      <c r="BM318" s="251" t="inlineStr">
        <is>
          <t>NF</t>
        </is>
      </c>
      <c r="BN318" s="106" t="inlineStr">
        <is>
          <t>Falla Pabellón</t>
        </is>
      </c>
      <c r="BO318" s="251"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24">
        <f>+COUNTA(BV318:CY318)</f>
        <v/>
      </c>
      <c r="DA318" s="251" t="n"/>
      <c r="DB318" s="251" t="n"/>
      <c r="DC318" s="251" t="n"/>
      <c r="DD318" s="251" t="n"/>
      <c r="DE318" s="251" t="n"/>
      <c r="DF318" s="251" t="n"/>
      <c r="DG318" s="251" t="n"/>
      <c r="DH318" s="251" t="n"/>
      <c r="DI318" s="251" t="n"/>
      <c r="DJ318" s="251" t="inlineStr">
        <is>
          <t>T</t>
        </is>
      </c>
      <c r="DK318" s="251" t="n">
        <v>15</v>
      </c>
      <c r="DL318" s="95" t="n">
        <v>21</v>
      </c>
      <c r="DM318" s="251" t="n"/>
      <c r="DN318" s="95" t="n"/>
      <c r="DO318" s="95" t="n"/>
    </row>
    <row r="319" ht="13" customHeight="1">
      <c r="A319" s="203" t="inlineStr">
        <is>
          <t>CWE-23 (1)</t>
        </is>
      </c>
      <c r="B319" s="305"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1" t="inlineStr">
        <is>
          <t>532MACWE</t>
        </is>
      </c>
      <c r="BL319" s="61" t="inlineStr">
        <is>
          <t>GMAP-SIGA</t>
        </is>
      </c>
      <c r="BM319" s="251" t="inlineStr">
        <is>
          <t>NF</t>
        </is>
      </c>
      <c r="BN319" s="106" t="inlineStr">
        <is>
          <t>Falla Pabellón</t>
        </is>
      </c>
      <c r="BO319" s="251"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W319" s="105" t="n"/>
      <c r="BX319" s="105" t="n"/>
      <c r="BY319" s="142" t="n">
        <v>1</v>
      </c>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24">
        <f>+COUNTA(BW319:CY319)</f>
        <v/>
      </c>
      <c r="DA319" s="251" t="n"/>
      <c r="DB319" s="251" t="n"/>
      <c r="DC319" s="251" t="n"/>
      <c r="DD319" s="251" t="n"/>
      <c r="DE319" s="251" t="n"/>
      <c r="DF319" s="251" t="n"/>
      <c r="DG319" s="251" t="n"/>
      <c r="DH319" s="251" t="n"/>
      <c r="DI319" s="251" t="n"/>
      <c r="DJ319" s="251" t="inlineStr">
        <is>
          <t>T</t>
        </is>
      </c>
      <c r="DK319" s="251" t="n">
        <v>1</v>
      </c>
      <c r="DL319" s="95" t="n">
        <v>7</v>
      </c>
      <c r="DM319" s="251" t="n"/>
      <c r="DN319" s="95" t="n"/>
      <c r="DO319" s="95" t="n"/>
    </row>
    <row r="320" ht="13" customHeight="1">
      <c r="A320" s="203" t="inlineStr">
        <is>
          <t>CWE-23 (2)</t>
        </is>
      </c>
      <c r="B320" s="305"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1" t="inlineStr">
        <is>
          <t>532MACWE</t>
        </is>
      </c>
      <c r="BL320" s="61" t="inlineStr">
        <is>
          <t>GMAP-SIGA</t>
        </is>
      </c>
      <c r="BM320" s="251" t="inlineStr">
        <is>
          <t>NF</t>
        </is>
      </c>
      <c r="BN320" s="106" t="inlineStr">
        <is>
          <t>Falla Pabellón</t>
        </is>
      </c>
      <c r="BO320" s="251" t="inlineStr">
        <is>
          <t>NO</t>
        </is>
      </c>
      <c r="BP320" s="106" t="inlineStr">
        <is>
          <t>CWE-23 (2) FALLA PABELLON/NF</t>
        </is>
      </c>
      <c r="BQ320" s="106">
        <f>VLOOKUP(BP320,[1]AGUA!$1:$1048576,2,FALSE)</f>
        <v/>
      </c>
      <c r="BR320" s="106">
        <f>VLOOKUP(BP320,[1]AGUA!$1:$1048576,6,FALSE)</f>
        <v/>
      </c>
      <c r="BS320" s="106">
        <f>VLOOKUP(BP320,[1]AGUA!$1:$1048576,7,FALSE)</f>
        <v/>
      </c>
      <c r="BT320" s="106" t="n"/>
      <c r="BU320" s="101" t="n"/>
      <c r="BW320" s="105" t="n"/>
      <c r="BX320" s="105" t="n"/>
      <c r="BY320" s="142" t="n">
        <v>1</v>
      </c>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24">
        <f>+COUNTA(BW320:CY320)</f>
        <v/>
      </c>
      <c r="DA320" s="251" t="n"/>
      <c r="DB320" s="251" t="n"/>
      <c r="DC320" s="251" t="n"/>
      <c r="DD320" s="251" t="n"/>
      <c r="DE320" s="251" t="n"/>
      <c r="DF320" s="251" t="n"/>
      <c r="DG320" s="251" t="n"/>
      <c r="DH320" s="251" t="n"/>
      <c r="DI320" s="251" t="n"/>
      <c r="DJ320" s="251" t="inlineStr">
        <is>
          <t>T</t>
        </is>
      </c>
      <c r="DK320" s="251" t="n">
        <v>1</v>
      </c>
      <c r="DL320" s="95" t="n">
        <v>7</v>
      </c>
      <c r="DM320" s="251" t="n"/>
      <c r="DN320" s="95" t="n"/>
      <c r="DO320" s="95" t="n"/>
    </row>
    <row r="321" ht="13" customHeight="1">
      <c r="A321" s="203" t="inlineStr">
        <is>
          <t>CWE-23 (3)</t>
        </is>
      </c>
      <c r="B321" s="305"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1" t="inlineStr">
        <is>
          <t>532MACWE</t>
        </is>
      </c>
      <c r="BL321" s="61" t="inlineStr">
        <is>
          <t>GMAP-SIGA</t>
        </is>
      </c>
      <c r="BM321" s="251" t="inlineStr">
        <is>
          <t>NF</t>
        </is>
      </c>
      <c r="BN321" s="106" t="inlineStr">
        <is>
          <t>Falla Pabellón</t>
        </is>
      </c>
      <c r="BO321" s="251" t="inlineStr">
        <is>
          <t>NO</t>
        </is>
      </c>
      <c r="BP321" s="106" t="inlineStr">
        <is>
          <t>CWE-23 (3) FALLA PABELLON/NF</t>
        </is>
      </c>
      <c r="BQ321" s="106">
        <f>VLOOKUP(BP321,[1]AGUA!$1:$1048576,2,FALSE)</f>
        <v/>
      </c>
      <c r="BR321" s="106">
        <f>VLOOKUP(BP321,[1]AGUA!$1:$1048576,6,FALSE)</f>
        <v/>
      </c>
      <c r="BS321" s="106">
        <f>VLOOKUP(BP321,[1]AGUA!$1:$1048576,7,FALSE)</f>
        <v/>
      </c>
      <c r="BT321" s="106" t="n"/>
      <c r="BU321" s="101" t="n"/>
      <c r="BW321" s="105" t="n"/>
      <c r="BX321" s="105" t="n"/>
      <c r="BY321" s="142" t="n">
        <v>1</v>
      </c>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24">
        <f>+COUNTA(BW321:CY321)</f>
        <v/>
      </c>
      <c r="DA321" s="251" t="n"/>
      <c r="DB321" s="251" t="n"/>
      <c r="DC321" s="251" t="n"/>
      <c r="DD321" s="251" t="n"/>
      <c r="DE321" s="251" t="n"/>
      <c r="DF321" s="251" t="n"/>
      <c r="DG321" s="251" t="n"/>
      <c r="DH321" s="251" t="n"/>
      <c r="DI321" s="251" t="n"/>
      <c r="DJ321" s="251" t="inlineStr">
        <is>
          <t>T</t>
        </is>
      </c>
      <c r="DK321" s="251" t="n">
        <v>1</v>
      </c>
      <c r="DL321" s="95" t="n">
        <v>7</v>
      </c>
      <c r="DM321" s="251" t="n"/>
      <c r="DN321" s="95" t="n"/>
      <c r="DO321" s="95" t="n"/>
    </row>
    <row r="322" ht="13" customHeight="1">
      <c r="A322" s="203" t="inlineStr">
        <is>
          <t>CWE-23 (4)</t>
        </is>
      </c>
      <c r="B322" s="305"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1" t="inlineStr">
        <is>
          <t>532MACWE</t>
        </is>
      </c>
      <c r="BL322" s="61" t="inlineStr">
        <is>
          <t>GMAP-SIGA</t>
        </is>
      </c>
      <c r="BM322" s="251" t="inlineStr">
        <is>
          <t>NF</t>
        </is>
      </c>
      <c r="BN322" s="106" t="inlineStr">
        <is>
          <t>Falla Pabellón</t>
        </is>
      </c>
      <c r="BO322" s="251" t="inlineStr">
        <is>
          <t>NO</t>
        </is>
      </c>
      <c r="BP322" s="106" t="inlineStr">
        <is>
          <t>CWE-23 (4) FALLA PABELLON/NF</t>
        </is>
      </c>
      <c r="BQ322" s="106">
        <f>VLOOKUP(BP322,[1]AGUA!$1:$1048576,2,FALSE)</f>
        <v/>
      </c>
      <c r="BR322" s="106">
        <f>VLOOKUP(BP322,[1]AGUA!$1:$1048576,6,FALSE)</f>
        <v/>
      </c>
      <c r="BS322" s="106">
        <f>VLOOKUP(BP322,[1]AGUA!$1:$1048576,7,FALSE)</f>
        <v/>
      </c>
      <c r="BT322" s="106" t="n"/>
      <c r="BU322" s="101" t="n"/>
      <c r="BW322" s="105" t="n"/>
      <c r="BX322" s="105" t="n"/>
      <c r="BY322" s="142" t="n">
        <v>1</v>
      </c>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24">
        <f>+COUNTA(BW322:CY322)</f>
        <v/>
      </c>
      <c r="DA322" s="251" t="n"/>
      <c r="DB322" s="251" t="n"/>
      <c r="DC322" s="251" t="n"/>
      <c r="DD322" s="251" t="n"/>
      <c r="DE322" s="251" t="n"/>
      <c r="DF322" s="251" t="n"/>
      <c r="DG322" s="251" t="n"/>
      <c r="DH322" s="251" t="n"/>
      <c r="DI322" s="251" t="n"/>
      <c r="DJ322" s="251" t="inlineStr">
        <is>
          <t>T</t>
        </is>
      </c>
      <c r="DK322" s="251" t="n">
        <v>1</v>
      </c>
      <c r="DL322" s="95" t="n">
        <v>7</v>
      </c>
      <c r="DM322" s="251" t="n"/>
      <c r="DN322" s="95" t="n"/>
      <c r="DO322" s="95" t="n"/>
    </row>
    <row r="323" ht="13" customHeight="1">
      <c r="A323" s="203" t="inlineStr">
        <is>
          <t>CWE-24 (1)</t>
        </is>
      </c>
      <c r="B323" s="305"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1" t="inlineStr">
        <is>
          <t>532MACWE</t>
        </is>
      </c>
      <c r="BL323" s="61" t="inlineStr">
        <is>
          <t>GMAP-SIGA</t>
        </is>
      </c>
      <c r="BM323" s="251" t="inlineStr">
        <is>
          <t>NF</t>
        </is>
      </c>
      <c r="BN323" s="337" t="inlineStr">
        <is>
          <t>Jachucoposa</t>
        </is>
      </c>
      <c r="BO323" s="251"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42" t="n">
        <v>1</v>
      </c>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24">
        <f>+COUNTA(BV323:CY323)</f>
        <v/>
      </c>
      <c r="DA323" s="251" t="n"/>
      <c r="DB323" s="251" t="n"/>
      <c r="DC323" s="251" t="n"/>
      <c r="DD323" s="251" t="n"/>
      <c r="DE323" s="251" t="n"/>
      <c r="DF323" s="251" t="n"/>
      <c r="DG323" s="251" t="n"/>
      <c r="DH323" s="251" t="n"/>
      <c r="DI323" s="251" t="n"/>
      <c r="DJ323" s="251" t="inlineStr">
        <is>
          <t>T</t>
        </is>
      </c>
      <c r="DK323" s="251" t="n">
        <v>8</v>
      </c>
      <c r="DL323" s="95" t="n">
        <v>14</v>
      </c>
      <c r="DM323" s="251" t="n"/>
      <c r="DN323" s="95" t="n"/>
      <c r="DO323" s="95" t="n"/>
    </row>
    <row r="324" ht="13" customHeight="1">
      <c r="A324" s="203" t="inlineStr">
        <is>
          <t>CWE-24 (2)</t>
        </is>
      </c>
      <c r="B324" s="305"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1" t="inlineStr">
        <is>
          <t>532MACWE</t>
        </is>
      </c>
      <c r="BL324" s="61" t="inlineStr">
        <is>
          <t>GMAP-SIGA</t>
        </is>
      </c>
      <c r="BM324" s="251" t="inlineStr">
        <is>
          <t>NF</t>
        </is>
      </c>
      <c r="BN324" s="337" t="inlineStr">
        <is>
          <t>Jachucoposa</t>
        </is>
      </c>
      <c r="BO324" s="251"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42" t="n">
        <v>1</v>
      </c>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24">
        <f>+COUNTA(BV324:CY324)</f>
        <v/>
      </c>
      <c r="DA324" s="251" t="n"/>
      <c r="DB324" s="251" t="n"/>
      <c r="DC324" s="251" t="n"/>
      <c r="DD324" s="251" t="n"/>
      <c r="DE324" s="251" t="n"/>
      <c r="DF324" s="251" t="n"/>
      <c r="DG324" s="251" t="n"/>
      <c r="DH324" s="251" t="n"/>
      <c r="DI324" s="251" t="n"/>
      <c r="DJ324" s="251" t="inlineStr">
        <is>
          <t>T</t>
        </is>
      </c>
      <c r="DK324" s="251" t="n">
        <v>8</v>
      </c>
      <c r="DL324" s="95" t="n">
        <v>14</v>
      </c>
      <c r="DM324" s="251" t="n"/>
      <c r="DN324" s="95" t="n"/>
      <c r="DO324" s="95" t="n"/>
    </row>
    <row r="325" ht="13" customHeight="1">
      <c r="A325" s="203" t="inlineStr">
        <is>
          <t>CWE-24 (3)</t>
        </is>
      </c>
      <c r="B325" s="305"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1" t="inlineStr">
        <is>
          <t>532MACWE</t>
        </is>
      </c>
      <c r="BL325" s="61" t="inlineStr">
        <is>
          <t>GMAP-SIGA</t>
        </is>
      </c>
      <c r="BM325" s="251" t="inlineStr">
        <is>
          <t>NF</t>
        </is>
      </c>
      <c r="BN325" s="337" t="inlineStr">
        <is>
          <t>Jachucoposa</t>
        </is>
      </c>
      <c r="BO325" s="251"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42" t="n">
        <v>1</v>
      </c>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24">
        <f>+COUNTA(BV325:CY325)</f>
        <v/>
      </c>
      <c r="DA325" s="251" t="n"/>
      <c r="DB325" s="251" t="n"/>
      <c r="DC325" s="251" t="n"/>
      <c r="DD325" s="251" t="n"/>
      <c r="DE325" s="251" t="n"/>
      <c r="DF325" s="251" t="n"/>
      <c r="DG325" s="251" t="n"/>
      <c r="DH325" s="251" t="n"/>
      <c r="DI325" s="251" t="n"/>
      <c r="DJ325" s="251" t="inlineStr">
        <is>
          <t>T</t>
        </is>
      </c>
      <c r="DK325" s="251" t="n">
        <v>8</v>
      </c>
      <c r="DL325" s="95" t="n">
        <v>14</v>
      </c>
      <c r="DM325" s="251" t="n"/>
      <c r="DN325" s="95" t="n"/>
      <c r="DO325" s="95" t="n"/>
    </row>
    <row r="326" ht="13" customHeight="1">
      <c r="A326" s="203" t="inlineStr">
        <is>
          <t>CWE-24 (4)</t>
        </is>
      </c>
      <c r="B326" s="305"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1" t="inlineStr">
        <is>
          <t>532MACWE</t>
        </is>
      </c>
      <c r="BL326" s="61" t="inlineStr">
        <is>
          <t>GMAP-SIGA</t>
        </is>
      </c>
      <c r="BM326" s="251" t="inlineStr">
        <is>
          <t>NF</t>
        </is>
      </c>
      <c r="BN326" s="337" t="inlineStr">
        <is>
          <t>Jachucoposa</t>
        </is>
      </c>
      <c r="BO326" s="251"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42" t="n">
        <v>1</v>
      </c>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24">
        <f>+COUNTA(BV326:CY326)</f>
        <v/>
      </c>
      <c r="DA326" s="251" t="n"/>
      <c r="DB326" s="251" t="n"/>
      <c r="DC326" s="251" t="n"/>
      <c r="DD326" s="251" t="n"/>
      <c r="DE326" s="251" t="n"/>
      <c r="DF326" s="251" t="n"/>
      <c r="DG326" s="251" t="n"/>
      <c r="DH326" s="251" t="n"/>
      <c r="DI326" s="251" t="n"/>
      <c r="DJ326" s="251" t="inlineStr">
        <is>
          <t>T</t>
        </is>
      </c>
      <c r="DK326" s="251" t="n">
        <v>8</v>
      </c>
      <c r="DL326" s="95" t="n">
        <v>14</v>
      </c>
      <c r="DM326" s="251" t="n"/>
      <c r="DN326" s="95" t="n"/>
      <c r="DO326" s="95" t="n"/>
    </row>
    <row r="327" ht="13.5" customHeight="1">
      <c r="A327" s="205" t="inlineStr">
        <is>
          <t>CWE-25-1</t>
        </is>
      </c>
      <c r="B327" s="305"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1" t="inlineStr">
        <is>
          <t>532MACWE</t>
        </is>
      </c>
      <c r="BL327" s="61" t="inlineStr">
        <is>
          <t>GMAP-SIGA</t>
        </is>
      </c>
      <c r="BM327" s="251" t="inlineStr">
        <is>
          <t>NF</t>
        </is>
      </c>
      <c r="BN327" s="337" t="inlineStr">
        <is>
          <t>Coposa Norte</t>
        </is>
      </c>
      <c r="BO327" s="168"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M327" s="105" t="n"/>
      <c r="CN327" s="105" t="n"/>
      <c r="CO327" s="242" t="n">
        <v>1</v>
      </c>
      <c r="CP327" s="105" t="n"/>
      <c r="CQ327" s="105" t="n"/>
      <c r="CR327" s="105" t="n"/>
      <c r="CS327" s="105" t="n"/>
      <c r="CT327" s="105" t="n"/>
      <c r="CU327" s="105" t="n"/>
      <c r="CV327" s="105" t="n"/>
      <c r="CW327" s="105" t="n"/>
      <c r="CX327" s="105" t="n"/>
      <c r="CY327" s="105" t="n"/>
      <c r="CZ327" s="124">
        <f>+COUNTA(BV327:CY327)</f>
        <v/>
      </c>
      <c r="DA327" s="206" t="n"/>
      <c r="DB327" s="251" t="n"/>
      <c r="DC327" s="251" t="n"/>
      <c r="DD327" s="251" t="n"/>
      <c r="DE327" s="251" t="n"/>
      <c r="DF327" s="251" t="n"/>
      <c r="DG327" s="251" t="n"/>
      <c r="DH327" s="251" t="n"/>
      <c r="DI327" s="251" t="n"/>
      <c r="DJ327" s="251" t="inlineStr">
        <is>
          <t>M</t>
        </is>
      </c>
      <c r="DK327" s="251" t="n">
        <v>15</v>
      </c>
      <c r="DL327" s="95" t="n">
        <v>28</v>
      </c>
      <c r="DM327" s="251" t="n"/>
      <c r="DN327" s="95" t="n"/>
      <c r="DO327" s="95" t="n"/>
    </row>
    <row r="328" ht="13" customHeight="1">
      <c r="A328" s="203" t="inlineStr">
        <is>
          <t>CWE-25-2</t>
        </is>
      </c>
      <c r="B328" s="305"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1" t="inlineStr">
        <is>
          <t>532MACWE</t>
        </is>
      </c>
      <c r="BL328" s="61" t="inlineStr">
        <is>
          <t>GMAP-SIGA</t>
        </is>
      </c>
      <c r="BM328" s="251" t="inlineStr">
        <is>
          <t>NF</t>
        </is>
      </c>
      <c r="BN328" s="337" t="inlineStr">
        <is>
          <t>Coposa Norte</t>
        </is>
      </c>
      <c r="BO328" s="168"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05" t="n"/>
      <c r="CG328" s="105" t="n"/>
      <c r="CH328" s="105" t="n"/>
      <c r="CI328" s="105" t="n"/>
      <c r="CJ328" s="105" t="n"/>
      <c r="CK328" s="105" t="n"/>
      <c r="CL328" s="142" t="n">
        <v>1</v>
      </c>
      <c r="CM328" s="105" t="n"/>
      <c r="CN328" s="105" t="n"/>
      <c r="CO328" s="105" t="n"/>
      <c r="CP328" s="105" t="n"/>
      <c r="CQ328" s="105" t="n"/>
      <c r="CR328" s="105" t="n"/>
      <c r="CS328" s="105" t="n"/>
      <c r="CT328" s="105" t="n"/>
      <c r="CU328" s="105" t="n"/>
      <c r="CV328" s="105" t="n"/>
      <c r="CW328" s="105" t="n"/>
      <c r="CX328" s="105" t="n"/>
      <c r="CY328" s="105" t="n"/>
      <c r="CZ328" s="124">
        <f>+COUNTA(BV328:CY328)</f>
        <v/>
      </c>
      <c r="DA328" s="251" t="n"/>
      <c r="DB328" s="251" t="n"/>
      <c r="DC328" s="251" t="n"/>
      <c r="DD328" s="251" t="n"/>
      <c r="DE328" s="251" t="n"/>
      <c r="DF328" s="251" t="n"/>
      <c r="DG328" s="251" t="n"/>
      <c r="DH328" s="251" t="n"/>
      <c r="DI328" s="251" t="n"/>
      <c r="DJ328" s="251" t="inlineStr">
        <is>
          <t>M</t>
        </is>
      </c>
      <c r="DK328" s="251" t="n">
        <v>8</v>
      </c>
      <c r="DL328" s="95" t="n">
        <v>21</v>
      </c>
      <c r="DM328" s="251" t="n"/>
      <c r="DN328" s="95" t="n"/>
      <c r="DO328" s="95" t="n"/>
    </row>
    <row r="329" ht="13" customHeight="1">
      <c r="A329" s="203" t="inlineStr">
        <is>
          <t>CWE-25-3</t>
        </is>
      </c>
      <c r="B329" s="305"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1" t="inlineStr">
        <is>
          <t>532MACWE</t>
        </is>
      </c>
      <c r="BL329" s="61" t="inlineStr">
        <is>
          <t>GMAP-SIGA</t>
        </is>
      </c>
      <c r="BM329" s="251" t="inlineStr">
        <is>
          <t>NF</t>
        </is>
      </c>
      <c r="BN329" s="337" t="inlineStr">
        <is>
          <t>Coposa Norte</t>
        </is>
      </c>
      <c r="BO329" s="168"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05" t="n"/>
      <c r="CG329" s="105" t="n"/>
      <c r="CH329" s="105" t="n"/>
      <c r="CI329" s="105" t="n"/>
      <c r="CJ329" s="105" t="n"/>
      <c r="CK329" s="105" t="n"/>
      <c r="CL329" s="142" t="n">
        <v>1</v>
      </c>
      <c r="CM329" s="105" t="n"/>
      <c r="CN329" s="105" t="n"/>
      <c r="CO329" s="105" t="n"/>
      <c r="CP329" s="105" t="n"/>
      <c r="CQ329" s="105" t="n"/>
      <c r="CR329" s="105" t="n"/>
      <c r="CS329" s="105" t="n"/>
      <c r="CT329" s="105" t="n"/>
      <c r="CU329" s="105" t="n"/>
      <c r="CV329" s="105" t="n"/>
      <c r="CW329" s="105" t="n"/>
      <c r="CX329" s="105" t="n"/>
      <c r="CY329" s="105" t="n"/>
      <c r="CZ329" s="124">
        <f>+COUNTA(BV329:CY329)</f>
        <v/>
      </c>
      <c r="DA329" s="251" t="n"/>
      <c r="DB329" s="251" t="n"/>
      <c r="DC329" s="251" t="n"/>
      <c r="DD329" s="251" t="n"/>
      <c r="DE329" s="251" t="n"/>
      <c r="DF329" s="251" t="n"/>
      <c r="DG329" s="251" t="n"/>
      <c r="DH329" s="251" t="n"/>
      <c r="DI329" s="251" t="n"/>
      <c r="DJ329" s="251" t="inlineStr">
        <is>
          <t>M</t>
        </is>
      </c>
      <c r="DK329" s="251" t="n">
        <v>8</v>
      </c>
      <c r="DL329" s="95" t="n">
        <v>21</v>
      </c>
      <c r="DM329" s="251" t="n"/>
      <c r="DN329" s="95" t="n"/>
      <c r="DO329" s="95" t="n"/>
    </row>
    <row r="330" ht="13" customHeight="1">
      <c r="A330" s="203" t="inlineStr">
        <is>
          <t>CWE-26</t>
        </is>
      </c>
      <c r="B330" s="305"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1" t="inlineStr">
        <is>
          <t>532MACWE</t>
        </is>
      </c>
      <c r="BL330" s="61" t="inlineStr">
        <is>
          <t>GMAP-SIGA</t>
        </is>
      </c>
      <c r="BM330" s="251" t="inlineStr">
        <is>
          <t>NF</t>
        </is>
      </c>
      <c r="BN330" s="106" t="inlineStr">
        <is>
          <t>Falla Pabellón</t>
        </is>
      </c>
      <c r="BO330" s="251"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05" t="n"/>
      <c r="CU330" s="105" t="n"/>
      <c r="CV330" s="105" t="n"/>
      <c r="CW330" s="105" t="n"/>
      <c r="CX330" s="105" t="n"/>
      <c r="CY330" s="105" t="n"/>
      <c r="CZ330" s="124">
        <f>+COUNTA(BV330:CY330)</f>
        <v/>
      </c>
      <c r="DA330" s="251" t="n"/>
      <c r="DB330" s="251" t="n"/>
      <c r="DC330" s="251" t="n"/>
      <c r="DD330" s="251" t="n"/>
      <c r="DE330" s="251" t="n"/>
      <c r="DF330" s="251" t="n"/>
      <c r="DG330" s="251" t="n"/>
      <c r="DH330" s="251" t="n"/>
      <c r="DI330" s="251" t="n"/>
      <c r="DJ330" s="251" t="inlineStr">
        <is>
          <t>T</t>
        </is>
      </c>
      <c r="DK330" s="251" t="n">
        <v>15</v>
      </c>
      <c r="DL330" s="95" t="n">
        <v>21</v>
      </c>
      <c r="DM330" s="251" t="n"/>
      <c r="DN330" s="95" t="n"/>
      <c r="DO330" s="95" t="n"/>
    </row>
    <row r="331" ht="13" customHeight="1">
      <c r="A331" s="203" t="inlineStr">
        <is>
          <t>CWE-27</t>
        </is>
      </c>
      <c r="B331" s="305"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1" t="inlineStr">
        <is>
          <t>532MACWE</t>
        </is>
      </c>
      <c r="BL331" s="61" t="inlineStr">
        <is>
          <t>GMAP-SIGA</t>
        </is>
      </c>
      <c r="BM331" s="251" t="inlineStr">
        <is>
          <t>NF</t>
        </is>
      </c>
      <c r="BN331" s="106" t="inlineStr">
        <is>
          <t>Falla Pabellón</t>
        </is>
      </c>
      <c r="BO331" s="251"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24">
        <f>+COUNTA(BV331:CY331)</f>
        <v/>
      </c>
      <c r="DA331" s="251" t="n"/>
      <c r="DB331" s="251" t="n"/>
      <c r="DC331" s="251" t="n"/>
      <c r="DD331" s="251" t="n"/>
      <c r="DE331" s="251" t="n"/>
      <c r="DF331" s="251" t="n"/>
      <c r="DG331" s="251" t="n"/>
      <c r="DH331" s="251" t="n"/>
      <c r="DI331" s="251" t="n"/>
      <c r="DJ331" s="251" t="inlineStr">
        <is>
          <t>T</t>
        </is>
      </c>
      <c r="DK331" s="251" t="n">
        <v>15</v>
      </c>
      <c r="DL331" s="95" t="n">
        <v>21</v>
      </c>
      <c r="DM331" s="251" t="n"/>
      <c r="DN331" s="95" t="n"/>
      <c r="DO331" s="95" t="n"/>
    </row>
    <row r="332" ht="13" customHeight="1">
      <c r="A332" s="203" t="inlineStr">
        <is>
          <t>CWE-28</t>
        </is>
      </c>
      <c r="B332" s="305"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1" t="inlineStr">
        <is>
          <t>532MACWE</t>
        </is>
      </c>
      <c r="BL332" s="61" t="inlineStr">
        <is>
          <t>GMAP-SIGA</t>
        </is>
      </c>
      <c r="BM332" s="251" t="inlineStr">
        <is>
          <t>NF</t>
        </is>
      </c>
      <c r="BN332" s="106" t="inlineStr">
        <is>
          <t>Falla Pabellón</t>
        </is>
      </c>
      <c r="BO332" s="251"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24">
        <f>+COUNTA(BV332:CY332)</f>
        <v/>
      </c>
      <c r="DA332" s="251" t="n"/>
      <c r="DB332" s="251" t="n"/>
      <c r="DC332" s="251" t="n"/>
      <c r="DD332" s="251" t="n"/>
      <c r="DE332" s="251" t="n"/>
      <c r="DF332" s="251" t="n"/>
      <c r="DG332" s="251" t="n"/>
      <c r="DH332" s="251" t="n"/>
      <c r="DI332" s="251" t="n"/>
      <c r="DJ332" s="251" t="inlineStr">
        <is>
          <t>T</t>
        </is>
      </c>
      <c r="DK332" s="251" t="n">
        <v>15</v>
      </c>
      <c r="DL332" s="95" t="n">
        <v>21</v>
      </c>
      <c r="DM332" s="251" t="n"/>
      <c r="DN332" s="95" t="n"/>
      <c r="DO332" s="95" t="n"/>
    </row>
    <row r="333" ht="13" customHeight="1">
      <c r="A333" s="203" t="inlineStr">
        <is>
          <t>CWE-29</t>
        </is>
      </c>
      <c r="B333" s="305"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1" t="inlineStr">
        <is>
          <t>532MACWE</t>
        </is>
      </c>
      <c r="BL333" s="61" t="inlineStr">
        <is>
          <t>GMAP-SIGA</t>
        </is>
      </c>
      <c r="BM333" s="251" t="inlineStr">
        <is>
          <t>NF</t>
        </is>
      </c>
      <c r="BN333" s="106" t="inlineStr">
        <is>
          <t>Falla Pabellón</t>
        </is>
      </c>
      <c r="BO333" s="251"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05" t="n"/>
      <c r="CO333" s="105" t="n"/>
      <c r="CP333" s="105" t="n"/>
      <c r="CQ333" s="105" t="n"/>
      <c r="CR333" s="105" t="n"/>
      <c r="CS333" s="105" t="n"/>
      <c r="CT333" s="105" t="n"/>
      <c r="CU333" s="105" t="n"/>
      <c r="CV333" s="105" t="n"/>
      <c r="CW333" s="105" t="n"/>
      <c r="CX333" s="105" t="n"/>
      <c r="CY333" s="105" t="n"/>
      <c r="CZ333" s="124">
        <f>+COUNTA(BV333:CY333)</f>
        <v/>
      </c>
      <c r="DA333" s="251" t="n"/>
      <c r="DB333" s="251" t="n"/>
      <c r="DC333" s="251" t="n"/>
      <c r="DD333" s="251" t="n"/>
      <c r="DE333" s="251" t="n"/>
      <c r="DF333" s="251" t="n"/>
      <c r="DG333" s="251" t="n"/>
      <c r="DH333" s="251" t="n"/>
      <c r="DI333" s="251" t="n"/>
      <c r="DJ333" s="251" t="inlineStr">
        <is>
          <t>T</t>
        </is>
      </c>
      <c r="DK333" s="251" t="n">
        <v>15</v>
      </c>
      <c r="DL333" s="95" t="n">
        <v>21</v>
      </c>
      <c r="DM333" s="251" t="n"/>
      <c r="DN333" s="95" t="n"/>
      <c r="DO333" s="95" t="n"/>
    </row>
    <row r="334" ht="13" customHeight="1">
      <c r="A334" s="203" t="inlineStr">
        <is>
          <t>CWE-30</t>
        </is>
      </c>
      <c r="B334" s="305"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1" t="inlineStr">
        <is>
          <t>532MACWE</t>
        </is>
      </c>
      <c r="BL334" s="164" t="inlineStr">
        <is>
          <t>SERV PERSONAS</t>
        </is>
      </c>
      <c r="BM334" s="251" t="inlineStr">
        <is>
          <t>NF</t>
        </is>
      </c>
      <c r="BN334" s="337" t="inlineStr">
        <is>
          <t>Falla Pabellón (Aeródromo)</t>
        </is>
      </c>
      <c r="BO334" s="251"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05" t="n"/>
      <c r="CM334" s="105" t="n"/>
      <c r="CN334" s="105" t="n"/>
      <c r="CO334" s="105" t="n"/>
      <c r="CP334" s="105" t="n"/>
      <c r="CQ334" s="105" t="n"/>
      <c r="CR334" s="105" t="n"/>
      <c r="CS334" s="105" t="n"/>
      <c r="CT334" s="105" t="n"/>
      <c r="CU334" s="105" t="n"/>
      <c r="CV334" s="105" t="n"/>
      <c r="CW334" s="105" t="n"/>
      <c r="CX334" s="105" t="n"/>
      <c r="CY334" s="105" t="n"/>
      <c r="CZ334" s="124">
        <f>+COUNTA(BV334:CY334)</f>
        <v/>
      </c>
      <c r="DA334" s="251" t="n"/>
      <c r="DB334" s="251" t="n"/>
      <c r="DC334" s="251" t="n"/>
      <c r="DD334" s="251" t="n"/>
      <c r="DE334" s="251" t="n"/>
      <c r="DF334" s="251" t="n"/>
      <c r="DG334" s="251" t="n"/>
      <c r="DH334" s="251" t="n"/>
      <c r="DI334" s="251" t="n"/>
      <c r="DJ334" s="251" t="inlineStr">
        <is>
          <t>T</t>
        </is>
      </c>
      <c r="DK334" s="251" t="n">
        <v>15</v>
      </c>
      <c r="DL334" s="95" t="n">
        <v>21</v>
      </c>
      <c r="DM334" s="251" t="n"/>
      <c r="DN334" s="95" t="n"/>
      <c r="DO334" s="95" t="n"/>
    </row>
    <row r="335" ht="13" customHeight="1">
      <c r="A335" s="203" t="inlineStr">
        <is>
          <t>CWE-31</t>
        </is>
      </c>
      <c r="B335" s="305"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1" t="inlineStr">
        <is>
          <t>532MACWE</t>
        </is>
      </c>
      <c r="BL335" s="61" t="inlineStr">
        <is>
          <t>GMAP-SIGA</t>
        </is>
      </c>
      <c r="BM335" s="251" t="inlineStr">
        <is>
          <t>NF</t>
        </is>
      </c>
      <c r="BN335" s="106" t="inlineStr">
        <is>
          <t>Falla Pabellón</t>
        </is>
      </c>
      <c r="BO335" s="251"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24">
        <f>+COUNTA(BV335:CY335)</f>
        <v/>
      </c>
      <c r="DA335" s="251" t="n"/>
      <c r="DB335" s="251" t="n"/>
      <c r="DC335" s="251" t="n"/>
      <c r="DD335" s="251" t="n"/>
      <c r="DE335" s="251" t="n"/>
      <c r="DF335" s="251" t="n"/>
      <c r="DG335" s="251" t="n"/>
      <c r="DH335" s="251" t="n"/>
      <c r="DI335" s="251" t="n"/>
      <c r="DJ335" s="251" t="inlineStr">
        <is>
          <t>T</t>
        </is>
      </c>
      <c r="DK335" s="251" t="n">
        <v>15</v>
      </c>
      <c r="DL335" s="95" t="n">
        <v>21</v>
      </c>
      <c r="DM335" s="251" t="n"/>
      <c r="DN335" s="95" t="n"/>
      <c r="DO335" s="95" t="n"/>
    </row>
    <row r="336" ht="13" customHeight="1">
      <c r="A336" s="203" t="inlineStr">
        <is>
          <t>CWE-32</t>
        </is>
      </c>
      <c r="B336" s="305"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1" t="inlineStr">
        <is>
          <t>532MACWE</t>
        </is>
      </c>
      <c r="BL336" s="61" t="inlineStr">
        <is>
          <t>GMAP-SIGA</t>
        </is>
      </c>
      <c r="BM336" s="251" t="inlineStr">
        <is>
          <t>NF</t>
        </is>
      </c>
      <c r="BN336" s="106" t="inlineStr">
        <is>
          <t>Falla Pabellón</t>
        </is>
      </c>
      <c r="BO336" s="251"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24">
        <f>+COUNTA(BV336:CY336)</f>
        <v/>
      </c>
      <c r="DA336" s="251" t="n"/>
      <c r="DB336" s="251" t="n"/>
      <c r="DC336" s="251" t="n"/>
      <c r="DD336" s="251" t="n"/>
      <c r="DE336" s="251" t="n"/>
      <c r="DF336" s="251" t="n"/>
      <c r="DG336" s="251" t="n"/>
      <c r="DH336" s="251" t="n"/>
      <c r="DI336" s="251" t="n"/>
      <c r="DJ336" s="251" t="inlineStr">
        <is>
          <t>T</t>
        </is>
      </c>
      <c r="DK336" s="251" t="n">
        <v>15</v>
      </c>
      <c r="DL336" s="95" t="n">
        <v>21</v>
      </c>
      <c r="DM336" s="251" t="n"/>
      <c r="DN336" s="95" t="n"/>
      <c r="DO336" s="95" t="n"/>
    </row>
    <row r="337" ht="13" customHeight="1">
      <c r="A337" s="203" t="inlineStr">
        <is>
          <t>CWE-32</t>
        </is>
      </c>
      <c r="B337" s="305"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1" t="inlineStr">
        <is>
          <t>532MACWE</t>
        </is>
      </c>
      <c r="BL337" s="61" t="inlineStr">
        <is>
          <t>GMAP-SIGA</t>
        </is>
      </c>
      <c r="BM337" s="251" t="inlineStr">
        <is>
          <t>ASUB</t>
        </is>
      </c>
      <c r="BN337" s="106" t="inlineStr">
        <is>
          <t>Falla Pabellón</t>
        </is>
      </c>
      <c r="BO337" s="251"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24">
        <f>+COUNTA(BV337:CY337)</f>
        <v/>
      </c>
      <c r="DA337" s="251" t="n"/>
      <c r="DB337" s="251" t="n"/>
      <c r="DC337" s="251" t="n"/>
      <c r="DD337" s="251" t="n"/>
      <c r="DE337" s="251" t="n"/>
      <c r="DF337" s="251" t="n"/>
      <c r="DG337" s="251" t="n"/>
      <c r="DH337" s="251" t="n"/>
      <c r="DI337" s="251" t="n"/>
      <c r="DJ337" s="251" t="inlineStr">
        <is>
          <t>T</t>
        </is>
      </c>
      <c r="DK337" s="251" t="n">
        <v>15</v>
      </c>
      <c r="DL337" s="95" t="n">
        <v>21</v>
      </c>
      <c r="DM337" s="251" t="n"/>
      <c r="DN337" s="95" t="n"/>
      <c r="DO337" s="95" t="n"/>
    </row>
    <row r="338" ht="13" customHeight="1">
      <c r="A338" s="203" t="inlineStr">
        <is>
          <t>CWE-33</t>
        </is>
      </c>
      <c r="B338" s="305"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1" t="inlineStr">
        <is>
          <t>532MACWE</t>
        </is>
      </c>
      <c r="BL338" s="61" t="inlineStr">
        <is>
          <t>GMAP-SIGA</t>
        </is>
      </c>
      <c r="BM338" s="251" t="inlineStr">
        <is>
          <t>NF</t>
        </is>
      </c>
      <c r="BN338" s="106" t="inlineStr">
        <is>
          <t>Falla Pabellón</t>
        </is>
      </c>
      <c r="BO338" s="251"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24">
        <f>+COUNTA(BV338:CY338)</f>
        <v/>
      </c>
      <c r="DA338" s="251" t="n"/>
      <c r="DB338" s="251" t="n"/>
      <c r="DC338" s="251" t="n"/>
      <c r="DD338" s="251" t="n"/>
      <c r="DE338" s="251" t="n"/>
      <c r="DF338" s="251" t="n"/>
      <c r="DG338" s="251" t="n"/>
      <c r="DH338" s="251" t="n"/>
      <c r="DI338" s="251" t="n"/>
      <c r="DJ338" s="251" t="inlineStr">
        <is>
          <t>T</t>
        </is>
      </c>
      <c r="DK338" s="251" t="n">
        <v>15</v>
      </c>
      <c r="DL338" s="95" t="n">
        <v>21</v>
      </c>
      <c r="DM338" s="251" t="n"/>
      <c r="DN338" s="95" t="n"/>
      <c r="DO338" s="95" t="n"/>
    </row>
    <row r="339" ht="13.5" customHeight="1">
      <c r="A339" s="205" t="inlineStr">
        <is>
          <t>CWE-34</t>
        </is>
      </c>
      <c r="B339" s="305" t="inlineStr">
        <is>
          <t>CWE-34 JACHUCOPOSA</t>
        </is>
      </c>
      <c r="C339" s="251"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1" t="inlineStr">
        <is>
          <t>532MACWE</t>
        </is>
      </c>
      <c r="BL339" s="7" t="inlineStr">
        <is>
          <t>GMAP-SIGA</t>
        </is>
      </c>
      <c r="BM339" s="251" t="inlineStr">
        <is>
          <t>NF</t>
        </is>
      </c>
      <c r="BN339" s="337" t="inlineStr">
        <is>
          <t>Jachucoposa</t>
        </is>
      </c>
      <c r="BO339" s="251" t="inlineStr">
        <is>
          <t>SI / PMAP</t>
        </is>
      </c>
      <c r="BP339" s="106" t="inlineStr">
        <is>
          <t>CWE-34 JACHUCOPOSA/NF</t>
        </is>
      </c>
      <c r="BQ339" s="106">
        <f>VLOOKUP(BP339,[1]AGUA!$1:$1048576,2,FALSE)</f>
        <v/>
      </c>
      <c r="BR339" s="106">
        <f>VLOOKUP(BP339,[1]AGUA!$1:$1048576,6,FALSE)</f>
        <v/>
      </c>
      <c r="BS339" s="106">
        <f>VLOOKUP(BP339,[1]AGUA!$1:$1048576,7,FALSE)</f>
        <v/>
      </c>
      <c r="BT339" s="106" t="n"/>
      <c r="BU339" s="253"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105" t="n"/>
      <c r="CM339" s="105" t="n"/>
      <c r="CN339" s="105" t="n"/>
      <c r="CO339" s="105" t="n"/>
      <c r="CP339" s="105" t="n"/>
      <c r="CQ339" s="105" t="n"/>
      <c r="CR339" s="105" t="n"/>
      <c r="CS339" s="242" t="n">
        <v>1</v>
      </c>
      <c r="CT339" s="105" t="n"/>
      <c r="CU339" s="105" t="n"/>
      <c r="CV339" s="105" t="n"/>
      <c r="CW339" s="105" t="n"/>
      <c r="CX339" s="105" t="n"/>
      <c r="CY339" s="105" t="n"/>
      <c r="CZ339" s="124">
        <f>+COUNTA(BV339:CY339)</f>
        <v/>
      </c>
      <c r="DA339" s="206" t="n"/>
      <c r="DB339" s="251" t="n"/>
      <c r="DC339" s="251" t="n"/>
      <c r="DD339" s="251" t="n"/>
      <c r="DE339" s="251" t="n"/>
      <c r="DF339" s="251" t="n"/>
      <c r="DG339" s="251" t="n"/>
      <c r="DH339" s="251" t="n"/>
      <c r="DI339" s="251" t="n"/>
      <c r="DJ339" s="251" t="inlineStr">
        <is>
          <t>M</t>
        </is>
      </c>
      <c r="DK339" s="251" t="n">
        <v>15</v>
      </c>
      <c r="DL339" s="95" t="n">
        <v>28</v>
      </c>
      <c r="DM339" s="251" t="n"/>
      <c r="DN339" s="95" t="n"/>
      <c r="DO339" s="95" t="n"/>
    </row>
    <row r="340" ht="13" customHeight="1">
      <c r="A340" s="203" t="inlineStr">
        <is>
          <t>CWE-34</t>
        </is>
      </c>
      <c r="B340" s="376" t="n"/>
      <c r="C340" s="376"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76" t="n"/>
      <c r="BL340" s="7" t="inlineStr">
        <is>
          <t>GMAP-SIGA</t>
        </is>
      </c>
      <c r="BM340" s="168" t="inlineStr">
        <is>
          <t>ASUB</t>
        </is>
      </c>
      <c r="BN340" s="337" t="inlineStr">
        <is>
          <t>Jachucoposa</t>
        </is>
      </c>
      <c r="BO340" s="251" t="inlineStr">
        <is>
          <t>SI / PMAP</t>
        </is>
      </c>
      <c r="BP340" s="106" t="inlineStr">
        <is>
          <t>CWE-34 JACHUCOPOSA/ASUB</t>
        </is>
      </c>
      <c r="BQ340" s="106">
        <f>VLOOKUP(BP340,[1]AGUA!$1:$1048576,2,FALSE)</f>
        <v/>
      </c>
      <c r="BR340" s="106">
        <f>VLOOKUP(BP340,[1]AGUA!$1:$1048576,6,FALSE)</f>
        <v/>
      </c>
      <c r="BS340" s="106">
        <f>VLOOKUP(BP340,[1]AGUA!$1:$1048576,7,FALSE)</f>
        <v/>
      </c>
      <c r="BT340" s="106" t="n"/>
      <c r="BU340" s="377" t="n"/>
      <c r="BV340" s="105" t="n"/>
      <c r="BW340" s="105" t="n"/>
      <c r="BX340" s="105" t="n"/>
      <c r="BY340" s="105" t="n"/>
      <c r="BZ340" s="105" t="n"/>
      <c r="CA340" s="105" t="n"/>
      <c r="CB340" s="105" t="n"/>
      <c r="CC340" s="105" t="n"/>
      <c r="CD340" s="105" t="n"/>
      <c r="CE340" s="105" t="n"/>
      <c r="CF340" s="105" t="n"/>
      <c r="CG340" s="105" t="n"/>
      <c r="CH340" s="105" t="n"/>
      <c r="CI340" s="105" t="n"/>
      <c r="CJ340" s="105" t="n"/>
      <c r="CK340" s="105" t="n"/>
      <c r="CL340" s="105" t="n"/>
      <c r="CM340" s="105" t="n"/>
      <c r="CN340" s="105" t="n"/>
      <c r="CO340" s="105" t="n"/>
      <c r="CP340" s="105" t="n"/>
      <c r="CQ340" s="105" t="n"/>
      <c r="CR340" s="105" t="n"/>
      <c r="CS340" s="107" t="n">
        <v>1</v>
      </c>
      <c r="CT340" s="105" t="n"/>
      <c r="CU340" s="105" t="n"/>
      <c r="CV340" s="105" t="n"/>
      <c r="CW340" s="105" t="n"/>
      <c r="CX340" s="105" t="n"/>
      <c r="CY340" s="105" t="n"/>
      <c r="CZ340" s="124">
        <f>+COUNTA(BV340:CY340)</f>
        <v/>
      </c>
      <c r="DA340" s="251" t="n"/>
      <c r="DB340" s="251" t="n"/>
      <c r="DC340" s="251" t="n"/>
      <c r="DD340" s="251" t="n"/>
      <c r="DE340" s="251" t="n"/>
      <c r="DF340" s="251" t="n"/>
      <c r="DG340" s="251" t="n"/>
      <c r="DH340" s="251" t="n"/>
      <c r="DI340" s="251" t="n"/>
      <c r="DJ340" s="251" t="n"/>
      <c r="DK340" s="251" t="n"/>
      <c r="DL340" s="95" t="n"/>
      <c r="DM340" s="251" t="inlineStr">
        <is>
          <t>T</t>
        </is>
      </c>
      <c r="DN340" s="95" t="n">
        <v>15</v>
      </c>
      <c r="DO340" s="95" t="n">
        <v>28</v>
      </c>
    </row>
    <row r="341" ht="13" customHeight="1">
      <c r="A341" s="203" t="inlineStr">
        <is>
          <t>CWE-35</t>
        </is>
      </c>
      <c r="B341" s="305" t="inlineStr">
        <is>
          <t>CWE-35 FALLA PABELLON</t>
        </is>
      </c>
      <c r="C341" s="251"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1" t="inlineStr">
        <is>
          <t>532MACWE</t>
        </is>
      </c>
      <c r="BL341" s="7" t="inlineStr">
        <is>
          <t>GTAM</t>
        </is>
      </c>
      <c r="BM341" s="251" t="inlineStr">
        <is>
          <t>NF</t>
        </is>
      </c>
      <c r="BN341" s="106" t="inlineStr">
        <is>
          <t>Falla Pabellón</t>
        </is>
      </c>
      <c r="BO341" s="251" t="inlineStr">
        <is>
          <t>SI</t>
        </is>
      </c>
      <c r="BP341" s="106" t="inlineStr">
        <is>
          <t>CWE-35 FALLA PABELLON/NF</t>
        </is>
      </c>
      <c r="BQ341" s="106">
        <f>VLOOKUP(BP341,[1]AGUA!$1:$1048576,2,FALSE)</f>
        <v/>
      </c>
      <c r="BR341" s="106">
        <f>VLOOKUP(BP341,[1]AGUA!$1:$1048576,6,FALSE)</f>
        <v/>
      </c>
      <c r="BS341" s="106">
        <f>VLOOKUP(BP341,[1]AGUA!$1:$1048576,7,FALSE)</f>
        <v/>
      </c>
      <c r="BT341" s="106" t="n"/>
      <c r="BU341" s="253" t="inlineStr">
        <is>
          <t xml:space="preserve">instrumentado </t>
        </is>
      </c>
      <c r="BV341" s="105" t="n"/>
      <c r="BW341" s="105" t="n"/>
      <c r="BX341" s="105" t="n"/>
      <c r="BY341" s="105" t="n"/>
      <c r="BZ341" s="105" t="n"/>
      <c r="CA341" s="105" t="n"/>
      <c r="CB341" s="105" t="n"/>
      <c r="CC341" s="105" t="n"/>
      <c r="CD341" s="105" t="n"/>
      <c r="CE341" s="142" t="n">
        <v>1</v>
      </c>
      <c r="CF341" s="105" t="n"/>
      <c r="CG341" s="105" t="n"/>
      <c r="CH341" s="105" t="n"/>
      <c r="CI341" s="105" t="n"/>
      <c r="CJ341" s="105" t="n"/>
      <c r="CK341" s="105" t="n"/>
      <c r="CL341" s="105" t="n"/>
      <c r="CM341" s="105" t="n"/>
      <c r="CN341" s="105" t="n"/>
      <c r="CO341" s="105" t="n"/>
      <c r="CP341" s="105" t="n"/>
      <c r="CQ341" s="105" t="n"/>
      <c r="CR341" s="105" t="n"/>
      <c r="CS341" s="105" t="n"/>
      <c r="CT341" s="105" t="n"/>
      <c r="CU341" s="105" t="n"/>
      <c r="CV341" s="105" t="n"/>
      <c r="CW341" s="105" t="n"/>
      <c r="CX341" s="105" t="n"/>
      <c r="CY341" s="105" t="n"/>
      <c r="CZ341" s="124">
        <f>+COUNTA(BV341:CY341)</f>
        <v/>
      </c>
      <c r="DA341" s="251" t="n"/>
      <c r="DB341" s="251" t="n"/>
      <c r="DC341" s="251" t="n"/>
      <c r="DD341" s="251" t="n"/>
      <c r="DE341" s="251" t="n"/>
      <c r="DF341" s="251" t="n"/>
      <c r="DG341" s="251" t="n"/>
      <c r="DH341" s="251" t="n"/>
      <c r="DI341" s="251" t="n"/>
      <c r="DJ341" s="251" t="inlineStr">
        <is>
          <t>T</t>
        </is>
      </c>
      <c r="DK341" s="251" t="n">
        <v>8</v>
      </c>
      <c r="DL341" s="95" t="n">
        <v>14</v>
      </c>
      <c r="DM341" s="251" t="n"/>
      <c r="DN341" s="95" t="n"/>
      <c r="DO341" s="95" t="n"/>
    </row>
    <row r="342" ht="13" customHeight="1">
      <c r="A342" s="203" t="inlineStr">
        <is>
          <t>CWE-35</t>
        </is>
      </c>
      <c r="B342" s="376" t="n"/>
      <c r="C342" s="376"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76" t="n"/>
      <c r="BL342" s="7" t="inlineStr">
        <is>
          <t>GTAM</t>
        </is>
      </c>
      <c r="BM342" s="251" t="inlineStr">
        <is>
          <t>ASUB</t>
        </is>
      </c>
      <c r="BN342" s="106" t="inlineStr">
        <is>
          <t>Falla Pabellón</t>
        </is>
      </c>
      <c r="BO342" s="251" t="inlineStr">
        <is>
          <t>SI</t>
        </is>
      </c>
      <c r="BP342" s="106" t="inlineStr">
        <is>
          <t>CWE-35 FALLA PABELLON/ASUB</t>
        </is>
      </c>
      <c r="BQ342" s="106">
        <f>VLOOKUP(BP342,[1]AGUA!$1:$1048576,2,FALSE)</f>
        <v/>
      </c>
      <c r="BR342" s="106">
        <f>VLOOKUP(BP342,[1]AGUA!$1:$1048576,6,FALSE)</f>
        <v/>
      </c>
      <c r="BS342" s="106">
        <f>VLOOKUP(BP342,[1]AGUA!$1:$1048576,7,FALSE)</f>
        <v/>
      </c>
      <c r="BT342" s="106" t="n"/>
      <c r="BU342" s="377" t="n"/>
      <c r="BV342" s="105" t="n"/>
      <c r="BW342" s="105" t="n"/>
      <c r="BX342" s="105" t="n"/>
      <c r="BY342" s="105" t="n"/>
      <c r="BZ342" s="105" t="n"/>
      <c r="CA342" s="105" t="n"/>
      <c r="CB342" s="105" t="n"/>
      <c r="CC342" s="105" t="n"/>
      <c r="CD342" s="105" t="n"/>
      <c r="CE342" s="107" t="n">
        <v>1</v>
      </c>
      <c r="CF342" s="105" t="n"/>
      <c r="CG342" s="105" t="n"/>
      <c r="CH342" s="105" t="n"/>
      <c r="CI342" s="105" t="n"/>
      <c r="CJ342" s="105" t="n"/>
      <c r="CK342" s="105" t="n"/>
      <c r="CL342" s="105" t="n"/>
      <c r="CM342" s="105" t="n"/>
      <c r="CN342" s="105" t="n"/>
      <c r="CO342" s="105" t="n"/>
      <c r="CP342" s="105" t="n"/>
      <c r="CQ342" s="105" t="n"/>
      <c r="CR342" s="105" t="n"/>
      <c r="CS342" s="105" t="n"/>
      <c r="CT342" s="105" t="n"/>
      <c r="CU342" s="105" t="n"/>
      <c r="CV342" s="105" t="n"/>
      <c r="CW342" s="105" t="n"/>
      <c r="CX342" s="105" t="n"/>
      <c r="CY342" s="105" t="n"/>
      <c r="CZ342" s="124">
        <f>+COUNTA(BV342:CY342)</f>
        <v/>
      </c>
      <c r="DA342" s="251" t="n"/>
      <c r="DB342" s="251" t="n"/>
      <c r="DC342" s="251" t="n"/>
      <c r="DD342" s="251" t="n"/>
      <c r="DE342" s="251" t="n"/>
      <c r="DF342" s="251" t="n"/>
      <c r="DG342" s="251" t="n"/>
      <c r="DH342" s="251" t="n"/>
      <c r="DI342" s="251" t="n"/>
      <c r="DJ342" s="251" t="n"/>
      <c r="DK342" s="251" t="n"/>
      <c r="DL342" s="95" t="n"/>
      <c r="DM342" s="251" t="inlineStr">
        <is>
          <t>T</t>
        </is>
      </c>
      <c r="DN342" s="95" t="n">
        <v>8</v>
      </c>
      <c r="DO342" s="95" t="n">
        <v>14</v>
      </c>
    </row>
    <row r="343" ht="13" customHeight="1">
      <c r="A343" s="205" t="inlineStr">
        <is>
          <t>CWE-38</t>
        </is>
      </c>
      <c r="B343" s="305" t="inlineStr">
        <is>
          <t>CWE-38 COPOSA NORTE</t>
        </is>
      </c>
      <c r="C343" s="251"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1" t="inlineStr">
        <is>
          <t>532MACWE</t>
        </is>
      </c>
      <c r="BL343" s="7" t="inlineStr">
        <is>
          <t>GMAP-SIGA</t>
        </is>
      </c>
      <c r="BM343" s="251" t="inlineStr">
        <is>
          <t>NF</t>
        </is>
      </c>
      <c r="BN343" s="337" t="inlineStr">
        <is>
          <t>Coposa Norte</t>
        </is>
      </c>
      <c r="BO343" s="168"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3" t="inlineStr">
        <is>
          <t>Calidad trimestral en diferente día</t>
        </is>
      </c>
      <c r="BV343" s="105" t="n"/>
      <c r="BW343" s="105" t="n"/>
      <c r="BX343" s="105" t="n"/>
      <c r="BY343" s="105" t="n"/>
      <c r="BZ343" s="105" t="n"/>
      <c r="CA343" s="105" t="n"/>
      <c r="CB343" s="105" t="n"/>
      <c r="CC343" s="105" t="n"/>
      <c r="CD343" s="105" t="n"/>
      <c r="CE343" s="242" t="n">
        <v>1</v>
      </c>
      <c r="CF343" s="105" t="n"/>
      <c r="CG343" s="105" t="n"/>
      <c r="CH343" s="105" t="n"/>
      <c r="CI343" s="105" t="n"/>
      <c r="CJ343" s="105" t="n"/>
      <c r="CK343" s="105" t="n"/>
      <c r="CL343" s="105" t="n"/>
      <c r="CM343" s="105" t="n"/>
      <c r="CN343" s="105" t="n"/>
      <c r="CO343" s="242" t="n">
        <v>1</v>
      </c>
      <c r="CP343" s="105" t="n"/>
      <c r="CQ343" s="105" t="n"/>
      <c r="CR343" s="105" t="n"/>
      <c r="CS343" s="105" t="n"/>
      <c r="CT343" s="105" t="n"/>
      <c r="CU343" s="105" t="n"/>
      <c r="CV343" s="105" t="n"/>
      <c r="CW343" s="105" t="n"/>
      <c r="CX343" s="105" t="n"/>
      <c r="CY343" s="105" t="n"/>
      <c r="CZ343" s="124">
        <f>+COUNTA(BV343:CY343)</f>
        <v/>
      </c>
      <c r="DA343" s="206" t="n"/>
      <c r="DB343" s="251" t="n"/>
      <c r="DC343" s="251" t="n"/>
      <c r="DD343" s="251" t="n"/>
      <c r="DE343" s="251" t="n"/>
      <c r="DF343" s="251" t="n"/>
      <c r="DG343" s="251" t="n"/>
      <c r="DH343" s="251" t="n"/>
      <c r="DI343" s="251" t="n"/>
      <c r="DJ343" s="251" t="inlineStr">
        <is>
          <t>Q</t>
        </is>
      </c>
      <c r="DK343" s="226" t="inlineStr">
        <is>
          <t>1- 15</t>
        </is>
      </c>
      <c r="DL343" s="226" t="inlineStr">
        <is>
          <t>14-28</t>
        </is>
      </c>
      <c r="DM343" s="251" t="n"/>
      <c r="DN343" s="95" t="n"/>
      <c r="DO343" s="95" t="n"/>
    </row>
    <row r="344" ht="13" customHeight="1">
      <c r="A344" s="203" t="inlineStr">
        <is>
          <t>CWE-38</t>
        </is>
      </c>
      <c r="B344" s="376" t="n"/>
      <c r="C344" s="376"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76" t="n"/>
      <c r="BL344" s="7" t="inlineStr">
        <is>
          <t>GMAP-SIGA</t>
        </is>
      </c>
      <c r="BM344" s="168" t="inlineStr">
        <is>
          <t>ASUB</t>
        </is>
      </c>
      <c r="BN344" s="337" t="inlineStr">
        <is>
          <t>Coposa Norte</t>
        </is>
      </c>
      <c r="BO344" s="251"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77"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5" t="n"/>
      <c r="CS344" s="105" t="n"/>
      <c r="CT344" s="105" t="n"/>
      <c r="CU344" s="105" t="n"/>
      <c r="CV344" s="105" t="n"/>
      <c r="CW344" s="105" t="n"/>
      <c r="CX344" s="105" t="n"/>
      <c r="CY344" s="105" t="n"/>
      <c r="CZ344" s="124">
        <f>+COUNTA(BV344:CY344)</f>
        <v/>
      </c>
      <c r="DA344" s="251" t="n"/>
      <c r="DB344" s="251" t="n"/>
      <c r="DC344" s="251" t="n"/>
      <c r="DD344" s="251" t="n"/>
      <c r="DE344" s="251" t="n"/>
      <c r="DF344" s="251" t="n"/>
      <c r="DG344" s="251" t="n"/>
      <c r="DH344" s="251" t="n"/>
      <c r="DI344" s="251" t="n"/>
      <c r="DJ344" s="251" t="n"/>
      <c r="DK344" s="251" t="n"/>
      <c r="DL344" s="95" t="n"/>
      <c r="DM344" s="251" t="inlineStr">
        <is>
          <t>T</t>
        </is>
      </c>
      <c r="DN344" s="95" t="n">
        <v>15</v>
      </c>
      <c r="DO344" s="95" t="n">
        <v>28</v>
      </c>
    </row>
    <row r="345" ht="12.65" customHeight="1">
      <c r="A345" s="205" t="inlineStr">
        <is>
          <t>CWP-01</t>
        </is>
      </c>
      <c r="B345" s="305"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1" t="inlineStr">
        <is>
          <t>532MACWP</t>
        </is>
      </c>
      <c r="BL345" s="61" t="inlineStr">
        <is>
          <t>GMAP-SIGA</t>
        </is>
      </c>
      <c r="BM345" s="251" t="inlineStr">
        <is>
          <t>NF</t>
        </is>
      </c>
      <c r="BN345" s="106" t="inlineStr">
        <is>
          <t>Falla Pabellón</t>
        </is>
      </c>
      <c r="BO345" s="251"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105" t="n"/>
      <c r="CA345" s="105" t="n"/>
      <c r="CB345" s="105" t="n"/>
      <c r="CC345" s="242" t="n">
        <v>1</v>
      </c>
      <c r="CD345" s="105" t="n"/>
      <c r="CE345" s="105" t="n"/>
      <c r="CF345" s="105" t="n"/>
      <c r="CG345" s="105" t="n"/>
      <c r="CH345" s="105" t="n"/>
      <c r="CI345" s="105" t="n"/>
      <c r="CJ345" s="105" t="n"/>
      <c r="CK345" s="105" t="n"/>
      <c r="CL345" s="105" t="n"/>
      <c r="CM345" s="105" t="n"/>
      <c r="CN345" s="105" t="n"/>
      <c r="CO345" s="105" t="n"/>
      <c r="CP345" s="105" t="n"/>
      <c r="CQ345" s="242" t="n">
        <v>1</v>
      </c>
      <c r="CR345" s="105" t="n"/>
      <c r="CS345" s="105" t="n"/>
      <c r="CT345" s="105" t="n"/>
      <c r="CU345" s="105" t="n"/>
      <c r="CV345" s="105" t="n"/>
      <c r="CW345" s="105" t="n"/>
      <c r="CX345" s="105" t="n"/>
      <c r="CY345" s="105" t="n"/>
      <c r="CZ345" s="124">
        <f>+COUNTA(BV345:CY345)</f>
        <v/>
      </c>
      <c r="DA345" s="206" t="n"/>
      <c r="DB345" s="251" t="n"/>
      <c r="DC345" s="251" t="n"/>
      <c r="DD345" s="251" t="n"/>
      <c r="DE345" s="251" t="n"/>
      <c r="DF345" s="251" t="n"/>
      <c r="DG345" s="251" t="n"/>
      <c r="DH345" s="251" t="n"/>
      <c r="DI345" s="251" t="n"/>
      <c r="DJ345" s="251" t="inlineStr">
        <is>
          <t>Q</t>
        </is>
      </c>
      <c r="DK345" s="226" t="inlineStr">
        <is>
          <t>1- 15</t>
        </is>
      </c>
      <c r="DL345" s="226" t="inlineStr">
        <is>
          <t>14-28</t>
        </is>
      </c>
      <c r="DM345" s="251" t="n"/>
      <c r="DN345" s="95" t="n"/>
      <c r="DO345" s="95" t="n"/>
    </row>
    <row r="346" ht="12.65" customHeight="1">
      <c r="A346" s="203" t="inlineStr">
        <is>
          <t>CWP-02</t>
        </is>
      </c>
      <c r="B346" s="305"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1" t="inlineStr">
        <is>
          <t>532MACWP</t>
        </is>
      </c>
      <c r="BL346" s="61" t="inlineStr">
        <is>
          <t>GMAP-SIGA</t>
        </is>
      </c>
      <c r="BM346" s="251" t="inlineStr">
        <is>
          <t>NF</t>
        </is>
      </c>
      <c r="BN346" s="106" t="inlineStr">
        <is>
          <t>Falla Pabellón</t>
        </is>
      </c>
      <c r="BO346" s="251"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24">
        <f>+COUNTA(BV346:CY346)</f>
        <v/>
      </c>
      <c r="DA346" s="251" t="n"/>
      <c r="DB346" s="251" t="n"/>
      <c r="DC346" s="251" t="n"/>
      <c r="DD346" s="251" t="n"/>
      <c r="DE346" s="251" t="n"/>
      <c r="DF346" s="251" t="n"/>
      <c r="DG346" s="251" t="n"/>
      <c r="DH346" s="251" t="n"/>
      <c r="DI346" s="251" t="n"/>
      <c r="DJ346" s="251" t="inlineStr">
        <is>
          <t>T</t>
        </is>
      </c>
      <c r="DK346" s="251" t="n">
        <v>15</v>
      </c>
      <c r="DL346" s="95" t="n">
        <v>21</v>
      </c>
      <c r="DM346" s="251" t="n"/>
      <c r="DN346" s="95" t="n"/>
      <c r="DO346" s="95" t="n"/>
    </row>
    <row r="347" ht="12.65" customHeight="1">
      <c r="A347" s="203" t="inlineStr">
        <is>
          <t>CWP-03</t>
        </is>
      </c>
      <c r="B347" s="305"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1" t="inlineStr">
        <is>
          <t>532MACWP</t>
        </is>
      </c>
      <c r="BL347" s="61" t="inlineStr">
        <is>
          <t>GMAP-SIGA</t>
        </is>
      </c>
      <c r="BM347" s="251" t="inlineStr">
        <is>
          <t>NF</t>
        </is>
      </c>
      <c r="BN347" s="106" t="inlineStr">
        <is>
          <t>Falla Pabellón</t>
        </is>
      </c>
      <c r="BO347" s="251"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24">
        <f>+COUNTA(BV347:CY347)</f>
        <v/>
      </c>
      <c r="DA347" s="251" t="n"/>
      <c r="DB347" s="251" t="n"/>
      <c r="DC347" s="251" t="n"/>
      <c r="DD347" s="251" t="n"/>
      <c r="DE347" s="251" t="n"/>
      <c r="DF347" s="251" t="n"/>
      <c r="DG347" s="251" t="n"/>
      <c r="DH347" s="251" t="n"/>
      <c r="DI347" s="251" t="n"/>
      <c r="DJ347" s="251" t="inlineStr">
        <is>
          <t>T</t>
        </is>
      </c>
      <c r="DK347" s="251" t="n">
        <v>15</v>
      </c>
      <c r="DL347" s="95" t="n">
        <v>21</v>
      </c>
      <c r="DM347" s="251" t="n"/>
      <c r="DN347" s="95" t="n"/>
      <c r="DO347" s="95" t="n"/>
    </row>
    <row r="348" ht="12.65" customHeight="1">
      <c r="A348" s="203" t="inlineStr">
        <is>
          <t>CWP-04</t>
        </is>
      </c>
      <c r="B348" s="305"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1" t="inlineStr">
        <is>
          <t>532MACWP</t>
        </is>
      </c>
      <c r="BL348" s="61" t="inlineStr">
        <is>
          <t>GMAP-SIGA</t>
        </is>
      </c>
      <c r="BM348" s="251" t="inlineStr">
        <is>
          <t>NF</t>
        </is>
      </c>
      <c r="BN348" s="337" t="inlineStr">
        <is>
          <t>Coposa sur</t>
        </is>
      </c>
      <c r="BO348" s="251"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05" t="n"/>
      <c r="CQ348" s="105" t="n"/>
      <c r="CR348" s="105" t="n"/>
      <c r="CS348" s="105" t="n"/>
      <c r="CT348" s="105" t="n"/>
      <c r="CU348" s="105" t="n"/>
      <c r="CV348" s="105" t="n"/>
      <c r="CW348" s="105" t="n"/>
      <c r="CX348" s="105" t="n"/>
      <c r="CY348" s="105" t="n"/>
      <c r="CZ348" s="124">
        <f>+COUNTA(BV348:CY348)</f>
        <v/>
      </c>
      <c r="DA348" s="251" t="n"/>
      <c r="DB348" s="251" t="n"/>
      <c r="DC348" s="251" t="n"/>
      <c r="DD348" s="251" t="n"/>
      <c r="DE348" s="251" t="n"/>
      <c r="DF348" s="251" t="n"/>
      <c r="DG348" s="251" t="n"/>
      <c r="DH348" s="251" t="n"/>
      <c r="DI348" s="251" t="n"/>
      <c r="DJ348" s="251" t="inlineStr">
        <is>
          <t>M</t>
        </is>
      </c>
      <c r="DK348" s="251" t="n">
        <v>22</v>
      </c>
      <c r="DL348" s="95" t="n">
        <v>28</v>
      </c>
      <c r="DM348" s="251" t="n"/>
      <c r="DN348" s="95" t="n"/>
      <c r="DO348" s="95" t="n"/>
    </row>
    <row r="349" ht="12.65" customHeight="1">
      <c r="A349" s="203" t="inlineStr">
        <is>
          <t>CWP-05</t>
        </is>
      </c>
      <c r="B349" s="305"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1" t="inlineStr">
        <is>
          <t>532MACWP</t>
        </is>
      </c>
      <c r="BL349" s="61" t="inlineStr">
        <is>
          <t>GMAP-SIGA</t>
        </is>
      </c>
      <c r="BM349" s="251" t="inlineStr">
        <is>
          <t>NF</t>
        </is>
      </c>
      <c r="BN349" s="106" t="inlineStr">
        <is>
          <t>Falla Pabellón</t>
        </is>
      </c>
      <c r="BO349" s="251"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24">
        <f>+COUNTA(BV349:CY349)</f>
        <v/>
      </c>
      <c r="DA349" s="251" t="n"/>
      <c r="DB349" s="251" t="n"/>
      <c r="DC349" s="251" t="n"/>
      <c r="DD349" s="251" t="n"/>
      <c r="DE349" s="251" t="n"/>
      <c r="DF349" s="251" t="n"/>
      <c r="DG349" s="251" t="n"/>
      <c r="DH349" s="251" t="n"/>
      <c r="DI349" s="251" t="n"/>
      <c r="DJ349" s="251" t="inlineStr">
        <is>
          <t>T</t>
        </is>
      </c>
      <c r="DK349" s="251" t="n">
        <v>15</v>
      </c>
      <c r="DL349" s="95" t="n">
        <v>21</v>
      </c>
      <c r="DM349" s="251" t="n"/>
      <c r="DN349" s="95" t="n"/>
      <c r="DO349" s="95" t="n"/>
    </row>
    <row r="350" ht="12.65" customHeight="1">
      <c r="A350" s="203" t="inlineStr">
        <is>
          <t>CWP-06</t>
        </is>
      </c>
      <c r="B350" s="305"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1" t="inlineStr">
        <is>
          <t>532MACWP</t>
        </is>
      </c>
      <c r="BL350" s="61" t="inlineStr">
        <is>
          <t>GMAP-SIGA</t>
        </is>
      </c>
      <c r="BM350" s="251" t="inlineStr">
        <is>
          <t>NF</t>
        </is>
      </c>
      <c r="BN350" s="106" t="inlineStr">
        <is>
          <t>Falla Pabellón</t>
        </is>
      </c>
      <c r="BO350" s="251"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24">
        <f>+COUNTA(BV350:CY350)</f>
        <v/>
      </c>
      <c r="DA350" s="251" t="n"/>
      <c r="DB350" s="251" t="n"/>
      <c r="DC350" s="251" t="n"/>
      <c r="DD350" s="251" t="n"/>
      <c r="DE350" s="251" t="n"/>
      <c r="DF350" s="251" t="n"/>
      <c r="DG350" s="251" t="n"/>
      <c r="DH350" s="251" t="n"/>
      <c r="DI350" s="251" t="n"/>
      <c r="DJ350" s="251" t="inlineStr">
        <is>
          <t>T</t>
        </is>
      </c>
      <c r="DK350" s="251" t="n">
        <v>15</v>
      </c>
      <c r="DL350" s="95" t="n">
        <v>21</v>
      </c>
      <c r="DM350" s="251" t="n"/>
      <c r="DN350" s="95" t="n"/>
      <c r="DO350" s="95" t="n"/>
    </row>
    <row r="351" ht="13" customHeight="1">
      <c r="A351" s="203" t="inlineStr">
        <is>
          <t>CWP-07A</t>
        </is>
      </c>
      <c r="B351" s="305"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1" t="inlineStr">
        <is>
          <t>532MACWP</t>
        </is>
      </c>
      <c r="BL351" s="61" t="inlineStr">
        <is>
          <t>GMAP-SIGA</t>
        </is>
      </c>
      <c r="BM351" s="251" t="inlineStr">
        <is>
          <t>NF</t>
        </is>
      </c>
      <c r="BN351" s="106" t="inlineStr">
        <is>
          <t>Falla Pabellón</t>
        </is>
      </c>
      <c r="BO351" s="251"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24">
        <f>+COUNTA(BV351:CY351)</f>
        <v/>
      </c>
      <c r="DA351" s="251" t="n"/>
      <c r="DB351" s="251" t="n"/>
      <c r="DC351" s="251" t="n"/>
      <c r="DD351" s="251" t="n"/>
      <c r="DE351" s="251" t="n"/>
      <c r="DF351" s="251" t="n"/>
      <c r="DG351" s="251" t="n"/>
      <c r="DH351" s="251" t="n"/>
      <c r="DI351" s="251" t="n"/>
      <c r="DJ351" s="251" t="inlineStr">
        <is>
          <t>T</t>
        </is>
      </c>
      <c r="DK351" s="251" t="n">
        <v>15</v>
      </c>
      <c r="DL351" s="95" t="n">
        <v>21</v>
      </c>
      <c r="DM351" s="251" t="n"/>
      <c r="DN351" s="95" t="n"/>
      <c r="DO351" s="95" t="n"/>
    </row>
    <row r="352" ht="13" customHeight="1">
      <c r="A352" s="203" t="inlineStr">
        <is>
          <t>CWP-08A</t>
        </is>
      </c>
      <c r="B352" s="305"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1" t="inlineStr">
        <is>
          <t>532MACWP</t>
        </is>
      </c>
      <c r="BL352" s="61" t="inlineStr">
        <is>
          <t>GMAP-SIGA</t>
        </is>
      </c>
      <c r="BM352" s="251" t="inlineStr">
        <is>
          <t>NF</t>
        </is>
      </c>
      <c r="BN352" s="106" t="inlineStr">
        <is>
          <t>Falla Pabellón</t>
        </is>
      </c>
      <c r="BO352" s="251"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24">
        <f>+COUNTA(BV352:CY352)</f>
        <v/>
      </c>
      <c r="DA352" s="251" t="n"/>
      <c r="DB352" s="251" t="n"/>
      <c r="DC352" s="251" t="n"/>
      <c r="DD352" s="251" t="n"/>
      <c r="DE352" s="251" t="n"/>
      <c r="DF352" s="251" t="n"/>
      <c r="DG352" s="251" t="n"/>
      <c r="DH352" s="251" t="n"/>
      <c r="DI352" s="251" t="n"/>
      <c r="DJ352" s="251" t="inlineStr">
        <is>
          <t>T</t>
        </is>
      </c>
      <c r="DK352" s="251" t="n">
        <v>15</v>
      </c>
      <c r="DL352" s="95" t="n">
        <v>21</v>
      </c>
      <c r="DM352" s="251" t="n"/>
      <c r="DN352" s="95" t="n"/>
      <c r="DO352" s="95" t="n"/>
    </row>
    <row r="353" ht="13" customHeight="1">
      <c r="A353" s="203" t="inlineStr">
        <is>
          <t>CWP-09</t>
        </is>
      </c>
      <c r="B353" s="305"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1" t="inlineStr">
        <is>
          <t>532MACWP</t>
        </is>
      </c>
      <c r="BL353" s="61" t="inlineStr">
        <is>
          <t>GMAP-SIGA</t>
        </is>
      </c>
      <c r="BM353" s="251" t="inlineStr">
        <is>
          <t>NF</t>
        </is>
      </c>
      <c r="BN353" s="337" t="inlineStr">
        <is>
          <t>Jachucoposa</t>
        </is>
      </c>
      <c r="BO353" s="251"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24">
        <f>+COUNTA(BV353:CY353)</f>
        <v/>
      </c>
      <c r="DA353" s="251" t="n"/>
      <c r="DB353" s="251" t="n"/>
      <c r="DC353" s="251" t="n"/>
      <c r="DD353" s="251" t="n"/>
      <c r="DE353" s="251" t="n"/>
      <c r="DF353" s="251" t="n"/>
      <c r="DG353" s="251" t="n"/>
      <c r="DH353" s="251" t="n"/>
      <c r="DI353" s="251" t="n"/>
      <c r="DJ353" s="251" t="inlineStr">
        <is>
          <t>T</t>
        </is>
      </c>
      <c r="DK353" s="251" t="n">
        <v>15</v>
      </c>
      <c r="DL353" s="95" t="n">
        <v>21</v>
      </c>
      <c r="DM353" s="251" t="n"/>
      <c r="DN353" s="95" t="n"/>
      <c r="DO353" s="95" t="n"/>
    </row>
    <row r="354" ht="13" customHeight="1">
      <c r="A354" s="203" t="inlineStr">
        <is>
          <t>CWP-09</t>
        </is>
      </c>
      <c r="B354" s="305"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1" t="inlineStr">
        <is>
          <t>532MACWP</t>
        </is>
      </c>
      <c r="BL354" s="61" t="inlineStr">
        <is>
          <t>GMAP-SIGA</t>
        </is>
      </c>
      <c r="BM354" s="251" t="inlineStr">
        <is>
          <t>ASUB</t>
        </is>
      </c>
      <c r="BN354" s="337" t="inlineStr">
        <is>
          <t>Jachucoposa</t>
        </is>
      </c>
      <c r="BO354" s="251"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24" t="n"/>
      <c r="DA354" s="251" t="n"/>
      <c r="DB354" s="251" t="n"/>
      <c r="DC354" s="251" t="n"/>
      <c r="DD354" s="251" t="n"/>
      <c r="DE354" s="251" t="n"/>
      <c r="DF354" s="251" t="n"/>
      <c r="DG354" s="251" t="n"/>
      <c r="DH354" s="251" t="n"/>
      <c r="DI354" s="251" t="n"/>
      <c r="DJ354" s="251" t="inlineStr">
        <is>
          <t>M</t>
        </is>
      </c>
      <c r="DK354" s="251" t="n">
        <v>15</v>
      </c>
      <c r="DL354" s="95" t="n">
        <v>21</v>
      </c>
      <c r="DM354" s="251" t="n"/>
      <c r="DN354" s="95" t="n"/>
      <c r="DO354" s="95" t="n"/>
    </row>
    <row r="355" ht="13" customHeight="1">
      <c r="A355" s="203" t="inlineStr">
        <is>
          <t>CWP-10</t>
        </is>
      </c>
      <c r="B355" s="305"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1" t="inlineStr">
        <is>
          <t>532MACWP</t>
        </is>
      </c>
      <c r="BL355" s="61" t="inlineStr">
        <is>
          <t>GMAP-SIGA</t>
        </is>
      </c>
      <c r="BM355" s="251" t="inlineStr">
        <is>
          <t>NF</t>
        </is>
      </c>
      <c r="BN355" s="106" t="inlineStr">
        <is>
          <t>Falla Pabellón</t>
        </is>
      </c>
      <c r="BO355" s="251"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24">
        <f>+COUNTA(BV355:CY355)</f>
        <v/>
      </c>
      <c r="DA355" s="251" t="n"/>
      <c r="DB355" s="251" t="n"/>
      <c r="DC355" s="251" t="n"/>
      <c r="DD355" s="251" t="n"/>
      <c r="DE355" s="251" t="n"/>
      <c r="DF355" s="251" t="n"/>
      <c r="DG355" s="251" t="n"/>
      <c r="DH355" s="251" t="n"/>
      <c r="DI355" s="251" t="n"/>
      <c r="DJ355" s="251" t="inlineStr">
        <is>
          <t>T</t>
        </is>
      </c>
      <c r="DK355" s="251" t="n">
        <v>15</v>
      </c>
      <c r="DL355" s="95" t="n">
        <v>21</v>
      </c>
      <c r="DM355" s="251" t="n"/>
      <c r="DN355" s="95" t="n"/>
      <c r="DO355" s="95" t="n"/>
    </row>
    <row r="356" ht="13" customHeight="1">
      <c r="A356" s="203" t="inlineStr">
        <is>
          <t>CWP-11</t>
        </is>
      </c>
      <c r="B356" s="305"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1" t="inlineStr">
        <is>
          <t>532MACWP</t>
        </is>
      </c>
      <c r="BL356" s="61" t="inlineStr">
        <is>
          <t>GMAP-SIGA</t>
        </is>
      </c>
      <c r="BM356" s="251" t="inlineStr">
        <is>
          <t>NF</t>
        </is>
      </c>
      <c r="BN356" s="106" t="inlineStr">
        <is>
          <t>Falla Pabellón</t>
        </is>
      </c>
      <c r="BO356" s="251"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24">
        <f>+COUNTA(BV356:CY356)</f>
        <v/>
      </c>
      <c r="DA356" s="251" t="n"/>
      <c r="DB356" s="251" t="n"/>
      <c r="DC356" s="251" t="n"/>
      <c r="DD356" s="251" t="n"/>
      <c r="DE356" s="251" t="n"/>
      <c r="DF356" s="251" t="n"/>
      <c r="DG356" s="251" t="n"/>
      <c r="DH356" s="251" t="n"/>
      <c r="DI356" s="251" t="n"/>
      <c r="DJ356" s="251" t="inlineStr">
        <is>
          <t>T</t>
        </is>
      </c>
      <c r="DK356" s="251" t="n">
        <v>15</v>
      </c>
      <c r="DL356" s="95" t="n">
        <v>21</v>
      </c>
      <c r="DM356" s="251" t="n"/>
      <c r="DN356" s="95" t="n"/>
      <c r="DO356" s="95" t="n"/>
    </row>
    <row r="357" ht="16" customHeight="1">
      <c r="A357" s="203" t="inlineStr">
        <is>
          <t>CWP-12</t>
        </is>
      </c>
      <c r="B357" s="305"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1" t="inlineStr">
        <is>
          <t>532MACWP</t>
        </is>
      </c>
      <c r="BL357" s="61" t="inlineStr">
        <is>
          <t>GMAP-SIGA</t>
        </is>
      </c>
      <c r="BM357" s="251" t="inlineStr">
        <is>
          <t>NF</t>
        </is>
      </c>
      <c r="BN357" s="106" t="inlineStr">
        <is>
          <t>Falla Pabellón</t>
        </is>
      </c>
      <c r="BO357" s="251"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05" t="n"/>
      <c r="CC357" s="105" t="n"/>
      <c r="CD357" s="105" t="n"/>
      <c r="CE357" s="105" t="n"/>
      <c r="CF357" s="105" t="n"/>
      <c r="CG357" s="105" t="n"/>
      <c r="CH357" s="105" t="n"/>
      <c r="CI357" s="105" t="n"/>
      <c r="CJ357" s="105" t="n"/>
      <c r="CK357" s="105" t="n"/>
      <c r="CL357" s="105" t="n"/>
      <c r="CM357" s="105" t="n"/>
      <c r="CN357" s="105" t="n"/>
      <c r="CO357" s="105" t="n"/>
      <c r="CP357" s="105" t="n"/>
      <c r="CQ357" s="105" t="n"/>
      <c r="CR357" s="105" t="n"/>
      <c r="CS357" s="105" t="n"/>
      <c r="CT357" s="105" t="n"/>
      <c r="CU357" s="105" t="n"/>
      <c r="CV357" s="105" t="n"/>
      <c r="CW357" s="105" t="n"/>
      <c r="CX357" s="105" t="n"/>
      <c r="CY357" s="105" t="n"/>
      <c r="CZ357" s="124">
        <f>+COUNTA(BV357:CY357)</f>
        <v/>
      </c>
      <c r="DA357" s="251" t="n"/>
      <c r="DB357" s="251" t="n"/>
      <c r="DC357" s="251" t="n"/>
      <c r="DD357" s="251" t="n"/>
      <c r="DE357" s="251" t="n"/>
      <c r="DF357" s="251" t="n"/>
      <c r="DG357" s="251" t="n"/>
      <c r="DH357" s="251" t="n"/>
      <c r="DI357" s="251" t="n"/>
      <c r="DJ357" s="251" t="inlineStr">
        <is>
          <t>T</t>
        </is>
      </c>
      <c r="DK357" s="251" t="n">
        <v>15</v>
      </c>
      <c r="DL357" s="95" t="n">
        <v>21</v>
      </c>
      <c r="DM357" s="251" t="n"/>
      <c r="DN357" s="95" t="n"/>
      <c r="DO357" s="95" t="n"/>
    </row>
    <row r="358" ht="13" customHeight="1">
      <c r="A358" s="203" t="inlineStr">
        <is>
          <t>CWP-12</t>
        </is>
      </c>
      <c r="B358" s="305"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1" t="inlineStr">
        <is>
          <t>532MACWP</t>
        </is>
      </c>
      <c r="BL358" s="61" t="inlineStr">
        <is>
          <t>GMAP-SIGA</t>
        </is>
      </c>
      <c r="BM358" s="251" t="inlineStr">
        <is>
          <t>ASUB</t>
        </is>
      </c>
      <c r="BN358" s="106" t="inlineStr">
        <is>
          <t>Falla Pabellón</t>
        </is>
      </c>
      <c r="BO358" s="251"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05" t="n"/>
      <c r="CE358" s="105" t="n"/>
      <c r="CF358" s="105" t="n"/>
      <c r="CG358" s="105" t="n"/>
      <c r="CH358" s="105" t="n"/>
      <c r="CI358" s="105" t="n"/>
      <c r="CJ358" s="105" t="n"/>
      <c r="CK358" s="105" t="n"/>
      <c r="CL358" s="105" t="n"/>
      <c r="CM358" s="105" t="n"/>
      <c r="CN358" s="105" t="n"/>
      <c r="CO358" s="105" t="n"/>
      <c r="CP358" s="105" t="n"/>
      <c r="CQ358" s="105" t="n"/>
      <c r="CR358" s="105" t="n"/>
      <c r="CS358" s="105" t="n"/>
      <c r="CT358" s="105" t="n"/>
      <c r="CU358" s="105" t="n"/>
      <c r="CV358" s="105" t="n"/>
      <c r="CW358" s="105" t="n"/>
      <c r="CX358" s="105" t="n"/>
      <c r="CY358" s="105" t="n"/>
      <c r="CZ358" s="124">
        <f>+COUNTA(BV358:CY358)</f>
        <v/>
      </c>
      <c r="DA358" s="251" t="n"/>
      <c r="DB358" s="251" t="n"/>
      <c r="DC358" s="251" t="n"/>
      <c r="DD358" s="251" t="n"/>
      <c r="DE358" s="251" t="n"/>
      <c r="DF358" s="251" t="n"/>
      <c r="DG358" s="251" t="n"/>
      <c r="DH358" s="251" t="n"/>
      <c r="DI358" s="251" t="n"/>
      <c r="DJ358" s="251" t="n"/>
      <c r="DK358" s="251" t="n"/>
      <c r="DL358" s="95" t="n"/>
      <c r="DM358" s="251" t="n"/>
      <c r="DN358" s="95" t="n"/>
      <c r="DO358" s="95" t="n"/>
    </row>
    <row r="359" ht="0.65" customHeight="1">
      <c r="A359" s="203" t="inlineStr">
        <is>
          <t>CWP-13</t>
        </is>
      </c>
      <c r="B359" s="305"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1" t="inlineStr">
        <is>
          <t>532MACWP</t>
        </is>
      </c>
      <c r="BL359" s="61" t="inlineStr">
        <is>
          <t>GMAP-SIGA</t>
        </is>
      </c>
      <c r="BM359" s="251" t="inlineStr">
        <is>
          <t>NF</t>
        </is>
      </c>
      <c r="BN359" s="106" t="inlineStr">
        <is>
          <t>Falla Pabellón</t>
        </is>
      </c>
      <c r="BO359" s="251"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24">
        <f>+COUNTA(BV359:CY359)</f>
        <v/>
      </c>
      <c r="DA359" s="251" t="n"/>
      <c r="DB359" s="251" t="n"/>
      <c r="DC359" s="251" t="n"/>
      <c r="DD359" s="251" t="n"/>
      <c r="DE359" s="251" t="n"/>
      <c r="DF359" s="251" t="n"/>
      <c r="DG359" s="251" t="n"/>
      <c r="DH359" s="251" t="n"/>
      <c r="DI359" s="251" t="n"/>
      <c r="DJ359" s="251" t="inlineStr">
        <is>
          <t>T</t>
        </is>
      </c>
      <c r="DK359" s="251" t="n">
        <v>15</v>
      </c>
      <c r="DL359" s="95" t="n">
        <v>21</v>
      </c>
      <c r="DM359" s="251" t="n"/>
      <c r="DN359" s="95" t="n"/>
      <c r="DO359" s="95" t="n"/>
    </row>
    <row r="360" ht="13" customHeight="1">
      <c r="A360" s="203" t="inlineStr">
        <is>
          <t>CWP-14</t>
        </is>
      </c>
      <c r="B360" s="305" t="inlineStr">
        <is>
          <t>CWP-14 FALLA PABELLON</t>
        </is>
      </c>
      <c r="C360" s="251"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1" t="inlineStr">
        <is>
          <t>532MACWP</t>
        </is>
      </c>
      <c r="BL360" s="7" t="inlineStr">
        <is>
          <t>GTAM</t>
        </is>
      </c>
      <c r="BM360" s="251" t="inlineStr">
        <is>
          <t>NF</t>
        </is>
      </c>
      <c r="BN360" s="106" t="inlineStr">
        <is>
          <t>Falla Pabellón</t>
        </is>
      </c>
      <c r="BO360" s="251" t="inlineStr">
        <is>
          <t>SI</t>
        </is>
      </c>
      <c r="BP360" s="106" t="inlineStr">
        <is>
          <t>CWP-14 FALLA PABELLON/NF</t>
        </is>
      </c>
      <c r="BQ360" s="106">
        <f>VLOOKUP(BP360,[1]AGUA!$1:$1048576,2,FALSE)</f>
        <v/>
      </c>
      <c r="BR360" s="106">
        <f>VLOOKUP(BP360,[1]AGUA!$1:$1048576,6,FALSE)</f>
        <v/>
      </c>
      <c r="BS360" s="106">
        <f>VLOOKUP(BP360,[1]AGUA!$1:$1048576,7,FALSE)</f>
        <v/>
      </c>
      <c r="BT360" s="106" t="n"/>
      <c r="BU360" s="253"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42" t="n">
        <v>1</v>
      </c>
      <c r="CL360" s="105" t="n"/>
      <c r="CM360" s="105" t="n"/>
      <c r="CN360" s="105" t="n"/>
      <c r="CO360" s="105" t="n"/>
      <c r="CP360" s="105" t="n"/>
      <c r="CQ360" s="105" t="n"/>
      <c r="CR360" s="105" t="n"/>
      <c r="CS360" s="105" t="n"/>
      <c r="CT360" s="105" t="n"/>
      <c r="CU360" s="105" t="n"/>
      <c r="CV360" s="105" t="n"/>
      <c r="CW360" s="105" t="n"/>
      <c r="CX360" s="105" t="n"/>
      <c r="CY360" s="105" t="n"/>
      <c r="CZ360" s="124">
        <f>+COUNTA(BV360:CY360)</f>
        <v/>
      </c>
      <c r="DA360" s="251" t="n"/>
      <c r="DB360" s="251" t="n"/>
      <c r="DC360" s="251" t="n"/>
      <c r="DD360" s="251" t="n"/>
      <c r="DE360" s="251" t="n"/>
      <c r="DF360" s="251" t="n"/>
      <c r="DG360" s="251" t="n"/>
      <c r="DH360" s="251" t="n"/>
      <c r="DI360" s="251" t="n"/>
      <c r="DJ360" s="251" t="inlineStr">
        <is>
          <t>M</t>
        </is>
      </c>
      <c r="DK360" s="251" t="n">
        <v>15</v>
      </c>
      <c r="DL360" s="95" t="n">
        <v>21</v>
      </c>
      <c r="DM360" s="251" t="n"/>
      <c r="DN360" s="95" t="n"/>
      <c r="DO360" s="95" t="n"/>
    </row>
    <row r="361" ht="13" customHeight="1">
      <c r="A361" s="203" t="inlineStr">
        <is>
          <t>CWP-14</t>
        </is>
      </c>
      <c r="B361" s="376" t="n"/>
      <c r="C361" s="376"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76" t="n"/>
      <c r="BL361" s="7" t="inlineStr">
        <is>
          <t>GTAM</t>
        </is>
      </c>
      <c r="BM361" s="251" t="inlineStr">
        <is>
          <t>ASUB</t>
        </is>
      </c>
      <c r="BN361" s="106" t="inlineStr">
        <is>
          <t>Falla Pabellón</t>
        </is>
      </c>
      <c r="BO361" s="251" t="inlineStr">
        <is>
          <t>SI</t>
        </is>
      </c>
      <c r="BP361" s="106" t="inlineStr">
        <is>
          <t>CWP-14 FALLA PABELLON/ASUB</t>
        </is>
      </c>
      <c r="BQ361" s="106">
        <f>VLOOKUP(BP361,[1]AGUA!$1:$1048576,2,FALSE)</f>
        <v/>
      </c>
      <c r="BR361" s="106">
        <f>VLOOKUP(BP361,[1]AGUA!$1:$1048576,6,FALSE)</f>
        <v/>
      </c>
      <c r="BS361" s="106">
        <f>VLOOKUP(BP361,[1]AGUA!$1:$1048576,7,FALSE)</f>
        <v/>
      </c>
      <c r="BT361" s="106" t="n"/>
      <c r="BU361" s="377" t="n"/>
      <c r="BV361" s="105" t="n"/>
      <c r="BW361" s="105" t="n"/>
      <c r="BX361" s="105" t="n"/>
      <c r="BY361" s="105" t="n"/>
      <c r="BZ361" s="105" t="n"/>
      <c r="CA361" s="105" t="n"/>
      <c r="CB361" s="105" t="n"/>
      <c r="CC361" s="105" t="n"/>
      <c r="CD361" s="105" t="n"/>
      <c r="CE361" s="105" t="n"/>
      <c r="CF361" s="105" t="n"/>
      <c r="CG361" s="105" t="n"/>
      <c r="CH361" s="105" t="n"/>
      <c r="CI361" s="105" t="n"/>
      <c r="CJ361" s="105" t="n"/>
      <c r="CK361" s="107" t="n">
        <v>1</v>
      </c>
      <c r="CL361" s="105" t="n"/>
      <c r="CM361" s="105" t="n"/>
      <c r="CN361" s="105" t="n"/>
      <c r="CO361" s="105" t="n"/>
      <c r="CP361" s="105" t="n"/>
      <c r="CQ361" s="105" t="n"/>
      <c r="CR361" s="105" t="n"/>
      <c r="CS361" s="105" t="n"/>
      <c r="CT361" s="105" t="n"/>
      <c r="CU361" s="105" t="n"/>
      <c r="CV361" s="105" t="n"/>
      <c r="CW361" s="105" t="n"/>
      <c r="CX361" s="105" t="n"/>
      <c r="CY361" s="105" t="n"/>
      <c r="CZ361" s="124">
        <f>+COUNTA(BV361:CY361)</f>
        <v/>
      </c>
      <c r="DA361" s="251" t="n"/>
      <c r="DB361" s="251" t="n"/>
      <c r="DC361" s="251" t="n"/>
      <c r="DD361" s="251" t="n"/>
      <c r="DE361" s="251" t="n"/>
      <c r="DF361" s="251" t="n"/>
      <c r="DG361" s="251" t="n"/>
      <c r="DH361" s="251" t="n"/>
      <c r="DI361" s="251" t="n"/>
      <c r="DJ361" s="251" t="n"/>
      <c r="DK361" s="251" t="n"/>
      <c r="DL361" s="95" t="n"/>
      <c r="DM361" s="251" t="inlineStr">
        <is>
          <t>T-A</t>
        </is>
      </c>
      <c r="DN361" s="95" t="n">
        <v>15</v>
      </c>
      <c r="DO361" s="95" t="n">
        <v>21</v>
      </c>
    </row>
    <row r="362" ht="13" customHeight="1">
      <c r="A362" s="203" t="inlineStr">
        <is>
          <t>DCN-02</t>
        </is>
      </c>
      <c r="B362" s="305"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1" t="inlineStr">
        <is>
          <t>532MADCN02</t>
        </is>
      </c>
      <c r="BL362" s="61" t="inlineStr">
        <is>
          <t>GMAP-SIGA</t>
        </is>
      </c>
      <c r="BM362" s="251" t="inlineStr">
        <is>
          <t>NF</t>
        </is>
      </c>
      <c r="BN362" s="337" t="inlineStr">
        <is>
          <t>Coposa Centro</t>
        </is>
      </c>
      <c r="BO362" s="251"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42" t="n">
        <v>1</v>
      </c>
      <c r="CU362" s="105" t="n"/>
      <c r="CV362" s="105" t="n"/>
      <c r="CW362" s="105" t="n"/>
      <c r="CX362" s="105" t="n"/>
      <c r="CY362" s="105" t="n"/>
      <c r="CZ362" s="124">
        <f>+COUNTA(BV362:CY362)</f>
        <v/>
      </c>
      <c r="DA362" s="251" t="n"/>
      <c r="DB362" s="251" t="n"/>
      <c r="DC362" s="251" t="n"/>
      <c r="DD362" s="251" t="n"/>
      <c r="DE362" s="251" t="n"/>
      <c r="DF362" s="251" t="n"/>
      <c r="DG362" s="251" t="n"/>
      <c r="DH362" s="251" t="n"/>
      <c r="DI362" s="251" t="n"/>
      <c r="DJ362" s="251" t="inlineStr">
        <is>
          <t>T</t>
        </is>
      </c>
      <c r="DK362" s="251" t="n">
        <v>22</v>
      </c>
      <c r="DL362" s="95" t="n">
        <v>28</v>
      </c>
      <c r="DM362" s="251" t="n"/>
      <c r="DN362" s="95" t="n"/>
      <c r="DO362" s="95" t="n"/>
    </row>
    <row r="363" ht="13" customHeight="1">
      <c r="A363" s="203" t="inlineStr">
        <is>
          <t>DDH-62</t>
        </is>
      </c>
      <c r="B363" s="305"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1" t="inlineStr">
        <is>
          <t>532DERH62</t>
        </is>
      </c>
      <c r="BL363" s="61" t="inlineStr">
        <is>
          <t>GMAP-SIGA</t>
        </is>
      </c>
      <c r="BM363" s="251" t="inlineStr">
        <is>
          <t>NF</t>
        </is>
      </c>
      <c r="BN363" s="106" t="inlineStr">
        <is>
          <t>Falla Pabellón</t>
        </is>
      </c>
      <c r="BO363" s="251"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7" t="n">
        <v>1</v>
      </c>
      <c r="CU363" s="105" t="n"/>
      <c r="CV363" s="105" t="n"/>
      <c r="CW363" s="105" t="n"/>
      <c r="CX363" s="105" t="n"/>
      <c r="CY363" s="105" t="n"/>
      <c r="CZ363" s="124">
        <f>+COUNTA(BV363:CY363)</f>
        <v/>
      </c>
      <c r="DA363" s="251" t="n"/>
      <c r="DB363" s="251" t="n"/>
      <c r="DC363" s="251" t="n"/>
      <c r="DD363" s="251" t="n"/>
      <c r="DE363" s="251" t="n"/>
      <c r="DF363" s="251" t="n"/>
      <c r="DG363" s="251" t="n"/>
      <c r="DH363" s="251" t="n"/>
      <c r="DI363" s="251" t="n"/>
      <c r="DJ363" s="251" t="inlineStr">
        <is>
          <t>T</t>
        </is>
      </c>
      <c r="DK363" s="251" t="n">
        <v>15</v>
      </c>
      <c r="DL363" s="95" t="n">
        <v>21</v>
      </c>
      <c r="DM363" s="251" t="n"/>
      <c r="DN363" s="95" t="n"/>
      <c r="DO363" s="95" t="n"/>
    </row>
    <row r="364" ht="13" customHeight="1">
      <c r="A364" s="203" t="inlineStr">
        <is>
          <t>DEC-01</t>
        </is>
      </c>
      <c r="B364" s="305"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1" t="inlineStr">
        <is>
          <t>532MADEC</t>
        </is>
      </c>
      <c r="BL364" s="61" t="inlineStr">
        <is>
          <t>GMAP-SIGA</t>
        </is>
      </c>
      <c r="BM364" s="251" t="inlineStr">
        <is>
          <t>NF</t>
        </is>
      </c>
      <c r="BN364" s="337" t="inlineStr">
        <is>
          <t>Portezuelo</t>
        </is>
      </c>
      <c r="BO364" s="251"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n"/>
      <c r="CQ364" s="105" t="n"/>
      <c r="CR364" s="105" t="n"/>
      <c r="CS364" s="105" t="n"/>
      <c r="CT364" s="105" t="n"/>
      <c r="CU364" s="105" t="n"/>
      <c r="CV364" s="105" t="n"/>
      <c r="CW364" s="105" t="n"/>
      <c r="CX364" s="105" t="n"/>
      <c r="CY364" s="105" t="n"/>
      <c r="CZ364" s="124">
        <f>+COUNTA(BV364:CY364)</f>
        <v/>
      </c>
      <c r="DA364" s="251" t="n"/>
      <c r="DB364" s="251" t="n"/>
      <c r="DC364" s="251" t="n"/>
      <c r="DD364" s="251" t="n"/>
      <c r="DE364" s="251" t="n"/>
      <c r="DF364" s="251" t="n"/>
      <c r="DG364" s="251" t="n"/>
      <c r="DH364" s="251" t="n"/>
      <c r="DI364" s="251" t="n"/>
      <c r="DJ364" s="251" t="inlineStr">
        <is>
          <t>M</t>
        </is>
      </c>
      <c r="DK364" s="251" t="n">
        <v>22</v>
      </c>
      <c r="DL364" s="95" t="n">
        <v>28</v>
      </c>
      <c r="DM364" s="251" t="n"/>
      <c r="DN364" s="95" t="n"/>
      <c r="DO364" s="95" t="n"/>
    </row>
    <row r="365" ht="13" customHeight="1">
      <c r="A365" s="203" t="inlineStr">
        <is>
          <t>DEC-02</t>
        </is>
      </c>
      <c r="B365" s="305"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1" t="inlineStr">
        <is>
          <t>532MADEC</t>
        </is>
      </c>
      <c r="BL365" s="61" t="inlineStr">
        <is>
          <t>GMAP-SIGA</t>
        </is>
      </c>
      <c r="BM365" s="251" t="inlineStr">
        <is>
          <t>NF</t>
        </is>
      </c>
      <c r="BN365" s="337" t="inlineStr">
        <is>
          <t>Portezuelo</t>
        </is>
      </c>
      <c r="BO365" s="251"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n"/>
      <c r="CQ365" s="105" t="n"/>
      <c r="CR365" s="105" t="n"/>
      <c r="CS365" s="105" t="n"/>
      <c r="CT365" s="105" t="n"/>
      <c r="CU365" s="105" t="n"/>
      <c r="CV365" s="105" t="n"/>
      <c r="CW365" s="105" t="n"/>
      <c r="CX365" s="105" t="n"/>
      <c r="CY365" s="105" t="n"/>
      <c r="CZ365" s="124">
        <f>+COUNTA(BV365:CY365)</f>
        <v/>
      </c>
      <c r="DA365" s="251" t="n"/>
      <c r="DB365" s="251" t="n"/>
      <c r="DC365" s="251" t="n"/>
      <c r="DD365" s="251" t="n"/>
      <c r="DE365" s="251" t="n"/>
      <c r="DF365" s="251" t="n"/>
      <c r="DG365" s="251" t="n"/>
      <c r="DH365" s="251" t="n"/>
      <c r="DI365" s="251" t="n"/>
      <c r="DJ365" s="251" t="inlineStr">
        <is>
          <t>M</t>
        </is>
      </c>
      <c r="DK365" s="251" t="n">
        <v>22</v>
      </c>
      <c r="DL365" s="95" t="n">
        <v>28</v>
      </c>
      <c r="DM365" s="251" t="n"/>
      <c r="DN365" s="95" t="n"/>
      <c r="DO365" s="95" t="n"/>
    </row>
    <row r="366" ht="13" customHeight="1">
      <c r="A366" s="203" t="inlineStr">
        <is>
          <t>DEC-03</t>
        </is>
      </c>
      <c r="B366" s="305"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1" t="inlineStr">
        <is>
          <t>532MADEC</t>
        </is>
      </c>
      <c r="BL366" s="61" t="inlineStr">
        <is>
          <t>GMAP-SIGA</t>
        </is>
      </c>
      <c r="BM366" s="251" t="inlineStr">
        <is>
          <t>NF</t>
        </is>
      </c>
      <c r="BN366" s="106" t="inlineStr">
        <is>
          <t>Falla Pabellón</t>
        </is>
      </c>
      <c r="BO366" s="251"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24">
        <f>+COUNTA(BV366:CY366)</f>
        <v/>
      </c>
      <c r="DA366" s="251" t="n"/>
      <c r="DB366" s="251" t="n"/>
      <c r="DC366" s="251" t="n"/>
      <c r="DD366" s="251" t="n"/>
      <c r="DE366" s="251" t="n"/>
      <c r="DF366" s="251" t="n"/>
      <c r="DG366" s="251" t="n"/>
      <c r="DH366" s="251" t="n"/>
      <c r="DI366" s="251" t="n"/>
      <c r="DJ366" s="251" t="inlineStr">
        <is>
          <t>T</t>
        </is>
      </c>
      <c r="DK366" s="251" t="n">
        <v>15</v>
      </c>
      <c r="DL366" s="95" t="n">
        <v>21</v>
      </c>
      <c r="DM366" s="251" t="n"/>
      <c r="DN366" s="95" t="n"/>
      <c r="DO366" s="95" t="n"/>
    </row>
    <row r="367" ht="13" customHeight="1">
      <c r="A367" s="203" t="inlineStr">
        <is>
          <t>DEC-04B</t>
        </is>
      </c>
      <c r="B367" s="305"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1" t="inlineStr">
        <is>
          <t>532MADEC</t>
        </is>
      </c>
      <c r="BL367" s="61" t="inlineStr">
        <is>
          <t>GMAP-SIGA</t>
        </is>
      </c>
      <c r="BM367" s="251" t="inlineStr">
        <is>
          <t>NF</t>
        </is>
      </c>
      <c r="BN367" s="337" t="inlineStr">
        <is>
          <t>Coposa Norte</t>
        </is>
      </c>
      <c r="BO367" s="251"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05" t="n"/>
      <c r="CD367" s="105" t="n"/>
      <c r="CE367" s="105" t="n"/>
      <c r="CF367" s="105" t="n"/>
      <c r="CG367" s="142" t="n">
        <v>1</v>
      </c>
      <c r="CH367" s="105" t="n"/>
      <c r="CI367" s="105" t="n"/>
      <c r="CJ367" s="105" t="n"/>
      <c r="CK367" s="105" t="n"/>
      <c r="CL367" s="105" t="n"/>
      <c r="CM367" s="105" t="n"/>
      <c r="CN367" s="105" t="n"/>
      <c r="CO367" s="105" t="n"/>
      <c r="CP367" s="105" t="n"/>
      <c r="CQ367" s="105" t="n"/>
      <c r="CR367" s="105" t="n"/>
      <c r="CS367" s="105" t="n"/>
      <c r="CT367" s="105" t="n"/>
      <c r="CU367" s="105" t="n"/>
      <c r="CV367" s="105" t="n"/>
      <c r="CW367" s="105" t="n"/>
      <c r="CX367" s="105" t="n"/>
      <c r="CY367" s="105" t="n"/>
      <c r="CZ367" s="124">
        <f>+COUNTA(BV367:CY367)</f>
        <v/>
      </c>
      <c r="DA367" s="251" t="n"/>
      <c r="DB367" s="251" t="n"/>
      <c r="DC367" s="251" t="n"/>
      <c r="DD367" s="251" t="n"/>
      <c r="DE367" s="251" t="n"/>
      <c r="DF367" s="251" t="n"/>
      <c r="DG367" s="251" t="n"/>
      <c r="DH367" s="251" t="n"/>
      <c r="DI367" s="251" t="n"/>
      <c r="DJ367" s="251" t="inlineStr">
        <is>
          <t>M</t>
        </is>
      </c>
      <c r="DK367" s="251" t="n">
        <v>8</v>
      </c>
      <c r="DL367" s="95" t="n">
        <v>14</v>
      </c>
      <c r="DM367" s="251" t="n"/>
      <c r="DN367" s="95" t="n"/>
      <c r="DO367" s="95" t="n"/>
    </row>
    <row r="368" ht="13" customHeight="1">
      <c r="A368" s="203" t="inlineStr">
        <is>
          <t>DEC-05</t>
        </is>
      </c>
      <c r="B368" s="305"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1" t="inlineStr">
        <is>
          <t>532MADEC</t>
        </is>
      </c>
      <c r="BL368" s="61" t="inlineStr">
        <is>
          <t>GMAP-SIGA</t>
        </is>
      </c>
      <c r="BM368" s="251" t="inlineStr">
        <is>
          <t>NF</t>
        </is>
      </c>
      <c r="BN368" s="337" t="inlineStr">
        <is>
          <t>Coposa Centro</t>
        </is>
      </c>
      <c r="BO368" s="251"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05" t="n"/>
      <c r="CS368" s="105" t="n"/>
      <c r="CT368" s="105" t="n"/>
      <c r="CU368" s="105" t="n"/>
      <c r="CV368" s="105" t="n"/>
      <c r="CW368" s="105" t="n"/>
      <c r="CX368" s="105" t="n"/>
      <c r="CY368" s="105" t="n"/>
      <c r="CZ368" s="124">
        <f>+COUNTA(BV368:CY368)</f>
        <v/>
      </c>
      <c r="DA368" s="251" t="n"/>
      <c r="DB368" s="251" t="n"/>
      <c r="DC368" s="251" t="n"/>
      <c r="DD368" s="251" t="n"/>
      <c r="DE368" s="251" t="n"/>
      <c r="DF368" s="251" t="n"/>
      <c r="DG368" s="251" t="n"/>
      <c r="DH368" s="251" t="n"/>
      <c r="DI368" s="251" t="n"/>
      <c r="DJ368" s="251" t="inlineStr">
        <is>
          <t>M</t>
        </is>
      </c>
      <c r="DK368" s="251" t="n">
        <v>22</v>
      </c>
      <c r="DL368" s="95" t="n">
        <v>28</v>
      </c>
      <c r="DM368" s="251" t="n"/>
      <c r="DN368" s="95" t="n"/>
      <c r="DO368" s="95" t="n"/>
    </row>
    <row r="369" ht="13" customHeight="1">
      <c r="A369" s="203" t="inlineStr">
        <is>
          <t>DEC-06B</t>
        </is>
      </c>
      <c r="B369" s="305"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1" t="inlineStr">
        <is>
          <t>532MADEC</t>
        </is>
      </c>
      <c r="BL369" s="61" t="inlineStr">
        <is>
          <t>GMAP-SIGA</t>
        </is>
      </c>
      <c r="BM369" s="251" t="inlineStr">
        <is>
          <t>NF</t>
        </is>
      </c>
      <c r="BN369" s="337" t="inlineStr">
        <is>
          <t>Coposa sur</t>
        </is>
      </c>
      <c r="BO369" s="251"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42" t="n">
        <v>1</v>
      </c>
      <c r="CM369" s="105" t="n"/>
      <c r="CN369" s="105" t="n"/>
      <c r="CO369" s="105" t="n"/>
      <c r="CP369" s="105" t="n"/>
      <c r="CQ369" s="105" t="n"/>
      <c r="CR369" s="105" t="n"/>
      <c r="CS369" s="105" t="n"/>
      <c r="CT369" s="105" t="n"/>
      <c r="CU369" s="105" t="n"/>
      <c r="CV369" s="105" t="n"/>
      <c r="CW369" s="105" t="n"/>
      <c r="CX369" s="105" t="n"/>
      <c r="CY369" s="105" t="n"/>
      <c r="CZ369" s="124">
        <f>+COUNTA(BV369:CY369)</f>
        <v/>
      </c>
      <c r="DA369" s="251" t="n"/>
      <c r="DB369" s="251" t="n"/>
      <c r="DC369" s="251" t="n"/>
      <c r="DD369" s="251" t="n"/>
      <c r="DE369" s="251" t="n"/>
      <c r="DF369" s="251" t="n"/>
      <c r="DG369" s="251" t="n"/>
      <c r="DH369" s="251" t="n"/>
      <c r="DI369" s="251" t="n"/>
      <c r="DJ369" s="251" t="inlineStr">
        <is>
          <t>M</t>
        </is>
      </c>
      <c r="DK369" s="251" t="n">
        <v>22</v>
      </c>
      <c r="DL369" s="95" t="n">
        <v>28</v>
      </c>
      <c r="DM369" s="251" t="n"/>
      <c r="DN369" s="95" t="n"/>
      <c r="DO369" s="95" t="n"/>
    </row>
    <row r="370" ht="13" customHeight="1">
      <c r="A370" s="203" t="inlineStr">
        <is>
          <t>DEC-06B</t>
        </is>
      </c>
      <c r="B370" s="305"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1" t="n"/>
      <c r="BL370" s="61" t="n"/>
      <c r="BM370" s="251" t="inlineStr">
        <is>
          <t>ASUB</t>
        </is>
      </c>
      <c r="BN370" s="337" t="inlineStr">
        <is>
          <t>Coposa sur</t>
        </is>
      </c>
      <c r="BO370" s="251"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24">
        <f>+COUNTA(BV370:CY370)</f>
        <v/>
      </c>
      <c r="DA370" s="251" t="n"/>
      <c r="DB370" s="251" t="n"/>
      <c r="DC370" s="251" t="n"/>
      <c r="DD370" s="251" t="n"/>
      <c r="DE370" s="251" t="n"/>
      <c r="DF370" s="251" t="n"/>
      <c r="DG370" s="251" t="n"/>
      <c r="DH370" s="251" t="n"/>
      <c r="DI370" s="251" t="n"/>
      <c r="DJ370" s="251" t="n"/>
      <c r="DK370" s="251" t="n"/>
      <c r="DL370" s="95" t="n"/>
      <c r="DM370" s="251" t="n"/>
      <c r="DN370" s="95" t="n"/>
      <c r="DO370" s="95" t="n"/>
    </row>
    <row r="371" ht="13" customHeight="1">
      <c r="A371" s="205" t="inlineStr">
        <is>
          <t>DPEC-04</t>
        </is>
      </c>
      <c r="B371" s="305"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1" t="inlineStr">
        <is>
          <t>532MADPEC</t>
        </is>
      </c>
      <c r="BL371" s="61" t="inlineStr">
        <is>
          <t>GMAP-SIGA</t>
        </is>
      </c>
      <c r="BM371" s="251" t="inlineStr">
        <is>
          <t>NF</t>
        </is>
      </c>
      <c r="BN371" s="337" t="inlineStr">
        <is>
          <t>Coposa Norte</t>
        </is>
      </c>
      <c r="BO371" s="168"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105" t="n"/>
      <c r="CB371" s="105" t="n"/>
      <c r="CC371" s="105" t="n"/>
      <c r="CD371" s="105" t="n"/>
      <c r="CE371" s="242" t="n">
        <v>1</v>
      </c>
      <c r="CF371" s="105" t="n"/>
      <c r="CG371" s="105" t="n"/>
      <c r="CH371" s="105" t="n"/>
      <c r="CI371" s="105" t="n"/>
      <c r="CJ371" s="105" t="n"/>
      <c r="CK371" s="105" t="n"/>
      <c r="CL371" s="105" t="n"/>
      <c r="CM371" s="105" t="n"/>
      <c r="CN371" s="105" t="n"/>
      <c r="CO371" s="242" t="n">
        <v>1</v>
      </c>
      <c r="CP371" s="105" t="n"/>
      <c r="CQ371" s="105" t="n"/>
      <c r="CR371" s="105" t="n"/>
      <c r="CS371" s="105" t="n"/>
      <c r="CT371" s="105" t="n"/>
      <c r="CU371" s="105" t="n"/>
      <c r="CV371" s="105" t="n"/>
      <c r="CW371" s="105" t="n"/>
      <c r="CX371" s="105" t="n"/>
      <c r="CY371" s="105" t="n"/>
      <c r="CZ371" s="124">
        <f>+COUNTA(BV371:CY371)</f>
        <v/>
      </c>
      <c r="DA371" s="206" t="n"/>
      <c r="DB371" s="251" t="n"/>
      <c r="DC371" s="251" t="n"/>
      <c r="DD371" s="251" t="n"/>
      <c r="DE371" s="251" t="n"/>
      <c r="DF371" s="251" t="n"/>
      <c r="DG371" s="251" t="n"/>
      <c r="DH371" s="251" t="n"/>
      <c r="DI371" s="251" t="n"/>
      <c r="DJ371" s="251" t="inlineStr">
        <is>
          <t>Q</t>
        </is>
      </c>
      <c r="DK371" s="226" t="inlineStr">
        <is>
          <t>1- 15</t>
        </is>
      </c>
      <c r="DL371" s="226" t="inlineStr">
        <is>
          <t>14-28</t>
        </is>
      </c>
      <c r="DM371" s="251" t="n"/>
      <c r="DN371" s="95" t="n"/>
      <c r="DO371" s="95" t="n"/>
    </row>
    <row r="372" ht="13" customHeight="1">
      <c r="A372" s="203" t="inlineStr">
        <is>
          <t>DPEC-05</t>
        </is>
      </c>
      <c r="B372" s="305"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1" t="inlineStr">
        <is>
          <t>532MADPEC</t>
        </is>
      </c>
      <c r="BL372" s="61" t="inlineStr">
        <is>
          <t>GMAP-SIGA</t>
        </is>
      </c>
      <c r="BM372" s="251" t="inlineStr">
        <is>
          <t>NF</t>
        </is>
      </c>
      <c r="BN372" s="337" t="inlineStr">
        <is>
          <t>Coposa sur</t>
        </is>
      </c>
      <c r="BO372" s="251"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n"/>
      <c r="CQ372" s="105" t="n"/>
      <c r="CR372" s="105" t="n"/>
      <c r="CS372" s="105" t="n"/>
      <c r="CT372" s="105" t="n"/>
      <c r="CU372" s="105" t="n"/>
      <c r="CV372" s="105" t="n"/>
      <c r="CW372" s="105" t="n"/>
      <c r="CX372" s="105" t="n"/>
      <c r="CY372" s="105" t="n"/>
      <c r="CZ372" s="124">
        <f>+COUNTA(BV372:CY372)</f>
        <v/>
      </c>
      <c r="DA372" s="251" t="n"/>
      <c r="DB372" s="251" t="n"/>
      <c r="DC372" s="251" t="n"/>
      <c r="DD372" s="251" t="n"/>
      <c r="DE372" s="251" t="n"/>
      <c r="DF372" s="251" t="n"/>
      <c r="DG372" s="251" t="n"/>
      <c r="DH372" s="251" t="n"/>
      <c r="DI372" s="251" t="n"/>
      <c r="DJ372" s="251" t="inlineStr">
        <is>
          <t>T</t>
        </is>
      </c>
      <c r="DK372" s="251" t="n">
        <v>22</v>
      </c>
      <c r="DL372" s="95" t="n">
        <v>28</v>
      </c>
      <c r="DM372" s="251" t="n"/>
      <c r="DN372" s="95" t="n"/>
      <c r="DO372" s="95" t="n"/>
    </row>
    <row r="373" ht="13" customHeight="1">
      <c r="A373" s="203" t="inlineStr">
        <is>
          <t>DPEC-06</t>
        </is>
      </c>
      <c r="B373" s="305"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1" t="inlineStr">
        <is>
          <t>532MADPEC</t>
        </is>
      </c>
      <c r="BL373" s="61" t="inlineStr">
        <is>
          <t>GMAP-SIGA</t>
        </is>
      </c>
      <c r="BM373" s="251" t="inlineStr">
        <is>
          <t>NF</t>
        </is>
      </c>
      <c r="BN373" s="337" t="inlineStr">
        <is>
          <t>Coposa sur</t>
        </is>
      </c>
      <c r="BO373" s="251"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n"/>
      <c r="CQ373" s="105" t="n"/>
      <c r="CR373" s="105" t="n"/>
      <c r="CS373" s="105" t="n"/>
      <c r="CT373" s="105" t="n"/>
      <c r="CU373" s="105" t="n"/>
      <c r="CV373" s="105" t="n"/>
      <c r="CW373" s="105" t="n"/>
      <c r="CX373" s="105" t="n"/>
      <c r="CY373" s="105" t="n"/>
      <c r="CZ373" s="124">
        <f>+COUNTA(BV373:CY373)</f>
        <v/>
      </c>
      <c r="DA373" s="251" t="n"/>
      <c r="DB373" s="251" t="n"/>
      <c r="DC373" s="251" t="n"/>
      <c r="DD373" s="251" t="n"/>
      <c r="DE373" s="251" t="n"/>
      <c r="DF373" s="251" t="n"/>
      <c r="DG373" s="251" t="n"/>
      <c r="DH373" s="251" t="n"/>
      <c r="DI373" s="251" t="n"/>
      <c r="DJ373" s="251" t="inlineStr">
        <is>
          <t>T</t>
        </is>
      </c>
      <c r="DK373" s="251" t="n">
        <v>22</v>
      </c>
      <c r="DL373" s="95" t="n">
        <v>28</v>
      </c>
      <c r="DM373" s="251" t="n"/>
      <c r="DN373" s="95" t="n"/>
      <c r="DO373" s="95" t="n"/>
    </row>
    <row r="374" ht="13" customHeight="1">
      <c r="A374" s="205" t="inlineStr">
        <is>
          <t>DPEC-07</t>
        </is>
      </c>
      <c r="B374" s="305"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1" t="inlineStr">
        <is>
          <t>532MADPEC</t>
        </is>
      </c>
      <c r="BL374" s="61" t="inlineStr">
        <is>
          <t>GMAP-SIGA</t>
        </is>
      </c>
      <c r="BM374" s="251" t="inlineStr">
        <is>
          <t>NF</t>
        </is>
      </c>
      <c r="BN374" s="337" t="inlineStr">
        <is>
          <t>Coposa sur</t>
        </is>
      </c>
      <c r="BO374" s="251" t="inlineStr">
        <is>
          <t>SI / PMAP</t>
        </is>
      </c>
      <c r="BP374" s="106" t="inlineStr">
        <is>
          <t>DPEC-07 COPOSA SUR/NF</t>
        </is>
      </c>
      <c r="BQ374" s="106">
        <f>VLOOKUP(BP374,[1]AGUA!$1:$1048576,2,FALSE)</f>
        <v/>
      </c>
      <c r="BR374" s="106">
        <f>VLOOKUP(BP374,[1]AGUA!$1:$1048576,6,FALSE)</f>
        <v/>
      </c>
      <c r="BS374" s="106">
        <f>VLOOKUP(BP374,[1]AGUA!$1:$1048576,7,FALSE)</f>
        <v/>
      </c>
      <c r="BT374" s="180"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105" t="n"/>
      <c r="CM374" s="105" t="n"/>
      <c r="CN374" s="105" t="n"/>
      <c r="CO374" s="105" t="n"/>
      <c r="CP374" s="105" t="n"/>
      <c r="CQ374" s="105" t="n"/>
      <c r="CR374" s="242" t="n">
        <v>1</v>
      </c>
      <c r="CS374" s="105" t="n"/>
      <c r="CT374" s="105" t="n"/>
      <c r="CU374" s="105" t="n"/>
      <c r="CV374" s="105" t="n"/>
      <c r="CW374" s="105" t="n"/>
      <c r="CX374" s="105" t="n"/>
      <c r="CY374" s="105" t="n"/>
      <c r="CZ374" s="124">
        <f>+COUNTA(BV374:CY374)</f>
        <v/>
      </c>
      <c r="DA374" s="206" t="n"/>
      <c r="DB374" s="251" t="n"/>
      <c r="DC374" s="251" t="n"/>
      <c r="DD374" s="251" t="n"/>
      <c r="DE374" s="251" t="n"/>
      <c r="DF374" s="251" t="n"/>
      <c r="DG374" s="251" t="n"/>
      <c r="DH374" s="251" t="n"/>
      <c r="DI374" s="251" t="n"/>
      <c r="DJ374" s="251" t="inlineStr">
        <is>
          <t>T</t>
        </is>
      </c>
      <c r="DK374" s="251" t="n">
        <v>15</v>
      </c>
      <c r="DL374" s="95" t="n">
        <v>28</v>
      </c>
      <c r="DM374" s="251" t="n"/>
      <c r="DN374" s="95" t="n"/>
      <c r="DO374" s="95" t="n"/>
    </row>
    <row r="375" ht="13" customHeight="1">
      <c r="A375" s="203" t="inlineStr">
        <is>
          <t>DPEC-08</t>
        </is>
      </c>
      <c r="B375" s="305"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1" t="inlineStr">
        <is>
          <t>532MADPEC</t>
        </is>
      </c>
      <c r="BL375" s="61" t="inlineStr">
        <is>
          <t>GMAP-SIGA</t>
        </is>
      </c>
      <c r="BM375" s="251" t="inlineStr">
        <is>
          <t>NF</t>
        </is>
      </c>
      <c r="BN375" s="337" t="inlineStr">
        <is>
          <t>Coposa sur</t>
        </is>
      </c>
      <c r="BO375" s="251"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05" t="n"/>
      <c r="CR375" s="105" t="n"/>
      <c r="CS375" s="105" t="n"/>
      <c r="CT375" s="105" t="n"/>
      <c r="CU375" s="105" t="n"/>
      <c r="CV375" s="142" t="n">
        <v>1</v>
      </c>
      <c r="CW375" s="105" t="n"/>
      <c r="CX375" s="105" t="n"/>
      <c r="CY375" s="105" t="n"/>
      <c r="CZ375" s="124">
        <f>+COUNTA(BV375:CY375)</f>
        <v/>
      </c>
      <c r="DA375" s="251" t="n"/>
      <c r="DB375" s="251" t="n"/>
      <c r="DC375" s="251" t="n"/>
      <c r="DD375" s="251" t="n"/>
      <c r="DE375" s="251" t="n"/>
      <c r="DF375" s="251" t="n"/>
      <c r="DG375" s="251" t="n"/>
      <c r="DH375" s="251" t="n"/>
      <c r="DI375" s="251" t="n"/>
      <c r="DJ375" s="251" t="inlineStr">
        <is>
          <t>M</t>
        </is>
      </c>
      <c r="DK375" s="251" t="n">
        <v>22</v>
      </c>
      <c r="DL375" s="95" t="n">
        <v>28</v>
      </c>
      <c r="DM375" s="251" t="n"/>
      <c r="DN375" s="95" t="n"/>
      <c r="DO375" s="95" t="n"/>
    </row>
    <row r="376" ht="13" customHeight="1">
      <c r="A376" s="203" t="inlineStr">
        <is>
          <t>DU-01</t>
        </is>
      </c>
      <c r="B376" s="305" t="inlineStr">
        <is>
          <t>DU-01 UJINA</t>
        </is>
      </c>
      <c r="C376" s="251"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1" t="inlineStr">
        <is>
          <t>532MADU</t>
        </is>
      </c>
      <c r="BL376" s="7" t="inlineStr">
        <is>
          <t>GMAP-SIGA</t>
        </is>
      </c>
      <c r="BM376" s="251" t="inlineStr">
        <is>
          <t>NF</t>
        </is>
      </c>
      <c r="BN376" s="337" t="inlineStr">
        <is>
          <t>Quebrada Represa</t>
        </is>
      </c>
      <c r="BO376" s="251" t="inlineStr">
        <is>
          <t>SI</t>
        </is>
      </c>
      <c r="BP376" s="106" t="inlineStr">
        <is>
          <t>DU-01 UJINA/NF</t>
        </is>
      </c>
      <c r="BQ376" s="106">
        <f>VLOOKUP(BP376,[1]AGUA!$1:$1048576,2,FALSE)</f>
        <v/>
      </c>
      <c r="BR376" s="106">
        <f>VLOOKUP(BP376,[1]AGUA!$1:$1048576,6,FALSE)</f>
        <v/>
      </c>
      <c r="BS376" s="106">
        <f>VLOOKUP(BP376,[1]AGUA!$1:$1048576,7,FALSE)</f>
        <v/>
      </c>
      <c r="BT376" s="106" t="n"/>
      <c r="BU376" s="333" t="inlineStr">
        <is>
          <t>Por fuera, no carry</t>
        </is>
      </c>
      <c r="BV376" s="105" t="n"/>
      <c r="BW376" s="105" t="n"/>
      <c r="BX376" s="105" t="n"/>
      <c r="BY376" s="105" t="n"/>
      <c r="BZ376" s="105" t="n"/>
      <c r="CA376" s="105" t="n"/>
      <c r="CB376" s="105" t="n"/>
      <c r="CC376" s="105" t="n"/>
      <c r="CD376" s="142" t="n">
        <v>1</v>
      </c>
      <c r="CE376" s="105" t="n"/>
      <c r="CF376" s="105" t="n"/>
      <c r="CG376" s="105" t="n"/>
      <c r="CH376" s="105" t="n"/>
      <c r="CI376" s="105"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24">
        <f>+COUNTA(BV376:CY376)</f>
        <v/>
      </c>
      <c r="DA376" s="251" t="n"/>
      <c r="DB376" s="251" t="n"/>
      <c r="DC376" s="251" t="n"/>
      <c r="DD376" s="251" t="n"/>
      <c r="DE376" s="251" t="n"/>
      <c r="DF376" s="251" t="n"/>
      <c r="DG376" s="251" t="n"/>
      <c r="DH376" s="251" t="n"/>
      <c r="DI376" s="251" t="n"/>
      <c r="DJ376" s="251" t="inlineStr">
        <is>
          <t>M</t>
        </is>
      </c>
      <c r="DK376" s="251" t="n">
        <v>8</v>
      </c>
      <c r="DL376" s="95" t="n">
        <v>14</v>
      </c>
      <c r="DM376" s="251" t="n"/>
      <c r="DN376" s="95" t="n"/>
      <c r="DO376" s="95" t="n"/>
    </row>
    <row r="377" ht="13" customHeight="1">
      <c r="A377" s="203" t="inlineStr">
        <is>
          <t>DU-01</t>
        </is>
      </c>
      <c r="B377" s="376" t="n"/>
      <c r="C377" s="376"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76" t="n"/>
      <c r="BL377" s="7" t="inlineStr">
        <is>
          <t>GMAP-SIGA</t>
        </is>
      </c>
      <c r="BM377" s="251" t="inlineStr">
        <is>
          <t>ASUB</t>
        </is>
      </c>
      <c r="BN377" s="337" t="inlineStr">
        <is>
          <t>Quebrada Represa</t>
        </is>
      </c>
      <c r="BO377" s="251" t="inlineStr">
        <is>
          <t>SI</t>
        </is>
      </c>
      <c r="BP377" s="106" t="inlineStr">
        <is>
          <t>DU-01 UJINA/ASUB</t>
        </is>
      </c>
      <c r="BQ377" s="106">
        <f>VLOOKUP(BP377,[1]AGUA!$1:$1048576,2,FALSE)</f>
        <v/>
      </c>
      <c r="BR377" s="106">
        <f>VLOOKUP(BP377,[1]AGUA!$1:$1048576,6,FALSE)</f>
        <v/>
      </c>
      <c r="BS377" s="106">
        <f>VLOOKUP(BP377,[1]AGUA!$1:$1048576,7,FALSE)</f>
        <v/>
      </c>
      <c r="BT377" s="106" t="n"/>
      <c r="BU377" s="377" t="n"/>
      <c r="BV377" s="105" t="n"/>
      <c r="BW377" s="105" t="n"/>
      <c r="BX377" s="105" t="n"/>
      <c r="BY377" s="105" t="n"/>
      <c r="BZ377" s="105" t="n"/>
      <c r="CA377" s="105" t="n"/>
      <c r="CB377" s="105" t="n"/>
      <c r="CC377" s="105" t="n"/>
      <c r="CD377" s="107" t="n">
        <v>1</v>
      </c>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24">
        <f>+COUNTA(BV377:CY377)</f>
        <v/>
      </c>
      <c r="DA377" s="251" t="n"/>
      <c r="DB377" s="251" t="n"/>
      <c r="DC377" s="251" t="n"/>
      <c r="DD377" s="251" t="n"/>
      <c r="DE377" s="251" t="n"/>
      <c r="DF377" s="251" t="n"/>
      <c r="DG377" s="251" t="n"/>
      <c r="DH377" s="251" t="n"/>
      <c r="DI377" s="251" t="n"/>
      <c r="DJ377" s="251" t="n"/>
      <c r="DK377" s="251" t="n"/>
      <c r="DL377" s="95" t="n"/>
      <c r="DM377" s="251" t="inlineStr">
        <is>
          <t>T</t>
        </is>
      </c>
      <c r="DN377" s="95" t="n">
        <v>8</v>
      </c>
      <c r="DO377" s="95" t="n">
        <v>14</v>
      </c>
    </row>
    <row r="378" ht="13" customHeight="1">
      <c r="A378" s="203" t="inlineStr">
        <is>
          <t>DU-02A</t>
        </is>
      </c>
      <c r="B378" s="305"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1" t="inlineStr">
        <is>
          <t>532MADU</t>
        </is>
      </c>
      <c r="BL378" s="7" t="inlineStr">
        <is>
          <t>GMAP-SIGA</t>
        </is>
      </c>
      <c r="BM378" s="251" t="inlineStr">
        <is>
          <t>NF</t>
        </is>
      </c>
      <c r="BN378" s="337" t="inlineStr">
        <is>
          <t>Quebrada Represa</t>
        </is>
      </c>
      <c r="BO378" s="251"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05" t="n"/>
      <c r="CB378" s="105" t="n"/>
      <c r="CC378" s="105" t="n"/>
      <c r="CD378" s="142" t="n">
        <v>1</v>
      </c>
      <c r="CE378" s="105" t="n"/>
      <c r="CF378" s="105" t="n"/>
      <c r="CG378" s="105" t="n"/>
      <c r="CH378" s="105" t="n"/>
      <c r="CI378" s="105"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24">
        <f>+COUNTA(BV378:CY378)</f>
        <v/>
      </c>
      <c r="DA378" s="251" t="n"/>
      <c r="DB378" s="251" t="n"/>
      <c r="DC378" s="251" t="n"/>
      <c r="DD378" s="251" t="n"/>
      <c r="DE378" s="251" t="n"/>
      <c r="DF378" s="251" t="n"/>
      <c r="DG378" s="251" t="n"/>
      <c r="DH378" s="251" t="n"/>
      <c r="DI378" s="251" t="n"/>
      <c r="DJ378" s="251" t="inlineStr">
        <is>
          <t>M</t>
        </is>
      </c>
      <c r="DK378" s="251" t="n">
        <v>8</v>
      </c>
      <c r="DL378" s="95" t="n">
        <v>14</v>
      </c>
      <c r="DM378" s="251" t="n"/>
      <c r="DN378" s="95" t="n"/>
      <c r="DO378" s="95" t="n"/>
    </row>
    <row r="379" ht="13" customHeight="1">
      <c r="A379" s="203" t="inlineStr">
        <is>
          <t>DU-04</t>
        </is>
      </c>
      <c r="B379" s="305"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76" t="n"/>
      <c r="BL379" s="61" t="inlineStr">
        <is>
          <t>MINA</t>
        </is>
      </c>
      <c r="BM379" s="251" t="inlineStr">
        <is>
          <t>NF</t>
        </is>
      </c>
      <c r="BN379" s="337" t="inlineStr">
        <is>
          <t>Ujina</t>
        </is>
      </c>
      <c r="BO379" s="251"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42" t="n">
        <v>1</v>
      </c>
      <c r="CG379" s="142" t="n">
        <v>1</v>
      </c>
      <c r="CH379" s="105" t="n"/>
      <c r="CI379" s="105" t="n"/>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24">
        <f>+COUNTA(BV379:CY379)</f>
        <v/>
      </c>
      <c r="DA379" s="251" t="n"/>
      <c r="DB379" s="251" t="n"/>
      <c r="DC379" s="251" t="n"/>
      <c r="DD379" s="251" t="n"/>
      <c r="DE379" s="251" t="n"/>
      <c r="DF379" s="251" t="n"/>
      <c r="DG379" s="251" t="n"/>
      <c r="DH379" s="251" t="n"/>
      <c r="DI379" s="251" t="n"/>
      <c r="DJ379" s="251" t="inlineStr">
        <is>
          <t>M</t>
        </is>
      </c>
      <c r="DK379" s="251" t="n">
        <v>8</v>
      </c>
      <c r="DL379" s="95" t="n">
        <v>14</v>
      </c>
      <c r="DM379" s="251" t="n"/>
      <c r="DN379" s="95" t="n"/>
      <c r="DO379" s="95" t="n"/>
    </row>
    <row r="380" ht="13" customHeight="1">
      <c r="A380" s="203" t="inlineStr">
        <is>
          <t>DU-05</t>
        </is>
      </c>
      <c r="B380" s="305"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1" t="inlineStr">
        <is>
          <t>532MADU</t>
        </is>
      </c>
      <c r="BL380" s="61" t="inlineStr">
        <is>
          <t>MINA</t>
        </is>
      </c>
      <c r="BM380" s="251" t="inlineStr">
        <is>
          <t>NF</t>
        </is>
      </c>
      <c r="BN380" s="337" t="inlineStr">
        <is>
          <t>Ujina</t>
        </is>
      </c>
      <c r="BO380" s="251"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42" t="n">
        <v>1</v>
      </c>
      <c r="CG380" s="142" t="n">
        <v>1</v>
      </c>
      <c r="CH380" s="105" t="n"/>
      <c r="CI380" s="105" t="n"/>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24">
        <f>+COUNTA(BV380:CY380)</f>
        <v/>
      </c>
      <c r="DA380" s="251" t="n"/>
      <c r="DB380" s="251" t="n"/>
      <c r="DC380" s="251" t="n"/>
      <c r="DD380" s="251" t="n"/>
      <c r="DE380" s="251" t="n"/>
      <c r="DF380" s="251" t="n"/>
      <c r="DG380" s="251" t="n"/>
      <c r="DH380" s="251" t="n"/>
      <c r="DI380" s="251" t="n"/>
      <c r="DJ380" s="251" t="inlineStr">
        <is>
          <t>M</t>
        </is>
      </c>
      <c r="DK380" s="251" t="n">
        <v>8</v>
      </c>
      <c r="DL380" s="95" t="n">
        <v>14</v>
      </c>
      <c r="DM380" s="251" t="n"/>
      <c r="DN380" s="95" t="n"/>
      <c r="DO380" s="95" t="n"/>
    </row>
    <row r="381" ht="13" customHeight="1">
      <c r="A381" s="203" t="inlineStr">
        <is>
          <t>DU-06</t>
        </is>
      </c>
      <c r="B381" s="305"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76" t="n"/>
      <c r="BL381" s="61" t="inlineStr">
        <is>
          <t>MINA</t>
        </is>
      </c>
      <c r="BM381" s="251" t="inlineStr">
        <is>
          <t>NF</t>
        </is>
      </c>
      <c r="BN381" s="337" t="inlineStr">
        <is>
          <t>Ujina</t>
        </is>
      </c>
      <c r="BO381" s="251"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42" t="n">
        <v>1</v>
      </c>
      <c r="CG381" s="142" t="n">
        <v>1</v>
      </c>
      <c r="CH381" s="105" t="n"/>
      <c r="CI381" s="105" t="n"/>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24">
        <f>+COUNTA(BV381:CY381)</f>
        <v/>
      </c>
      <c r="DA381" s="251" t="n"/>
      <c r="DB381" s="251" t="n"/>
      <c r="DC381" s="251" t="n"/>
      <c r="DD381" s="251" t="n"/>
      <c r="DE381" s="251" t="n"/>
      <c r="DF381" s="251" t="n"/>
      <c r="DG381" s="251" t="n"/>
      <c r="DH381" s="251" t="n"/>
      <c r="DI381" s="251" t="n"/>
      <c r="DJ381" s="251" t="inlineStr">
        <is>
          <t>M</t>
        </is>
      </c>
      <c r="DK381" s="251" t="n">
        <v>8</v>
      </c>
      <c r="DL381" s="95" t="n">
        <v>14</v>
      </c>
      <c r="DM381" s="251" t="n"/>
      <c r="DN381" s="95" t="n"/>
      <c r="DO381" s="95" t="n"/>
    </row>
    <row r="382" ht="13" customHeight="1">
      <c r="A382" s="203" t="inlineStr">
        <is>
          <t>EPC-01</t>
        </is>
      </c>
      <c r="B382" s="305"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1" t="inlineStr">
        <is>
          <t>532MAQCY</t>
        </is>
      </c>
      <c r="BL382" s="61" t="inlineStr">
        <is>
          <t>GMAP-SIGA</t>
        </is>
      </c>
      <c r="BM382" s="251" t="inlineStr">
        <is>
          <t>NF</t>
        </is>
      </c>
      <c r="BN382" s="337" t="inlineStr">
        <is>
          <t>Quebrada Caya</t>
        </is>
      </c>
      <c r="BO382" s="251"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24">
        <f>+COUNTA(BV382:CY382)</f>
        <v/>
      </c>
      <c r="DA382" s="251" t="n"/>
      <c r="DB382" s="251" t="n"/>
      <c r="DC382" s="251" t="n"/>
      <c r="DD382" s="251" t="n"/>
      <c r="DE382" s="251" t="n"/>
      <c r="DF382" s="251" t="n"/>
      <c r="DG382" s="251" t="n"/>
      <c r="DH382" s="251" t="n"/>
      <c r="DI382" s="251" t="n"/>
      <c r="DJ382" s="251" t="inlineStr">
        <is>
          <t>STRAL</t>
        </is>
      </c>
      <c r="DK382" s="251" t="n">
        <v>15</v>
      </c>
      <c r="DL382" s="95" t="n">
        <v>28</v>
      </c>
      <c r="DM382" s="251" t="n"/>
      <c r="DN382" s="95" t="n"/>
      <c r="DO382" s="95" t="n"/>
    </row>
    <row r="383" ht="13" customHeight="1">
      <c r="A383" s="203" t="inlineStr">
        <is>
          <t>GB-01</t>
        </is>
      </c>
      <c r="B383" s="305"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1" t="inlineStr">
        <is>
          <t>532MAQCY</t>
        </is>
      </c>
      <c r="BL383" s="61" t="inlineStr">
        <is>
          <t>GMAP-SIGA</t>
        </is>
      </c>
      <c r="BM383" s="251" t="inlineStr">
        <is>
          <t>NF</t>
        </is>
      </c>
      <c r="BN383" s="337" t="inlineStr">
        <is>
          <t>Quebrada Caya</t>
        </is>
      </c>
      <c r="BO383" s="251"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24">
        <f>+COUNTA(BV383:CY383)</f>
        <v/>
      </c>
      <c r="DA383" s="251" t="n"/>
      <c r="DB383" s="251" t="n"/>
      <c r="DC383" s="251" t="n"/>
      <c r="DD383" s="251" t="n"/>
      <c r="DE383" s="251" t="n"/>
      <c r="DF383" s="251" t="n"/>
      <c r="DG383" s="251" t="n"/>
      <c r="DH383" s="251" t="n"/>
      <c r="DI383" s="251" t="n"/>
      <c r="DJ383" s="251" t="inlineStr">
        <is>
          <t>STRAL</t>
        </is>
      </c>
      <c r="DK383" s="251" t="n">
        <v>15</v>
      </c>
      <c r="DL383" s="95" t="n">
        <v>28</v>
      </c>
      <c r="DM383" s="251" t="n"/>
      <c r="DN383" s="95" t="n"/>
      <c r="DO383" s="95" t="n"/>
    </row>
    <row r="384" ht="13" customHeight="1">
      <c r="A384" s="203" t="inlineStr">
        <is>
          <t>GB-02</t>
        </is>
      </c>
      <c r="B384" s="305"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1" t="inlineStr">
        <is>
          <t>532MAQCY</t>
        </is>
      </c>
      <c r="BL384" s="61" t="inlineStr">
        <is>
          <t>GMAP-SIGA</t>
        </is>
      </c>
      <c r="BM384" s="251" t="inlineStr">
        <is>
          <t>NF</t>
        </is>
      </c>
      <c r="BN384" s="337" t="inlineStr">
        <is>
          <t>Quebrada Caya</t>
        </is>
      </c>
      <c r="BO384" s="251"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24">
        <f>+COUNTA(BV384:CY384)</f>
        <v/>
      </c>
      <c r="DA384" s="251" t="n"/>
      <c r="DB384" s="251" t="n"/>
      <c r="DC384" s="251" t="n"/>
      <c r="DD384" s="251" t="n"/>
      <c r="DE384" s="251" t="n"/>
      <c r="DF384" s="251" t="n"/>
      <c r="DG384" s="251" t="n"/>
      <c r="DH384" s="251" t="n"/>
      <c r="DI384" s="251" t="n"/>
      <c r="DJ384" s="251" t="inlineStr">
        <is>
          <t xml:space="preserve">STRAL </t>
        </is>
      </c>
      <c r="DK384" s="251" t="n">
        <v>15</v>
      </c>
      <c r="DL384" s="95" t="n">
        <v>28</v>
      </c>
      <c r="DM384" s="251" t="n"/>
      <c r="DN384" s="95" t="n"/>
      <c r="DO384" s="95" t="n"/>
    </row>
    <row r="385" ht="13" customHeight="1">
      <c r="A385" s="203" t="inlineStr">
        <is>
          <t>GB-03</t>
        </is>
      </c>
      <c r="B385" s="305"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1" t="inlineStr">
        <is>
          <t>532MAQCY</t>
        </is>
      </c>
      <c r="BL385" s="61" t="inlineStr">
        <is>
          <t>GMAP-SIGA</t>
        </is>
      </c>
      <c r="BM385" s="251" t="inlineStr">
        <is>
          <t>NF</t>
        </is>
      </c>
      <c r="BN385" s="337" t="inlineStr">
        <is>
          <t>Quebrada Caya</t>
        </is>
      </c>
      <c r="BO385" s="251"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24">
        <f>+COUNTA(BV385:CY385)</f>
        <v/>
      </c>
      <c r="DA385" s="251" t="n"/>
      <c r="DB385" s="251" t="n"/>
      <c r="DC385" s="251" t="n"/>
      <c r="DD385" s="251" t="n"/>
      <c r="DE385" s="251" t="n"/>
      <c r="DF385" s="251" t="n"/>
      <c r="DG385" s="251" t="n"/>
      <c r="DH385" s="251" t="n"/>
      <c r="DI385" s="251" t="n"/>
      <c r="DJ385" s="251" t="inlineStr">
        <is>
          <t>STRAL</t>
        </is>
      </c>
      <c r="DK385" s="251" t="n">
        <v>15</v>
      </c>
      <c r="DL385" s="95" t="n">
        <v>28</v>
      </c>
      <c r="DM385" s="251" t="n"/>
      <c r="DN385" s="95" t="n"/>
      <c r="DO385" s="95" t="n"/>
    </row>
    <row r="386" ht="13" customHeight="1">
      <c r="A386" s="203" t="inlineStr">
        <is>
          <t>GB-05</t>
        </is>
      </c>
      <c r="B386" s="305"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1" t="inlineStr">
        <is>
          <t>532MAQCY</t>
        </is>
      </c>
      <c r="BL386" s="61" t="inlineStr">
        <is>
          <t>GMAP-SIGA</t>
        </is>
      </c>
      <c r="BM386" s="251" t="inlineStr">
        <is>
          <t>NF</t>
        </is>
      </c>
      <c r="BN386" s="337" t="inlineStr">
        <is>
          <t>Quebrada Caya</t>
        </is>
      </c>
      <c r="BO386" s="251"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24">
        <f>+COUNTA(BV386:CY386)</f>
        <v/>
      </c>
      <c r="DA386" s="251" t="n"/>
      <c r="DB386" s="251" t="n"/>
      <c r="DC386" s="251" t="n"/>
      <c r="DD386" s="251" t="n"/>
      <c r="DE386" s="251" t="n"/>
      <c r="DF386" s="251" t="n"/>
      <c r="DG386" s="251" t="n"/>
      <c r="DH386" s="251" t="n"/>
      <c r="DI386" s="251" t="n"/>
      <c r="DJ386" s="251" t="inlineStr">
        <is>
          <t>STRAL</t>
        </is>
      </c>
      <c r="DK386" s="251" t="n">
        <v>15</v>
      </c>
      <c r="DL386" s="95" t="n">
        <v>28</v>
      </c>
      <c r="DM386" s="251" t="n"/>
      <c r="DN386" s="95" t="n"/>
      <c r="DO386" s="95" t="n"/>
    </row>
    <row r="387" ht="13" customHeight="1">
      <c r="A387" s="203" t="inlineStr">
        <is>
          <t>GB-06</t>
        </is>
      </c>
      <c r="B387" s="305"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1" t="inlineStr">
        <is>
          <t>532MAQCY</t>
        </is>
      </c>
      <c r="BL387" s="61" t="inlineStr">
        <is>
          <t>GMAP-SIGA</t>
        </is>
      </c>
      <c r="BM387" s="251" t="inlineStr">
        <is>
          <t>NF</t>
        </is>
      </c>
      <c r="BN387" s="337" t="inlineStr">
        <is>
          <t>Quebrada Caya</t>
        </is>
      </c>
      <c r="BO387" s="251"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24">
        <f>+COUNTA(BV387:CY387)</f>
        <v/>
      </c>
      <c r="DA387" s="251" t="n"/>
      <c r="DB387" s="251" t="n"/>
      <c r="DC387" s="251" t="n"/>
      <c r="DD387" s="251" t="n"/>
      <c r="DE387" s="251" t="n"/>
      <c r="DF387" s="251" t="n"/>
      <c r="DG387" s="251" t="n"/>
      <c r="DH387" s="251" t="n"/>
      <c r="DI387" s="251" t="n"/>
      <c r="DJ387" s="251" t="inlineStr">
        <is>
          <t>STRAL</t>
        </is>
      </c>
      <c r="DK387" s="251" t="n">
        <v>15</v>
      </c>
      <c r="DL387" s="95" t="n">
        <v>28</v>
      </c>
      <c r="DM387" s="251" t="n"/>
      <c r="DN387" s="95" t="n"/>
      <c r="DO387" s="95" t="n"/>
    </row>
    <row r="388" ht="13" customHeight="1">
      <c r="A388" s="203" t="inlineStr">
        <is>
          <t>HPS-01</t>
        </is>
      </c>
      <c r="B388" s="305"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1" t="inlineStr">
        <is>
          <t>532MAHPS</t>
        </is>
      </c>
      <c r="BL388" s="61" t="inlineStr">
        <is>
          <t>GMAP-SIGA</t>
        </is>
      </c>
      <c r="BM388" s="251" t="inlineStr">
        <is>
          <t>NF</t>
        </is>
      </c>
      <c r="BN388" s="337" t="inlineStr">
        <is>
          <t>Huasco</t>
        </is>
      </c>
      <c r="BO388" s="251"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24">
        <f>+COUNTA(BV388:CY388)</f>
        <v/>
      </c>
      <c r="DA388" s="251" t="n"/>
      <c r="DB388" s="251" t="n"/>
      <c r="DC388" s="251" t="n"/>
      <c r="DD388" s="251" t="n"/>
      <c r="DE388" s="251" t="n"/>
      <c r="DF388" s="251" t="n"/>
      <c r="DG388" s="251" t="n"/>
      <c r="DH388" s="251" t="n"/>
      <c r="DI388" s="251" t="n"/>
      <c r="DJ388" s="251" t="inlineStr">
        <is>
          <t>E</t>
        </is>
      </c>
      <c r="DK388" s="251" t="n">
        <v>15</v>
      </c>
      <c r="DL388" s="95" t="n">
        <v>28</v>
      </c>
      <c r="DM388" s="251" t="n"/>
      <c r="DN388" s="95" t="n"/>
      <c r="DO388" s="95" t="n"/>
    </row>
    <row r="389" ht="13" customHeight="1">
      <c r="A389" s="203" t="inlineStr">
        <is>
          <t>HPS-11</t>
        </is>
      </c>
      <c r="B389" s="305"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1" t="inlineStr">
        <is>
          <t>532MAHPS</t>
        </is>
      </c>
      <c r="BL389" s="61" t="inlineStr">
        <is>
          <t>GMAP-SIGA</t>
        </is>
      </c>
      <c r="BM389" s="251" t="inlineStr">
        <is>
          <t>NF</t>
        </is>
      </c>
      <c r="BN389" s="337" t="inlineStr">
        <is>
          <t>Huasco</t>
        </is>
      </c>
      <c r="BO389" s="251"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24">
        <f>+COUNTA(BV389:CY389)</f>
        <v/>
      </c>
      <c r="DA389" s="251" t="n"/>
      <c r="DB389" s="251" t="n"/>
      <c r="DC389" s="251" t="n"/>
      <c r="DD389" s="251" t="n"/>
      <c r="DE389" s="251" t="n"/>
      <c r="DF389" s="251" t="n"/>
      <c r="DG389" s="251" t="n"/>
      <c r="DH389" s="251" t="n"/>
      <c r="DI389" s="251" t="n"/>
      <c r="DJ389" s="251" t="inlineStr">
        <is>
          <t>TF</t>
        </is>
      </c>
      <c r="DK389" s="251" t="n">
        <v>15</v>
      </c>
      <c r="DL389" s="95" t="n">
        <v>28</v>
      </c>
      <c r="DM389" s="251" t="n"/>
      <c r="DN389" s="95" t="n"/>
      <c r="DO389" s="95" t="n"/>
    </row>
    <row r="390" ht="13" customHeight="1">
      <c r="A390" s="203" t="inlineStr">
        <is>
          <t>HPS-12</t>
        </is>
      </c>
      <c r="B390" s="305"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1" t="inlineStr">
        <is>
          <t>532MAHPS</t>
        </is>
      </c>
      <c r="BL390" s="61" t="inlineStr">
        <is>
          <t>GMAP-SIGA</t>
        </is>
      </c>
      <c r="BM390" s="251" t="inlineStr">
        <is>
          <t>NF</t>
        </is>
      </c>
      <c r="BN390" s="337" t="inlineStr">
        <is>
          <t>Huasco</t>
        </is>
      </c>
      <c r="BO390" s="251"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24">
        <f>+COUNTA(BV390:CY390)</f>
        <v/>
      </c>
      <c r="DA390" s="251" t="n"/>
      <c r="DB390" s="251" t="n"/>
      <c r="DC390" s="251" t="n"/>
      <c r="DD390" s="251" t="n"/>
      <c r="DE390" s="251" t="n"/>
      <c r="DF390" s="251" t="n"/>
      <c r="DG390" s="251" t="n"/>
      <c r="DH390" s="251" t="n"/>
      <c r="DI390" s="251" t="n"/>
      <c r="DJ390" s="251" t="inlineStr">
        <is>
          <t>TF</t>
        </is>
      </c>
      <c r="DK390" s="251" t="n">
        <v>15</v>
      </c>
      <c r="DL390" s="95" t="n">
        <v>28</v>
      </c>
      <c r="DM390" s="251" t="n"/>
      <c r="DN390" s="95" t="n"/>
      <c r="DO390" s="95" t="n"/>
    </row>
    <row r="391" ht="13" customHeight="1">
      <c r="A391" s="203" t="inlineStr">
        <is>
          <t>HPS-14</t>
        </is>
      </c>
      <c r="B391" s="305"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1" t="inlineStr">
        <is>
          <t>532MAHPS</t>
        </is>
      </c>
      <c r="BL391" s="61" t="inlineStr">
        <is>
          <t>GMAP-SIGA</t>
        </is>
      </c>
      <c r="BM391" s="251" t="inlineStr">
        <is>
          <t>NF</t>
        </is>
      </c>
      <c r="BN391" s="337" t="inlineStr">
        <is>
          <t>Huasco</t>
        </is>
      </c>
      <c r="BO391" s="251"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24">
        <f>+COUNTA(BV391:CY391)</f>
        <v/>
      </c>
      <c r="DA391" s="251" t="n"/>
      <c r="DB391" s="251" t="n"/>
      <c r="DC391" s="251" t="n"/>
      <c r="DD391" s="251" t="n"/>
      <c r="DE391" s="251" t="n"/>
      <c r="DF391" s="251" t="n"/>
      <c r="DG391" s="251" t="n"/>
      <c r="DH391" s="251" t="n"/>
      <c r="DI391" s="251" t="n"/>
      <c r="DJ391" s="251" t="inlineStr">
        <is>
          <t>TF</t>
        </is>
      </c>
      <c r="DK391" s="251" t="n">
        <v>15</v>
      </c>
      <c r="DL391" s="95" t="n">
        <v>28</v>
      </c>
      <c r="DM391" s="251" t="n"/>
      <c r="DN391" s="95" t="n"/>
      <c r="DO391" s="95" t="n"/>
    </row>
    <row r="392" ht="13" customHeight="1">
      <c r="A392" s="203" t="inlineStr">
        <is>
          <t>HPS-36</t>
        </is>
      </c>
      <c r="B392" s="305"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1" t="inlineStr">
        <is>
          <t>532MAHPS</t>
        </is>
      </c>
      <c r="BL392" s="61" t="inlineStr">
        <is>
          <t>GMAP-SIGA</t>
        </is>
      </c>
      <c r="BM392" s="251" t="inlineStr">
        <is>
          <t>NF</t>
        </is>
      </c>
      <c r="BN392" s="337" t="inlineStr">
        <is>
          <t>Huasco</t>
        </is>
      </c>
      <c r="BO392" s="251"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24">
        <f>+COUNTA(BV392:CY392)</f>
        <v/>
      </c>
      <c r="DA392" s="251" t="n"/>
      <c r="DB392" s="251" t="n"/>
      <c r="DC392" s="251" t="n"/>
      <c r="DD392" s="251" t="n"/>
      <c r="DE392" s="251" t="n"/>
      <c r="DF392" s="251" t="n"/>
      <c r="DG392" s="251" t="n"/>
      <c r="DH392" s="251" t="n"/>
      <c r="DI392" s="251" t="n"/>
      <c r="DJ392" s="251" t="inlineStr">
        <is>
          <t>TF</t>
        </is>
      </c>
      <c r="DK392" s="251" t="n">
        <v>15</v>
      </c>
      <c r="DL392" s="95" t="n">
        <v>28</v>
      </c>
      <c r="DM392" s="251" t="n"/>
      <c r="DN392" s="95" t="n"/>
      <c r="DO392" s="95" t="n"/>
    </row>
    <row r="393" ht="13" customHeight="1">
      <c r="A393" s="203" t="inlineStr">
        <is>
          <t>HPS-38</t>
        </is>
      </c>
      <c r="B393" s="305"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1" t="inlineStr">
        <is>
          <t>532MAHPS</t>
        </is>
      </c>
      <c r="BL393" s="61" t="inlineStr">
        <is>
          <t>GMAP-SIGA</t>
        </is>
      </c>
      <c r="BM393" s="251" t="inlineStr">
        <is>
          <t>NF</t>
        </is>
      </c>
      <c r="BN393" s="337" t="inlineStr">
        <is>
          <t>Huasco</t>
        </is>
      </c>
      <c r="BO393" s="251"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24">
        <f>+COUNTA(BV393:CY393)</f>
        <v/>
      </c>
      <c r="DA393" s="251" t="n"/>
      <c r="DB393" s="251" t="n"/>
      <c r="DC393" s="251" t="n"/>
      <c r="DD393" s="251" t="n"/>
      <c r="DE393" s="251" t="n"/>
      <c r="DF393" s="251" t="n"/>
      <c r="DG393" s="251" t="n"/>
      <c r="DH393" s="251" t="n"/>
      <c r="DI393" s="251" t="n"/>
      <c r="DJ393" s="251" t="inlineStr">
        <is>
          <t>TF</t>
        </is>
      </c>
      <c r="DK393" s="251" t="n">
        <v>15</v>
      </c>
      <c r="DL393" s="95" t="n">
        <v>28</v>
      </c>
      <c r="DM393" s="251" t="n"/>
      <c r="DN393" s="95" t="n"/>
      <c r="DO393" s="95" t="n"/>
    </row>
    <row r="394" ht="13.5" customHeight="1">
      <c r="A394" s="203" t="inlineStr">
        <is>
          <t>HPS-39A</t>
        </is>
      </c>
      <c r="B394" s="305"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1" t="inlineStr">
        <is>
          <t>532MAHPS</t>
        </is>
      </c>
      <c r="BL394" s="61" t="inlineStr">
        <is>
          <t>GMAP-SIGA</t>
        </is>
      </c>
      <c r="BM394" s="251" t="inlineStr">
        <is>
          <t>NF</t>
        </is>
      </c>
      <c r="BN394" s="337" t="inlineStr">
        <is>
          <t>Huasco</t>
        </is>
      </c>
      <c r="BO394" s="251"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24">
        <f>+COUNTA(BV394:CY394)</f>
        <v/>
      </c>
      <c r="DA394" s="251" t="n"/>
      <c r="DB394" s="251" t="n"/>
      <c r="DC394" s="251" t="n"/>
      <c r="DD394" s="251" t="n"/>
      <c r="DE394" s="251" t="n"/>
      <c r="DF394" s="251" t="n"/>
      <c r="DG394" s="251" t="n"/>
      <c r="DH394" s="251" t="n"/>
      <c r="DI394" s="251" t="n"/>
      <c r="DJ394" s="251" t="inlineStr">
        <is>
          <t>TF</t>
        </is>
      </c>
      <c r="DK394" s="251" t="n">
        <v>15</v>
      </c>
      <c r="DL394" s="95" t="n">
        <v>28</v>
      </c>
      <c r="DM394" s="251" t="n"/>
      <c r="DN394" s="95" t="n"/>
      <c r="DO394" s="95" t="n"/>
    </row>
    <row r="395" ht="13" customHeight="1">
      <c r="A395" s="203" t="inlineStr">
        <is>
          <t>HPS-39B</t>
        </is>
      </c>
      <c r="B395" s="305"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1" t="inlineStr">
        <is>
          <t>532MAHPS</t>
        </is>
      </c>
      <c r="BL395" s="61" t="inlineStr">
        <is>
          <t>GMAP-SIGA</t>
        </is>
      </c>
      <c r="BM395" s="251" t="inlineStr">
        <is>
          <t>NF</t>
        </is>
      </c>
      <c r="BN395" s="337" t="inlineStr">
        <is>
          <t>Huasco</t>
        </is>
      </c>
      <c r="BO395" s="251"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24">
        <f>+COUNTA(BV395:CY395)</f>
        <v/>
      </c>
      <c r="DA395" s="251" t="n"/>
      <c r="DB395" s="251" t="n"/>
      <c r="DC395" s="251" t="n"/>
      <c r="DD395" s="251" t="n"/>
      <c r="DE395" s="251" t="n"/>
      <c r="DF395" s="251" t="n"/>
      <c r="DG395" s="251" t="n"/>
      <c r="DH395" s="251" t="n"/>
      <c r="DI395" s="251" t="n"/>
      <c r="DJ395" s="251" t="inlineStr">
        <is>
          <t>TF</t>
        </is>
      </c>
      <c r="DK395" s="251" t="n">
        <v>15</v>
      </c>
      <c r="DL395" s="95" t="n">
        <v>28</v>
      </c>
      <c r="DM395" s="251" t="n"/>
      <c r="DN395" s="95" t="n"/>
      <c r="DO395" s="95" t="n"/>
    </row>
    <row r="396" ht="13" customHeight="1">
      <c r="A396" s="203" t="inlineStr">
        <is>
          <t>HPS-40B</t>
        </is>
      </c>
      <c r="B396" s="305"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1" t="inlineStr">
        <is>
          <t>532MAHPS</t>
        </is>
      </c>
      <c r="BL396" s="61" t="inlineStr">
        <is>
          <t>GMAP-SIGA</t>
        </is>
      </c>
      <c r="BM396" s="251" t="inlineStr">
        <is>
          <t>NF</t>
        </is>
      </c>
      <c r="BN396" s="337" t="inlineStr">
        <is>
          <t>Huasco</t>
        </is>
      </c>
      <c r="BO396" s="251"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24">
        <f>+COUNTA(BV396:CY396)</f>
        <v/>
      </c>
      <c r="DA396" s="251" t="n"/>
      <c r="DB396" s="251" t="n"/>
      <c r="DC396" s="251" t="n"/>
      <c r="DD396" s="251" t="n"/>
      <c r="DE396" s="251" t="n"/>
      <c r="DF396" s="251" t="n"/>
      <c r="DG396" s="251" t="n"/>
      <c r="DH396" s="251" t="n"/>
      <c r="DI396" s="251" t="n"/>
      <c r="DJ396" s="251" t="inlineStr">
        <is>
          <t>TF</t>
        </is>
      </c>
      <c r="DK396" s="251" t="n">
        <v>15</v>
      </c>
      <c r="DL396" s="95" t="n">
        <v>28</v>
      </c>
      <c r="DM396" s="251" t="n"/>
      <c r="DN396" s="95" t="n"/>
      <c r="DO396" s="95" t="n"/>
    </row>
    <row r="397" ht="13" customHeight="1">
      <c r="A397" s="203" t="inlineStr">
        <is>
          <t>HUA-P01</t>
        </is>
      </c>
      <c r="B397" s="305"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1" t="inlineStr">
        <is>
          <t>532MHUAP01</t>
        </is>
      </c>
      <c r="BL397" s="61" t="inlineStr">
        <is>
          <t>GMAP-SIGA</t>
        </is>
      </c>
      <c r="BM397" s="251" t="inlineStr">
        <is>
          <t>NF</t>
        </is>
      </c>
      <c r="BN397" s="337" t="inlineStr">
        <is>
          <t>Huasco</t>
        </is>
      </c>
      <c r="BO397" s="251"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24">
        <f>+COUNTA(BV397:CY397)</f>
        <v/>
      </c>
      <c r="DA397" s="251" t="n"/>
      <c r="DB397" s="251" t="n"/>
      <c r="DC397" s="251" t="n"/>
      <c r="DD397" s="251" t="n"/>
      <c r="DE397" s="251" t="n"/>
      <c r="DF397" s="251" t="n"/>
      <c r="DG397" s="251" t="n"/>
      <c r="DH397" s="251" t="n"/>
      <c r="DI397" s="251" t="n"/>
      <c r="DJ397" s="251" t="inlineStr">
        <is>
          <t>STRAL</t>
        </is>
      </c>
      <c r="DK397" s="251" t="n">
        <v>15</v>
      </c>
      <c r="DL397" s="95" t="n">
        <v>28</v>
      </c>
      <c r="DM397" s="251" t="n"/>
      <c r="DN397" s="95" t="n"/>
      <c r="DO397" s="95" t="n"/>
    </row>
    <row r="398" ht="13" customHeight="1">
      <c r="A398" s="205" t="inlineStr">
        <is>
          <t>JA-1</t>
        </is>
      </c>
      <c r="B398" s="305" t="n"/>
      <c r="C398" s="7" t="n"/>
      <c r="D398" s="7" t="inlineStr">
        <is>
          <t>SI</t>
        </is>
      </c>
      <c r="E398" s="7" t="inlineStr">
        <is>
          <t>SI</t>
        </is>
      </c>
      <c r="F398" s="7" t="inlineStr">
        <is>
          <t>NO</t>
        </is>
      </c>
      <c r="G398" s="7" t="inlineStr">
        <is>
          <t>NO</t>
        </is>
      </c>
      <c r="H398" s="197"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1" t="inlineStr">
        <is>
          <t>NF</t>
        </is>
      </c>
      <c r="BN398" s="337" t="inlineStr">
        <is>
          <t>Jachucoposa</t>
        </is>
      </c>
      <c r="BO398" s="251" t="inlineStr">
        <is>
          <t>SI</t>
        </is>
      </c>
      <c r="BP398" s="251"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Y398" s="105" t="n"/>
      <c r="BZ398" s="105" t="n"/>
      <c r="CA398" s="105" t="n"/>
      <c r="CB398" s="105" t="n"/>
      <c r="CC398" s="242" t="n">
        <v>1</v>
      </c>
      <c r="CD398" s="105" t="n"/>
      <c r="CE398" s="105" t="n"/>
      <c r="CF398" s="105" t="n"/>
      <c r="CG398" s="105" t="n"/>
      <c r="CH398" s="105" t="n"/>
      <c r="CI398" s="105" t="n"/>
      <c r="CJ398" s="105" t="n"/>
      <c r="CK398" s="105" t="n"/>
      <c r="CL398" s="105" t="n"/>
      <c r="CM398" s="105" t="n"/>
      <c r="CN398" s="105" t="n"/>
      <c r="CO398" s="105" t="n"/>
      <c r="CP398" s="105" t="n"/>
      <c r="CQ398" s="105" t="n"/>
      <c r="CR398" s="242" t="n">
        <v>1</v>
      </c>
      <c r="CS398" s="105" t="n"/>
      <c r="CT398" s="105" t="n"/>
      <c r="CU398" s="105" t="n"/>
      <c r="CV398" s="105" t="n"/>
      <c r="CW398" s="105" t="n"/>
      <c r="CX398" s="105" t="n"/>
      <c r="CY398" s="105" t="n"/>
      <c r="CZ398" s="124">
        <f>+COUNTA(BV398:CY398)</f>
        <v/>
      </c>
      <c r="DA398" s="205" t="n"/>
      <c r="DB398" s="251" t="n"/>
      <c r="DC398" s="251" t="n"/>
      <c r="DD398" s="251" t="n"/>
      <c r="DE398" s="251" t="n"/>
      <c r="DF398" s="251" t="n"/>
      <c r="DG398" s="251" t="n"/>
      <c r="DH398" s="251" t="n"/>
      <c r="DI398" s="251" t="n"/>
      <c r="DJ398" s="251" t="inlineStr">
        <is>
          <t>M</t>
        </is>
      </c>
      <c r="DK398" s="251" t="n">
        <v>1</v>
      </c>
      <c r="DL398" s="95" t="n">
        <v>15</v>
      </c>
      <c r="DM398" s="251" t="n"/>
      <c r="DN398" s="95" t="n"/>
      <c r="DO398" s="95" t="n"/>
    </row>
    <row r="399" ht="13" customHeight="1">
      <c r="A399" s="203" t="inlineStr">
        <is>
          <t>JA-1</t>
        </is>
      </c>
      <c r="B399" s="305"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1" t="inlineStr">
        <is>
          <t>ASUB</t>
        </is>
      </c>
      <c r="BN399" s="337" t="inlineStr">
        <is>
          <t>Jachucoposa</t>
        </is>
      </c>
      <c r="BO399" s="251" t="inlineStr">
        <is>
          <t>SI</t>
        </is>
      </c>
      <c r="BP399" s="251"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5" t="n"/>
      <c r="CA399" s="105" t="n"/>
      <c r="CB399" s="105" t="n"/>
      <c r="CC399" s="105" t="n"/>
      <c r="CD399" s="105" t="n"/>
      <c r="CE399" s="105" t="n"/>
      <c r="CF399" s="105" t="n"/>
      <c r="CG399" s="105" t="n"/>
      <c r="CH399" s="105" t="n"/>
      <c r="CI399" s="105"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24">
        <f>+COUNTA(BV399:CY399)</f>
        <v/>
      </c>
      <c r="DA399" s="251" t="n"/>
      <c r="DB399" s="251" t="n"/>
      <c r="DC399" s="251" t="n"/>
      <c r="DD399" s="251" t="n"/>
      <c r="DE399" s="251" t="n"/>
      <c r="DF399" s="251" t="n"/>
      <c r="DG399" s="251" t="n"/>
      <c r="DH399" s="251" t="n"/>
      <c r="DI399" s="251" t="n"/>
      <c r="DJ399" s="251" t="n"/>
      <c r="DK399" s="251" t="n"/>
      <c r="DL399" s="95" t="n"/>
      <c r="DM399" s="251" t="inlineStr">
        <is>
          <t>TD</t>
        </is>
      </c>
      <c r="DN399" s="95" t="n">
        <v>1</v>
      </c>
      <c r="DO399" s="95" t="n">
        <v>15</v>
      </c>
    </row>
    <row r="400" ht="13" customHeight="1">
      <c r="A400" s="205" t="inlineStr">
        <is>
          <t>JA-2</t>
        </is>
      </c>
      <c r="B400" s="305"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1" t="inlineStr">
        <is>
          <t>NF</t>
        </is>
      </c>
      <c r="BN400" s="337" t="inlineStr">
        <is>
          <t>Jachucoposa</t>
        </is>
      </c>
      <c r="BO400" s="251" t="inlineStr">
        <is>
          <t>SI</t>
        </is>
      </c>
      <c r="BP400" s="251"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Y400" s="105" t="n"/>
      <c r="BZ400" s="105" t="n"/>
      <c r="CA400" s="105" t="n"/>
      <c r="CB400" s="105" t="n"/>
      <c r="CC400" s="242" t="n">
        <v>1</v>
      </c>
      <c r="CD400" s="105" t="n"/>
      <c r="CE400" s="105" t="n"/>
      <c r="CF400" s="105" t="n"/>
      <c r="CG400" s="105" t="n"/>
      <c r="CH400" s="105" t="n"/>
      <c r="CI400" s="105" t="n"/>
      <c r="CJ400" s="105" t="n"/>
      <c r="CK400" s="105" t="n"/>
      <c r="CL400" s="105" t="n"/>
      <c r="CM400" s="105" t="n"/>
      <c r="CN400" s="105" t="n"/>
      <c r="CO400" s="105" t="n"/>
      <c r="CP400" s="105" t="n"/>
      <c r="CQ400" s="105" t="n"/>
      <c r="CR400" s="242" t="n">
        <v>1</v>
      </c>
      <c r="CS400" s="105" t="n"/>
      <c r="CT400" s="105" t="n"/>
      <c r="CU400" s="105" t="n"/>
      <c r="CV400" s="105" t="n"/>
      <c r="CW400" s="105" t="n"/>
      <c r="CX400" s="105" t="n"/>
      <c r="CY400" s="105" t="n"/>
      <c r="CZ400" s="124">
        <f>+COUNTA(BV400:CY400)</f>
        <v/>
      </c>
      <c r="DA400" s="205" t="n"/>
      <c r="DB400" s="251" t="n"/>
      <c r="DC400" s="251" t="n"/>
      <c r="DD400" s="251" t="n"/>
      <c r="DE400" s="251" t="n"/>
      <c r="DF400" s="251" t="n"/>
      <c r="DG400" s="251" t="n"/>
      <c r="DH400" s="251" t="n"/>
      <c r="DI400" s="251" t="n"/>
      <c r="DJ400" s="251" t="inlineStr">
        <is>
          <t>M</t>
        </is>
      </c>
      <c r="DK400" s="251" t="n">
        <v>1</v>
      </c>
      <c r="DL400" s="95" t="n">
        <v>15</v>
      </c>
      <c r="DM400" s="251" t="n"/>
      <c r="DN400" s="95" t="n"/>
      <c r="DO400" s="95" t="n"/>
    </row>
    <row r="401" ht="13" customHeight="1">
      <c r="A401" s="203" t="inlineStr">
        <is>
          <t>JA-2</t>
        </is>
      </c>
      <c r="B401" s="305"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1" t="inlineStr">
        <is>
          <t>ASUB</t>
        </is>
      </c>
      <c r="BN401" s="337" t="inlineStr">
        <is>
          <t>Jachucoposa</t>
        </is>
      </c>
      <c r="BO401" s="251" t="inlineStr">
        <is>
          <t>SI</t>
        </is>
      </c>
      <c r="BP401" s="251" t="inlineStr">
        <is>
          <t>POZO JA-2 (PUNTO 2) JACHUCOPOSA/ASUB</t>
        </is>
      </c>
      <c r="BQ401" s="106">
        <f>VLOOKUP(BP401,[1]AGUA!$1:$1048576,2,FALSE)</f>
        <v/>
      </c>
      <c r="BR401" s="106">
        <f>VLOOKUP(BP401,[1]AGUA!$1:$1048576,6,FALSE)</f>
        <v/>
      </c>
      <c r="BS401" s="106">
        <f>VLOOKUP(BP401,[1]AGUA!$1:$1048576,7,FALSE)</f>
        <v/>
      </c>
      <c r="BT401" s="106" t="n"/>
      <c r="BU401" s="101" t="n"/>
      <c r="BV401" s="105" t="n"/>
      <c r="BW401" s="105" t="n"/>
      <c r="BX401" s="105" t="n"/>
      <c r="BY401" s="105" t="n"/>
      <c r="BZ401" s="105" t="n"/>
      <c r="CA401" s="105" t="n"/>
      <c r="CB401" s="105" t="n"/>
      <c r="CC401" s="105" t="n"/>
      <c r="CD401" s="105" t="n"/>
      <c r="CE401" s="105" t="n"/>
      <c r="CF401" s="105" t="n"/>
      <c r="CG401" s="105" t="n"/>
      <c r="CH401" s="105" t="n"/>
      <c r="CI401" s="105"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24">
        <f>+COUNTA(BV401:CY401)</f>
        <v/>
      </c>
      <c r="DA401" s="251" t="n"/>
      <c r="DB401" s="251" t="n"/>
      <c r="DC401" s="251" t="n"/>
      <c r="DD401" s="251" t="n"/>
      <c r="DE401" s="251" t="n"/>
      <c r="DF401" s="251" t="n"/>
      <c r="DG401" s="251" t="n"/>
      <c r="DH401" s="251" t="n"/>
      <c r="DI401" s="251" t="n"/>
      <c r="DJ401" s="251" t="n"/>
      <c r="DK401" s="251" t="n"/>
      <c r="DL401" s="95" t="n"/>
      <c r="DM401" s="251" t="inlineStr">
        <is>
          <t>TD</t>
        </is>
      </c>
      <c r="DN401" s="95" t="n">
        <v>1</v>
      </c>
      <c r="DO401" s="95" t="n">
        <v>15</v>
      </c>
    </row>
    <row r="402" ht="13" customHeight="1">
      <c r="A402" s="218" t="inlineStr">
        <is>
          <t>LPDC-01B</t>
        </is>
      </c>
      <c r="B402" s="305" t="inlineStr">
        <is>
          <t>LPDC-01 LIXIVIACIÓN</t>
        </is>
      </c>
      <c r="C402" s="251"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2" t="inlineStr">
        <is>
          <t>430LPDC-01</t>
        </is>
      </c>
      <c r="BL402" s="7" t="inlineStr">
        <is>
          <t>LIXIVIACIÓN</t>
        </is>
      </c>
      <c r="BM402" s="251" t="inlineStr">
        <is>
          <t>NF</t>
        </is>
      </c>
      <c r="BN402" s="337" t="inlineStr">
        <is>
          <t>Lixiviación</t>
        </is>
      </c>
      <c r="BO402" s="251" t="inlineStr">
        <is>
          <t>SI</t>
        </is>
      </c>
      <c r="BP402" s="106" t="inlineStr">
        <is>
          <t>LPDC-01 LIXIVIACIÓN/NF</t>
        </is>
      </c>
      <c r="BQ402" s="106">
        <f>VLOOKUP(BP402,[1]AGUA!$1:$1048576,2,FALSE)</f>
        <v/>
      </c>
      <c r="BR402" s="106">
        <f>VLOOKUP(BP402,[1]AGUA!$1:$1048576,6,FALSE)</f>
        <v/>
      </c>
      <c r="BS402" s="106">
        <f>VLOOKUP(BP402,[1]AGUA!$1:$1048576,7,FALSE)</f>
        <v/>
      </c>
      <c r="BT402" s="106" t="n"/>
      <c r="BU402" s="332" t="inlineStr">
        <is>
          <t>NUEVO POZO EL ANTERIOR SELLADO</t>
        </is>
      </c>
      <c r="BV402" s="105" t="n"/>
      <c r="BW402" s="105" t="n"/>
      <c r="BX402" s="105" t="n"/>
      <c r="BY402" s="142" t="n">
        <v>1</v>
      </c>
      <c r="BZ402" s="105" t="n"/>
      <c r="CA402" s="125" t="n"/>
      <c r="CB402" s="105" t="n"/>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24">
        <f>+COUNTA(BV402:CY402)</f>
        <v/>
      </c>
      <c r="DA402" s="251" t="n"/>
      <c r="DB402" s="251" t="n"/>
      <c r="DC402" s="251" t="n"/>
      <c r="DD402" s="251" t="n"/>
      <c r="DE402" s="251" t="n"/>
      <c r="DF402" s="251" t="n"/>
      <c r="DG402" s="251" t="n"/>
      <c r="DH402" s="251" t="n"/>
      <c r="DI402" s="251" t="n"/>
      <c r="DJ402" s="251" t="inlineStr">
        <is>
          <t>M</t>
        </is>
      </c>
      <c r="DK402" s="251" t="n">
        <v>1</v>
      </c>
      <c r="DL402" s="95" t="n">
        <v>7</v>
      </c>
      <c r="DM402" s="251" t="n"/>
      <c r="DN402" s="95" t="n"/>
      <c r="DO402" s="95" t="n"/>
    </row>
    <row r="403" ht="13" customHeight="1">
      <c r="A403" s="218" t="inlineStr">
        <is>
          <t>LPDC-01B</t>
        </is>
      </c>
      <c r="B403" s="376" t="n"/>
      <c r="C403" s="376"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76" t="n"/>
      <c r="BL403" s="7" t="inlineStr">
        <is>
          <t>LIXIVIACIÓN</t>
        </is>
      </c>
      <c r="BM403" s="251" t="inlineStr">
        <is>
          <t>ASUB</t>
        </is>
      </c>
      <c r="BN403" s="337" t="inlineStr">
        <is>
          <t>Lixiviación</t>
        </is>
      </c>
      <c r="BO403" s="251" t="inlineStr">
        <is>
          <t>SI</t>
        </is>
      </c>
      <c r="BP403" s="106" t="inlineStr">
        <is>
          <t>LPDC-01 LIXIVIACIÓN/ASUB</t>
        </is>
      </c>
      <c r="BQ403" s="106">
        <f>VLOOKUP(BP403,[1]AGUA!$1:$1048576,2,FALSE)</f>
        <v/>
      </c>
      <c r="BR403" s="106">
        <f>VLOOKUP(BP403,[1]AGUA!$1:$1048576,6,FALSE)</f>
        <v/>
      </c>
      <c r="BS403" s="106">
        <f>VLOOKUP(BP403,[1]AGUA!$1:$1048576,7,FALSE)</f>
        <v/>
      </c>
      <c r="BT403" s="106" t="n"/>
      <c r="BU403" s="377" t="n"/>
      <c r="BV403" s="105" t="n"/>
      <c r="BW403" s="105" t="n"/>
      <c r="BX403" s="105" t="n"/>
      <c r="BY403" s="107" t="n">
        <v>1</v>
      </c>
      <c r="BZ403" s="105" t="n"/>
      <c r="CA403" s="125" t="n"/>
      <c r="CB403" s="105" t="n"/>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24">
        <f>+COUNTA(BV403:CY403)</f>
        <v/>
      </c>
      <c r="DA403" s="251" t="n"/>
      <c r="DB403" s="251" t="n"/>
      <c r="DC403" s="251" t="n"/>
      <c r="DD403" s="251" t="n"/>
      <c r="DE403" s="251" t="n"/>
      <c r="DF403" s="251" t="n"/>
      <c r="DG403" s="251" t="n"/>
      <c r="DH403" s="251" t="n"/>
      <c r="DI403" s="251" t="n"/>
      <c r="DJ403" s="251" t="n"/>
      <c r="DK403" s="251" t="n"/>
      <c r="DL403" s="95" t="n"/>
      <c r="DM403" s="251" t="inlineStr">
        <is>
          <t>M</t>
        </is>
      </c>
      <c r="DN403" s="95" t="n">
        <v>1</v>
      </c>
      <c r="DO403" s="95" t="n">
        <v>7</v>
      </c>
    </row>
    <row r="404" ht="13" customHeight="1">
      <c r="A404" s="203" t="inlineStr">
        <is>
          <t>LPDC-02</t>
        </is>
      </c>
      <c r="B404" s="305" t="inlineStr">
        <is>
          <t>LPDC-02 LIXIVIACIÓN</t>
        </is>
      </c>
      <c r="C404" s="251"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2" t="inlineStr">
        <is>
          <t>430LPDC-02</t>
        </is>
      </c>
      <c r="BL404" s="7" t="inlineStr">
        <is>
          <t>LIXIVIACIÓN</t>
        </is>
      </c>
      <c r="BM404" s="251" t="inlineStr">
        <is>
          <t>NF</t>
        </is>
      </c>
      <c r="BN404" s="337" t="inlineStr">
        <is>
          <t>Lixiviación</t>
        </is>
      </c>
      <c r="BO404" s="251" t="inlineStr">
        <is>
          <t>SI</t>
        </is>
      </c>
      <c r="BP404" s="106" t="inlineStr">
        <is>
          <t>LPDC-02 LIXIVIACIÓN/NF</t>
        </is>
      </c>
      <c r="BQ404" s="106">
        <f>VLOOKUP(BP404,[1]AGUA!$1:$1048576,2,FALSE)</f>
        <v/>
      </c>
      <c r="BR404" s="106">
        <f>VLOOKUP(BP404,[1]AGUA!$1:$1048576,6,FALSE)</f>
        <v/>
      </c>
      <c r="BS404" s="106">
        <f>VLOOKUP(BP404,[1]AGUA!$1:$1048576,7,FALSE)</f>
        <v/>
      </c>
      <c r="BT404" s="106" t="n"/>
      <c r="BU404" s="253" t="inlineStr">
        <is>
          <t>PTOS SS, CHEQUEAR
Programar a principio de mes, ya que se reportan hasta el 10 de cada mes.</t>
        </is>
      </c>
      <c r="BV404" s="105" t="n"/>
      <c r="BW404" s="105" t="n"/>
      <c r="BX404" s="105" t="n"/>
      <c r="BY404" s="142" t="n">
        <v>1</v>
      </c>
      <c r="BZ404" s="105" t="n"/>
      <c r="CA404" s="125" t="n"/>
      <c r="CB404" s="105" t="n"/>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24">
        <f>+COUNTA(BV404:CY404)</f>
        <v/>
      </c>
      <c r="DA404" s="251" t="n"/>
      <c r="DB404" s="251" t="n"/>
      <c r="DC404" s="251" t="n"/>
      <c r="DD404" s="251" t="n"/>
      <c r="DE404" s="251" t="n"/>
      <c r="DF404" s="251" t="n"/>
      <c r="DG404" s="251" t="n"/>
      <c r="DH404" s="251" t="n"/>
      <c r="DI404" s="251" t="n"/>
      <c r="DJ404" s="251" t="inlineStr">
        <is>
          <t>M</t>
        </is>
      </c>
      <c r="DK404" s="251" t="n">
        <v>1</v>
      </c>
      <c r="DL404" s="95" t="n">
        <v>7</v>
      </c>
      <c r="DM404" s="251" t="n"/>
      <c r="DN404" s="95" t="n"/>
      <c r="DO404" s="95" t="n"/>
    </row>
    <row r="405" ht="13" customHeight="1">
      <c r="A405" s="218" t="inlineStr">
        <is>
          <t>LPDC-02</t>
        </is>
      </c>
      <c r="B405" s="376" t="n"/>
      <c r="C405" s="376"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76" t="n"/>
      <c r="BL405" s="7" t="inlineStr">
        <is>
          <t>LIXIVIACIÓN</t>
        </is>
      </c>
      <c r="BM405" s="251" t="inlineStr">
        <is>
          <t>ASUB</t>
        </is>
      </c>
      <c r="BN405" s="337" t="inlineStr">
        <is>
          <t>Lixiviación</t>
        </is>
      </c>
      <c r="BO405" s="251" t="inlineStr">
        <is>
          <t>SI</t>
        </is>
      </c>
      <c r="BP405" s="106" t="inlineStr">
        <is>
          <t>LPDC-02 LIXIVIACIÓN/ASUB</t>
        </is>
      </c>
      <c r="BQ405" s="106">
        <f>VLOOKUP(BP405,[1]AGUA!$1:$1048576,2,FALSE)</f>
        <v/>
      </c>
      <c r="BR405" s="106">
        <f>VLOOKUP(BP405,[1]AGUA!$1:$1048576,6,FALSE)</f>
        <v/>
      </c>
      <c r="BS405" s="106">
        <f>VLOOKUP(BP405,[1]AGUA!$1:$1048576,7,FALSE)</f>
        <v/>
      </c>
      <c r="BT405" s="106" t="n"/>
      <c r="BU405" s="377" t="n"/>
      <c r="BV405" s="105" t="n"/>
      <c r="BW405" s="105" t="n"/>
      <c r="BX405" s="105" t="n"/>
      <c r="BY405" s="107" t="n">
        <v>1</v>
      </c>
      <c r="BZ405" s="105" t="n"/>
      <c r="CA405" s="125" t="n"/>
      <c r="CB405" s="105" t="n"/>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24">
        <f>+COUNTA(BV405:CY405)</f>
        <v/>
      </c>
      <c r="DA405" s="251" t="n"/>
      <c r="DB405" s="251" t="n"/>
      <c r="DC405" s="251" t="n"/>
      <c r="DD405" s="251" t="n"/>
      <c r="DE405" s="251" t="n"/>
      <c r="DF405" s="251" t="n"/>
      <c r="DG405" s="251" t="n"/>
      <c r="DH405" s="251" t="n"/>
      <c r="DI405" s="251" t="n"/>
      <c r="DJ405" s="251" t="n"/>
      <c r="DK405" s="251" t="n"/>
      <c r="DL405" s="95" t="n"/>
      <c r="DM405" s="251" t="inlineStr">
        <is>
          <t>M</t>
        </is>
      </c>
      <c r="DN405" s="95" t="n">
        <v>1</v>
      </c>
      <c r="DO405" s="95" t="n">
        <v>7</v>
      </c>
    </row>
    <row r="406" ht="13" customHeight="1">
      <c r="A406" s="218" t="inlineStr">
        <is>
          <t>LPDC-03</t>
        </is>
      </c>
      <c r="B406" s="305" t="inlineStr">
        <is>
          <t>LPDC-03 LIXIVIACIÓN</t>
        </is>
      </c>
      <c r="C406" s="251"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2" t="inlineStr">
        <is>
          <t>430LPDC-03</t>
        </is>
      </c>
      <c r="BL406" s="7" t="inlineStr">
        <is>
          <t>LIXIVIACIÓN</t>
        </is>
      </c>
      <c r="BM406" s="251" t="inlineStr">
        <is>
          <t>NF</t>
        </is>
      </c>
      <c r="BN406" s="337" t="inlineStr">
        <is>
          <t>Lixiviación</t>
        </is>
      </c>
      <c r="BO406" s="251" t="inlineStr">
        <is>
          <t>SI</t>
        </is>
      </c>
      <c r="BP406" s="106" t="inlineStr">
        <is>
          <t>LPDC-03 LIXIVIACIÓN/NF</t>
        </is>
      </c>
      <c r="BQ406" s="106">
        <f>VLOOKUP(BP406,[1]AGUA!$1:$1048576,2,FALSE)</f>
        <v/>
      </c>
      <c r="BR406" s="106">
        <f>VLOOKUP(BP406,[1]AGUA!$1:$1048576,6,FALSE)</f>
        <v/>
      </c>
      <c r="BS406" s="106">
        <f>VLOOKUP(BP406,[1]AGUA!$1:$1048576,7,FALSE)</f>
        <v/>
      </c>
      <c r="BT406" s="106" t="n"/>
      <c r="BU406" s="253" t="inlineStr">
        <is>
          <t>Seco todo el 2024</t>
        </is>
      </c>
      <c r="BV406" s="105" t="n"/>
      <c r="BW406" s="105" t="n"/>
      <c r="BX406" s="105" t="n"/>
      <c r="BY406" s="142" t="n">
        <v>1</v>
      </c>
      <c r="BZ406" s="105" t="n"/>
      <c r="CA406" s="125" t="n"/>
      <c r="CB406" s="105" t="n"/>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24">
        <f>+COUNTA(BV406:CY406)</f>
        <v/>
      </c>
      <c r="DA406" s="251" t="n"/>
      <c r="DB406" s="251" t="n"/>
      <c r="DC406" s="251" t="n"/>
      <c r="DD406" s="251" t="n"/>
      <c r="DE406" s="251" t="n"/>
      <c r="DF406" s="251" t="n"/>
      <c r="DG406" s="251" t="n"/>
      <c r="DH406" s="251" t="n"/>
      <c r="DI406" s="251" t="n"/>
      <c r="DJ406" s="251" t="inlineStr">
        <is>
          <t>M</t>
        </is>
      </c>
      <c r="DK406" s="251" t="n">
        <v>1</v>
      </c>
      <c r="DL406" s="95" t="n">
        <v>7</v>
      </c>
      <c r="DM406" s="251" t="n"/>
      <c r="DN406" s="95" t="n"/>
      <c r="DO406" s="95" t="n"/>
    </row>
    <row r="407" ht="13" customHeight="1">
      <c r="A407" s="218" t="inlineStr">
        <is>
          <t>LPDC-03</t>
        </is>
      </c>
      <c r="B407" s="376" t="n"/>
      <c r="C407" s="376"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76" t="n"/>
      <c r="BL407" s="7" t="inlineStr">
        <is>
          <t>LIXIVIACIÓN</t>
        </is>
      </c>
      <c r="BM407" s="251" t="inlineStr">
        <is>
          <t>ASUB</t>
        </is>
      </c>
      <c r="BN407" s="337" t="inlineStr">
        <is>
          <t>Lixiviación</t>
        </is>
      </c>
      <c r="BO407" s="251" t="inlineStr">
        <is>
          <t>SI</t>
        </is>
      </c>
      <c r="BP407" s="106" t="inlineStr">
        <is>
          <t>LPDC-03 LIXIVIACIÓN/ASUB</t>
        </is>
      </c>
      <c r="BQ407" s="106">
        <f>VLOOKUP(BP407,[1]AGUA!$1:$1048576,2,FALSE)</f>
        <v/>
      </c>
      <c r="BR407" s="106">
        <f>VLOOKUP(BP407,[1]AGUA!$1:$1048576,6,FALSE)</f>
        <v/>
      </c>
      <c r="BS407" s="106">
        <f>VLOOKUP(BP407,[1]AGUA!$1:$1048576,7,FALSE)</f>
        <v/>
      </c>
      <c r="BT407" s="106" t="n"/>
      <c r="BU407" s="377" t="n"/>
      <c r="BV407" s="105" t="n"/>
      <c r="BW407" s="105" t="n"/>
      <c r="BX407" s="105" t="n"/>
      <c r="BY407" s="107" t="n">
        <v>1</v>
      </c>
      <c r="BZ407" s="105" t="n"/>
      <c r="CA407" s="125" t="n"/>
      <c r="CB407" s="105" t="n"/>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24">
        <f>+COUNTA(BV407:CY407)</f>
        <v/>
      </c>
      <c r="DA407" s="251" t="n"/>
      <c r="DB407" s="251" t="n"/>
      <c r="DC407" s="251" t="n"/>
      <c r="DD407" s="251" t="n"/>
      <c r="DE407" s="251" t="n"/>
      <c r="DF407" s="251" t="n"/>
      <c r="DG407" s="251" t="n"/>
      <c r="DH407" s="251" t="n"/>
      <c r="DI407" s="251" t="n"/>
      <c r="DJ407" s="251" t="n"/>
      <c r="DK407" s="251" t="n"/>
      <c r="DL407" s="95" t="n"/>
      <c r="DM407" s="251" t="inlineStr">
        <is>
          <t>M</t>
        </is>
      </c>
      <c r="DN407" s="95" t="n">
        <v>1</v>
      </c>
      <c r="DO407" s="95" t="n">
        <v>7</v>
      </c>
    </row>
    <row r="408" ht="13" customHeight="1">
      <c r="A408" s="203" t="inlineStr">
        <is>
          <t>LPDC-04</t>
        </is>
      </c>
      <c r="B408" s="305" t="inlineStr">
        <is>
          <t>LPDC-04 LIXIVIACIÓN</t>
        </is>
      </c>
      <c r="C408" s="251"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2" t="inlineStr">
        <is>
          <t>430LPDC-04</t>
        </is>
      </c>
      <c r="BL408" s="7" t="inlineStr">
        <is>
          <t>LIXIVIACIÓN</t>
        </is>
      </c>
      <c r="BM408" s="251" t="inlineStr">
        <is>
          <t>NF</t>
        </is>
      </c>
      <c r="BN408" s="337" t="inlineStr">
        <is>
          <t>Lixiviación</t>
        </is>
      </c>
      <c r="BO408" s="251" t="inlineStr">
        <is>
          <t>SI</t>
        </is>
      </c>
      <c r="BP408" s="106" t="inlineStr">
        <is>
          <t>LPDC-04 LIXIVIACIÓN/NF</t>
        </is>
      </c>
      <c r="BQ408" s="106">
        <f>VLOOKUP(BP408,[1]AGUA!$1:$1048576,2,FALSE)</f>
        <v/>
      </c>
      <c r="BR408" s="106">
        <f>VLOOKUP(BP408,[1]AGUA!$1:$1048576,6,FALSE)</f>
        <v/>
      </c>
      <c r="BS408" s="106">
        <f>VLOOKUP(BP408,[1]AGUA!$1:$1048576,7,FALSE)</f>
        <v/>
      </c>
      <c r="BT408" s="106" t="n"/>
      <c r="BU408" s="253" t="inlineStr">
        <is>
          <t>PTOS SS, CHEQUEAR
Programar a principio de mes, ya que se reportan hasta el 10 de cada mes.</t>
        </is>
      </c>
      <c r="BV408" s="105" t="n"/>
      <c r="BW408" s="105" t="n"/>
      <c r="BX408" s="105" t="n"/>
      <c r="BY408" s="142" t="n">
        <v>1</v>
      </c>
      <c r="BZ408" s="105" t="n"/>
      <c r="CA408" s="125" t="n"/>
      <c r="CB408" s="105" t="n"/>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24">
        <f>+COUNTA(BV408:CY408)</f>
        <v/>
      </c>
      <c r="DA408" s="251" t="n"/>
      <c r="DB408" s="251" t="n"/>
      <c r="DC408" s="251" t="n"/>
      <c r="DD408" s="251" t="n"/>
      <c r="DE408" s="251" t="n"/>
      <c r="DF408" s="251" t="n"/>
      <c r="DG408" s="251" t="n"/>
      <c r="DH408" s="251" t="n"/>
      <c r="DI408" s="251" t="n"/>
      <c r="DJ408" s="251" t="inlineStr">
        <is>
          <t>M</t>
        </is>
      </c>
      <c r="DK408" s="251" t="n">
        <v>1</v>
      </c>
      <c r="DL408" s="95" t="n">
        <v>7</v>
      </c>
      <c r="DM408" s="251" t="n"/>
      <c r="DN408" s="95" t="n"/>
      <c r="DO408" s="95" t="n"/>
    </row>
    <row r="409" ht="13" customHeight="1">
      <c r="A409" s="218" t="inlineStr">
        <is>
          <t>LPDC-04</t>
        </is>
      </c>
      <c r="B409" s="376" t="n"/>
      <c r="C409" s="376"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76" t="n"/>
      <c r="BL409" s="7" t="inlineStr">
        <is>
          <t>LIXIVIACIÓN</t>
        </is>
      </c>
      <c r="BM409" s="251" t="inlineStr">
        <is>
          <t>ASUB</t>
        </is>
      </c>
      <c r="BN409" s="337" t="inlineStr">
        <is>
          <t>Lixiviación</t>
        </is>
      </c>
      <c r="BO409" s="251" t="inlineStr">
        <is>
          <t>SI</t>
        </is>
      </c>
      <c r="BP409" s="106" t="inlineStr">
        <is>
          <t>LPDC-04 LIXIVIACIÓN/ASUB</t>
        </is>
      </c>
      <c r="BQ409" s="106">
        <f>VLOOKUP(BP409,[1]AGUA!$1:$1048576,2,FALSE)</f>
        <v/>
      </c>
      <c r="BR409" s="106">
        <f>VLOOKUP(BP409,[1]AGUA!$1:$1048576,6,FALSE)</f>
        <v/>
      </c>
      <c r="BS409" s="106">
        <f>VLOOKUP(BP409,[1]AGUA!$1:$1048576,7,FALSE)</f>
        <v/>
      </c>
      <c r="BT409" s="106" t="n"/>
      <c r="BU409" s="377" t="n"/>
      <c r="BV409" s="105" t="n"/>
      <c r="BW409" s="105" t="n"/>
      <c r="BX409" s="105" t="n"/>
      <c r="BY409" s="107" t="n">
        <v>1</v>
      </c>
      <c r="BZ409" s="105" t="n"/>
      <c r="CA409" s="125" t="n"/>
      <c r="CB409" s="105" t="n"/>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24">
        <f>+COUNTA(BV409:CY409)</f>
        <v/>
      </c>
      <c r="DA409" s="251" t="n"/>
      <c r="DB409" s="251" t="n"/>
      <c r="DC409" s="251" t="n"/>
      <c r="DD409" s="251" t="n"/>
      <c r="DE409" s="251" t="n"/>
      <c r="DF409" s="251" t="n"/>
      <c r="DG409" s="251" t="n"/>
      <c r="DH409" s="251" t="n"/>
      <c r="DI409" s="251" t="n"/>
      <c r="DJ409" s="251" t="n"/>
      <c r="DK409" s="251" t="n"/>
      <c r="DL409" s="95" t="n"/>
      <c r="DM409" s="251" t="inlineStr">
        <is>
          <t>M</t>
        </is>
      </c>
      <c r="DN409" s="95" t="n">
        <v>1</v>
      </c>
      <c r="DO409" s="95" t="n">
        <v>7</v>
      </c>
    </row>
    <row r="410" ht="13" customHeight="1">
      <c r="A410" s="218" t="inlineStr">
        <is>
          <t>LPDC-05</t>
        </is>
      </c>
      <c r="B410" s="305" t="inlineStr">
        <is>
          <t>LPDC-05 LIXIVIACIÓN</t>
        </is>
      </c>
      <c r="C410" s="251"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2" t="inlineStr">
        <is>
          <t>430LPDC-05</t>
        </is>
      </c>
      <c r="BL410" s="7" t="inlineStr">
        <is>
          <t>LIXIVIACIÓN</t>
        </is>
      </c>
      <c r="BM410" s="251" t="inlineStr">
        <is>
          <t>NF</t>
        </is>
      </c>
      <c r="BN410" s="337" t="inlineStr">
        <is>
          <t>Lixiviación</t>
        </is>
      </c>
      <c r="BO410" s="251" t="inlineStr">
        <is>
          <t>SI</t>
        </is>
      </c>
      <c r="BP410" s="106" t="inlineStr">
        <is>
          <t>LPDC-05 LIXIVIACIÓN/NF</t>
        </is>
      </c>
      <c r="BQ410" s="106">
        <f>VLOOKUP(BP410,[1]AGUA!$1:$1048576,2,FALSE)</f>
        <v/>
      </c>
      <c r="BR410" s="106">
        <f>VLOOKUP(BP410,[1]AGUA!$1:$1048576,6,FALSE)</f>
        <v/>
      </c>
      <c r="BS410" s="106">
        <f>VLOOKUP(BP410,[1]AGUA!$1:$1048576,7,FALSE)</f>
        <v/>
      </c>
      <c r="BT410" s="106" t="n"/>
      <c r="BU410" s="253" t="inlineStr">
        <is>
          <t>PTOS SS, CHEQUEAR
Programar a principio de mes, ya que se reportan hasta el 10 de cada mes.</t>
        </is>
      </c>
      <c r="BV410" s="105" t="n"/>
      <c r="BW410" s="105" t="n"/>
      <c r="BX410" s="105" t="n"/>
      <c r="BY410" s="142" t="n">
        <v>1</v>
      </c>
      <c r="BZ410" s="105" t="n"/>
      <c r="CA410" s="125" t="n"/>
      <c r="CB410" s="105" t="n"/>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24">
        <f>+COUNTA(BV410:CY410)</f>
        <v/>
      </c>
      <c r="DA410" s="251" t="n"/>
      <c r="DB410" s="251" t="n"/>
      <c r="DC410" s="251" t="n"/>
      <c r="DD410" s="251" t="n"/>
      <c r="DE410" s="251" t="n"/>
      <c r="DF410" s="251" t="n"/>
      <c r="DG410" s="251" t="n"/>
      <c r="DH410" s="251" t="n"/>
      <c r="DI410" s="251" t="n"/>
      <c r="DJ410" s="251" t="inlineStr">
        <is>
          <t>M</t>
        </is>
      </c>
      <c r="DK410" s="251" t="n">
        <v>1</v>
      </c>
      <c r="DL410" s="95" t="n">
        <v>7</v>
      </c>
      <c r="DM410" s="251" t="n"/>
      <c r="DN410" s="95" t="n"/>
      <c r="DO410" s="95" t="n"/>
    </row>
    <row r="411" ht="13" customHeight="1">
      <c r="A411" s="218" t="inlineStr">
        <is>
          <t>LPDC-05</t>
        </is>
      </c>
      <c r="B411" s="376" t="n"/>
      <c r="C411" s="376"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76" t="n"/>
      <c r="BL411" s="7" t="inlineStr">
        <is>
          <t>LIXIVIACIÓN</t>
        </is>
      </c>
      <c r="BM411" s="251" t="inlineStr">
        <is>
          <t>ASUB</t>
        </is>
      </c>
      <c r="BN411" s="337" t="inlineStr">
        <is>
          <t>Lixiviación</t>
        </is>
      </c>
      <c r="BO411" s="251" t="inlineStr">
        <is>
          <t>SI</t>
        </is>
      </c>
      <c r="BP411" s="106" t="inlineStr">
        <is>
          <t>LPDC-05 LIXIVIACIÓN/ASUB</t>
        </is>
      </c>
      <c r="BQ411" s="106">
        <f>VLOOKUP(BP411,[1]AGUA!$1:$1048576,2,FALSE)</f>
        <v/>
      </c>
      <c r="BR411" s="106">
        <f>VLOOKUP(BP411,[1]AGUA!$1:$1048576,6,FALSE)</f>
        <v/>
      </c>
      <c r="BS411" s="106">
        <f>VLOOKUP(BP411,[1]AGUA!$1:$1048576,7,FALSE)</f>
        <v/>
      </c>
      <c r="BT411" s="106" t="n"/>
      <c r="BU411" s="377" t="n"/>
      <c r="BV411" s="105" t="n"/>
      <c r="BW411" s="105" t="n"/>
      <c r="BX411" s="105" t="n"/>
      <c r="BY411" s="107" t="n">
        <v>1</v>
      </c>
      <c r="BZ411" s="105" t="n"/>
      <c r="CA411" s="125" t="n"/>
      <c r="CB411" s="105" t="n"/>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24">
        <f>+COUNTA(BV411:CY411)</f>
        <v/>
      </c>
      <c r="DA411" s="251" t="n"/>
      <c r="DB411" s="251" t="n"/>
      <c r="DC411" s="251" t="n"/>
      <c r="DD411" s="251" t="n"/>
      <c r="DE411" s="251" t="n"/>
      <c r="DF411" s="251" t="n"/>
      <c r="DG411" s="251" t="n"/>
      <c r="DH411" s="251" t="n"/>
      <c r="DI411" s="251" t="n"/>
      <c r="DJ411" s="251" t="n"/>
      <c r="DK411" s="251" t="n"/>
      <c r="DL411" s="95" t="n"/>
      <c r="DM411" s="251" t="inlineStr">
        <is>
          <t>M</t>
        </is>
      </c>
      <c r="DN411" s="95" t="n">
        <v>1</v>
      </c>
      <c r="DO411" s="95" t="n">
        <v>7</v>
      </c>
    </row>
    <row r="412" ht="13" customHeight="1">
      <c r="A412" s="218" t="inlineStr">
        <is>
          <t>LPDC-06</t>
        </is>
      </c>
      <c r="B412" s="305" t="inlineStr">
        <is>
          <t>LPDC-06 LIXIVIACIÓN</t>
        </is>
      </c>
      <c r="C412" s="251"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2" t="inlineStr">
        <is>
          <t>430LPDC-06</t>
        </is>
      </c>
      <c r="BL412" s="7" t="inlineStr">
        <is>
          <t>LIXIVIACIÓN</t>
        </is>
      </c>
      <c r="BM412" s="251" t="inlineStr">
        <is>
          <t>NF</t>
        </is>
      </c>
      <c r="BN412" s="337" t="inlineStr">
        <is>
          <t>Lixiviación</t>
        </is>
      </c>
      <c r="BO412" s="251" t="inlineStr">
        <is>
          <t>SI</t>
        </is>
      </c>
      <c r="BP412" s="106" t="inlineStr">
        <is>
          <t>LPDC-06 LIXIVIACIÓN/NF</t>
        </is>
      </c>
      <c r="BQ412" s="106">
        <f>VLOOKUP(BP412,[1]AGUA!$1:$1048576,2,FALSE)</f>
        <v/>
      </c>
      <c r="BR412" s="106">
        <f>VLOOKUP(BP412,[1]AGUA!$1:$1048576,6,FALSE)</f>
        <v/>
      </c>
      <c r="BS412" s="106">
        <f>VLOOKUP(BP412,[1]AGUA!$1:$1048576,7,FALSE)</f>
        <v/>
      </c>
      <c r="BT412" s="106" t="n"/>
      <c r="BU412" s="253" t="inlineStr">
        <is>
          <t>PTOS SS, CHEQUEAR
Programar a principio de mes, ya que se reportan hasta el 10 de cada mes.</t>
        </is>
      </c>
      <c r="BV412" s="105" t="n"/>
      <c r="BW412" s="105" t="n"/>
      <c r="BX412" s="105" t="n"/>
      <c r="BY412" s="142" t="n">
        <v>1</v>
      </c>
      <c r="BZ412" s="105" t="n"/>
      <c r="CA412" s="125" t="n"/>
      <c r="CB412" s="105" t="n"/>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24">
        <f>+COUNTA(BV412:CY412)</f>
        <v/>
      </c>
      <c r="DA412" s="251" t="n"/>
      <c r="DB412" s="251" t="n"/>
      <c r="DC412" s="251" t="n"/>
      <c r="DD412" s="251" t="n"/>
      <c r="DE412" s="251" t="n"/>
      <c r="DF412" s="251" t="n"/>
      <c r="DG412" s="251" t="n"/>
      <c r="DH412" s="251" t="n"/>
      <c r="DI412" s="251" t="n"/>
      <c r="DJ412" s="251" t="inlineStr">
        <is>
          <t>M</t>
        </is>
      </c>
      <c r="DK412" s="251" t="n">
        <v>1</v>
      </c>
      <c r="DL412" s="95" t="n">
        <v>7</v>
      </c>
      <c r="DM412" s="251" t="n"/>
      <c r="DN412" s="95" t="n"/>
      <c r="DO412" s="95" t="n"/>
    </row>
    <row r="413" ht="13" customHeight="1">
      <c r="A413" s="218" t="inlineStr">
        <is>
          <t>LPDC-06</t>
        </is>
      </c>
      <c r="B413" s="376" t="n"/>
      <c r="C413" s="376"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76" t="n"/>
      <c r="BL413" s="7" t="inlineStr">
        <is>
          <t>LIXIVIACIÓN</t>
        </is>
      </c>
      <c r="BM413" s="251" t="inlineStr">
        <is>
          <t>ASUB</t>
        </is>
      </c>
      <c r="BN413" s="337" t="inlineStr">
        <is>
          <t>Lixiviación</t>
        </is>
      </c>
      <c r="BO413" s="251" t="inlineStr">
        <is>
          <t>SI</t>
        </is>
      </c>
      <c r="BP413" s="106" t="inlineStr">
        <is>
          <t>LPDC-06 LIXIVIACIÓN/ASUB</t>
        </is>
      </c>
      <c r="BQ413" s="106">
        <f>VLOOKUP(BP413,[1]AGUA!$1:$1048576,2,FALSE)</f>
        <v/>
      </c>
      <c r="BR413" s="106">
        <f>VLOOKUP(BP413,[1]AGUA!$1:$1048576,6,FALSE)</f>
        <v/>
      </c>
      <c r="BS413" s="106">
        <f>VLOOKUP(BP413,[1]AGUA!$1:$1048576,7,FALSE)</f>
        <v/>
      </c>
      <c r="BT413" s="106" t="n"/>
      <c r="BU413" s="377" t="n"/>
      <c r="BV413" s="105" t="n"/>
      <c r="BW413" s="105" t="n"/>
      <c r="BX413" s="105" t="n"/>
      <c r="BY413" s="107" t="n">
        <v>1</v>
      </c>
      <c r="BZ413" s="105" t="n"/>
      <c r="CA413" s="125" t="n"/>
      <c r="CB413" s="105" t="n"/>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24">
        <f>+COUNTA(BV413:CY413)</f>
        <v/>
      </c>
      <c r="DA413" s="251" t="n"/>
      <c r="DB413" s="251" t="n"/>
      <c r="DC413" s="251" t="n"/>
      <c r="DD413" s="251" t="n"/>
      <c r="DE413" s="251" t="n"/>
      <c r="DF413" s="251" t="n"/>
      <c r="DG413" s="251" t="n"/>
      <c r="DH413" s="251" t="n"/>
      <c r="DI413" s="251" t="n"/>
      <c r="DJ413" s="251" t="n"/>
      <c r="DK413" s="251" t="n"/>
      <c r="DL413" s="95" t="n"/>
      <c r="DM413" s="251" t="inlineStr">
        <is>
          <t>M</t>
        </is>
      </c>
      <c r="DN413" s="95" t="n">
        <v>1</v>
      </c>
      <c r="DO413" s="95" t="n">
        <v>7</v>
      </c>
    </row>
    <row r="414" ht="13" customHeight="1">
      <c r="A414" s="203" t="inlineStr">
        <is>
          <t>LPDC-07</t>
        </is>
      </c>
      <c r="B414" s="305" t="inlineStr">
        <is>
          <t>LPDC-07 LIXIVIACIÓN</t>
        </is>
      </c>
      <c r="C414" s="251"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2" t="inlineStr">
        <is>
          <t>430LPDC-07</t>
        </is>
      </c>
      <c r="BL414" s="7" t="inlineStr">
        <is>
          <t>LIXIVIACIÓN</t>
        </is>
      </c>
      <c r="BM414" s="251" t="inlineStr">
        <is>
          <t>NF</t>
        </is>
      </c>
      <c r="BN414" s="337" t="inlineStr">
        <is>
          <t>Lixiviación</t>
        </is>
      </c>
      <c r="BO414" s="251" t="inlineStr">
        <is>
          <t>SI</t>
        </is>
      </c>
      <c r="BP414" s="106" t="inlineStr">
        <is>
          <t>LPDC-07 LIXIVIACIÓN/NF</t>
        </is>
      </c>
      <c r="BQ414" s="106">
        <f>VLOOKUP(BP414,[1]AGUA!$1:$1048576,2,FALSE)</f>
        <v/>
      </c>
      <c r="BR414" s="106">
        <f>VLOOKUP(BP414,[1]AGUA!$1:$1048576,6,FALSE)</f>
        <v/>
      </c>
      <c r="BS414" s="106">
        <f>VLOOKUP(BP414,[1]AGUA!$1:$1048576,7,FALSE)</f>
        <v/>
      </c>
      <c r="BT414" s="106" t="n"/>
      <c r="BU414" s="332" t="inlineStr">
        <is>
          <t>Con muestras
Programar a principio de mes, ya que se reportan hasta el 10 de cada mes.</t>
        </is>
      </c>
      <c r="BV414" s="105" t="n"/>
      <c r="BW414" s="105" t="n"/>
      <c r="BX414" s="105" t="n"/>
      <c r="BY414" s="7" t="n"/>
      <c r="BZ414" s="142" t="n">
        <v>1</v>
      </c>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24">
        <f>+COUNTA(BV414:CY414)</f>
        <v/>
      </c>
      <c r="DA414" s="251" t="n"/>
      <c r="DB414" s="251" t="n"/>
      <c r="DC414" s="251" t="n"/>
      <c r="DD414" s="251" t="n"/>
      <c r="DE414" s="251" t="n"/>
      <c r="DF414" s="251" t="n"/>
      <c r="DG414" s="251" t="n"/>
      <c r="DH414" s="251" t="n"/>
      <c r="DI414" s="251" t="n"/>
      <c r="DJ414" s="251" t="inlineStr">
        <is>
          <t>M</t>
        </is>
      </c>
      <c r="DK414" s="251" t="n">
        <v>1</v>
      </c>
      <c r="DL414" s="95" t="n">
        <v>7</v>
      </c>
      <c r="DM414" s="251" t="n"/>
      <c r="DN414" s="95" t="n"/>
      <c r="DO414" s="95" t="n"/>
    </row>
    <row r="415" ht="13" customHeight="1">
      <c r="A415" s="203" t="inlineStr">
        <is>
          <t>LPDC-07</t>
        </is>
      </c>
      <c r="B415" s="376" t="n"/>
      <c r="C415" s="376"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76" t="n"/>
      <c r="BL415" s="7" t="inlineStr">
        <is>
          <t>LIXIVIACIÓN</t>
        </is>
      </c>
      <c r="BM415" s="251" t="inlineStr">
        <is>
          <t>ASUB</t>
        </is>
      </c>
      <c r="BN415" s="337" t="inlineStr">
        <is>
          <t>Lixiviación</t>
        </is>
      </c>
      <c r="BO415" s="251" t="inlineStr">
        <is>
          <t>SI</t>
        </is>
      </c>
      <c r="BP415" s="106" t="inlineStr">
        <is>
          <t>LPDC-07 LIXIVIACIÓN/ASUB</t>
        </is>
      </c>
      <c r="BQ415" s="106">
        <f>VLOOKUP(BP415,[1]AGUA!$1:$1048576,2,FALSE)</f>
        <v/>
      </c>
      <c r="BR415" s="106">
        <f>VLOOKUP(BP415,[1]AGUA!$1:$1048576,6,FALSE)</f>
        <v/>
      </c>
      <c r="BS415" s="106">
        <f>VLOOKUP(BP415,[1]AGUA!$1:$1048576,7,FALSE)</f>
        <v/>
      </c>
      <c r="BT415" s="106" t="n"/>
      <c r="BU415" s="377" t="n"/>
      <c r="BV415" s="105" t="n"/>
      <c r="BW415" s="105" t="n"/>
      <c r="BX415" s="105" t="n"/>
      <c r="BY415" s="7" t="n"/>
      <c r="BZ415" s="107" t="n">
        <v>1</v>
      </c>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24">
        <f>+COUNTA(BV415:CY415)</f>
        <v/>
      </c>
      <c r="DA415" s="251" t="n"/>
      <c r="DB415" s="251" t="n"/>
      <c r="DC415" s="251" t="n"/>
      <c r="DD415" s="251" t="n"/>
      <c r="DE415" s="251" t="n"/>
      <c r="DF415" s="251" t="n"/>
      <c r="DG415" s="251" t="n"/>
      <c r="DH415" s="251" t="n"/>
      <c r="DI415" s="251" t="n"/>
      <c r="DJ415" s="251" t="n"/>
      <c r="DK415" s="251" t="n"/>
      <c r="DL415" s="95" t="n"/>
      <c r="DM415" s="251" t="inlineStr">
        <is>
          <t>M</t>
        </is>
      </c>
      <c r="DN415" s="95" t="n">
        <v>1</v>
      </c>
      <c r="DO415" s="95" t="n">
        <v>7</v>
      </c>
    </row>
    <row r="416" ht="13" customHeight="1">
      <c r="A416" s="203" t="inlineStr">
        <is>
          <t>LPDC-08</t>
        </is>
      </c>
      <c r="B416" s="305" t="inlineStr">
        <is>
          <t>LPDC-08 LIXIVIACIÓN</t>
        </is>
      </c>
      <c r="C416" s="251"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2" t="inlineStr">
        <is>
          <t>430LPDC-08</t>
        </is>
      </c>
      <c r="BL416" s="7" t="inlineStr">
        <is>
          <t>LIXIVIACIÓN</t>
        </is>
      </c>
      <c r="BM416" s="251" t="inlineStr">
        <is>
          <t>NF</t>
        </is>
      </c>
      <c r="BN416" s="337" t="inlineStr">
        <is>
          <t>Lixiviación</t>
        </is>
      </c>
      <c r="BO416" s="251" t="inlineStr">
        <is>
          <t>SI</t>
        </is>
      </c>
      <c r="BP416" s="106" t="inlineStr">
        <is>
          <t>LPDC-08 LIXIVIACIÓN/NF</t>
        </is>
      </c>
      <c r="BQ416" s="106">
        <f>VLOOKUP(BP416,[1]AGUA!$1:$1048576,2,FALSE)</f>
        <v/>
      </c>
      <c r="BR416" s="106">
        <f>VLOOKUP(BP416,[1]AGUA!$1:$1048576,6,FALSE)</f>
        <v/>
      </c>
      <c r="BS416" s="106">
        <f>VLOOKUP(BP416,[1]AGUA!$1:$1048576,7,FALSE)</f>
        <v/>
      </c>
      <c r="BT416" s="106" t="n"/>
      <c r="BU416" s="332" t="inlineStr">
        <is>
          <t>Con muestras
Programar a principio de mes, ya que se reportan hasta el 10 de cada mes.</t>
        </is>
      </c>
      <c r="BV416" s="105" t="n"/>
      <c r="BW416" s="105" t="n"/>
      <c r="BX416" s="105" t="n"/>
      <c r="BY416" s="7" t="n"/>
      <c r="BZ416" s="142" t="n">
        <v>1</v>
      </c>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24">
        <f>+COUNTA(BV416:CY416)</f>
        <v/>
      </c>
      <c r="DA416" s="251" t="n"/>
      <c r="DB416" s="251" t="n"/>
      <c r="DC416" s="251" t="n"/>
      <c r="DD416" s="251" t="n"/>
      <c r="DE416" s="251" t="n"/>
      <c r="DF416" s="251" t="n"/>
      <c r="DG416" s="251" t="n"/>
      <c r="DH416" s="251" t="n"/>
      <c r="DI416" s="251" t="n"/>
      <c r="DJ416" s="251" t="inlineStr">
        <is>
          <t>M</t>
        </is>
      </c>
      <c r="DK416" s="251" t="n">
        <v>1</v>
      </c>
      <c r="DL416" s="95" t="n">
        <v>7</v>
      </c>
      <c r="DM416" s="251" t="n"/>
      <c r="DN416" s="95" t="n"/>
      <c r="DO416" s="95" t="n"/>
    </row>
    <row r="417" ht="13" customHeight="1">
      <c r="A417" s="203" t="inlineStr">
        <is>
          <t>LPDC-08</t>
        </is>
      </c>
      <c r="B417" s="376" t="n"/>
      <c r="C417" s="376"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76" t="n"/>
      <c r="BL417" s="7" t="inlineStr">
        <is>
          <t>LIXIVIACIÓN</t>
        </is>
      </c>
      <c r="BM417" s="251" t="inlineStr">
        <is>
          <t>ASUB</t>
        </is>
      </c>
      <c r="BN417" s="337" t="inlineStr">
        <is>
          <t>Lixiviación</t>
        </is>
      </c>
      <c r="BO417" s="251" t="inlineStr">
        <is>
          <t>SI</t>
        </is>
      </c>
      <c r="BP417" s="106" t="inlineStr">
        <is>
          <t>LPDC-08 LIXIVIACIÓN/ASUB</t>
        </is>
      </c>
      <c r="BQ417" s="106">
        <f>VLOOKUP(BP417,[1]AGUA!$1:$1048576,2,FALSE)</f>
        <v/>
      </c>
      <c r="BR417" s="106">
        <f>VLOOKUP(BP417,[1]AGUA!$1:$1048576,6,FALSE)</f>
        <v/>
      </c>
      <c r="BS417" s="106">
        <f>VLOOKUP(BP417,[1]AGUA!$1:$1048576,7,FALSE)</f>
        <v/>
      </c>
      <c r="BT417" s="106" t="n"/>
      <c r="BU417" s="377" t="n"/>
      <c r="BV417" s="105" t="n"/>
      <c r="BW417" s="105" t="n"/>
      <c r="BX417" s="105" t="n"/>
      <c r="BY417" s="7" t="n"/>
      <c r="BZ417" s="107" t="n">
        <v>1</v>
      </c>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24">
        <f>+COUNTA(BV417:CY417)</f>
        <v/>
      </c>
      <c r="DA417" s="251" t="n"/>
      <c r="DB417" s="251" t="n"/>
      <c r="DC417" s="251" t="n"/>
      <c r="DD417" s="251" t="n"/>
      <c r="DE417" s="251" t="n"/>
      <c r="DF417" s="251" t="n"/>
      <c r="DG417" s="251" t="n"/>
      <c r="DH417" s="251" t="n"/>
      <c r="DI417" s="251" t="n"/>
      <c r="DJ417" s="251" t="n"/>
      <c r="DK417" s="251" t="n"/>
      <c r="DL417" s="95" t="n"/>
      <c r="DM417" s="251" t="inlineStr">
        <is>
          <t>M</t>
        </is>
      </c>
      <c r="DN417" s="95" t="n">
        <v>1</v>
      </c>
      <c r="DO417" s="95" t="n">
        <v>7</v>
      </c>
    </row>
    <row r="418" ht="13" customHeight="1">
      <c r="A418" s="203" t="inlineStr">
        <is>
          <t>LPDC-09</t>
        </is>
      </c>
      <c r="B418" s="305" t="inlineStr">
        <is>
          <t>LPDC-09 LIXIVIACIÓN</t>
        </is>
      </c>
      <c r="C418" s="251"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2" t="inlineStr">
        <is>
          <t>LPDC-09</t>
        </is>
      </c>
      <c r="BL418" s="7" t="inlineStr">
        <is>
          <t>LIXIVIACIÓN</t>
        </is>
      </c>
      <c r="BM418" s="251" t="inlineStr">
        <is>
          <t>NF</t>
        </is>
      </c>
      <c r="BN418" s="337" t="inlineStr">
        <is>
          <t>Lixiviación</t>
        </is>
      </c>
      <c r="BO418" s="251" t="inlineStr">
        <is>
          <t>SI</t>
        </is>
      </c>
      <c r="BP418" s="106" t="inlineStr">
        <is>
          <t>LPDC-09 LIXIVIACIÓN/NF</t>
        </is>
      </c>
      <c r="BQ418" s="106">
        <f>VLOOKUP(BP418,[1]AGUA!$1:$1048576,2,FALSE)</f>
        <v/>
      </c>
      <c r="BR418" s="106">
        <f>VLOOKUP(BP418,[1]AGUA!$1:$1048576,6,FALSE)</f>
        <v/>
      </c>
      <c r="BS418" s="106">
        <f>VLOOKUP(BP418,[1]AGUA!$1:$1048576,7,FALSE)</f>
        <v/>
      </c>
      <c r="BT418" s="106" t="n"/>
      <c r="BU418" s="253" t="inlineStr">
        <is>
          <t>PTOS SS, CHEQUEAR
Programar a principio de mes, ya que se reportan hasta el 10 de cada mes.</t>
        </is>
      </c>
      <c r="BV418" s="105" t="n"/>
      <c r="BW418" s="105" t="n"/>
      <c r="BX418" s="105" t="n"/>
      <c r="BY418" s="142" t="n">
        <v>1</v>
      </c>
      <c r="BZ418" s="105" t="n"/>
      <c r="CA418" s="125" t="n"/>
      <c r="CB418" s="105" t="n"/>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24">
        <f>+COUNTA(BV418:CY418)</f>
        <v/>
      </c>
      <c r="DA418" s="251" t="n"/>
      <c r="DB418" s="251" t="n"/>
      <c r="DC418" s="251" t="n"/>
      <c r="DD418" s="251" t="n"/>
      <c r="DE418" s="251" t="n"/>
      <c r="DF418" s="251" t="n"/>
      <c r="DG418" s="251" t="n"/>
      <c r="DH418" s="251" t="n"/>
      <c r="DI418" s="251" t="n"/>
      <c r="DJ418" s="251" t="inlineStr">
        <is>
          <t>M</t>
        </is>
      </c>
      <c r="DK418" s="251" t="n">
        <v>1</v>
      </c>
      <c r="DL418" s="95" t="n">
        <v>7</v>
      </c>
      <c r="DM418" s="251" t="n"/>
      <c r="DN418" s="95" t="n"/>
      <c r="DO418" s="95" t="n"/>
    </row>
    <row r="419" ht="13" customHeight="1">
      <c r="A419" s="203" t="inlineStr">
        <is>
          <t>LPDC-09</t>
        </is>
      </c>
      <c r="B419" s="376" t="n"/>
      <c r="C419" s="376"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76" t="n"/>
      <c r="BL419" s="7" t="inlineStr">
        <is>
          <t>LIXIVIACIÓN</t>
        </is>
      </c>
      <c r="BM419" s="251" t="inlineStr">
        <is>
          <t>ASUB</t>
        </is>
      </c>
      <c r="BN419" s="337" t="inlineStr">
        <is>
          <t>Lixiviación</t>
        </is>
      </c>
      <c r="BO419" s="251" t="inlineStr">
        <is>
          <t>SI</t>
        </is>
      </c>
      <c r="BP419" s="106" t="inlineStr">
        <is>
          <t>LPDC-09 LIXIVIACIÓN/ASUB</t>
        </is>
      </c>
      <c r="BQ419" s="106">
        <f>VLOOKUP(BP419,[1]AGUA!$1:$1048576,2,FALSE)</f>
        <v/>
      </c>
      <c r="BR419" s="106">
        <f>VLOOKUP(BP419,[1]AGUA!$1:$1048576,6,FALSE)</f>
        <v/>
      </c>
      <c r="BS419" s="106">
        <f>VLOOKUP(BP419,[1]AGUA!$1:$1048576,7,FALSE)</f>
        <v/>
      </c>
      <c r="BT419" s="106" t="n"/>
      <c r="BU419" s="377" t="n"/>
      <c r="BV419" s="105" t="n"/>
      <c r="BW419" s="105" t="n"/>
      <c r="BX419" s="105" t="n"/>
      <c r="BY419" s="107" t="n">
        <v>1</v>
      </c>
      <c r="BZ419" s="105" t="n"/>
      <c r="CA419" s="125" t="n"/>
      <c r="CB419" s="105" t="n"/>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24">
        <f>+COUNTA(BV419:CY419)</f>
        <v/>
      </c>
      <c r="DA419" s="251" t="n"/>
      <c r="DB419" s="251" t="n"/>
      <c r="DC419" s="251" t="n"/>
      <c r="DD419" s="251" t="n"/>
      <c r="DE419" s="251" t="n"/>
      <c r="DF419" s="251" t="n"/>
      <c r="DG419" s="251" t="n"/>
      <c r="DH419" s="251" t="n"/>
      <c r="DI419" s="251" t="n"/>
      <c r="DJ419" s="251" t="n"/>
      <c r="DK419" s="251" t="n"/>
      <c r="DL419" s="95" t="n"/>
      <c r="DM419" s="251" t="inlineStr">
        <is>
          <t>M</t>
        </is>
      </c>
      <c r="DN419" s="95" t="n">
        <v>1</v>
      </c>
      <c r="DO419" s="95" t="n">
        <v>7</v>
      </c>
    </row>
    <row r="420" ht="13" customHeight="1">
      <c r="A420" s="203" t="inlineStr">
        <is>
          <t>LPDC-10</t>
        </is>
      </c>
      <c r="B420" s="305" t="inlineStr">
        <is>
          <t>LPDC-10 LIXIVIACIÓN</t>
        </is>
      </c>
      <c r="C420" s="251"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2" t="inlineStr">
        <is>
          <t>LPDC-10</t>
        </is>
      </c>
      <c r="BL420" s="7" t="inlineStr">
        <is>
          <t>LIXIVIACIÓN</t>
        </is>
      </c>
      <c r="BM420" s="251" t="inlineStr">
        <is>
          <t>NF</t>
        </is>
      </c>
      <c r="BN420" s="337" t="inlineStr">
        <is>
          <t>Lixiviación</t>
        </is>
      </c>
      <c r="BO420" s="251" t="inlineStr">
        <is>
          <t>SI</t>
        </is>
      </c>
      <c r="BP420" s="106" t="inlineStr">
        <is>
          <t>LPDC-10 LIXIVIACIÓN/NF</t>
        </is>
      </c>
      <c r="BQ420" s="106">
        <f>VLOOKUP(BP420,[1]AGUA!$1:$1048576,2,FALSE)</f>
        <v/>
      </c>
      <c r="BR420" s="106">
        <f>VLOOKUP(BP420,[1]AGUA!$1:$1048576,6,FALSE)</f>
        <v/>
      </c>
      <c r="BS420" s="106">
        <f>VLOOKUP(BP420,[1]AGUA!$1:$1048576,7,FALSE)</f>
        <v/>
      </c>
      <c r="BT420" s="106" t="n"/>
      <c r="BU420" s="253" t="inlineStr">
        <is>
          <t>PTOS SS, CHEQUEAR
Programar a principio de mes, ya que se reportan hasta el 10 de cada mes.</t>
        </is>
      </c>
      <c r="BV420" s="105" t="n"/>
      <c r="BW420" s="105" t="n"/>
      <c r="BX420" s="105" t="n"/>
      <c r="BY420" s="142" t="n">
        <v>1</v>
      </c>
      <c r="BZ420" s="105" t="n"/>
      <c r="CA420" s="125" t="n"/>
      <c r="CB420" s="105" t="n"/>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24">
        <f>+COUNTA(BV420:CY420)</f>
        <v/>
      </c>
      <c r="DA420" s="251" t="n"/>
      <c r="DB420" s="251" t="n"/>
      <c r="DC420" s="251" t="n"/>
      <c r="DD420" s="251" t="n"/>
      <c r="DE420" s="251" t="n"/>
      <c r="DF420" s="251" t="n"/>
      <c r="DG420" s="251" t="n"/>
      <c r="DH420" s="251" t="n"/>
      <c r="DI420" s="251" t="n"/>
      <c r="DJ420" s="251" t="inlineStr">
        <is>
          <t>M</t>
        </is>
      </c>
      <c r="DK420" s="251" t="n">
        <v>1</v>
      </c>
      <c r="DL420" s="95" t="n">
        <v>7</v>
      </c>
      <c r="DM420" s="251" t="n"/>
      <c r="DN420" s="95" t="n"/>
      <c r="DO420" s="95" t="n"/>
    </row>
    <row r="421" ht="13" customHeight="1">
      <c r="A421" s="218" t="inlineStr">
        <is>
          <t>LPDC-10</t>
        </is>
      </c>
      <c r="B421" s="376" t="n"/>
      <c r="C421" s="376"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76" t="n"/>
      <c r="BL421" s="7" t="inlineStr">
        <is>
          <t>LIXIVIACIÓN</t>
        </is>
      </c>
      <c r="BM421" s="251" t="inlineStr">
        <is>
          <t>ASUB</t>
        </is>
      </c>
      <c r="BN421" s="337" t="inlineStr">
        <is>
          <t>Lixiviación</t>
        </is>
      </c>
      <c r="BO421" s="251" t="inlineStr">
        <is>
          <t>SI</t>
        </is>
      </c>
      <c r="BP421" s="106" t="inlineStr">
        <is>
          <t>LPDC-10 LIXIVIACIÓN/ASUB</t>
        </is>
      </c>
      <c r="BQ421" s="106">
        <f>VLOOKUP(BP421,[1]AGUA!$1:$1048576,2,FALSE)</f>
        <v/>
      </c>
      <c r="BR421" s="106">
        <f>VLOOKUP(BP421,[1]AGUA!$1:$1048576,6,FALSE)</f>
        <v/>
      </c>
      <c r="BS421" s="106">
        <f>VLOOKUP(BP421,[1]AGUA!$1:$1048576,7,FALSE)</f>
        <v/>
      </c>
      <c r="BT421" s="106" t="n"/>
      <c r="BU421" s="377" t="n"/>
      <c r="BV421" s="105" t="n"/>
      <c r="BW421" s="105" t="n"/>
      <c r="BX421" s="105" t="n"/>
      <c r="BY421" s="107" t="n">
        <v>1</v>
      </c>
      <c r="BZ421" s="105" t="n"/>
      <c r="CA421" s="125" t="n"/>
      <c r="CB421" s="105" t="n"/>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24">
        <f>+COUNTA(BV421:CY421)</f>
        <v/>
      </c>
      <c r="DA421" s="251" t="n"/>
      <c r="DB421" s="251" t="n"/>
      <c r="DC421" s="251" t="n"/>
      <c r="DD421" s="251" t="n"/>
      <c r="DE421" s="251" t="n"/>
      <c r="DF421" s="251" t="n"/>
      <c r="DG421" s="251" t="n"/>
      <c r="DH421" s="251" t="n"/>
      <c r="DI421" s="251" t="n"/>
      <c r="DJ421" s="251" t="n"/>
      <c r="DK421" s="251" t="n"/>
      <c r="DL421" s="95" t="n"/>
      <c r="DM421" s="251" t="inlineStr">
        <is>
          <t>M</t>
        </is>
      </c>
      <c r="DN421" s="95" t="n">
        <v>1</v>
      </c>
      <c r="DO421" s="95" t="n">
        <v>7</v>
      </c>
    </row>
    <row r="422" ht="13" customHeight="1">
      <c r="A422" s="203" t="inlineStr">
        <is>
          <t>LPDC-11</t>
        </is>
      </c>
      <c r="B422" s="305" t="inlineStr">
        <is>
          <t>LPDC-11 LIXIVIACIÓN</t>
        </is>
      </c>
      <c r="C422" s="251"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2" t="inlineStr">
        <is>
          <t>LPDC-11</t>
        </is>
      </c>
      <c r="BL422" s="7" t="inlineStr">
        <is>
          <t>LIXIVIACIÓN</t>
        </is>
      </c>
      <c r="BM422" s="251" t="inlineStr">
        <is>
          <t>NF</t>
        </is>
      </c>
      <c r="BN422" s="337" t="inlineStr">
        <is>
          <t>Lixiviación</t>
        </is>
      </c>
      <c r="BO422" s="251" t="inlineStr">
        <is>
          <t>SI</t>
        </is>
      </c>
      <c r="BP422" s="106" t="inlineStr">
        <is>
          <t>LPDC-11 LIXIVIACIÓN/NF</t>
        </is>
      </c>
      <c r="BQ422" s="106">
        <f>VLOOKUP(BP422,[1]AGUA!$1:$1048576,2,FALSE)</f>
        <v/>
      </c>
      <c r="BR422" s="106">
        <f>VLOOKUP(BP422,[1]AGUA!$1:$1048576,6,FALSE)</f>
        <v/>
      </c>
      <c r="BS422" s="106">
        <f>VLOOKUP(BP422,[1]AGUA!$1:$1048576,7,FALSE)</f>
        <v/>
      </c>
      <c r="BT422" s="106" t="n"/>
      <c r="BU422" s="332" t="inlineStr">
        <is>
          <t>PTOS SS, CHEQUEAR
Programar a principio de mes, ya que se reportan hasta el 10 de cada mes.</t>
        </is>
      </c>
      <c r="BV422" s="105" t="n"/>
      <c r="BW422" s="105" t="n"/>
      <c r="BX422" s="105" t="n"/>
      <c r="BY422" s="7" t="n"/>
      <c r="BZ422" s="142" t="n">
        <v>1</v>
      </c>
      <c r="CA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24">
        <f>+COUNTA(BV422:CY422)</f>
        <v/>
      </c>
      <c r="DA422" s="251" t="n"/>
      <c r="DB422" s="251" t="n"/>
      <c r="DC422" s="251" t="n"/>
      <c r="DD422" s="251" t="n"/>
      <c r="DE422" s="251" t="n"/>
      <c r="DF422" s="251" t="n"/>
      <c r="DG422" s="251" t="n"/>
      <c r="DH422" s="251" t="n"/>
      <c r="DI422" s="251" t="n"/>
      <c r="DJ422" s="251" t="inlineStr">
        <is>
          <t>M</t>
        </is>
      </c>
      <c r="DK422" s="251" t="n">
        <v>1</v>
      </c>
      <c r="DL422" s="95" t="n">
        <v>7</v>
      </c>
      <c r="DM422" s="251" t="n"/>
      <c r="DN422" s="95" t="n"/>
      <c r="DO422" s="95" t="n"/>
    </row>
    <row r="423" ht="13" customHeight="1">
      <c r="A423" s="203" t="inlineStr">
        <is>
          <t>LPDC-11</t>
        </is>
      </c>
      <c r="B423" s="376" t="n"/>
      <c r="C423" s="376"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76" t="n"/>
      <c r="BL423" s="7" t="inlineStr">
        <is>
          <t>LIXIVIACIÓN</t>
        </is>
      </c>
      <c r="BM423" s="251" t="inlineStr">
        <is>
          <t>ASUB</t>
        </is>
      </c>
      <c r="BN423" s="337" t="inlineStr">
        <is>
          <t>Lixiviación</t>
        </is>
      </c>
      <c r="BO423" s="251" t="inlineStr">
        <is>
          <t>SI</t>
        </is>
      </c>
      <c r="BP423" s="106" t="inlineStr">
        <is>
          <t>LPDC-11 LIXIVIACIÓN/ASUB</t>
        </is>
      </c>
      <c r="BQ423" s="106">
        <f>VLOOKUP(BP423,[1]AGUA!$1:$1048576,2,FALSE)</f>
        <v/>
      </c>
      <c r="BR423" s="106">
        <f>VLOOKUP(BP423,[1]AGUA!$1:$1048576,6,FALSE)</f>
        <v/>
      </c>
      <c r="BS423" s="106">
        <f>VLOOKUP(BP423,[1]AGUA!$1:$1048576,7,FALSE)</f>
        <v/>
      </c>
      <c r="BT423" s="106" t="n"/>
      <c r="BU423" s="377" t="n"/>
      <c r="BV423" s="105" t="n"/>
      <c r="BW423" s="105" t="n"/>
      <c r="BX423" s="105" t="n"/>
      <c r="BY423" s="7" t="n"/>
      <c r="BZ423" s="107" t="n">
        <v>1</v>
      </c>
      <c r="CA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24">
        <f>+COUNTA(BV423:CY423)</f>
        <v/>
      </c>
      <c r="DA423" s="251" t="n"/>
      <c r="DB423" s="251" t="n"/>
      <c r="DC423" s="251" t="n"/>
      <c r="DD423" s="251" t="n"/>
      <c r="DE423" s="251" t="n"/>
      <c r="DF423" s="251" t="n"/>
      <c r="DG423" s="251" t="n"/>
      <c r="DH423" s="251" t="n"/>
      <c r="DI423" s="251" t="n"/>
      <c r="DJ423" s="251" t="n"/>
      <c r="DK423" s="251" t="n"/>
      <c r="DL423" s="95" t="n"/>
      <c r="DM423" s="251" t="inlineStr">
        <is>
          <t>M</t>
        </is>
      </c>
      <c r="DN423" s="95" t="n">
        <v>1</v>
      </c>
      <c r="DO423" s="95" t="n">
        <v>7</v>
      </c>
    </row>
    <row r="424" ht="13" customHeight="1">
      <c r="A424" s="203" t="inlineStr">
        <is>
          <t>M-003</t>
        </is>
      </c>
      <c r="B424" s="305"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2" t="inlineStr">
        <is>
          <t>532MAM003</t>
        </is>
      </c>
      <c r="BL424" s="7" t="inlineStr">
        <is>
          <t>GMAP-SIGA</t>
        </is>
      </c>
      <c r="BM424" s="251" t="inlineStr">
        <is>
          <t>NF</t>
        </is>
      </c>
      <c r="BN424" s="337" t="inlineStr">
        <is>
          <t>Coposa Centro</t>
        </is>
      </c>
      <c r="BO424" s="251"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05" t="n"/>
      <c r="CQ424" s="105" t="n"/>
      <c r="CR424" s="105" t="n"/>
      <c r="CS424" s="105" t="n"/>
      <c r="CT424" s="105" t="n"/>
      <c r="CU424" s="105" t="n"/>
      <c r="CV424" s="105" t="n"/>
      <c r="CW424" s="105" t="n"/>
      <c r="CX424" s="105" t="n"/>
      <c r="CY424" s="105" t="n"/>
      <c r="CZ424" s="124">
        <f>+COUNTA(BV424:CY424)</f>
        <v/>
      </c>
      <c r="DA424" s="251" t="n"/>
      <c r="DB424" s="251" t="n"/>
      <c r="DC424" s="251" t="n"/>
      <c r="DD424" s="251" t="n"/>
      <c r="DE424" s="251" t="n"/>
      <c r="DF424" s="251" t="n"/>
      <c r="DG424" s="251" t="n"/>
      <c r="DH424" s="251" t="n"/>
      <c r="DI424" s="251" t="n"/>
      <c r="DJ424" s="251" t="inlineStr">
        <is>
          <t>M</t>
        </is>
      </c>
      <c r="DK424" s="251" t="n">
        <v>22</v>
      </c>
      <c r="DL424" s="95" t="n">
        <v>28</v>
      </c>
      <c r="DM424" s="251" t="n"/>
      <c r="DN424" s="95" t="n"/>
      <c r="DO424" s="95" t="n"/>
    </row>
    <row r="425" ht="13" customHeight="1">
      <c r="A425" s="203" t="inlineStr">
        <is>
          <t>M-04C</t>
        </is>
      </c>
      <c r="B425" s="305" t="inlineStr">
        <is>
          <t>M-04C LIXIVIACIÓN</t>
        </is>
      </c>
      <c r="C425" s="251"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1" t="inlineStr">
        <is>
          <t>532MAM04C</t>
        </is>
      </c>
      <c r="BL425" s="7" t="inlineStr">
        <is>
          <t>LIXIVIACIÓN</t>
        </is>
      </c>
      <c r="BM425" s="251" t="inlineStr">
        <is>
          <t>NF</t>
        </is>
      </c>
      <c r="BN425" s="337" t="inlineStr">
        <is>
          <t>Lixiviación</t>
        </is>
      </c>
      <c r="BO425" s="251" t="inlineStr">
        <is>
          <t>SI PAT TRANQUE</t>
        </is>
      </c>
      <c r="BP425" s="106" t="inlineStr">
        <is>
          <t>M-04C LIXIVIACIÓN/NF</t>
        </is>
      </c>
      <c r="BQ425" s="106">
        <f>VLOOKUP(BP425,[1]AGUA!$1:$1048576,2,FALSE)</f>
        <v/>
      </c>
      <c r="BR425" s="106">
        <f>VLOOKUP(BP425,[1]AGUA!$1:$1048576,6,FALSE)</f>
        <v/>
      </c>
      <c r="BS425" s="106">
        <f>VLOOKUP(BP425,[1]AGUA!$1:$1048576,7,FALSE)</f>
        <v/>
      </c>
      <c r="BT425" s="106" t="n"/>
      <c r="BU425" s="253" t="n"/>
      <c r="BV425" s="105" t="n"/>
      <c r="BW425" s="105" t="n"/>
      <c r="BX425" s="105" t="n"/>
      <c r="BY425" s="105" t="n"/>
      <c r="BZ425" s="105" t="n"/>
      <c r="CA425" s="142" t="n">
        <v>1</v>
      </c>
      <c r="CB425" s="105" t="n"/>
      <c r="CC425" s="105" t="n"/>
      <c r="CD425" s="105" t="n"/>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24">
        <f>+COUNTA(BV425:CY425)</f>
        <v/>
      </c>
      <c r="DA425" s="251" t="n"/>
      <c r="DB425" s="251" t="n"/>
      <c r="DC425" s="251" t="n"/>
      <c r="DD425" s="251" t="n"/>
      <c r="DE425" s="251" t="n"/>
      <c r="DF425" s="251" t="n"/>
      <c r="DG425" s="251" t="n"/>
      <c r="DH425" s="251" t="n"/>
      <c r="DI425" s="251" t="n"/>
      <c r="DJ425" s="251" t="inlineStr">
        <is>
          <t>M</t>
        </is>
      </c>
      <c r="DK425" s="251" t="n">
        <v>8</v>
      </c>
      <c r="DL425" s="95" t="n">
        <v>14</v>
      </c>
      <c r="DM425" s="251" t="n"/>
      <c r="DN425" s="95" t="n"/>
      <c r="DO425" s="95" t="n"/>
    </row>
    <row r="426" ht="13" customHeight="1">
      <c r="A426" s="203" t="inlineStr">
        <is>
          <t>M-04C</t>
        </is>
      </c>
      <c r="B426" s="376" t="n"/>
      <c r="C426" s="376"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76" t="n"/>
      <c r="BL426" s="7" t="inlineStr">
        <is>
          <t>LIXIVIACIÓN</t>
        </is>
      </c>
      <c r="BM426" s="251" t="inlineStr">
        <is>
          <t>ASUB</t>
        </is>
      </c>
      <c r="BN426" s="337" t="inlineStr">
        <is>
          <t>Lixiviación</t>
        </is>
      </c>
      <c r="BO426" s="251" t="inlineStr">
        <is>
          <t>SI PAT TRANQUE</t>
        </is>
      </c>
      <c r="BP426" s="106" t="inlineStr">
        <is>
          <t>M-04C LIXIVIACIÓN/ASUB</t>
        </is>
      </c>
      <c r="BQ426" s="106">
        <f>VLOOKUP(BP426,[1]AGUA!$1:$1048576,2,FALSE)</f>
        <v/>
      </c>
      <c r="BR426" s="106">
        <f>VLOOKUP(BP426,[1]AGUA!$1:$1048576,6,FALSE)</f>
        <v/>
      </c>
      <c r="BS426" s="106">
        <f>VLOOKUP(BP426,[1]AGUA!$1:$1048576,7,FALSE)</f>
        <v/>
      </c>
      <c r="BT426" s="106" t="n"/>
      <c r="BU426" s="377" t="n"/>
      <c r="BV426" s="105" t="n"/>
      <c r="BW426" s="105" t="n"/>
      <c r="BX426" s="105" t="n"/>
      <c r="BY426" s="105" t="n"/>
      <c r="BZ426" s="105" t="n"/>
      <c r="CA426" s="107" t="n">
        <v>1</v>
      </c>
      <c r="CB426" s="105" t="n"/>
      <c r="CC426" s="105" t="n"/>
      <c r="CD426" s="105" t="n"/>
      <c r="CE426" s="105" t="n"/>
      <c r="CF426" s="105" t="n"/>
      <c r="CG426" s="105" t="n"/>
      <c r="CH426" s="105" t="n"/>
      <c r="CI426" s="105"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24">
        <f>+COUNTA(BV426:CY426)</f>
        <v/>
      </c>
      <c r="DA426" s="251" t="n"/>
      <c r="DB426" s="251" t="n"/>
      <c r="DC426" s="251" t="n"/>
      <c r="DD426" s="251" t="n"/>
      <c r="DE426" s="251" t="n"/>
      <c r="DF426" s="251" t="n"/>
      <c r="DG426" s="251" t="n"/>
      <c r="DH426" s="251" t="n"/>
      <c r="DI426" s="251" t="n"/>
      <c r="DJ426" s="251" t="n"/>
      <c r="DK426" s="251" t="n"/>
      <c r="DL426" s="95" t="n"/>
      <c r="DM426" s="251" t="inlineStr">
        <is>
          <t>M</t>
        </is>
      </c>
      <c r="DN426" s="95" t="n">
        <v>8</v>
      </c>
      <c r="DO426" s="95" t="n">
        <v>14</v>
      </c>
    </row>
    <row r="427" ht="13" customHeight="1">
      <c r="A427" s="203" t="inlineStr">
        <is>
          <t>M-05</t>
        </is>
      </c>
      <c r="B427" s="305" t="inlineStr">
        <is>
          <t>M-05 LIXIVIACIÓN</t>
        </is>
      </c>
      <c r="C427" s="251"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1" t="inlineStr">
        <is>
          <t>532MAM05</t>
        </is>
      </c>
      <c r="BL427" s="7" t="inlineStr">
        <is>
          <t>LIXIVIACIÓN</t>
        </is>
      </c>
      <c r="BM427" s="251" t="inlineStr">
        <is>
          <t>NF</t>
        </is>
      </c>
      <c r="BN427" s="337" t="inlineStr">
        <is>
          <t>Lixiviación</t>
        </is>
      </c>
      <c r="BO427" s="251" t="inlineStr">
        <is>
          <t>SI</t>
        </is>
      </c>
      <c r="BP427" s="106" t="inlineStr">
        <is>
          <t>M-05 LIXIVIACIÓN/NF</t>
        </is>
      </c>
      <c r="BQ427" s="106">
        <f>VLOOKUP(BP427,[1]AGUA!$1:$1048576,2,FALSE)</f>
        <v/>
      </c>
      <c r="BR427" s="106">
        <f>VLOOKUP(BP427,[1]AGUA!$1:$1048576,6,FALSE)</f>
        <v/>
      </c>
      <c r="BS427" s="106">
        <f>VLOOKUP(BP427,[1]AGUA!$1:$1048576,7,FALSE)</f>
        <v/>
      </c>
      <c r="BT427" s="106" t="n"/>
      <c r="BU427" s="253" t="n"/>
      <c r="BV427" s="105" t="n"/>
      <c r="BW427" s="105" t="n"/>
      <c r="BX427" s="105" t="n"/>
      <c r="BY427" s="105" t="n"/>
      <c r="BZ427" s="105" t="n"/>
      <c r="CA427" s="105" t="n"/>
      <c r="CB427" s="105" t="n"/>
      <c r="CC427" s="105" t="n"/>
      <c r="CD427" s="105" t="n"/>
      <c r="CE427" s="105" t="n"/>
      <c r="CF427" s="105" t="n"/>
      <c r="CG427" s="105" t="n"/>
      <c r="CH427" s="105" t="n"/>
      <c r="CI427" s="142" t="n">
        <v>1</v>
      </c>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24">
        <f>+COUNTA(BV427:CY427)</f>
        <v/>
      </c>
      <c r="DA427" s="251" t="n"/>
      <c r="DB427" s="251" t="n"/>
      <c r="DC427" s="251" t="n"/>
      <c r="DD427" s="251" t="n"/>
      <c r="DE427" s="251" t="n"/>
      <c r="DF427" s="251" t="n"/>
      <c r="DG427" s="251" t="n"/>
      <c r="DH427" s="251" t="n"/>
      <c r="DI427" s="251" t="n"/>
      <c r="DJ427" s="251" t="inlineStr">
        <is>
          <t>M</t>
        </is>
      </c>
      <c r="DK427" s="251" t="n">
        <v>1</v>
      </c>
      <c r="DL427" s="95" t="n">
        <v>14</v>
      </c>
      <c r="DM427" s="251" t="n"/>
      <c r="DN427" s="95" t="n"/>
      <c r="DO427" s="95" t="n"/>
    </row>
    <row r="428" ht="13" customHeight="1">
      <c r="A428" s="203" t="inlineStr">
        <is>
          <t>M-05</t>
        </is>
      </c>
      <c r="B428" s="376" t="n"/>
      <c r="C428" s="376"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76" t="n"/>
      <c r="BL428" s="7" t="inlineStr">
        <is>
          <t>LIXIVIACIÓN</t>
        </is>
      </c>
      <c r="BM428" s="251" t="inlineStr">
        <is>
          <t>ASUB</t>
        </is>
      </c>
      <c r="BN428" s="337" t="inlineStr">
        <is>
          <t>Lixiviación</t>
        </is>
      </c>
      <c r="BO428" s="251" t="inlineStr">
        <is>
          <t>SI</t>
        </is>
      </c>
      <c r="BP428" s="106" t="inlineStr">
        <is>
          <t>M-05 LIXIVIACIÓN/ASUB</t>
        </is>
      </c>
      <c r="BQ428" s="106">
        <f>VLOOKUP(BP428,[1]AGUA!$1:$1048576,2,FALSE)</f>
        <v/>
      </c>
      <c r="BR428" s="106">
        <f>VLOOKUP(BP428,[1]AGUA!$1:$1048576,6,FALSE)</f>
        <v/>
      </c>
      <c r="BS428" s="106">
        <f>VLOOKUP(BP428,[1]AGUA!$1:$1048576,7,FALSE)</f>
        <v/>
      </c>
      <c r="BT428" s="106" t="n"/>
      <c r="BU428" s="377" t="n"/>
      <c r="BV428" s="105" t="n"/>
      <c r="BW428" s="105" t="n"/>
      <c r="BX428" s="105" t="n"/>
      <c r="BY428" s="105" t="n"/>
      <c r="BZ428" s="105" t="n"/>
      <c r="CA428" s="105" t="n"/>
      <c r="CB428" s="105" t="n"/>
      <c r="CC428" s="105" t="n"/>
      <c r="CD428" s="105" t="n"/>
      <c r="CE428" s="105" t="n"/>
      <c r="CF428" s="105" t="n"/>
      <c r="CG428" s="105" t="n"/>
      <c r="CH428" s="105" t="n"/>
      <c r="CI428" s="107" t="n">
        <v>1</v>
      </c>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24">
        <f>+COUNTA(BV428:CY428)</f>
        <v/>
      </c>
      <c r="DA428" s="251" t="n"/>
      <c r="DB428" s="251" t="n"/>
      <c r="DC428" s="251" t="n"/>
      <c r="DD428" s="251" t="n"/>
      <c r="DE428" s="251" t="n"/>
      <c r="DF428" s="251" t="n"/>
      <c r="DG428" s="251" t="n"/>
      <c r="DH428" s="251" t="n"/>
      <c r="DI428" s="251" t="n"/>
      <c r="DJ428" s="251" t="n"/>
      <c r="DK428" s="251" t="n"/>
      <c r="DL428" s="95" t="n"/>
      <c r="DM428" s="251" t="inlineStr">
        <is>
          <t>M</t>
        </is>
      </c>
      <c r="DN428" s="95" t="n">
        <v>1</v>
      </c>
      <c r="DO428" s="95" t="n">
        <v>14</v>
      </c>
    </row>
    <row r="429" ht="13" customHeight="1">
      <c r="A429" s="203" t="inlineStr">
        <is>
          <t>M-09</t>
        </is>
      </c>
      <c r="B429" s="305"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2" t="inlineStr">
        <is>
          <t>532MAM09</t>
        </is>
      </c>
      <c r="BL429" s="61" t="inlineStr">
        <is>
          <t>GMAP-SIGA</t>
        </is>
      </c>
      <c r="BM429" s="251" t="inlineStr">
        <is>
          <t>NF</t>
        </is>
      </c>
      <c r="BN429" s="337" t="inlineStr">
        <is>
          <t>Michincha</t>
        </is>
      </c>
      <c r="BO429" s="251"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42" t="n">
        <v>1</v>
      </c>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24">
        <f>+COUNTA(BV429:CY429)</f>
        <v/>
      </c>
      <c r="DA429" s="251" t="n"/>
      <c r="DB429" s="251" t="n"/>
      <c r="DC429" s="251" t="n"/>
      <c r="DD429" s="251" t="n"/>
      <c r="DE429" s="251" t="n"/>
      <c r="DF429" s="251" t="n"/>
      <c r="DG429" s="251" t="n"/>
      <c r="DH429" s="251" t="n"/>
      <c r="DI429" s="251" t="n"/>
      <c r="DJ429" s="251" t="inlineStr">
        <is>
          <t>T</t>
        </is>
      </c>
      <c r="DK429" s="251" t="n">
        <v>1</v>
      </c>
      <c r="DL429" s="95" t="n">
        <v>7</v>
      </c>
      <c r="DM429" s="251" t="n"/>
      <c r="DN429" s="95" t="n"/>
      <c r="DO429" s="95" t="n"/>
    </row>
    <row r="430" ht="13" customHeight="1">
      <c r="A430" s="203" t="inlineStr">
        <is>
          <t>M-10</t>
        </is>
      </c>
      <c r="B430" s="305"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1" t="inlineStr">
        <is>
          <t>532MAM10</t>
        </is>
      </c>
      <c r="BL430" s="61" t="inlineStr">
        <is>
          <t>GMAP-SIGA</t>
        </is>
      </c>
      <c r="BM430" s="251" t="inlineStr">
        <is>
          <t>NF</t>
        </is>
      </c>
      <c r="BN430" s="337" t="inlineStr">
        <is>
          <t>Michincha</t>
        </is>
      </c>
      <c r="BO430" s="251"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05" t="n"/>
      <c r="CR430" s="105" t="n"/>
      <c r="CS430" s="105" t="n"/>
      <c r="CT430" s="105" t="n"/>
      <c r="CU430" s="105" t="n"/>
      <c r="CV430" s="105" t="n"/>
      <c r="CW430" s="142" t="n">
        <v>1</v>
      </c>
      <c r="CX430" s="105" t="n"/>
      <c r="CY430" s="105" t="n"/>
      <c r="CZ430" s="124">
        <f>+COUNTA(BV430:CY430)</f>
        <v/>
      </c>
      <c r="DA430" s="251" t="n"/>
      <c r="DB430" s="251" t="n"/>
      <c r="DC430" s="251" t="n"/>
      <c r="DD430" s="251" t="n"/>
      <c r="DE430" s="251" t="n"/>
      <c r="DF430" s="251" t="n"/>
      <c r="DG430" s="251" t="n"/>
      <c r="DH430" s="251" t="n"/>
      <c r="DI430" s="251" t="n"/>
      <c r="DJ430" s="251" t="inlineStr">
        <is>
          <t>M</t>
        </is>
      </c>
      <c r="DK430" s="251" t="n">
        <v>22</v>
      </c>
      <c r="DL430" s="95" t="n">
        <v>28</v>
      </c>
      <c r="DM430" s="251" t="n"/>
      <c r="DN430" s="95" t="n"/>
      <c r="DO430" s="95" t="n"/>
    </row>
    <row r="431" ht="13" customHeight="1">
      <c r="A431" s="203" t="inlineStr">
        <is>
          <t>M-12</t>
        </is>
      </c>
      <c r="B431" s="305"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1" t="inlineStr">
        <is>
          <t>532MAM12</t>
        </is>
      </c>
      <c r="BL431" s="7" t="inlineStr">
        <is>
          <t>LIXIVIACIÓN</t>
        </is>
      </c>
      <c r="BM431" s="251" t="inlineStr">
        <is>
          <t>NF</t>
        </is>
      </c>
      <c r="BN431" s="337" t="inlineStr">
        <is>
          <t>Lixiviación</t>
        </is>
      </c>
      <c r="BO431" s="251"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05" t="n"/>
      <c r="CP431" s="105" t="n"/>
      <c r="CQ431" s="105" t="n"/>
      <c r="CR431" s="105" t="n"/>
      <c r="CS431" s="105" t="n"/>
      <c r="CT431" s="105" t="n"/>
      <c r="CU431" s="105" t="n"/>
      <c r="CV431" s="105" t="n"/>
      <c r="CW431" s="105" t="n"/>
      <c r="CX431" s="105" t="n"/>
      <c r="CY431" s="105" t="n"/>
      <c r="CZ431" s="124">
        <f>+COUNTA(BV431:CY431)</f>
        <v/>
      </c>
      <c r="DA431" s="251" t="n"/>
      <c r="DB431" s="251" t="n"/>
      <c r="DC431" s="251" t="n"/>
      <c r="DD431" s="251" t="n"/>
      <c r="DE431" s="251" t="n"/>
      <c r="DF431" s="251" t="n"/>
      <c r="DG431" s="251" t="n"/>
      <c r="DH431" s="251" t="n"/>
      <c r="DI431" s="251" t="n"/>
      <c r="DJ431" s="251" t="inlineStr">
        <is>
          <t>M</t>
        </is>
      </c>
      <c r="DK431" s="251" t="n">
        <v>15</v>
      </c>
      <c r="DL431" s="95" t="n">
        <v>21</v>
      </c>
      <c r="DM431" s="251" t="n"/>
      <c r="DN431" s="95" t="n"/>
      <c r="DO431" s="95" t="n"/>
    </row>
    <row r="432" ht="13" customHeight="1">
      <c r="A432" s="203" t="inlineStr">
        <is>
          <t>M-12</t>
        </is>
      </c>
      <c r="B432" s="376"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76" t="n"/>
      <c r="BL432" s="7" t="inlineStr">
        <is>
          <t>LIXIVIACIÓN</t>
        </is>
      </c>
      <c r="BM432" s="168" t="inlineStr">
        <is>
          <t>ASUB</t>
        </is>
      </c>
      <c r="BN432" s="337" t="inlineStr">
        <is>
          <t>Lixiviación</t>
        </is>
      </c>
      <c r="BO432" s="251"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105" t="n"/>
      <c r="BW432" s="105" t="n"/>
      <c r="BX432" s="105" t="n"/>
      <c r="BY432" s="105" t="n"/>
      <c r="BZ432" s="105" t="n"/>
      <c r="CA432" s="105" t="n"/>
      <c r="CB432" s="105" t="n"/>
      <c r="CC432" s="105" t="n"/>
      <c r="CD432" s="105" t="n"/>
      <c r="CE432" s="105" t="n"/>
      <c r="CF432" s="105" t="n"/>
      <c r="CG432" s="105" t="n"/>
      <c r="CH432" s="105" t="n"/>
      <c r="CI432" s="105" t="n"/>
      <c r="CJ432" s="105" t="n"/>
      <c r="CK432" s="105" t="n"/>
      <c r="CL432" s="105" t="n"/>
      <c r="CM432" s="105" t="n"/>
      <c r="CN432" s="105" t="n"/>
      <c r="CO432" s="105" t="n"/>
      <c r="CP432" s="105" t="n"/>
      <c r="CQ432" s="105" t="n"/>
      <c r="CR432" s="105" t="n"/>
      <c r="CS432" s="105" t="n"/>
      <c r="CT432" s="105" t="n"/>
      <c r="CU432" s="105" t="n"/>
      <c r="CV432" s="105" t="n"/>
      <c r="CW432" s="105" t="n"/>
      <c r="CX432" s="105" t="n"/>
      <c r="CY432" s="105" t="n"/>
      <c r="CZ432" s="124">
        <f>+COUNTA(BV432:CY432)</f>
        <v/>
      </c>
      <c r="DA432" s="251" t="n"/>
      <c r="DB432" s="251" t="n"/>
      <c r="DC432" s="251" t="n"/>
      <c r="DD432" s="251" t="n"/>
      <c r="DE432" s="251" t="n"/>
      <c r="DF432" s="251" t="n"/>
      <c r="DG432" s="251" t="n"/>
      <c r="DH432" s="251" t="n"/>
      <c r="DI432" s="251" t="n"/>
      <c r="DJ432" s="251" t="n"/>
      <c r="DK432" s="251" t="n"/>
      <c r="DL432" s="95" t="n"/>
      <c r="DM432" s="251" t="inlineStr">
        <is>
          <t>T</t>
        </is>
      </c>
      <c r="DN432" s="95" t="n">
        <v>15</v>
      </c>
      <c r="DO432" s="95" t="n">
        <v>21</v>
      </c>
    </row>
    <row r="433" ht="13" customHeight="1">
      <c r="A433" s="203" t="inlineStr">
        <is>
          <t>M-13</t>
        </is>
      </c>
      <c r="B433" s="305"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1" t="inlineStr">
        <is>
          <t>532MAM13</t>
        </is>
      </c>
      <c r="BL433" s="61" t="inlineStr">
        <is>
          <t>GMAP-SIGA</t>
        </is>
      </c>
      <c r="BM433" s="251" t="inlineStr">
        <is>
          <t>NF</t>
        </is>
      </c>
      <c r="BN433" s="337" t="inlineStr">
        <is>
          <t>Michincha</t>
        </is>
      </c>
      <c r="BO433" s="251" t="inlineStr">
        <is>
          <t>SI</t>
        </is>
      </c>
      <c r="BP433" s="106" t="inlineStr">
        <is>
          <t>M-13 MICHINCHA/NF</t>
        </is>
      </c>
      <c r="BQ433" s="106">
        <f>VLOOKUP(BP433,[1]AGUA!$1:$1048576,2,FALSE)</f>
        <v/>
      </c>
      <c r="BR433" s="106">
        <f>VLOOKUP(BP433,[1]AGUA!$1:$1048576,6,FALSE)</f>
        <v/>
      </c>
      <c r="BS433" s="106">
        <f>VLOOKUP(BP433,[1]AGUA!$1:$1048576,7,FALSE)</f>
        <v/>
      </c>
      <c r="BT433" s="106" t="n"/>
      <c r="BU433" s="101" t="n"/>
      <c r="BV433" s="105" t="n"/>
      <c r="BW433" s="105" t="n"/>
      <c r="BX433" s="142" t="n">
        <v>1</v>
      </c>
      <c r="BY433" s="105" t="n"/>
      <c r="BZ433" s="105" t="n"/>
      <c r="CA433" s="105"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24">
        <f>+COUNTA(BW433:CY433)</f>
        <v/>
      </c>
      <c r="DA433" s="251" t="n"/>
      <c r="DB433" s="251" t="n"/>
      <c r="DC433" s="251" t="n"/>
      <c r="DD433" s="251" t="n"/>
      <c r="DE433" s="251" t="n"/>
      <c r="DF433" s="251" t="n"/>
      <c r="DG433" s="251" t="n"/>
      <c r="DH433" s="251" t="n"/>
      <c r="DI433" s="251" t="n"/>
      <c r="DJ433" s="251" t="inlineStr">
        <is>
          <t>M</t>
        </is>
      </c>
      <c r="DK433" s="251" t="n">
        <v>1</v>
      </c>
      <c r="DL433" s="95" t="n">
        <v>7</v>
      </c>
      <c r="DM433" s="251" t="n"/>
      <c r="DN433" s="95" t="n"/>
      <c r="DO433" s="95" t="n"/>
    </row>
    <row r="434" ht="13" customHeight="1">
      <c r="A434" s="203" t="inlineStr">
        <is>
          <t>M-13</t>
        </is>
      </c>
      <c r="B434" s="376"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76" t="n"/>
      <c r="BL434" s="61" t="inlineStr">
        <is>
          <t>GMAP-SIGA</t>
        </is>
      </c>
      <c r="BM434" s="251" t="inlineStr">
        <is>
          <t>ASUB</t>
        </is>
      </c>
      <c r="BN434" s="337" t="inlineStr">
        <is>
          <t>Michincha</t>
        </is>
      </c>
      <c r="BO434" s="251" t="inlineStr">
        <is>
          <t>SI</t>
        </is>
      </c>
      <c r="BP434" s="106" t="inlineStr">
        <is>
          <t>M-13 MICHINCHA/ASUB</t>
        </is>
      </c>
      <c r="BQ434" s="106">
        <f>VLOOKUP(BP434,[1]AGUA!$1:$1048576,2,FALSE)</f>
        <v/>
      </c>
      <c r="BR434" s="106">
        <f>VLOOKUP(BP434,[1]AGUA!$1:$1048576,6,FALSE)</f>
        <v/>
      </c>
      <c r="BS434" s="106">
        <f>VLOOKUP(BP434,[1]AGUA!$1:$1048576,7,FALSE)</f>
        <v/>
      </c>
      <c r="BT434" s="106" t="n"/>
      <c r="BU434" s="101" t="n"/>
      <c r="BV434" s="105" t="n"/>
      <c r="BW434" s="105" t="n"/>
      <c r="BX434" s="107" t="n">
        <v>1</v>
      </c>
      <c r="BY434" s="105" t="n"/>
      <c r="BZ434" s="105" t="n"/>
      <c r="CA434" s="105" t="n"/>
      <c r="CB434" s="105"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24">
        <f>+COUNTA(BW434:CY434)</f>
        <v/>
      </c>
      <c r="DA434" s="251" t="n"/>
      <c r="DB434" s="251" t="n"/>
      <c r="DC434" s="251" t="n"/>
      <c r="DD434" s="251" t="n"/>
      <c r="DE434" s="251" t="n"/>
      <c r="DF434" s="251" t="n"/>
      <c r="DG434" s="251" t="n"/>
      <c r="DH434" s="251" t="n"/>
      <c r="DI434" s="251" t="n"/>
      <c r="DJ434" s="251" t="n"/>
      <c r="DK434" s="251" t="n"/>
      <c r="DL434" s="95" t="n"/>
      <c r="DM434" s="251" t="inlineStr">
        <is>
          <t>M</t>
        </is>
      </c>
      <c r="DN434" s="95" t="n">
        <v>1</v>
      </c>
      <c r="DO434" s="95" t="n">
        <v>7</v>
      </c>
    </row>
    <row r="435" ht="13" customHeight="1">
      <c r="A435" s="203" t="inlineStr">
        <is>
          <t>M-14</t>
        </is>
      </c>
      <c r="B435" s="305"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1" t="inlineStr">
        <is>
          <t>532MAM14</t>
        </is>
      </c>
      <c r="BL435" s="61" t="inlineStr">
        <is>
          <t>GMAP-SIGA</t>
        </is>
      </c>
      <c r="BM435" s="251" t="inlineStr">
        <is>
          <t>NF</t>
        </is>
      </c>
      <c r="BN435" s="337" t="inlineStr">
        <is>
          <t>Michincha</t>
        </is>
      </c>
      <c r="BO435" s="251"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05" t="n"/>
      <c r="CR435" s="105" t="n"/>
      <c r="CS435" s="105" t="n"/>
      <c r="CT435" s="105" t="n"/>
      <c r="CU435" s="105" t="n"/>
      <c r="CV435" s="105" t="n"/>
      <c r="CW435" s="142" t="n">
        <v>1</v>
      </c>
      <c r="CX435" s="105" t="n"/>
      <c r="CY435" s="105" t="n"/>
      <c r="CZ435" s="124">
        <f>+COUNTA(BV435:CY435)</f>
        <v/>
      </c>
      <c r="DA435" s="251" t="n"/>
      <c r="DB435" s="251" t="n"/>
      <c r="DC435" s="251" t="n"/>
      <c r="DD435" s="251" t="n"/>
      <c r="DE435" s="251" t="n"/>
      <c r="DF435" s="251" t="n"/>
      <c r="DG435" s="251" t="n"/>
      <c r="DH435" s="251" t="n"/>
      <c r="DI435" s="251" t="n"/>
      <c r="DJ435" s="251" t="inlineStr">
        <is>
          <t>M</t>
        </is>
      </c>
      <c r="DK435" s="251" t="n">
        <v>22</v>
      </c>
      <c r="DL435" s="95" t="n">
        <v>28</v>
      </c>
      <c r="DM435" s="251" t="n"/>
      <c r="DN435" s="95" t="n"/>
      <c r="DO435" s="95" t="n"/>
    </row>
    <row r="436" ht="13" customHeight="1">
      <c r="A436" s="203" t="inlineStr">
        <is>
          <t>M-15</t>
        </is>
      </c>
      <c r="B436" s="305"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1" t="inlineStr">
        <is>
          <t>532MAM15</t>
        </is>
      </c>
      <c r="BL436" s="61" t="inlineStr">
        <is>
          <t>GMAP-SIGA</t>
        </is>
      </c>
      <c r="BM436" s="251" t="inlineStr">
        <is>
          <t>NF</t>
        </is>
      </c>
      <c r="BN436" s="337" t="inlineStr">
        <is>
          <t>Michincha</t>
        </is>
      </c>
      <c r="BO436" s="251"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05" t="n"/>
      <c r="CR436" s="105" t="n"/>
      <c r="CS436" s="105" t="n"/>
      <c r="CT436" s="105" t="n"/>
      <c r="CU436" s="105" t="n"/>
      <c r="CV436" s="105" t="n"/>
      <c r="CW436" s="142" t="n">
        <v>1</v>
      </c>
      <c r="CX436" s="105" t="n"/>
      <c r="CY436" s="105" t="n"/>
      <c r="CZ436" s="124">
        <f>+COUNTA(BV436:CY436)</f>
        <v/>
      </c>
      <c r="DA436" s="251" t="n"/>
      <c r="DB436" s="251" t="n"/>
      <c r="DC436" s="251" t="n"/>
      <c r="DD436" s="251" t="n"/>
      <c r="DE436" s="251" t="n"/>
      <c r="DF436" s="251" t="n"/>
      <c r="DG436" s="251" t="n"/>
      <c r="DH436" s="251" t="n"/>
      <c r="DI436" s="251" t="n"/>
      <c r="DJ436" s="251" t="inlineStr">
        <is>
          <t>M</t>
        </is>
      </c>
      <c r="DK436" s="251" t="n">
        <v>22</v>
      </c>
      <c r="DL436" s="95" t="n">
        <v>28</v>
      </c>
      <c r="DM436" s="251" t="n"/>
      <c r="DN436" s="95" t="n"/>
      <c r="DO436" s="95" t="n"/>
    </row>
    <row r="437" ht="13" customHeight="1">
      <c r="A437" s="203" t="inlineStr">
        <is>
          <t>M-16</t>
        </is>
      </c>
      <c r="B437" s="305" t="inlineStr">
        <is>
          <t>M-16 MICHINCHA</t>
        </is>
      </c>
      <c r="C437" s="251"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1" t="inlineStr">
        <is>
          <t>532MAM16</t>
        </is>
      </c>
      <c r="BL437" s="7" t="inlineStr">
        <is>
          <t>GMAP-SIGA</t>
        </is>
      </c>
      <c r="BM437" s="251" t="inlineStr">
        <is>
          <t>NF</t>
        </is>
      </c>
      <c r="BN437" s="337" t="inlineStr">
        <is>
          <t>Michincha</t>
        </is>
      </c>
      <c r="BO437" s="251" t="inlineStr">
        <is>
          <t>SI</t>
        </is>
      </c>
      <c r="BP437" s="106" t="inlineStr">
        <is>
          <t>M-16 MICHINCHA/NF</t>
        </is>
      </c>
      <c r="BQ437" s="106">
        <f>VLOOKUP(BP437,[1]AGUA!$1:$1048576,2,FALSE)</f>
        <v/>
      </c>
      <c r="BR437" s="106">
        <f>VLOOKUP(BP437,[1]AGUA!$1:$1048576,6,FALSE)</f>
        <v/>
      </c>
      <c r="BS437" s="106">
        <f>VLOOKUP(BP437,[1]AGUA!$1:$1048576,7,FALSE)</f>
        <v/>
      </c>
      <c r="BT437" s="106" t="n"/>
      <c r="BU437" s="253" t="n"/>
      <c r="BV437" s="105" t="n"/>
      <c r="BW437" s="105" t="n"/>
      <c r="BX437" s="105" t="n"/>
      <c r="BY437" s="105" t="n"/>
      <c r="BZ437" s="105" t="n"/>
      <c r="CA437" s="142" t="n">
        <v>1</v>
      </c>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24">
        <f>+COUNTA(BV437:CY437)</f>
        <v/>
      </c>
      <c r="DA437" s="251" t="n"/>
      <c r="DB437" s="251" t="n"/>
      <c r="DC437" s="251" t="n"/>
      <c r="DD437" s="251" t="n"/>
      <c r="DE437" s="251" t="n"/>
      <c r="DF437" s="251" t="n"/>
      <c r="DG437" s="251" t="n"/>
      <c r="DH437" s="251" t="n"/>
      <c r="DI437" s="251" t="n"/>
      <c r="DJ437" s="251" t="inlineStr">
        <is>
          <t>T</t>
        </is>
      </c>
      <c r="DK437" s="251" t="n">
        <v>1</v>
      </c>
      <c r="DL437" s="95" t="n">
        <v>7</v>
      </c>
      <c r="DM437" s="251" t="n"/>
      <c r="DN437" s="95" t="n"/>
      <c r="DO437" s="95" t="n"/>
    </row>
    <row r="438" ht="13" customHeight="1">
      <c r="A438" s="203" t="inlineStr">
        <is>
          <t>M-16</t>
        </is>
      </c>
      <c r="B438" s="376" t="n"/>
      <c r="C438" s="376"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76" t="n"/>
      <c r="BL438" s="7" t="inlineStr">
        <is>
          <t>GMAP-SIGA</t>
        </is>
      </c>
      <c r="BM438" s="251" t="inlineStr">
        <is>
          <t>ASUB</t>
        </is>
      </c>
      <c r="BN438" s="337" t="inlineStr">
        <is>
          <t>Michincha</t>
        </is>
      </c>
      <c r="BO438" s="251" t="inlineStr">
        <is>
          <t>SI</t>
        </is>
      </c>
      <c r="BP438" s="106" t="inlineStr">
        <is>
          <t>M-16 MICHINCHA/ASUB</t>
        </is>
      </c>
      <c r="BQ438" s="106">
        <f>VLOOKUP(BP438,[1]AGUA!$1:$1048576,2,FALSE)</f>
        <v/>
      </c>
      <c r="BR438" s="106">
        <f>VLOOKUP(BP438,[1]AGUA!$1:$1048576,6,FALSE)</f>
        <v/>
      </c>
      <c r="BS438" s="106">
        <f>VLOOKUP(BP438,[1]AGUA!$1:$1048576,7,FALSE)</f>
        <v/>
      </c>
      <c r="BT438" s="106" t="n"/>
      <c r="BU438" s="377" t="n"/>
      <c r="BV438" s="105" t="n"/>
      <c r="BW438" s="105" t="n"/>
      <c r="BX438" s="105" t="n"/>
      <c r="BY438" s="105" t="n"/>
      <c r="BZ438" s="105" t="n"/>
      <c r="CA438" s="107" t="n">
        <v>1</v>
      </c>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24">
        <f>+COUNTA(BV438:CY438)</f>
        <v/>
      </c>
      <c r="DA438" s="251" t="n"/>
      <c r="DB438" s="251" t="n"/>
      <c r="DC438" s="251" t="n"/>
      <c r="DD438" s="251" t="n"/>
      <c r="DE438" s="251" t="n"/>
      <c r="DF438" s="251" t="n"/>
      <c r="DG438" s="251" t="n"/>
      <c r="DH438" s="251" t="n"/>
      <c r="DI438" s="251" t="n"/>
      <c r="DJ438" s="251" t="n"/>
      <c r="DK438" s="251" t="n"/>
      <c r="DL438" s="95" t="n"/>
      <c r="DM438" s="251" t="inlineStr">
        <is>
          <t>T</t>
        </is>
      </c>
      <c r="DN438" s="95" t="n">
        <v>1</v>
      </c>
      <c r="DO438" s="95" t="n">
        <v>7</v>
      </c>
    </row>
    <row r="439" ht="13" customHeight="1">
      <c r="A439" s="203" t="inlineStr">
        <is>
          <t>M-17</t>
        </is>
      </c>
      <c r="B439" s="305" t="inlineStr">
        <is>
          <t>M-17 MICHINCHA</t>
        </is>
      </c>
      <c r="C439" s="251"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1" t="inlineStr">
        <is>
          <t>532MAM17</t>
        </is>
      </c>
      <c r="BL439" s="7" t="inlineStr">
        <is>
          <t>GMAP-SIGA</t>
        </is>
      </c>
      <c r="BM439" s="251" t="inlineStr">
        <is>
          <t>NF</t>
        </is>
      </c>
      <c r="BN439" s="337" t="inlineStr">
        <is>
          <t>Michincha</t>
        </is>
      </c>
      <c r="BO439" s="251" t="inlineStr">
        <is>
          <t>SI</t>
        </is>
      </c>
      <c r="BP439" s="106" t="inlineStr">
        <is>
          <t>M-17 MICHINCHA/NF</t>
        </is>
      </c>
      <c r="BQ439" s="106">
        <f>VLOOKUP(BP439,[1]AGUA!$1:$1048576,2,FALSE)</f>
        <v/>
      </c>
      <c r="BR439" s="106">
        <f>VLOOKUP(BP439,[1]AGUA!$1:$1048576,6,FALSE)</f>
        <v/>
      </c>
      <c r="BS439" s="106">
        <f>VLOOKUP(BP439,[1]AGUA!$1:$1048576,7,FALSE)</f>
        <v/>
      </c>
      <c r="BT439" s="106" t="n"/>
      <c r="BU439" s="253" t="n"/>
      <c r="BV439" s="105" t="n"/>
      <c r="BW439" s="105" t="n"/>
      <c r="BX439" s="105" t="n"/>
      <c r="BY439" s="105" t="n"/>
      <c r="BZ439" s="105" t="n"/>
      <c r="CA439" s="142" t="n">
        <v>1</v>
      </c>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24">
        <f>+COUNTA(BV439:CY439)</f>
        <v/>
      </c>
      <c r="DA439" s="251" t="n"/>
      <c r="DB439" s="251" t="n"/>
      <c r="DC439" s="251" t="n"/>
      <c r="DD439" s="251" t="n"/>
      <c r="DE439" s="251" t="n"/>
      <c r="DF439" s="251" t="n"/>
      <c r="DG439" s="251" t="n"/>
      <c r="DH439" s="251" t="n"/>
      <c r="DI439" s="251" t="n"/>
      <c r="DJ439" s="251" t="inlineStr">
        <is>
          <t>T</t>
        </is>
      </c>
      <c r="DK439" s="251" t="n">
        <v>1</v>
      </c>
      <c r="DL439" s="95" t="n">
        <v>7</v>
      </c>
      <c r="DM439" s="251" t="n"/>
      <c r="DN439" s="95" t="n"/>
      <c r="DO439" s="95" t="n"/>
    </row>
    <row r="440" ht="13" customHeight="1">
      <c r="A440" s="203" t="inlineStr">
        <is>
          <t>M-17</t>
        </is>
      </c>
      <c r="B440" s="376" t="n"/>
      <c r="C440" s="376"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76" t="n"/>
      <c r="BL440" s="7" t="inlineStr">
        <is>
          <t>GMAP-SIGA</t>
        </is>
      </c>
      <c r="BM440" s="251" t="inlineStr">
        <is>
          <t>ASUB</t>
        </is>
      </c>
      <c r="BN440" s="337" t="inlineStr">
        <is>
          <t>Michincha</t>
        </is>
      </c>
      <c r="BO440" s="251" t="inlineStr">
        <is>
          <t>SI</t>
        </is>
      </c>
      <c r="BP440" s="106" t="inlineStr">
        <is>
          <t>M-17 MICHINCHA/ASUB</t>
        </is>
      </c>
      <c r="BQ440" s="106">
        <f>VLOOKUP(BP440,[1]AGUA!$1:$1048576,2,FALSE)</f>
        <v/>
      </c>
      <c r="BR440" s="106">
        <f>VLOOKUP(BP440,[1]AGUA!$1:$1048576,6,FALSE)</f>
        <v/>
      </c>
      <c r="BS440" s="106">
        <f>VLOOKUP(BP440,[1]AGUA!$1:$1048576,7,FALSE)</f>
        <v/>
      </c>
      <c r="BT440" s="106" t="n"/>
      <c r="BU440" s="377" t="n"/>
      <c r="BV440" s="105" t="n"/>
      <c r="BW440" s="105" t="n"/>
      <c r="BX440" s="105" t="n"/>
      <c r="BY440" s="105" t="n"/>
      <c r="BZ440" s="105" t="n"/>
      <c r="CA440" s="107" t="n">
        <v>1</v>
      </c>
      <c r="CB440" s="105" t="n"/>
      <c r="CC440" s="105" t="n"/>
      <c r="CD440" s="105" t="n"/>
      <c r="CE440" s="105" t="n"/>
      <c r="CF440" s="10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24">
        <f>+COUNTA(BV440:CY440)</f>
        <v/>
      </c>
      <c r="DA440" s="251" t="n"/>
      <c r="DB440" s="251" t="n"/>
      <c r="DC440" s="251" t="n"/>
      <c r="DD440" s="251" t="n"/>
      <c r="DE440" s="251" t="n"/>
      <c r="DF440" s="251" t="n"/>
      <c r="DG440" s="251" t="n"/>
      <c r="DH440" s="251" t="n"/>
      <c r="DI440" s="251" t="n"/>
      <c r="DJ440" s="251" t="n"/>
      <c r="DK440" s="251" t="n"/>
      <c r="DL440" s="95" t="n"/>
      <c r="DM440" s="251" t="inlineStr">
        <is>
          <t>T</t>
        </is>
      </c>
      <c r="DN440" s="95" t="n">
        <v>1</v>
      </c>
      <c r="DO440" s="95" t="n">
        <v>7</v>
      </c>
    </row>
    <row r="441" ht="13" customHeight="1">
      <c r="A441" s="203" t="inlineStr">
        <is>
          <t>M-18</t>
        </is>
      </c>
      <c r="B441" s="305" t="inlineStr">
        <is>
          <t>M-18 MICHINCHA</t>
        </is>
      </c>
      <c r="C441" s="251"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1" t="inlineStr">
        <is>
          <t>532MAM18</t>
        </is>
      </c>
      <c r="BL441" s="7" t="inlineStr">
        <is>
          <t>GMAP-SIGA</t>
        </is>
      </c>
      <c r="BM441" s="251" t="inlineStr">
        <is>
          <t>NF</t>
        </is>
      </c>
      <c r="BN441" s="337" t="inlineStr">
        <is>
          <t>Michincha</t>
        </is>
      </c>
      <c r="BO441" s="251" t="inlineStr">
        <is>
          <t>SI</t>
        </is>
      </c>
      <c r="BP441" s="106" t="inlineStr">
        <is>
          <t>M-18 MICHINCHA/NF</t>
        </is>
      </c>
      <c r="BQ441" s="106">
        <f>VLOOKUP(BP441,[1]AGUA!$1:$1048576,2,FALSE)</f>
        <v/>
      </c>
      <c r="BR441" s="106">
        <f>VLOOKUP(BP441,[1]AGUA!$1:$1048576,6,FALSE)</f>
        <v/>
      </c>
      <c r="BS441" s="106">
        <f>VLOOKUP(BP441,[1]AGUA!$1:$1048576,7,FALSE)</f>
        <v/>
      </c>
      <c r="BT441" s="106" t="n"/>
      <c r="BU441" s="253" t="n"/>
      <c r="BV441" s="105" t="n"/>
      <c r="BW441" s="105" t="n"/>
      <c r="BX441" s="105" t="n"/>
      <c r="BY441" s="105" t="n"/>
      <c r="BZ441" s="105" t="n"/>
      <c r="CA441" s="142" t="n">
        <v>1</v>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24">
        <f>+COUNTA(BV441:CY441)</f>
        <v/>
      </c>
      <c r="DA441" s="251" t="n"/>
      <c r="DB441" s="251" t="n"/>
      <c r="DC441" s="251" t="n"/>
      <c r="DD441" s="251" t="n"/>
      <c r="DE441" s="251" t="n"/>
      <c r="DF441" s="251" t="n"/>
      <c r="DG441" s="251" t="n"/>
      <c r="DH441" s="251" t="n"/>
      <c r="DI441" s="251" t="n"/>
      <c r="DJ441" s="251" t="inlineStr">
        <is>
          <t>M</t>
        </is>
      </c>
      <c r="DK441" s="251" t="n">
        <v>1</v>
      </c>
      <c r="DL441" s="95" t="n">
        <v>7</v>
      </c>
      <c r="DM441" s="251" t="n"/>
      <c r="DN441" s="95" t="n"/>
      <c r="DO441" s="95" t="n"/>
    </row>
    <row r="442" ht="13" customHeight="1">
      <c r="A442" s="203" t="inlineStr">
        <is>
          <t>M-18</t>
        </is>
      </c>
      <c r="B442" s="376" t="n"/>
      <c r="C442" s="376"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76" t="n"/>
      <c r="BL442" s="7" t="inlineStr">
        <is>
          <t>GMAP-SIGA</t>
        </is>
      </c>
      <c r="BM442" s="251" t="inlineStr">
        <is>
          <t>ASUB</t>
        </is>
      </c>
      <c r="BN442" s="337" t="inlineStr">
        <is>
          <t>Michincha</t>
        </is>
      </c>
      <c r="BO442" s="251" t="inlineStr">
        <is>
          <t>SI</t>
        </is>
      </c>
      <c r="BP442" s="106" t="inlineStr">
        <is>
          <t>M-18 MICHINCHA/ASUB</t>
        </is>
      </c>
      <c r="BQ442" s="106">
        <f>VLOOKUP(BP442,[1]AGUA!$1:$1048576,2,FALSE)</f>
        <v/>
      </c>
      <c r="BR442" s="106">
        <f>VLOOKUP(BP442,[1]AGUA!$1:$1048576,6,FALSE)</f>
        <v/>
      </c>
      <c r="BS442" s="106">
        <f>VLOOKUP(BP442,[1]AGUA!$1:$1048576,7,FALSE)</f>
        <v/>
      </c>
      <c r="BT442" s="106" t="n"/>
      <c r="BU442" s="377" t="n"/>
      <c r="BV442" s="105" t="n"/>
      <c r="BW442" s="105" t="n"/>
      <c r="BX442" s="105" t="n"/>
      <c r="BY442" s="105" t="n"/>
      <c r="BZ442" s="105" t="n"/>
      <c r="CA442" s="107" t="n">
        <v>1</v>
      </c>
      <c r="CB442" s="105"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24">
        <f>+COUNTA(BV442:CY442)</f>
        <v/>
      </c>
      <c r="DA442" s="251" t="n"/>
      <c r="DB442" s="251" t="n"/>
      <c r="DC442" s="251" t="n"/>
      <c r="DD442" s="251" t="n"/>
      <c r="DE442" s="251" t="n"/>
      <c r="DF442" s="251" t="n"/>
      <c r="DG442" s="251" t="n"/>
      <c r="DH442" s="251" t="n"/>
      <c r="DI442" s="251" t="n"/>
      <c r="DJ442" s="251" t="n"/>
      <c r="DK442" s="251" t="n"/>
      <c r="DL442" s="95" t="n"/>
      <c r="DM442" s="251" t="inlineStr">
        <is>
          <t>M</t>
        </is>
      </c>
      <c r="DN442" s="95" t="n">
        <v>1</v>
      </c>
      <c r="DO442" s="95" t="n">
        <v>7</v>
      </c>
    </row>
    <row r="443" ht="13.5" customHeight="1">
      <c r="A443" s="203" t="inlineStr">
        <is>
          <t>M-19</t>
        </is>
      </c>
      <c r="B443" s="305"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1" t="inlineStr">
        <is>
          <t>532MAM19</t>
        </is>
      </c>
      <c r="BL443" s="61" t="inlineStr">
        <is>
          <t>GMAP-SIGA</t>
        </is>
      </c>
      <c r="BM443" s="251" t="inlineStr">
        <is>
          <t>NF</t>
        </is>
      </c>
      <c r="BN443" s="337" t="inlineStr">
        <is>
          <t>Michincha</t>
        </is>
      </c>
      <c r="BO443" s="251" t="inlineStr">
        <is>
          <t>SI</t>
        </is>
      </c>
      <c r="BP443" s="106" t="inlineStr">
        <is>
          <t>M-19 MICHINCHA/NF</t>
        </is>
      </c>
      <c r="BQ443" s="106">
        <f>VLOOKUP(BP443,[1]AGUA!$1:$1048576,2,FALSE)</f>
        <v/>
      </c>
      <c r="BR443" s="106">
        <f>VLOOKUP(BP443,[1]AGUA!$1:$1048576,6,FALSE)</f>
        <v/>
      </c>
      <c r="BS443" s="106">
        <f>VLOOKUP(BP443,[1]AGUA!$1:$1048576,7,FALSE)</f>
        <v/>
      </c>
      <c r="BT443" s="106" t="n"/>
      <c r="BU443" s="101" t="n"/>
      <c r="BV443" s="105" t="n"/>
      <c r="BW443" s="105" t="n"/>
      <c r="BX443" s="105" t="n"/>
      <c r="BY443" s="105" t="n"/>
      <c r="BZ443" s="105" t="n"/>
      <c r="CA443" s="142" t="n">
        <v>1</v>
      </c>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24">
        <f>+COUNTA(BW443:CY443)</f>
        <v/>
      </c>
      <c r="DA443" s="251" t="n"/>
      <c r="DB443" s="251" t="n"/>
      <c r="DC443" s="251" t="n"/>
      <c r="DD443" s="251" t="n"/>
      <c r="DE443" s="251" t="n"/>
      <c r="DF443" s="251" t="n"/>
      <c r="DG443" s="251" t="n"/>
      <c r="DH443" s="251" t="n"/>
      <c r="DI443" s="251" t="n"/>
      <c r="DJ443" s="251" t="inlineStr">
        <is>
          <t>M</t>
        </is>
      </c>
      <c r="DK443" s="251" t="n">
        <v>1</v>
      </c>
      <c r="DL443" s="95" t="n">
        <v>7</v>
      </c>
      <c r="DM443" s="251" t="n"/>
      <c r="DN443" s="95" t="n"/>
      <c r="DO443" s="95" t="n"/>
    </row>
    <row r="444" ht="13" customHeight="1">
      <c r="A444" s="203" t="inlineStr">
        <is>
          <t>M-21</t>
        </is>
      </c>
      <c r="B444" s="305"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1" t="inlineStr">
        <is>
          <t>532MAM21</t>
        </is>
      </c>
      <c r="BL444" s="61" t="inlineStr">
        <is>
          <t>GMAP-SIGA</t>
        </is>
      </c>
      <c r="BM444" s="251" t="inlineStr">
        <is>
          <t>NF</t>
        </is>
      </c>
      <c r="BN444" s="337" t="inlineStr">
        <is>
          <t>Michincha</t>
        </is>
      </c>
      <c r="BO444" s="251"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05" t="n"/>
      <c r="CR444" s="105" t="n"/>
      <c r="CS444" s="105" t="n"/>
      <c r="CT444" s="105" t="n"/>
      <c r="CU444" s="105" t="n"/>
      <c r="CV444" s="105" t="n"/>
      <c r="CW444" s="142" t="n">
        <v>1</v>
      </c>
      <c r="CX444" s="105" t="n"/>
      <c r="CY444" s="105" t="n"/>
      <c r="CZ444" s="124">
        <f>+COUNTA(BV444:CY444)</f>
        <v/>
      </c>
      <c r="DA444" s="251" t="n"/>
      <c r="DB444" s="251" t="n"/>
      <c r="DC444" s="251" t="n"/>
      <c r="DD444" s="251" t="n"/>
      <c r="DE444" s="251" t="n"/>
      <c r="DF444" s="251" t="n"/>
      <c r="DG444" s="251" t="n"/>
      <c r="DH444" s="251" t="n"/>
      <c r="DI444" s="251" t="n"/>
      <c r="DJ444" s="251" t="inlineStr">
        <is>
          <t>M</t>
        </is>
      </c>
      <c r="DK444" s="251" t="n">
        <v>22</v>
      </c>
      <c r="DL444" s="95" t="n">
        <v>28</v>
      </c>
      <c r="DM444" s="251" t="n"/>
      <c r="DN444" s="95" t="n"/>
      <c r="DO444" s="95" t="n"/>
    </row>
    <row r="445" ht="13" customHeight="1">
      <c r="A445" s="203" t="inlineStr">
        <is>
          <t>M-23</t>
        </is>
      </c>
      <c r="B445" s="305"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1" t="inlineStr">
        <is>
          <t>532MAM23</t>
        </is>
      </c>
      <c r="BL445" s="61" t="inlineStr">
        <is>
          <t>GMAP-SIGA</t>
        </is>
      </c>
      <c r="BM445" s="251" t="inlineStr">
        <is>
          <t>NF</t>
        </is>
      </c>
      <c r="BN445" s="337" t="inlineStr">
        <is>
          <t>Lixiviación</t>
        </is>
      </c>
      <c r="BO445" s="251"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42" t="n">
        <v>1</v>
      </c>
      <c r="CX445" s="105" t="n"/>
      <c r="CY445" s="105" t="n"/>
      <c r="CZ445" s="124">
        <f>+COUNTA(BV445:CY445)</f>
        <v/>
      </c>
      <c r="DA445" s="251" t="n"/>
      <c r="DB445" s="251" t="n"/>
      <c r="DC445" s="251" t="n"/>
      <c r="DD445" s="251" t="n"/>
      <c r="DE445" s="251" t="n"/>
      <c r="DF445" s="251" t="n"/>
      <c r="DG445" s="251" t="n"/>
      <c r="DH445" s="251" t="n"/>
      <c r="DI445" s="251" t="n"/>
      <c r="DJ445" s="251" t="inlineStr">
        <is>
          <t>T</t>
        </is>
      </c>
      <c r="DK445" s="251" t="n">
        <v>22</v>
      </c>
      <c r="DL445" s="95" t="n">
        <v>28</v>
      </c>
      <c r="DM445" s="251" t="n"/>
      <c r="DN445" s="95" t="n"/>
      <c r="DO445" s="95" t="n"/>
    </row>
    <row r="446" ht="13" customHeight="1">
      <c r="A446" s="203" t="inlineStr">
        <is>
          <t>M-26A</t>
        </is>
      </c>
      <c r="B446" s="305"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1" t="inlineStr">
        <is>
          <t>532MAM26A</t>
        </is>
      </c>
      <c r="BL446" s="61" t="inlineStr">
        <is>
          <t>GMAP-SIGA</t>
        </is>
      </c>
      <c r="BM446" s="251" t="inlineStr">
        <is>
          <t>NF</t>
        </is>
      </c>
      <c r="BN446" s="337" t="inlineStr">
        <is>
          <t>Michincha</t>
        </is>
      </c>
      <c r="BO446" s="251"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05" t="n"/>
      <c r="CR446" s="105" t="n"/>
      <c r="CS446" s="105" t="n"/>
      <c r="CT446" s="105" t="n"/>
      <c r="CU446" s="105" t="n"/>
      <c r="CV446" s="105" t="n"/>
      <c r="CW446" s="142" t="n">
        <v>1</v>
      </c>
      <c r="CX446" s="105" t="n"/>
      <c r="CY446" s="105" t="n"/>
      <c r="CZ446" s="124">
        <f>+COUNTA(BV446:CY446)</f>
        <v/>
      </c>
      <c r="DA446" s="251" t="n"/>
      <c r="DB446" s="251" t="n"/>
      <c r="DC446" s="251" t="n"/>
      <c r="DD446" s="251" t="n"/>
      <c r="DE446" s="251" t="n"/>
      <c r="DF446" s="251" t="n"/>
      <c r="DG446" s="251" t="n"/>
      <c r="DH446" s="251" t="n"/>
      <c r="DI446" s="251" t="n"/>
      <c r="DJ446" s="251" t="inlineStr">
        <is>
          <t>M</t>
        </is>
      </c>
      <c r="DK446" s="251" t="n">
        <v>22</v>
      </c>
      <c r="DL446" s="95" t="n">
        <v>28</v>
      </c>
      <c r="DM446" s="251" t="n"/>
      <c r="DN446" s="95" t="n"/>
      <c r="DO446" s="95" t="n"/>
    </row>
    <row r="447" ht="13" customHeight="1">
      <c r="A447" s="203" t="inlineStr">
        <is>
          <t>M-27</t>
        </is>
      </c>
      <c r="B447" s="305" t="inlineStr">
        <is>
          <t>M-27 MICHINCHA</t>
        </is>
      </c>
      <c r="C447" s="251"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1" t="inlineStr">
        <is>
          <t>532MAM27</t>
        </is>
      </c>
      <c r="BL447" s="7" t="inlineStr">
        <is>
          <t>GMAP-SIGA</t>
        </is>
      </c>
      <c r="BM447" s="251" t="inlineStr">
        <is>
          <t>NF</t>
        </is>
      </c>
      <c r="BN447" s="337" t="inlineStr">
        <is>
          <t>Michincha</t>
        </is>
      </c>
      <c r="BO447" s="251" t="inlineStr">
        <is>
          <t>SI PAT TRANQUE</t>
        </is>
      </c>
      <c r="BP447" s="106" t="inlineStr">
        <is>
          <t>M-27 MICHINCHA/NF</t>
        </is>
      </c>
      <c r="BQ447" s="106">
        <f>VLOOKUP(BP447,[1]AGUA!$1:$1048576,2,FALSE)</f>
        <v/>
      </c>
      <c r="BR447" s="106">
        <f>VLOOKUP(BP447,[1]AGUA!$1:$1048576,6,FALSE)</f>
        <v/>
      </c>
      <c r="BS447" s="106">
        <f>VLOOKUP(BP447,[1]AGUA!$1:$1048576,7,FALSE)</f>
        <v/>
      </c>
      <c r="BT447" s="106" t="n"/>
      <c r="BU447" s="253" t="inlineStr">
        <is>
          <t>1 MUESTRA OFICIAL Y DOS DUPLICADOS + 1 BLANCO</t>
        </is>
      </c>
      <c r="BV447" s="105" t="n"/>
      <c r="BW447" s="105" t="n"/>
      <c r="BX447" s="142" t="n">
        <v>1</v>
      </c>
      <c r="BY447" s="105" t="n"/>
      <c r="BZ447" s="105" t="n"/>
      <c r="CA447" s="105" t="n"/>
      <c r="CB447" s="105" t="n"/>
      <c r="CC447" s="105" t="n"/>
      <c r="CD447" s="105" t="n"/>
      <c r="CE447" s="105" t="n"/>
      <c r="CF447" s="105" t="n"/>
      <c r="CG447" s="105" t="n"/>
      <c r="CH447" s="105" t="n"/>
      <c r="CI447" s="105"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24">
        <f>+COUNTA(BV447:CY447)</f>
        <v/>
      </c>
      <c r="DA447" s="251" t="n"/>
      <c r="DB447" s="251" t="n"/>
      <c r="DC447" s="251" t="n"/>
      <c r="DD447" s="251" t="n"/>
      <c r="DE447" s="251" t="n"/>
      <c r="DF447" s="251" t="n"/>
      <c r="DG447" s="251" t="n"/>
      <c r="DH447" s="251" t="n"/>
      <c r="DI447" s="251" t="n"/>
      <c r="DJ447" s="251" t="inlineStr">
        <is>
          <t>M</t>
        </is>
      </c>
      <c r="DK447" s="251" t="n">
        <v>8</v>
      </c>
      <c r="DL447" s="95" t="n">
        <v>14</v>
      </c>
      <c r="DM447" s="251" t="n"/>
      <c r="DN447" s="95" t="n"/>
      <c r="DO447" s="95" t="n"/>
    </row>
    <row r="448" ht="13" customHeight="1">
      <c r="A448" s="203" t="inlineStr">
        <is>
          <t>M-27</t>
        </is>
      </c>
      <c r="B448" s="376" t="n"/>
      <c r="C448" s="376"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76" t="n"/>
      <c r="BL448" s="7" t="inlineStr">
        <is>
          <t>GMAP-SIGA</t>
        </is>
      </c>
      <c r="BM448" s="251" t="inlineStr">
        <is>
          <t>ASUB</t>
        </is>
      </c>
      <c r="BN448" s="337" t="inlineStr">
        <is>
          <t>Michincha</t>
        </is>
      </c>
      <c r="BO448" s="251" t="inlineStr">
        <is>
          <t>SI PAT TRANQUE</t>
        </is>
      </c>
      <c r="BP448" s="106" t="inlineStr">
        <is>
          <t>M-27 MICHINCHA/ASUB</t>
        </is>
      </c>
      <c r="BQ448" s="106">
        <f>VLOOKUP(BP448,[1]AGUA!$1:$1048576,2,FALSE)</f>
        <v/>
      </c>
      <c r="BR448" s="106">
        <f>VLOOKUP(BP448,[1]AGUA!$1:$1048576,6,FALSE)</f>
        <v/>
      </c>
      <c r="BS448" s="106">
        <f>VLOOKUP(BP448,[1]AGUA!$1:$1048576,7,FALSE)</f>
        <v/>
      </c>
      <c r="BT448" s="106" t="n"/>
      <c r="BU448" s="377" t="n"/>
      <c r="BV448" s="105" t="n"/>
      <c r="BW448" s="105" t="n"/>
      <c r="BX448" s="107" t="n">
        <v>1</v>
      </c>
      <c r="BY448" s="105" t="n"/>
      <c r="BZ448" s="105" t="n"/>
      <c r="CA448" s="105" t="n"/>
      <c r="CB448" s="105" t="n"/>
      <c r="CC448" s="105" t="n"/>
      <c r="CD448" s="105" t="n"/>
      <c r="CE448" s="105" t="n"/>
      <c r="CF448" s="105" t="n"/>
      <c r="CG448" s="105" t="n"/>
      <c r="CH448" s="105" t="n"/>
      <c r="CI448" s="105"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24">
        <f>+COUNTA(BV448:CY448)</f>
        <v/>
      </c>
      <c r="DA448" s="251" t="n"/>
      <c r="DB448" s="251" t="n"/>
      <c r="DC448" s="251" t="n"/>
      <c r="DD448" s="251" t="n"/>
      <c r="DE448" s="251" t="n"/>
      <c r="DF448" s="251" t="n"/>
      <c r="DG448" s="251" t="n"/>
      <c r="DH448" s="251" t="n"/>
      <c r="DI448" s="251" t="n"/>
      <c r="DJ448" s="251" t="n"/>
      <c r="DK448" s="251" t="n"/>
      <c r="DL448" s="95" t="n"/>
      <c r="DM448" s="251" t="inlineStr">
        <is>
          <t>M</t>
        </is>
      </c>
      <c r="DN448" s="95" t="n">
        <v>8</v>
      </c>
      <c r="DO448" s="95" t="n">
        <v>14</v>
      </c>
    </row>
    <row r="449" ht="13" customHeight="1">
      <c r="A449" s="203" t="inlineStr">
        <is>
          <t>M-28</t>
        </is>
      </c>
      <c r="B449" s="305"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2" t="inlineStr">
        <is>
          <t>532MAM28</t>
        </is>
      </c>
      <c r="BL449" s="7" t="inlineStr">
        <is>
          <t>GMAP-SIGA</t>
        </is>
      </c>
      <c r="BM449" s="251" t="inlineStr">
        <is>
          <t>NF</t>
        </is>
      </c>
      <c r="BN449" s="337" t="inlineStr">
        <is>
          <t>Michincha</t>
        </is>
      </c>
      <c r="BO449" s="251"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42" t="n">
        <v>1</v>
      </c>
      <c r="BY449" s="105" t="n"/>
      <c r="BZ449" s="105" t="n"/>
      <c r="CA449" s="105" t="n"/>
      <c r="CB449" s="105" t="n"/>
      <c r="CC449" s="105" t="n"/>
      <c r="CD449" s="105" t="n"/>
      <c r="CE449" s="105" t="n"/>
      <c r="CF449" s="105" t="n"/>
      <c r="CG449" s="105" t="n"/>
      <c r="CH449" s="105" t="n"/>
      <c r="CI449" s="105" t="n"/>
      <c r="CJ449" s="105" t="n"/>
      <c r="CK449" s="105" t="n"/>
      <c r="CL449" s="105" t="n"/>
      <c r="CM449" s="105" t="n"/>
      <c r="CN449" s="105" t="n"/>
      <c r="CO449" s="105" t="n"/>
      <c r="CP449" s="105" t="n"/>
      <c r="CQ449" s="105" t="n"/>
      <c r="CR449" s="105" t="n"/>
      <c r="CS449" s="105" t="n"/>
      <c r="CT449" s="105" t="n"/>
      <c r="CU449" s="105" t="n"/>
      <c r="CV449" s="105" t="n"/>
      <c r="CW449" s="105" t="n"/>
      <c r="CX449" s="105" t="n"/>
      <c r="CY449" s="105" t="n"/>
      <c r="CZ449" s="124">
        <f>+COUNTA(BV449:CY449)</f>
        <v/>
      </c>
      <c r="DA449" s="251" t="n"/>
      <c r="DB449" s="251" t="n"/>
      <c r="DC449" s="251" t="n"/>
      <c r="DD449" s="251" t="n"/>
      <c r="DE449" s="251" t="n"/>
      <c r="DF449" s="251" t="n"/>
      <c r="DG449" s="251" t="n"/>
      <c r="DH449" s="251" t="n"/>
      <c r="DI449" s="251" t="n"/>
      <c r="DJ449" s="251" t="inlineStr">
        <is>
          <t>M</t>
        </is>
      </c>
      <c r="DK449" s="251" t="n">
        <v>1</v>
      </c>
      <c r="DL449" s="95" t="n">
        <v>7</v>
      </c>
      <c r="DM449" s="251" t="n"/>
      <c r="DN449" s="95" t="n"/>
      <c r="DO449" s="95" t="n"/>
    </row>
    <row r="450" ht="13" customHeight="1">
      <c r="A450" s="203" t="inlineStr">
        <is>
          <t>MA-01</t>
        </is>
      </c>
      <c r="B450" s="305" t="inlineStr">
        <is>
          <t>MA-01 TRANQUE</t>
        </is>
      </c>
      <c r="C450" s="251"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1" t="inlineStr">
        <is>
          <t>532MAMA</t>
        </is>
      </c>
      <c r="BL450" s="7" t="inlineStr">
        <is>
          <t>GMAP-SIGA</t>
        </is>
      </c>
      <c r="BM450" s="251" t="inlineStr">
        <is>
          <t>NF</t>
        </is>
      </c>
      <c r="BN450" s="337" t="inlineStr">
        <is>
          <t>Tranque</t>
        </is>
      </c>
      <c r="BO450" s="251" t="inlineStr">
        <is>
          <t>SI PAT TRANQUE</t>
        </is>
      </c>
      <c r="BP450" s="106" t="inlineStr">
        <is>
          <t>MA-01 TRANQUE/NF</t>
        </is>
      </c>
      <c r="BQ450" s="106">
        <f>VLOOKUP(BP450,[1]AGUA!$1:$1048576,2,FALSE)</f>
        <v/>
      </c>
      <c r="BR450" s="106">
        <f>VLOOKUP(BP450,[1]AGUA!$1:$1048576,6,FALSE)</f>
        <v/>
      </c>
      <c r="BS450" s="106">
        <f>VLOOKUP(BP450,[1]AGUA!$1:$1048576,7,FALSE)</f>
        <v/>
      </c>
      <c r="BT450" s="106" t="n"/>
      <c r="BU450" s="253" t="inlineStr">
        <is>
          <t>1 MUESTRA OFICIAL Y DOS DUPLICADOS + 1 BLANCO</t>
        </is>
      </c>
      <c r="BV450" s="105" t="n"/>
      <c r="BW450" s="105" t="n"/>
      <c r="BX450" s="105" t="n"/>
      <c r="BY450" s="105" t="n"/>
      <c r="BZ450" s="105" t="n"/>
      <c r="CA450" s="105" t="n"/>
      <c r="CB450" s="105" t="n"/>
      <c r="CC450" s="142" t="n">
        <v>1</v>
      </c>
      <c r="CD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24">
        <f>+COUNTA(BV450:CY450)</f>
        <v/>
      </c>
      <c r="DA450" s="251" t="n"/>
      <c r="DB450" s="251" t="n"/>
      <c r="DC450" s="251" t="n"/>
      <c r="DD450" s="251" t="n"/>
      <c r="DE450" s="251" t="n"/>
      <c r="DF450" s="251" t="n"/>
      <c r="DG450" s="251" t="n"/>
      <c r="DH450" s="251" t="n"/>
      <c r="DI450" s="251" t="n"/>
      <c r="DJ450" s="251" t="inlineStr">
        <is>
          <t>M</t>
        </is>
      </c>
      <c r="DK450" s="251" t="n">
        <v>8</v>
      </c>
      <c r="DL450" s="95" t="n">
        <v>14</v>
      </c>
      <c r="DM450" s="251" t="n"/>
      <c r="DN450" s="95" t="n"/>
      <c r="DO450" s="95" t="n"/>
    </row>
    <row r="451" ht="13" customHeight="1">
      <c r="A451" s="203" t="inlineStr">
        <is>
          <t>MA-01</t>
        </is>
      </c>
      <c r="B451" s="376" t="n"/>
      <c r="C451" s="376"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76" t="n"/>
      <c r="BL451" s="7" t="inlineStr">
        <is>
          <t>GMAP-SIGA</t>
        </is>
      </c>
      <c r="BM451" s="251" t="inlineStr">
        <is>
          <t>ASUB</t>
        </is>
      </c>
      <c r="BN451" s="337" t="inlineStr">
        <is>
          <t>Tranque</t>
        </is>
      </c>
      <c r="BO451" s="251" t="inlineStr">
        <is>
          <t>SI PAT TRANQUE</t>
        </is>
      </c>
      <c r="BP451" s="106" t="inlineStr">
        <is>
          <t>MA-01 TRANQUE/ASUB</t>
        </is>
      </c>
      <c r="BQ451" s="106">
        <f>VLOOKUP(BP451,[1]AGUA!$1:$1048576,2,FALSE)</f>
        <v/>
      </c>
      <c r="BR451" s="106">
        <f>VLOOKUP(BP451,[1]AGUA!$1:$1048576,6,FALSE)</f>
        <v/>
      </c>
      <c r="BS451" s="106">
        <f>VLOOKUP(BP451,[1]AGUA!$1:$1048576,7,FALSE)</f>
        <v/>
      </c>
      <c r="BT451" s="106" t="n"/>
      <c r="BU451" s="377" t="n"/>
      <c r="BV451" s="105" t="n"/>
      <c r="BW451" s="105" t="n"/>
      <c r="BX451" s="105" t="n"/>
      <c r="BY451" s="105" t="n"/>
      <c r="BZ451" s="105" t="n"/>
      <c r="CA451" s="105" t="n"/>
      <c r="CB451" s="105" t="n"/>
      <c r="CC451" s="107" t="n">
        <v>1</v>
      </c>
      <c r="CD451" s="105" t="n"/>
      <c r="CE451" s="105" t="n"/>
      <c r="CF451" s="105" t="n"/>
      <c r="CG451" s="105" t="n"/>
      <c r="CH451" s="105" t="n"/>
      <c r="CI451" s="105"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24">
        <f>+COUNTA(BV451:CY451)</f>
        <v/>
      </c>
      <c r="DA451" s="251" t="n"/>
      <c r="DB451" s="251" t="n"/>
      <c r="DC451" s="251" t="n"/>
      <c r="DD451" s="251" t="n"/>
      <c r="DE451" s="251" t="n"/>
      <c r="DF451" s="251" t="n"/>
      <c r="DG451" s="251" t="n"/>
      <c r="DH451" s="251" t="n"/>
      <c r="DI451" s="251" t="n"/>
      <c r="DJ451" s="251" t="n"/>
      <c r="DK451" s="251" t="n"/>
      <c r="DL451" s="95" t="n"/>
      <c r="DM451" s="251" t="inlineStr">
        <is>
          <t>M</t>
        </is>
      </c>
      <c r="DN451" s="95" t="n">
        <v>8</v>
      </c>
      <c r="DO451" s="95" t="n">
        <v>14</v>
      </c>
    </row>
    <row r="452" ht="13" customHeight="1">
      <c r="A452" s="203" t="inlineStr">
        <is>
          <t>MA-02C</t>
        </is>
      </c>
      <c r="B452" s="305" t="inlineStr">
        <is>
          <t>MA-02C TRANQUE</t>
        </is>
      </c>
      <c r="C452" s="251"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1" t="inlineStr">
        <is>
          <t>532MAMA</t>
        </is>
      </c>
      <c r="BL452" s="7" t="inlineStr">
        <is>
          <t>GMAP-SIGA</t>
        </is>
      </c>
      <c r="BM452" s="251" t="inlineStr">
        <is>
          <t>NF</t>
        </is>
      </c>
      <c r="BN452" s="337" t="inlineStr">
        <is>
          <t>Tranque</t>
        </is>
      </c>
      <c r="BO452" s="251" t="inlineStr">
        <is>
          <t>SI PAT TRANQUE</t>
        </is>
      </c>
      <c r="BP452" s="106" t="inlineStr">
        <is>
          <t>MA-02C TRANQUE/NF</t>
        </is>
      </c>
      <c r="BQ452" s="106">
        <f>VLOOKUP(BP452,[1]AGUA!$1:$1048576,2,FALSE)</f>
        <v/>
      </c>
      <c r="BR452" s="106">
        <f>VLOOKUP(BP452,[1]AGUA!$1:$1048576,6,FALSE)</f>
        <v/>
      </c>
      <c r="BS452" s="106">
        <f>VLOOKUP(BP452,[1]AGUA!$1:$1048576,7,FALSE)</f>
        <v/>
      </c>
      <c r="BT452" s="106" t="n"/>
      <c r="BU452" s="253" t="inlineStr">
        <is>
          <t>1 MUESTRA OFICIAL Y DOS DUPLICADOS + 1 BLANCO</t>
        </is>
      </c>
      <c r="BV452" s="105" t="n"/>
      <c r="BW452" s="105" t="n"/>
      <c r="BX452" s="105" t="n"/>
      <c r="BY452" s="105" t="n"/>
      <c r="BZ452" s="105" t="n"/>
      <c r="CA452" s="105" t="n"/>
      <c r="CB452" s="105" t="n"/>
      <c r="CC452" s="142" t="n">
        <v>1</v>
      </c>
      <c r="CD452" s="105" t="n"/>
      <c r="CE452" s="105" t="n"/>
      <c r="CF452" s="105" t="n"/>
      <c r="CG452" s="105" t="n"/>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24">
        <f>+COUNTA(BV452:CY452)</f>
        <v/>
      </c>
      <c r="DA452" s="251" t="n"/>
      <c r="DB452" s="251" t="n"/>
      <c r="DC452" s="251" t="n"/>
      <c r="DD452" s="251" t="n"/>
      <c r="DE452" s="251" t="n"/>
      <c r="DF452" s="251" t="n"/>
      <c r="DG452" s="251" t="n"/>
      <c r="DH452" s="251" t="n"/>
      <c r="DI452" s="251" t="n"/>
      <c r="DJ452" s="251" t="inlineStr">
        <is>
          <t>M</t>
        </is>
      </c>
      <c r="DK452" s="251" t="n">
        <v>8</v>
      </c>
      <c r="DL452" s="95" t="n">
        <v>14</v>
      </c>
      <c r="DM452" s="251" t="n"/>
      <c r="DN452" s="95" t="n"/>
      <c r="DO452" s="95" t="n"/>
    </row>
    <row r="453" ht="13" customHeight="1">
      <c r="A453" s="203" t="inlineStr">
        <is>
          <t>MA-02C</t>
        </is>
      </c>
      <c r="B453" s="376" t="n"/>
      <c r="C453" s="376"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76" t="n"/>
      <c r="BL453" s="7" t="inlineStr">
        <is>
          <t>GMAP-SIGA</t>
        </is>
      </c>
      <c r="BM453" s="251" t="inlineStr">
        <is>
          <t>ASUB</t>
        </is>
      </c>
      <c r="BN453" s="337" t="inlineStr">
        <is>
          <t>Tranque</t>
        </is>
      </c>
      <c r="BO453" s="251" t="inlineStr">
        <is>
          <t>SI PAT TRANQUE</t>
        </is>
      </c>
      <c r="BP453" s="106" t="inlineStr">
        <is>
          <t>MA-02C TRANQUE/ASUB</t>
        </is>
      </c>
      <c r="BQ453" s="106">
        <f>VLOOKUP(BP453,[1]AGUA!$1:$1048576,2,FALSE)</f>
        <v/>
      </c>
      <c r="BR453" s="106">
        <f>VLOOKUP(BP453,[1]AGUA!$1:$1048576,6,FALSE)</f>
        <v/>
      </c>
      <c r="BS453" s="106">
        <f>VLOOKUP(BP453,[1]AGUA!$1:$1048576,7,FALSE)</f>
        <v/>
      </c>
      <c r="BT453" s="106" t="n"/>
      <c r="BU453" s="377" t="n"/>
      <c r="BV453" s="105" t="n"/>
      <c r="BW453" s="105" t="n"/>
      <c r="BX453" s="105" t="n"/>
      <c r="BY453" s="105" t="n"/>
      <c r="BZ453" s="105" t="n"/>
      <c r="CA453" s="105" t="n"/>
      <c r="CB453" s="105" t="n"/>
      <c r="CC453" s="107" t="n">
        <v>1</v>
      </c>
      <c r="CD453" s="105" t="n"/>
      <c r="CE453" s="105" t="n"/>
      <c r="CF453" s="105" t="n"/>
      <c r="CG453" s="105" t="n"/>
      <c r="CH453" s="105" t="n"/>
      <c r="CI453" s="105"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24">
        <f>+COUNTA(BV453:CY453)</f>
        <v/>
      </c>
      <c r="DA453" s="251" t="n"/>
      <c r="DB453" s="251" t="n"/>
      <c r="DC453" s="251" t="n"/>
      <c r="DD453" s="251" t="n"/>
      <c r="DE453" s="251" t="n"/>
      <c r="DF453" s="251" t="n"/>
      <c r="DG453" s="251" t="n"/>
      <c r="DH453" s="251" t="n"/>
      <c r="DI453" s="251" t="n"/>
      <c r="DJ453" s="251" t="n"/>
      <c r="DK453" s="251" t="n"/>
      <c r="DL453" s="95" t="n"/>
      <c r="DM453" s="251" t="inlineStr">
        <is>
          <t>M</t>
        </is>
      </c>
      <c r="DN453" s="95" t="n">
        <v>8</v>
      </c>
      <c r="DO453" s="95" t="n">
        <v>14</v>
      </c>
    </row>
    <row r="454" ht="13" customHeight="1">
      <c r="A454" s="219" t="inlineStr">
        <is>
          <t>MA-03A</t>
        </is>
      </c>
      <c r="B454" s="305" t="inlineStr">
        <is>
          <t>MA-03A MICHINCHA</t>
        </is>
      </c>
      <c r="C454" s="251"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1" t="inlineStr">
        <is>
          <t>532MAMA</t>
        </is>
      </c>
      <c r="BL454" s="7" t="inlineStr">
        <is>
          <t>GMAP-SIGA</t>
        </is>
      </c>
      <c r="BM454" s="251" t="inlineStr">
        <is>
          <t>NF</t>
        </is>
      </c>
      <c r="BN454" s="337" t="inlineStr">
        <is>
          <t>Tranque (Canal del este)</t>
        </is>
      </c>
      <c r="BO454" s="251" t="inlineStr">
        <is>
          <t>SI PAT TRANQUE</t>
        </is>
      </c>
      <c r="BP454" s="106" t="inlineStr">
        <is>
          <t>MA-03A MICHINCHA/NF</t>
        </is>
      </c>
      <c r="BQ454" s="106">
        <f>VLOOKUP(BP454,[1]AGUA!$1:$1048576,2,FALSE)</f>
        <v/>
      </c>
      <c r="BR454" s="106">
        <f>VLOOKUP(BP454,[1]AGUA!$1:$1048576,6,FALSE)</f>
        <v/>
      </c>
      <c r="BS454" s="106">
        <f>VLOOKUP(BP454,[1]AGUA!$1:$1048576,7,FALSE)</f>
        <v/>
      </c>
      <c r="BT454" s="106" t="n"/>
      <c r="BU454" s="335" t="inlineStr">
        <is>
          <t>1 MUESTRA OFICIAL Y DOS DUPLICADOS + 1 BLANCO</t>
        </is>
      </c>
      <c r="BV454" s="105" t="n"/>
      <c r="BW454" s="105" t="n"/>
      <c r="BX454" s="105" t="n"/>
      <c r="BY454" s="105" t="n"/>
      <c r="BZ454" s="105" t="n"/>
      <c r="CA454" s="105" t="n"/>
      <c r="CB454" s="105" t="n"/>
      <c r="CC454" s="105" t="n"/>
      <c r="CD454" s="105" t="n"/>
      <c r="CE454" s="105" t="n"/>
      <c r="CF454" s="105" t="n"/>
      <c r="CG454" s="105" t="n"/>
      <c r="CH454" s="105" t="n"/>
      <c r="CI454" s="142" t="n">
        <v>1</v>
      </c>
      <c r="CJ454" s="105" t="n"/>
      <c r="CK454" s="105" t="n"/>
      <c r="CL454" s="105" t="n"/>
      <c r="CM454" s="105" t="n"/>
      <c r="CN454" s="105" t="n"/>
      <c r="CO454" s="105" t="n"/>
      <c r="CP454" s="105" t="n"/>
      <c r="CQ454" s="105" t="n"/>
      <c r="CR454" s="105" t="n"/>
      <c r="CS454" s="105" t="n"/>
      <c r="CT454" s="105" t="n"/>
      <c r="CU454" s="105" t="n"/>
      <c r="CV454" s="105" t="n"/>
      <c r="CW454" s="105" t="n"/>
      <c r="CX454" s="105" t="n"/>
      <c r="CY454" s="105" t="n"/>
      <c r="CZ454" s="124">
        <f>+COUNTA(BV454:CY454)</f>
        <v/>
      </c>
      <c r="DA454" s="251" t="n"/>
      <c r="DB454" s="251" t="n"/>
      <c r="DC454" s="251" t="n"/>
      <c r="DD454" s="251" t="n"/>
      <c r="DE454" s="251" t="n"/>
      <c r="DF454" s="251" t="n"/>
      <c r="DG454" s="251" t="n"/>
      <c r="DH454" s="251" t="n"/>
      <c r="DI454" s="251" t="n"/>
      <c r="DJ454" s="251" t="inlineStr">
        <is>
          <t>M</t>
        </is>
      </c>
      <c r="DK454" s="251" t="n">
        <v>8</v>
      </c>
      <c r="DL454" s="95" t="n">
        <v>14</v>
      </c>
      <c r="DM454" s="251" t="n"/>
      <c r="DN454" s="95" t="n"/>
      <c r="DO454" s="95" t="n"/>
    </row>
    <row r="455" ht="13" customHeight="1">
      <c r="A455" s="219" t="inlineStr">
        <is>
          <t>MA-03A</t>
        </is>
      </c>
      <c r="B455" s="376" t="n"/>
      <c r="C455" s="376"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76" t="n"/>
      <c r="BL455" s="7" t="inlineStr">
        <is>
          <t>GMAP-SIGA</t>
        </is>
      </c>
      <c r="BM455" s="251" t="inlineStr">
        <is>
          <t>ASUB</t>
        </is>
      </c>
      <c r="BN455" s="337" t="inlineStr">
        <is>
          <t>Tranque (Canal del este)</t>
        </is>
      </c>
      <c r="BO455" s="251" t="inlineStr">
        <is>
          <t>SI PAT TRANQUE</t>
        </is>
      </c>
      <c r="BP455" s="106" t="inlineStr">
        <is>
          <t>MA-03A MICHINCHA/ASUB</t>
        </is>
      </c>
      <c r="BQ455" s="106">
        <f>VLOOKUP(BP455,[1]AGUA!$1:$1048576,2,FALSE)</f>
        <v/>
      </c>
      <c r="BR455" s="106">
        <f>VLOOKUP(BP455,[1]AGUA!$1:$1048576,6,FALSE)</f>
        <v/>
      </c>
      <c r="BS455" s="106">
        <f>VLOOKUP(BP455,[1]AGUA!$1:$1048576,7,FALSE)</f>
        <v/>
      </c>
      <c r="BT455" s="106" t="n"/>
      <c r="BU455" s="377" t="n"/>
      <c r="BV455" s="105" t="n"/>
      <c r="BW455" s="105" t="n"/>
      <c r="BX455" s="105" t="n"/>
      <c r="BY455" s="105" t="n"/>
      <c r="BZ455" s="105" t="n"/>
      <c r="CA455" s="105" t="n"/>
      <c r="CB455" s="105" t="n"/>
      <c r="CC455" s="105" t="n"/>
      <c r="CD455" s="105" t="n"/>
      <c r="CE455" s="105" t="n"/>
      <c r="CF455" s="105" t="n"/>
      <c r="CG455" s="105" t="n"/>
      <c r="CH455" s="105" t="n"/>
      <c r="CI455" s="107" t="n">
        <v>1</v>
      </c>
      <c r="CJ455" s="105" t="n"/>
      <c r="CK455" s="105" t="n"/>
      <c r="CL455" s="105" t="n"/>
      <c r="CM455" s="105" t="n"/>
      <c r="CN455" s="105" t="n"/>
      <c r="CO455" s="105" t="n"/>
      <c r="CP455" s="105" t="n"/>
      <c r="CQ455" s="105" t="n"/>
      <c r="CR455" s="105" t="n"/>
      <c r="CS455" s="105" t="n"/>
      <c r="CT455" s="105" t="n"/>
      <c r="CU455" s="105" t="n"/>
      <c r="CV455" s="105" t="n"/>
      <c r="CW455" s="105" t="n"/>
      <c r="CX455" s="105" t="n"/>
      <c r="CY455" s="105" t="n"/>
      <c r="CZ455" s="124">
        <f>+COUNTA(BV455:CY455)</f>
        <v/>
      </c>
      <c r="DA455" s="251" t="n"/>
      <c r="DB455" s="251" t="n"/>
      <c r="DC455" s="251" t="n"/>
      <c r="DD455" s="251" t="n"/>
      <c r="DE455" s="251" t="n"/>
      <c r="DF455" s="251" t="n"/>
      <c r="DG455" s="251" t="n"/>
      <c r="DH455" s="251" t="n"/>
      <c r="DI455" s="251" t="n"/>
      <c r="DJ455" s="251" t="n"/>
      <c r="DK455" s="251" t="n"/>
      <c r="DL455" s="95" t="n"/>
      <c r="DM455" s="251" t="inlineStr">
        <is>
          <t>M</t>
        </is>
      </c>
      <c r="DN455" s="95" t="n">
        <v>8</v>
      </c>
      <c r="DO455" s="95" t="n">
        <v>14</v>
      </c>
    </row>
    <row r="456" ht="13.5" customHeight="1">
      <c r="A456" s="203" t="inlineStr">
        <is>
          <t>MA-08</t>
        </is>
      </c>
      <c r="B456" s="305" t="inlineStr">
        <is>
          <t>MA-08 FALLA PABELLON</t>
        </is>
      </c>
      <c r="C456" s="251"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1" t="inlineStr">
        <is>
          <t>532MAMA</t>
        </is>
      </c>
      <c r="BL456" s="7" t="inlineStr">
        <is>
          <t>GMAP-SIGA</t>
        </is>
      </c>
      <c r="BM456" s="251" t="inlineStr">
        <is>
          <t>NF</t>
        </is>
      </c>
      <c r="BN456" s="106" t="inlineStr">
        <is>
          <t>Falla Pabellón</t>
        </is>
      </c>
      <c r="BO456" s="251" t="inlineStr">
        <is>
          <t>NO</t>
        </is>
      </c>
      <c r="BP456" s="106" t="inlineStr">
        <is>
          <t>MA-08 FALLA PABELLON/NF</t>
        </is>
      </c>
      <c r="BQ456" s="106">
        <f>VLOOKUP(BP456,[1]AGUA!$1:$1048576,2,FALSE)</f>
        <v/>
      </c>
      <c r="BR456" s="106">
        <f>VLOOKUP(BP456,[1]AGUA!$1:$1048576,6,FALSE)</f>
        <v/>
      </c>
      <c r="BS456" s="106">
        <f>VLOOKUP(BP456,[1]AGUA!$1:$1048576,7,FALSE)</f>
        <v/>
      </c>
      <c r="BT456" s="334"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42" t="n">
        <v>1</v>
      </c>
      <c r="CL456" s="105" t="n"/>
      <c r="CM456" s="105" t="n"/>
      <c r="CN456" s="105" t="n"/>
      <c r="CO456" s="105" t="n"/>
      <c r="CP456" s="105" t="n"/>
      <c r="CQ456" s="105" t="n"/>
      <c r="CR456" s="105" t="n"/>
      <c r="CS456" s="105" t="n"/>
      <c r="CT456" s="105" t="n"/>
      <c r="CU456" s="105" t="n"/>
      <c r="CV456" s="105" t="n"/>
      <c r="CW456" s="105" t="n"/>
      <c r="CX456" s="105" t="n"/>
      <c r="CY456" s="105" t="n"/>
      <c r="CZ456" s="124">
        <f>+COUNTA(BV456:CY456)</f>
        <v/>
      </c>
      <c r="DA456" s="251" t="n"/>
      <c r="DB456" s="251" t="n"/>
      <c r="DC456" s="251" t="n"/>
      <c r="DD456" s="251" t="n"/>
      <c r="DE456" s="251" t="n"/>
      <c r="DF456" s="251" t="n"/>
      <c r="DG456" s="251" t="n"/>
      <c r="DH456" s="251" t="n"/>
      <c r="DI456" s="251" t="n"/>
      <c r="DJ456" s="251" t="inlineStr">
        <is>
          <t>T</t>
        </is>
      </c>
      <c r="DK456" s="251" t="n">
        <v>15</v>
      </c>
      <c r="DL456" s="95" t="n">
        <v>21</v>
      </c>
      <c r="DM456" s="251" t="n"/>
      <c r="DN456" s="95" t="n"/>
      <c r="DO456" s="95" t="n"/>
    </row>
    <row r="457" ht="13" customHeight="1">
      <c r="A457" s="203" t="inlineStr">
        <is>
          <t>MA-08</t>
        </is>
      </c>
      <c r="B457" s="376" t="n"/>
      <c r="C457" s="376"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76" t="n"/>
      <c r="BL457" s="7" t="inlineStr">
        <is>
          <t>GMAP-SIGA</t>
        </is>
      </c>
      <c r="BM457" s="168" t="inlineStr">
        <is>
          <t>ASUB</t>
        </is>
      </c>
      <c r="BN457" s="106" t="inlineStr">
        <is>
          <t>Falla Pabellón</t>
        </is>
      </c>
      <c r="BO457" s="251" t="inlineStr">
        <is>
          <t>NO</t>
        </is>
      </c>
      <c r="BP457" s="106" t="inlineStr">
        <is>
          <t>MA-08 FALLA PABELLON/ASUB</t>
        </is>
      </c>
      <c r="BQ457" s="106">
        <f>VLOOKUP(BP457,[1]AGUA!$1:$1048576,2,FALSE)</f>
        <v/>
      </c>
      <c r="BR457" s="106">
        <f>VLOOKUP(BP457,[1]AGUA!$1:$1048576,6,FALSE)</f>
        <v/>
      </c>
      <c r="BS457" s="106">
        <f>VLOOKUP(BP457,[1]AGUA!$1:$1048576,7,FALSE)</f>
        <v/>
      </c>
      <c r="BT457" s="377" t="n"/>
      <c r="BV457" s="105" t="n"/>
      <c r="BW457" s="105" t="n"/>
      <c r="BX457" s="105" t="n"/>
      <c r="BY457" s="105" t="n"/>
      <c r="BZ457" s="105" t="n"/>
      <c r="CA457" s="105" t="n"/>
      <c r="CB457" s="105" t="n"/>
      <c r="CC457" s="105" t="n"/>
      <c r="CD457" s="105" t="n"/>
      <c r="CE457" s="105" t="n"/>
      <c r="CF457" s="105" t="n"/>
      <c r="CG457" s="105" t="n"/>
      <c r="CH457" s="105" t="n"/>
      <c r="CI457" s="105" t="n"/>
      <c r="CJ457" s="105" t="n"/>
      <c r="CK457" s="107" t="n">
        <v>1</v>
      </c>
      <c r="CL457" s="105" t="n"/>
      <c r="CM457" s="105" t="n"/>
      <c r="CN457" s="105" t="n"/>
      <c r="CO457" s="105" t="n"/>
      <c r="CP457" s="105" t="n"/>
      <c r="CQ457" s="105" t="n"/>
      <c r="CR457" s="105" t="n"/>
      <c r="CS457" s="105" t="n"/>
      <c r="CT457" s="105" t="n"/>
      <c r="CU457" s="105" t="n"/>
      <c r="CV457" s="105" t="n"/>
      <c r="CW457" s="105" t="n"/>
      <c r="CX457" s="105" t="n"/>
      <c r="CY457" s="105" t="n"/>
      <c r="CZ457" s="124">
        <f>+COUNTA(BV457:CY457)</f>
        <v/>
      </c>
      <c r="DA457" s="251" t="n"/>
      <c r="DB457" s="251" t="n"/>
      <c r="DC457" s="251" t="n"/>
      <c r="DD457" s="251" t="n"/>
      <c r="DE457" s="251" t="n"/>
      <c r="DF457" s="251" t="n"/>
      <c r="DG457" s="251" t="n"/>
      <c r="DH457" s="251" t="n"/>
      <c r="DI457" s="251" t="n"/>
      <c r="DJ457" s="251" t="n"/>
      <c r="DK457" s="251" t="n"/>
      <c r="DL457" s="95" t="n"/>
      <c r="DM457" s="251" t="inlineStr">
        <is>
          <t>T</t>
        </is>
      </c>
      <c r="DN457" s="95" t="n">
        <v>15</v>
      </c>
      <c r="DO457" s="95" t="n">
        <v>21</v>
      </c>
    </row>
    <row r="458" ht="13" customHeight="1">
      <c r="A458" s="203" t="inlineStr">
        <is>
          <t>MAH-01</t>
        </is>
      </c>
      <c r="B458" s="305" t="inlineStr">
        <is>
          <t>MAH-01 HUINQUINTIPA</t>
        </is>
      </c>
      <c r="C458" s="251"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1" t="inlineStr">
        <is>
          <t>532MAMAH01</t>
        </is>
      </c>
      <c r="BL458" s="7" t="inlineStr">
        <is>
          <t>GMAP-SIGA</t>
        </is>
      </c>
      <c r="BM458" s="251" t="inlineStr">
        <is>
          <t>NF</t>
        </is>
      </c>
      <c r="BN458" s="337" t="inlineStr">
        <is>
          <t>Huinquintipa</t>
        </is>
      </c>
      <c r="BO458" s="251" t="inlineStr">
        <is>
          <t>SI</t>
        </is>
      </c>
      <c r="BP458" s="106" t="inlineStr">
        <is>
          <t>MAH-01 HUINQUINTIPA/NF</t>
        </is>
      </c>
      <c r="BQ458" s="106">
        <f>VLOOKUP(BP458,[1]AGUA!$1:$1048576,2,FALSE)</f>
        <v/>
      </c>
      <c r="BR458" s="106">
        <f>VLOOKUP(BP458,[1]AGUA!$1:$1048576,6,FALSE)</f>
        <v/>
      </c>
      <c r="BS458" s="106">
        <f>VLOOKUP(BP458,[1]AGUA!$1:$1048576,7,FALSE)</f>
        <v/>
      </c>
      <c r="BT458" s="106" t="n"/>
      <c r="BU458" s="253" t="n"/>
      <c r="BV458" s="105" t="n"/>
      <c r="BW458" s="105" t="n"/>
      <c r="BX458" s="105" t="n"/>
      <c r="BY458" s="105" t="n"/>
      <c r="BZ458" s="105" t="n"/>
      <c r="CA458" s="212" t="n">
        <v>1</v>
      </c>
      <c r="CB458" s="105" t="n"/>
      <c r="CC458" s="105" t="n"/>
      <c r="CD458" s="105" t="n"/>
      <c r="CE458" s="105" t="n"/>
      <c r="CF458" s="105" t="n"/>
      <c r="CG458" s="105" t="n"/>
      <c r="CH458" s="105" t="n"/>
      <c r="CI458" s="105" t="n"/>
      <c r="CJ458" s="105" t="n"/>
      <c r="CK458" s="105" t="n"/>
      <c r="CL458" s="105" t="n"/>
      <c r="CM458" s="105" t="n"/>
      <c r="CN458" s="105" t="n"/>
      <c r="CO458" s="105" t="n"/>
      <c r="CP458" s="105" t="n"/>
      <c r="CQ458" s="105" t="n"/>
      <c r="CR458" s="105" t="n"/>
      <c r="CS458" s="105" t="n"/>
      <c r="CT458" s="105" t="n"/>
      <c r="CU458" s="105" t="n"/>
      <c r="CV458" s="105" t="n"/>
      <c r="CW458" s="105" t="n"/>
      <c r="CX458" s="105" t="n"/>
      <c r="CY458" s="105" t="n"/>
      <c r="CZ458" s="124">
        <f>+COUNTA(BV458:CY458)</f>
        <v/>
      </c>
      <c r="DA458" s="251" t="n"/>
      <c r="DB458" s="251" t="n"/>
      <c r="DC458" s="212" t="n"/>
      <c r="DD458" s="251" t="n"/>
      <c r="DE458" s="251" t="n"/>
      <c r="DF458" s="251" t="n"/>
      <c r="DG458" s="251" t="n"/>
      <c r="DH458" s="251" t="n"/>
      <c r="DI458" s="251" t="n"/>
      <c r="DJ458" s="251" t="inlineStr">
        <is>
          <t>M</t>
        </is>
      </c>
      <c r="DK458" s="251" t="n">
        <v>1</v>
      </c>
      <c r="DL458" s="95" t="n">
        <v>16</v>
      </c>
      <c r="DM458" s="251" t="n"/>
      <c r="DN458" s="95" t="n"/>
      <c r="DO458" s="95" t="n"/>
    </row>
    <row r="459" ht="12.5" customHeight="1">
      <c r="A459" s="203" t="inlineStr">
        <is>
          <t>MAH-01</t>
        </is>
      </c>
      <c r="B459" s="376" t="n"/>
      <c r="C459" s="376"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76" t="n"/>
      <c r="BL459" s="7" t="inlineStr">
        <is>
          <t>GMAP-SIGA</t>
        </is>
      </c>
      <c r="BM459" s="251" t="inlineStr">
        <is>
          <t>ASUB</t>
        </is>
      </c>
      <c r="BN459" s="337" t="inlineStr">
        <is>
          <t>Huinquintipa</t>
        </is>
      </c>
      <c r="BO459" s="251" t="inlineStr">
        <is>
          <t>SI</t>
        </is>
      </c>
      <c r="BP459" s="106" t="inlineStr">
        <is>
          <t>MAH-01 HUINQUINTIPA/ASUB</t>
        </is>
      </c>
      <c r="BQ459" s="106">
        <f>VLOOKUP(BP459,[1]AGUA!$1:$1048576,2,FALSE)</f>
        <v/>
      </c>
      <c r="BR459" s="106">
        <f>VLOOKUP(BP459,[1]AGUA!$1:$1048576,6,FALSE)</f>
        <v/>
      </c>
      <c r="BS459" s="106">
        <f>VLOOKUP(BP459,[1]AGUA!$1:$1048576,7,FALSE)</f>
        <v/>
      </c>
      <c r="BT459" s="106" t="n"/>
      <c r="BU459" s="377" t="n"/>
      <c r="BV459" s="105" t="n"/>
      <c r="BW459" s="105" t="n"/>
      <c r="BX459" s="105" t="n"/>
      <c r="BY459" s="105" t="n"/>
      <c r="BZ459" s="105" t="n"/>
      <c r="CA459" s="212" t="n">
        <v>1</v>
      </c>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24">
        <f>+COUNTA(BV459:CY459)</f>
        <v/>
      </c>
      <c r="DA459" s="251" t="n"/>
      <c r="DB459" s="251" t="n"/>
      <c r="DC459" s="212" t="n"/>
      <c r="DD459" s="251" t="n"/>
      <c r="DE459" s="251" t="n"/>
      <c r="DF459" s="251" t="n"/>
      <c r="DG459" s="251" t="n"/>
      <c r="DH459" s="251" t="n"/>
      <c r="DI459" s="251" t="n"/>
      <c r="DJ459" s="251" t="n"/>
      <c r="DK459" s="251" t="n"/>
      <c r="DL459" s="95" t="n"/>
      <c r="DM459" s="251" t="inlineStr">
        <is>
          <t>T</t>
        </is>
      </c>
      <c r="DN459" s="95" t="n">
        <v>15</v>
      </c>
      <c r="DO459" s="95" t="n">
        <v>28</v>
      </c>
    </row>
    <row r="460" ht="13" customHeight="1">
      <c r="A460" s="203" t="inlineStr">
        <is>
          <t>MAU-01B</t>
        </is>
      </c>
      <c r="B460" s="305" t="inlineStr">
        <is>
          <t>MAU-01B LIXIVIACIÓN</t>
        </is>
      </c>
      <c r="C460" s="251"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1" t="inlineStr">
        <is>
          <t>532MAMAU</t>
        </is>
      </c>
      <c r="BL460" s="7" t="inlineStr">
        <is>
          <t>LIXIVIACIÓN</t>
        </is>
      </c>
      <c r="BM460" s="251" t="inlineStr">
        <is>
          <t>NF</t>
        </is>
      </c>
      <c r="BN460" s="337" t="inlineStr">
        <is>
          <t>Lixiviación</t>
        </is>
      </c>
      <c r="BO460" s="251" t="inlineStr">
        <is>
          <t>SI</t>
        </is>
      </c>
      <c r="BP460" s="106" t="inlineStr">
        <is>
          <t>MAU-01B LIXIVIACIÓN/NF</t>
        </is>
      </c>
      <c r="BQ460" s="106">
        <f>VLOOKUP(BP460,[1]AGUA!$1:$1048576,2,FALSE)</f>
        <v/>
      </c>
      <c r="BR460" s="106">
        <f>VLOOKUP(BP460,[1]AGUA!$1:$1048576,6,FALSE)</f>
        <v/>
      </c>
      <c r="BS460" s="106">
        <f>VLOOKUP(BP460,[1]AGUA!$1:$1048576,7,FALSE)</f>
        <v/>
      </c>
      <c r="BT460" s="106" t="n"/>
      <c r="BU460" s="253"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M460" s="105" t="n"/>
      <c r="CN460" s="105" t="n"/>
      <c r="CO460" s="142" t="n">
        <v>1</v>
      </c>
      <c r="CP460" s="105" t="n"/>
      <c r="CQ460" s="105" t="n"/>
      <c r="CR460" s="105" t="n"/>
      <c r="CS460" s="105" t="n"/>
      <c r="CT460" s="105" t="n"/>
      <c r="CU460" s="105" t="n"/>
      <c r="CV460" s="105" t="n"/>
      <c r="CW460" s="105" t="n"/>
      <c r="CX460" s="105" t="n"/>
      <c r="CY460" s="105" t="n"/>
      <c r="CZ460" s="124">
        <f>+COUNTA(BV460:CY460)</f>
        <v/>
      </c>
      <c r="DA460" s="251" t="n"/>
      <c r="DB460" s="251" t="n"/>
      <c r="DC460" s="251" t="n"/>
      <c r="DD460" s="251" t="n"/>
      <c r="DE460" s="251" t="n"/>
      <c r="DF460" s="251" t="n"/>
      <c r="DG460" s="251" t="n"/>
      <c r="DH460" s="251" t="n"/>
      <c r="DI460" s="251" t="n"/>
      <c r="DJ460" s="251" t="inlineStr">
        <is>
          <t>T</t>
        </is>
      </c>
      <c r="DK460" s="251" t="n">
        <v>15</v>
      </c>
      <c r="DL460" s="95" t="n">
        <v>21</v>
      </c>
      <c r="DM460" s="251" t="n"/>
      <c r="DN460" s="95" t="n"/>
      <c r="DO460" s="95" t="n"/>
    </row>
    <row r="461" ht="13" customHeight="1">
      <c r="A461" s="203" t="inlineStr">
        <is>
          <t>MAU-01B</t>
        </is>
      </c>
      <c r="B461" s="376" t="n"/>
      <c r="C461" s="376"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76" t="n"/>
      <c r="BL461" s="7" t="inlineStr">
        <is>
          <t>LIXIVIACIÓN</t>
        </is>
      </c>
      <c r="BM461" s="168" t="inlineStr">
        <is>
          <t>ASUB</t>
        </is>
      </c>
      <c r="BN461" s="337" t="inlineStr">
        <is>
          <t>Lixiviación</t>
        </is>
      </c>
      <c r="BO461" s="251" t="inlineStr">
        <is>
          <t>SI</t>
        </is>
      </c>
      <c r="BP461" s="106" t="inlineStr">
        <is>
          <t>MAU-01B LIXIVIACIÓN/ASUB</t>
        </is>
      </c>
      <c r="BQ461" s="106">
        <f>VLOOKUP(BP461,[1]AGUA!$1:$1048576,2,FALSE)</f>
        <v/>
      </c>
      <c r="BR461" s="106">
        <f>VLOOKUP(BP461,[1]AGUA!$1:$1048576,6,FALSE)</f>
        <v/>
      </c>
      <c r="BS461" s="106">
        <f>VLOOKUP(BP461,[1]AGUA!$1:$1048576,7,FALSE)</f>
        <v/>
      </c>
      <c r="BT461" s="106" t="n"/>
      <c r="BU461" s="377" t="n"/>
      <c r="BV461" s="105" t="n"/>
      <c r="BW461" s="105" t="n"/>
      <c r="BX461" s="105" t="n"/>
      <c r="BY461" s="105" t="n"/>
      <c r="BZ461" s="105" t="n"/>
      <c r="CA461" s="105" t="n"/>
      <c r="CB461" s="105" t="n"/>
      <c r="CC461" s="105" t="n"/>
      <c r="CD461" s="105" t="n"/>
      <c r="CE461" s="105" t="n"/>
      <c r="CF461" s="105" t="n"/>
      <c r="CG461" s="105" t="n"/>
      <c r="CH461" s="105" t="n"/>
      <c r="CI461" s="105" t="n"/>
      <c r="CJ461" s="105" t="n"/>
      <c r="CK461" s="105" t="n"/>
      <c r="CM461" s="105" t="n"/>
      <c r="CN461" s="105" t="n"/>
      <c r="CO461" s="107" t="n">
        <v>1</v>
      </c>
      <c r="CP461" s="105" t="n"/>
      <c r="CQ461" s="105" t="n"/>
      <c r="CR461" s="105" t="n"/>
      <c r="CS461" s="105" t="n"/>
      <c r="CT461" s="105" t="n"/>
      <c r="CU461" s="105" t="n"/>
      <c r="CV461" s="105" t="n"/>
      <c r="CW461" s="105" t="n"/>
      <c r="CX461" s="105" t="n"/>
      <c r="CY461" s="105" t="n"/>
      <c r="CZ461" s="124">
        <f>+COUNTA(BV461:CY461)</f>
        <v/>
      </c>
      <c r="DA461" s="251" t="n"/>
      <c r="DB461" s="251" t="n"/>
      <c r="DC461" s="251" t="n"/>
      <c r="DD461" s="251" t="n"/>
      <c r="DE461" s="251" t="n"/>
      <c r="DF461" s="251" t="n"/>
      <c r="DG461" s="251" t="n"/>
      <c r="DH461" s="251" t="n"/>
      <c r="DI461" s="251" t="n"/>
      <c r="DJ461" s="251" t="n"/>
      <c r="DK461" s="251" t="n"/>
      <c r="DL461" s="95" t="n"/>
      <c r="DM461" s="251" t="inlineStr">
        <is>
          <t>T</t>
        </is>
      </c>
      <c r="DN461" s="95" t="n">
        <v>15</v>
      </c>
      <c r="DO461" s="95" t="n">
        <v>21</v>
      </c>
    </row>
    <row r="462" ht="13" customHeight="1">
      <c r="A462" s="203" t="inlineStr">
        <is>
          <t>MAU-02</t>
        </is>
      </c>
      <c r="B462" s="305" t="inlineStr">
        <is>
          <t>MAU-02 MICHINCHA</t>
        </is>
      </c>
      <c r="C462" s="251"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1" t="inlineStr">
        <is>
          <t>532MAMAU</t>
        </is>
      </c>
      <c r="BL462" s="7" t="inlineStr">
        <is>
          <t>GMAP-SIGA</t>
        </is>
      </c>
      <c r="BM462" s="251" t="inlineStr">
        <is>
          <t>NF</t>
        </is>
      </c>
      <c r="BN462" s="337" t="inlineStr">
        <is>
          <t>Michincha</t>
        </is>
      </c>
      <c r="BO462" s="251" t="inlineStr">
        <is>
          <t>SI</t>
        </is>
      </c>
      <c r="BP462" s="106" t="inlineStr">
        <is>
          <t>MAU-02 MICHINCHA/NF</t>
        </is>
      </c>
      <c r="BQ462" s="106">
        <f>VLOOKUP(BP462,[1]AGUA!$1:$1048576,2,FALSE)</f>
        <v/>
      </c>
      <c r="BR462" s="106">
        <f>VLOOKUP(BP462,[1]AGUA!$1:$1048576,6,FALSE)</f>
        <v/>
      </c>
      <c r="BS462" s="106">
        <f>VLOOKUP(BP462,[1]AGUA!$1:$1048576,7,FALSE)</f>
        <v/>
      </c>
      <c r="BT462" s="106" t="n"/>
      <c r="BU462" s="253" t="n"/>
      <c r="BV462" s="105" t="n"/>
      <c r="BW462" s="105" t="n"/>
      <c r="BX462" s="105" t="n"/>
      <c r="BY462" s="105" t="n"/>
      <c r="BZ462" s="105" t="n"/>
      <c r="CA462" s="142" t="n">
        <v>1</v>
      </c>
      <c r="CB462" s="105" t="n"/>
      <c r="CC462" s="105" t="n"/>
      <c r="CD462" s="105" t="n"/>
      <c r="CE462" s="105" t="n"/>
      <c r="CF462" s="105" t="n"/>
      <c r="CG462" s="105" t="n"/>
      <c r="CH462" s="105" t="n"/>
      <c r="CI462" s="105" t="n"/>
      <c r="CJ462" s="105" t="n"/>
      <c r="CK462" s="105" t="n"/>
      <c r="CL462" s="105" t="n"/>
      <c r="CM462" s="105" t="n"/>
      <c r="CN462" s="105" t="n"/>
      <c r="CO462" s="105" t="n"/>
      <c r="CP462" s="105" t="n"/>
      <c r="CQ462" s="105" t="n"/>
      <c r="CR462" s="105" t="n"/>
      <c r="CS462" s="105" t="n"/>
      <c r="CT462" s="105" t="n"/>
      <c r="CU462" s="105" t="n"/>
      <c r="CV462" s="105" t="n"/>
      <c r="CW462" s="105" t="n"/>
      <c r="CX462" s="105" t="n"/>
      <c r="CY462" s="105" t="n"/>
      <c r="CZ462" s="124">
        <f>+COUNTA(BW462:CY462)</f>
        <v/>
      </c>
      <c r="DA462" s="251" t="n"/>
      <c r="DB462" s="251" t="n"/>
      <c r="DC462" s="251" t="n"/>
      <c r="DD462" s="251" t="n"/>
      <c r="DE462" s="251" t="n"/>
      <c r="DF462" s="251" t="n"/>
      <c r="DG462" s="251" t="n"/>
      <c r="DH462" s="251" t="n"/>
      <c r="DI462" s="251" t="n"/>
      <c r="DJ462" s="251" t="inlineStr">
        <is>
          <t>M</t>
        </is>
      </c>
      <c r="DK462" s="251" t="n">
        <v>1</v>
      </c>
      <c r="DL462" s="95" t="n">
        <v>7</v>
      </c>
      <c r="DM462" s="251" t="n"/>
      <c r="DN462" s="95" t="n"/>
      <c r="DO462" s="95" t="n"/>
    </row>
    <row r="463" ht="13" customHeight="1">
      <c r="A463" s="203" t="inlineStr">
        <is>
          <t>MAU-02</t>
        </is>
      </c>
      <c r="B463" s="376" t="n"/>
      <c r="C463" s="376"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76" t="n"/>
      <c r="BL463" s="7" t="inlineStr">
        <is>
          <t>GMAP-SIGA</t>
        </is>
      </c>
      <c r="BM463" s="251" t="inlineStr">
        <is>
          <t>ASUB</t>
        </is>
      </c>
      <c r="BN463" s="337" t="inlineStr">
        <is>
          <t>Michincha</t>
        </is>
      </c>
      <c r="BO463" s="251" t="inlineStr">
        <is>
          <t>SI</t>
        </is>
      </c>
      <c r="BP463" s="106" t="inlineStr">
        <is>
          <t>MAU-02 MICHINCHA/ASUB</t>
        </is>
      </c>
      <c r="BQ463" s="106">
        <f>VLOOKUP(BP463,[1]AGUA!$1:$1048576,2,FALSE)</f>
        <v/>
      </c>
      <c r="BR463" s="106">
        <f>VLOOKUP(BP463,[1]AGUA!$1:$1048576,6,FALSE)</f>
        <v/>
      </c>
      <c r="BS463" s="106">
        <f>VLOOKUP(BP463,[1]AGUA!$1:$1048576,7,FALSE)</f>
        <v/>
      </c>
      <c r="BT463" s="106" t="n"/>
      <c r="BU463" s="377" t="n"/>
      <c r="BV463" s="105" t="n"/>
      <c r="BW463" s="105" t="n"/>
      <c r="BX463" s="105" t="n"/>
      <c r="BY463" s="105" t="n"/>
      <c r="BZ463" s="105" t="n"/>
      <c r="CA463" s="107" t="n">
        <v>1</v>
      </c>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24">
        <f>+COUNTA(BV463:CY463)</f>
        <v/>
      </c>
      <c r="DA463" s="251" t="n"/>
      <c r="DB463" s="251" t="n"/>
      <c r="DC463" s="251" t="n"/>
      <c r="DD463" s="251" t="n"/>
      <c r="DE463" s="251" t="n"/>
      <c r="DF463" s="251" t="n"/>
      <c r="DG463" s="251" t="n"/>
      <c r="DH463" s="251" t="n"/>
      <c r="DI463" s="251" t="n"/>
      <c r="DJ463" s="251" t="n"/>
      <c r="DK463" s="251" t="n"/>
      <c r="DL463" s="95" t="n"/>
      <c r="DM463" s="251" t="inlineStr">
        <is>
          <t>T</t>
        </is>
      </c>
      <c r="DN463" s="95" t="n">
        <v>1</v>
      </c>
      <c r="DO463" s="95" t="n">
        <v>7</v>
      </c>
    </row>
    <row r="464" ht="13" customHeight="1">
      <c r="A464" s="203" t="inlineStr">
        <is>
          <t>MAU-03B</t>
        </is>
      </c>
      <c r="B464" s="305" t="inlineStr">
        <is>
          <t>MAU-03B LIXIVIACIÓN</t>
        </is>
      </c>
      <c r="C464" s="251"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1" t="inlineStr">
        <is>
          <t>532MAMAU</t>
        </is>
      </c>
      <c r="BL464" s="7" t="inlineStr">
        <is>
          <t>LIXIVIACIÓN</t>
        </is>
      </c>
      <c r="BM464" s="251" t="inlineStr">
        <is>
          <t>NF</t>
        </is>
      </c>
      <c r="BN464" s="337" t="inlineStr">
        <is>
          <t>Lixiviación</t>
        </is>
      </c>
      <c r="BO464" s="251" t="inlineStr">
        <is>
          <t>SI</t>
        </is>
      </c>
      <c r="BP464" s="106" t="inlineStr">
        <is>
          <t>MAU-03B LIXIVIACIÓN/NF</t>
        </is>
      </c>
      <c r="BQ464" s="106">
        <f>VLOOKUP(BP464,[1]AGUA!$1:$1048576,2,FALSE)</f>
        <v/>
      </c>
      <c r="BR464" s="106">
        <f>VLOOKUP(BP464,[1]AGUA!$1:$1048576,6,FALSE)</f>
        <v/>
      </c>
      <c r="BS464" s="106">
        <f>VLOOKUP(BP464,[1]AGUA!$1:$1048576,7,FALSE)</f>
        <v/>
      </c>
      <c r="BT464" s="106" t="n"/>
      <c r="BU464" s="253" t="n"/>
      <c r="BV464" s="105" t="n"/>
      <c r="BW464" s="105" t="n"/>
      <c r="BX464" s="105" t="n"/>
      <c r="BY464" s="105" t="n"/>
      <c r="BZ464" s="105" t="n"/>
      <c r="CA464" s="105" t="n"/>
      <c r="CB464" s="105" t="n"/>
      <c r="CC464" s="105" t="n"/>
      <c r="CD464" s="105" t="n"/>
      <c r="CE464" s="105" t="n"/>
      <c r="CF464" s="105" t="n"/>
      <c r="CG464" s="105" t="n"/>
      <c r="CH464" s="105" t="n"/>
      <c r="CI464" s="142" t="n">
        <v>1</v>
      </c>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24">
        <f>+COUNTA(BV464:CY464)</f>
        <v/>
      </c>
      <c r="DA464" s="251" t="n"/>
      <c r="DB464" s="251" t="n"/>
      <c r="DC464" s="251" t="n"/>
      <c r="DD464" s="251" t="n"/>
      <c r="DE464" s="251" t="n"/>
      <c r="DF464" s="251" t="n"/>
      <c r="DG464" s="251" t="n"/>
      <c r="DH464" s="251" t="n"/>
      <c r="DI464" s="251" t="n"/>
      <c r="DJ464" s="251" t="inlineStr">
        <is>
          <t>M</t>
        </is>
      </c>
      <c r="DK464" s="251" t="n">
        <v>8</v>
      </c>
      <c r="DL464" s="95" t="n">
        <v>14</v>
      </c>
      <c r="DM464" s="251" t="n"/>
      <c r="DN464" s="95" t="n"/>
      <c r="DO464" s="95" t="n"/>
    </row>
    <row r="465" ht="13" customHeight="1">
      <c r="A465" s="203" t="inlineStr">
        <is>
          <t>MAU-03B</t>
        </is>
      </c>
      <c r="B465" s="305" t="inlineStr">
        <is>
          <t>MAU-03B LIXIVIACIÓN</t>
        </is>
      </c>
      <c r="C465" s="376"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76" t="n"/>
      <c r="BL465" s="7" t="inlineStr">
        <is>
          <t>LIXIVIACIÓN</t>
        </is>
      </c>
      <c r="BM465" s="251" t="inlineStr">
        <is>
          <t>ASUB</t>
        </is>
      </c>
      <c r="BN465" s="337" t="inlineStr">
        <is>
          <t>Lixiviación</t>
        </is>
      </c>
      <c r="BO465" s="251" t="inlineStr">
        <is>
          <t>SI</t>
        </is>
      </c>
      <c r="BP465" s="106" t="inlineStr">
        <is>
          <t>MAU-03B LIXIVIACIÓN/ASUB</t>
        </is>
      </c>
      <c r="BQ465" s="106">
        <f>VLOOKUP(BP465,[1]AGUA!$1:$1048576,2,FALSE)</f>
        <v/>
      </c>
      <c r="BR465" s="106">
        <f>VLOOKUP(BP465,[1]AGUA!$1:$1048576,6,FALSE)</f>
        <v/>
      </c>
      <c r="BS465" s="106">
        <f>VLOOKUP(BP465,[1]AGUA!$1:$1048576,7,FALSE)</f>
        <v/>
      </c>
      <c r="BT465" s="106" t="n"/>
      <c r="BU465" s="377" t="n"/>
      <c r="BV465" s="105" t="n"/>
      <c r="BW465" s="105" t="n"/>
      <c r="BX465" s="105" t="n"/>
      <c r="BY465" s="105" t="n"/>
      <c r="BZ465" s="105" t="n"/>
      <c r="CA465" s="105" t="n"/>
      <c r="CB465" s="105" t="n"/>
      <c r="CC465" s="105" t="n"/>
      <c r="CD465" s="105" t="n"/>
      <c r="CE465" s="105" t="n"/>
      <c r="CF465" s="105" t="n"/>
      <c r="CG465" s="105" t="n"/>
      <c r="CH465" s="105" t="n"/>
      <c r="CI465" s="107" t="n">
        <v>1</v>
      </c>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24">
        <f>+COUNTA(BV465:CY465)</f>
        <v/>
      </c>
      <c r="DA465" s="251" t="n"/>
      <c r="DB465" s="251" t="n"/>
      <c r="DC465" s="251" t="n"/>
      <c r="DD465" s="251" t="n"/>
      <c r="DE465" s="251" t="n"/>
      <c r="DF465" s="251" t="n"/>
      <c r="DG465" s="251" t="n"/>
      <c r="DH465" s="251" t="n"/>
      <c r="DI465" s="251" t="n"/>
      <c r="DJ465" s="251" t="n"/>
      <c r="DK465" s="251" t="n"/>
      <c r="DL465" s="95" t="n"/>
      <c r="DM465" s="251" t="inlineStr">
        <is>
          <t>M</t>
        </is>
      </c>
      <c r="DN465" s="95" t="n">
        <v>8</v>
      </c>
      <c r="DO465" s="95" t="n">
        <v>14</v>
      </c>
    </row>
    <row r="466" ht="13" customHeight="1">
      <c r="A466" s="203" t="inlineStr">
        <is>
          <t>MAU-04</t>
        </is>
      </c>
      <c r="B466" s="376"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1" t="inlineStr">
        <is>
          <t>532MAMAU</t>
        </is>
      </c>
      <c r="BL466" s="61" t="inlineStr">
        <is>
          <t>LIXIVIACIÓN</t>
        </is>
      </c>
      <c r="BM466" s="251" t="inlineStr">
        <is>
          <t>NF</t>
        </is>
      </c>
      <c r="BN466" s="337" t="inlineStr">
        <is>
          <t>Lixiviación</t>
        </is>
      </c>
      <c r="BO466" s="251"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24">
        <f>+COUNTA(BV466:CY466)</f>
        <v/>
      </c>
      <c r="DA466" s="251" t="n"/>
      <c r="DB466" s="251" t="n"/>
      <c r="DC466" s="251" t="n"/>
      <c r="DD466" s="251" t="n"/>
      <c r="DE466" s="251" t="n"/>
      <c r="DF466" s="251" t="n"/>
      <c r="DG466" s="251" t="n"/>
      <c r="DH466" s="251" t="n"/>
      <c r="DI466" s="251" t="n"/>
      <c r="DJ466" s="251" t="inlineStr">
        <is>
          <t>T</t>
        </is>
      </c>
      <c r="DK466" s="251" t="n">
        <v>22</v>
      </c>
      <c r="DL466" s="95" t="n">
        <v>28</v>
      </c>
      <c r="DM466" s="251" t="n"/>
      <c r="DN466" s="95" t="n"/>
      <c r="DO466" s="95" t="n"/>
    </row>
    <row r="467" ht="13" customHeight="1">
      <c r="A467" s="203" t="inlineStr">
        <is>
          <t>MAU-05B</t>
        </is>
      </c>
      <c r="B467" s="305" t="inlineStr">
        <is>
          <t>MAU-05B LIXIVIACIÓN</t>
        </is>
      </c>
      <c r="C467" s="251"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1" t="inlineStr">
        <is>
          <t>532MAMAU</t>
        </is>
      </c>
      <c r="BL467" s="7" t="inlineStr">
        <is>
          <t>LIXIVIACIÓN</t>
        </is>
      </c>
      <c r="BM467" s="251" t="inlineStr">
        <is>
          <t>NF</t>
        </is>
      </c>
      <c r="BN467" s="337" t="inlineStr">
        <is>
          <t>Lixiviación</t>
        </is>
      </c>
      <c r="BO467" s="251" t="inlineStr">
        <is>
          <t>SI PAT TRANQUE</t>
        </is>
      </c>
      <c r="BP467" s="106" t="inlineStr">
        <is>
          <t>MAU-05B LIXIVIACIÓN/NF</t>
        </is>
      </c>
      <c r="BQ467" s="106">
        <f>VLOOKUP(BP467,[1]AGUA!$1:$1048576,2,FALSE)</f>
        <v/>
      </c>
      <c r="BR467" s="106">
        <f>VLOOKUP(BP467,[1]AGUA!$1:$1048576,6,FALSE)</f>
        <v/>
      </c>
      <c r="BS467" s="106">
        <f>VLOOKUP(BP467,[1]AGUA!$1:$1048576,7,FALSE)</f>
        <v/>
      </c>
      <c r="BT467" s="106" t="n"/>
      <c r="BU467" s="253" t="inlineStr">
        <is>
          <t>1 MUESTRA OFICIAL Y DOS DUPLICADOS + 1 BLANCO</t>
        </is>
      </c>
      <c r="BV467" s="105" t="n"/>
      <c r="BW467" s="105" t="n"/>
      <c r="BX467" s="105" t="n"/>
      <c r="BY467" s="105" t="n"/>
      <c r="BZ467" s="105" t="n"/>
      <c r="CA467" s="105" t="n"/>
      <c r="CB467" s="105" t="n"/>
      <c r="CC467" s="105" t="n"/>
      <c r="CD467" s="105" t="n"/>
      <c r="CE467" s="105" t="n"/>
      <c r="CF467" s="105" t="n"/>
      <c r="CG467" s="105" t="n"/>
      <c r="CH467" s="105" t="n"/>
      <c r="CI467" s="142" t="n">
        <v>1</v>
      </c>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24">
        <f>+COUNTA(BV467:CY467)</f>
        <v/>
      </c>
      <c r="DA467" s="251" t="n"/>
      <c r="DB467" s="251" t="n"/>
      <c r="DC467" s="251" t="n"/>
      <c r="DD467" s="251" t="n"/>
      <c r="DE467" s="251" t="n"/>
      <c r="DF467" s="251" t="n"/>
      <c r="DG467" s="251" t="n"/>
      <c r="DH467" s="251" t="n"/>
      <c r="DI467" s="251" t="n"/>
      <c r="DJ467" s="251" t="inlineStr">
        <is>
          <t>M</t>
        </is>
      </c>
      <c r="DK467" s="251" t="n">
        <v>8</v>
      </c>
      <c r="DL467" s="95" t="n">
        <v>14</v>
      </c>
      <c r="DM467" s="251" t="n"/>
      <c r="DN467" s="95" t="n"/>
      <c r="DO467" s="95" t="n"/>
    </row>
    <row r="468" ht="12.5" customHeight="1">
      <c r="A468" s="203" t="inlineStr">
        <is>
          <t>MAU-05B</t>
        </is>
      </c>
      <c r="B468" s="376" t="n"/>
      <c r="C468" s="376"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76" t="n"/>
      <c r="BL468" s="7" t="inlineStr">
        <is>
          <t>LIXIVIACIÓN</t>
        </is>
      </c>
      <c r="BM468" s="251" t="inlineStr">
        <is>
          <t>ASUB</t>
        </is>
      </c>
      <c r="BN468" s="337" t="inlineStr">
        <is>
          <t>Lixiviación</t>
        </is>
      </c>
      <c r="BO468" s="251"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77" t="n"/>
      <c r="BV468" s="105" t="n"/>
      <c r="BW468" s="105" t="n"/>
      <c r="BX468" s="105" t="n"/>
      <c r="BY468" s="105" t="n"/>
      <c r="BZ468" s="105" t="n"/>
      <c r="CA468" s="105" t="n"/>
      <c r="CB468" s="105" t="n"/>
      <c r="CC468" s="105" t="n"/>
      <c r="CD468" s="105" t="n"/>
      <c r="CE468" s="105" t="n"/>
      <c r="CF468" s="105" t="n"/>
      <c r="CG468" s="105" t="n"/>
      <c r="CH468" s="105" t="n"/>
      <c r="CI468" s="107" t="n">
        <v>1</v>
      </c>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24">
        <f>+COUNTA(BV468:CY468)</f>
        <v/>
      </c>
      <c r="DA468" s="251" t="n"/>
      <c r="DB468" s="251" t="n"/>
      <c r="DC468" s="251" t="n"/>
      <c r="DD468" s="251" t="n"/>
      <c r="DE468" s="251" t="n"/>
      <c r="DF468" s="251" t="n"/>
      <c r="DG468" s="251" t="n"/>
      <c r="DH468" s="251" t="n"/>
      <c r="DI468" s="251" t="n"/>
      <c r="DJ468" s="251" t="n"/>
      <c r="DK468" s="251" t="n"/>
      <c r="DL468" s="95" t="n"/>
      <c r="DM468" s="251" t="inlineStr">
        <is>
          <t>M</t>
        </is>
      </c>
      <c r="DN468" s="95" t="n">
        <v>8</v>
      </c>
      <c r="DO468" s="95" t="n">
        <v>14</v>
      </c>
    </row>
    <row r="469" ht="12.65" customHeight="1">
      <c r="A469" s="203" t="inlineStr">
        <is>
          <t>MAU-07B</t>
        </is>
      </c>
      <c r="B469" s="305" t="inlineStr">
        <is>
          <t>MAU-07B LIXIVIACIÓN</t>
        </is>
      </c>
      <c r="C469" s="251"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1" t="inlineStr">
        <is>
          <t>532MAMAU</t>
        </is>
      </c>
      <c r="BL469" s="7" t="inlineStr">
        <is>
          <t>LIXIVIACIÓN</t>
        </is>
      </c>
      <c r="BM469" s="251" t="inlineStr">
        <is>
          <t>NF</t>
        </is>
      </c>
      <c r="BN469" s="337" t="inlineStr">
        <is>
          <t>Lixiviación</t>
        </is>
      </c>
      <c r="BO469" s="251" t="inlineStr">
        <is>
          <t>SI</t>
        </is>
      </c>
      <c r="BP469" s="106" t="inlineStr">
        <is>
          <t>MAU-07B LIXIVIACIÓN/NF</t>
        </is>
      </c>
      <c r="BQ469" s="106">
        <f>VLOOKUP(BP469,[1]AGUA!$1:$1048576,2,FALSE)</f>
        <v/>
      </c>
      <c r="BR469" s="106">
        <f>VLOOKUP(BP469,[1]AGUA!$1:$1048576,6,FALSE)</f>
        <v/>
      </c>
      <c r="BS469" s="106">
        <f>VLOOKUP(BP469,[1]AGUA!$1:$1048576,7,FALSE)</f>
        <v/>
      </c>
      <c r="BT469" s="106" t="n"/>
      <c r="BU469" s="253" t="n"/>
      <c r="BV469" s="105" t="n"/>
      <c r="BW469" s="105" t="n"/>
      <c r="BX469" s="105" t="n"/>
      <c r="BY469" s="105" t="n"/>
      <c r="BZ469" s="105" t="n"/>
      <c r="CA469" s="105" t="n"/>
      <c r="CB469" s="105" t="n"/>
      <c r="CC469" s="105" t="n"/>
      <c r="CD469" s="105" t="n"/>
      <c r="CE469" s="105" t="n"/>
      <c r="CF469" s="105" t="n"/>
      <c r="CG469" s="105" t="n"/>
      <c r="CH469" s="105" t="n"/>
      <c r="CI469" s="142" t="n">
        <v>1</v>
      </c>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24">
        <f>+COUNTA(BV469:CY469)</f>
        <v/>
      </c>
      <c r="DA469" s="251" t="n"/>
      <c r="DB469" s="251" t="n"/>
      <c r="DC469" s="251" t="n"/>
      <c r="DD469" s="251" t="n"/>
      <c r="DE469" s="251" t="n"/>
      <c r="DF469" s="251" t="n"/>
      <c r="DG469" s="251" t="n"/>
      <c r="DH469" s="251" t="n"/>
      <c r="DI469" s="251" t="n"/>
      <c r="DJ469" s="251" t="inlineStr">
        <is>
          <t>M</t>
        </is>
      </c>
      <c r="DK469" s="251" t="n">
        <v>8</v>
      </c>
      <c r="DL469" s="95" t="n">
        <v>14</v>
      </c>
      <c r="DM469" s="251" t="n"/>
      <c r="DN469" s="95" t="n"/>
      <c r="DO469" s="95" t="n"/>
    </row>
    <row r="470" ht="13" customHeight="1">
      <c r="A470" s="203" t="inlineStr">
        <is>
          <t>MAU-07B</t>
        </is>
      </c>
      <c r="B470" s="376" t="n"/>
      <c r="C470" s="376"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76" t="n"/>
      <c r="BL470" s="7" t="inlineStr">
        <is>
          <t>LIXIVIACIÓN</t>
        </is>
      </c>
      <c r="BM470" s="251" t="inlineStr">
        <is>
          <t>ASUB</t>
        </is>
      </c>
      <c r="BN470" s="337" t="inlineStr">
        <is>
          <t>Lixiviación</t>
        </is>
      </c>
      <c r="BO470" s="251" t="inlineStr">
        <is>
          <t>SI</t>
        </is>
      </c>
      <c r="BP470" s="106" t="inlineStr">
        <is>
          <t>MAU-07B LIXIVIACIÓN/ASUB</t>
        </is>
      </c>
      <c r="BQ470" s="106">
        <f>VLOOKUP(BP470,[1]AGUA!$1:$1048576,2,FALSE)</f>
        <v/>
      </c>
      <c r="BR470" s="106">
        <f>VLOOKUP(BP470,[1]AGUA!$1:$1048576,6,FALSE)</f>
        <v/>
      </c>
      <c r="BS470" s="106">
        <f>VLOOKUP(BP470,[1]AGUA!$1:$1048576,7,FALSE)</f>
        <v/>
      </c>
      <c r="BT470" s="106" t="n"/>
      <c r="BU470" s="377" t="n"/>
      <c r="BV470" s="105" t="n"/>
      <c r="BW470" s="105" t="n"/>
      <c r="BX470" s="105" t="n"/>
      <c r="BY470" s="105" t="n"/>
      <c r="BZ470" s="105" t="n"/>
      <c r="CA470" s="105" t="n"/>
      <c r="CB470" s="105" t="n"/>
      <c r="CC470" s="105" t="n"/>
      <c r="CD470" s="105" t="n"/>
      <c r="CE470" s="105" t="n"/>
      <c r="CF470" s="105" t="n"/>
      <c r="CG470" s="105" t="n"/>
      <c r="CH470" s="105" t="n"/>
      <c r="CI470" s="107" t="n">
        <v>1</v>
      </c>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24">
        <f>+COUNTA(BV470:CY470)</f>
        <v/>
      </c>
      <c r="DA470" s="251" t="n"/>
      <c r="DB470" s="251" t="n"/>
      <c r="DC470" s="251" t="n"/>
      <c r="DD470" s="251" t="n"/>
      <c r="DE470" s="251" t="n"/>
      <c r="DF470" s="251" t="n"/>
      <c r="DG470" s="251" t="n"/>
      <c r="DH470" s="251" t="n"/>
      <c r="DI470" s="251" t="n"/>
      <c r="DJ470" s="251" t="n"/>
      <c r="DK470" s="251" t="n"/>
      <c r="DL470" s="95" t="n"/>
      <c r="DM470" s="251" t="inlineStr">
        <is>
          <t>M</t>
        </is>
      </c>
      <c r="DN470" s="95" t="n">
        <v>8</v>
      </c>
      <c r="DO470" s="95" t="n">
        <v>14</v>
      </c>
    </row>
    <row r="471" ht="13" customHeight="1">
      <c r="A471" s="203" t="inlineStr">
        <is>
          <t>MAU-08B</t>
        </is>
      </c>
      <c r="B471" s="305" t="inlineStr">
        <is>
          <t>MAU-08B LIXIVIACIÓN</t>
        </is>
      </c>
      <c r="C471" s="251"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1" t="inlineStr">
        <is>
          <t>532MAMAU</t>
        </is>
      </c>
      <c r="BL471" s="7" t="inlineStr">
        <is>
          <t>LIXIVIACIÓN</t>
        </is>
      </c>
      <c r="BM471" s="251" t="inlineStr">
        <is>
          <t>NF</t>
        </is>
      </c>
      <c r="BN471" s="337" t="inlineStr">
        <is>
          <t>Lixiviación</t>
        </is>
      </c>
      <c r="BO471" s="251" t="inlineStr">
        <is>
          <t>SI</t>
        </is>
      </c>
      <c r="BP471" s="106" t="inlineStr">
        <is>
          <t>MAU-08B LIXIVIACIÓN/NF</t>
        </is>
      </c>
      <c r="BQ471" s="106">
        <f>VLOOKUP(BP471,[1]AGUA!$1:$1048576,2,FALSE)</f>
        <v/>
      </c>
      <c r="BR471" s="106">
        <f>VLOOKUP(BP471,[1]AGUA!$1:$1048576,6,FALSE)</f>
        <v/>
      </c>
      <c r="BS471" s="106">
        <f>VLOOKUP(BP471,[1]AGUA!$1:$1048576,7,FALSE)</f>
        <v/>
      </c>
      <c r="BT471" s="106" t="n"/>
      <c r="BU471" s="253" t="n"/>
      <c r="BV471" s="105" t="n"/>
      <c r="BW471" s="105" t="n"/>
      <c r="BX471" s="105" t="n"/>
      <c r="BY471" s="105" t="n"/>
      <c r="BZ471" s="105" t="n"/>
      <c r="CA471" s="105" t="n"/>
      <c r="CB471" s="105" t="n"/>
      <c r="CC471" s="105" t="n"/>
      <c r="CD471" s="105" t="n"/>
      <c r="CE471" s="105" t="n"/>
      <c r="CF471" s="105" t="n"/>
      <c r="CG471" s="105" t="n"/>
      <c r="CH471" s="105" t="n"/>
      <c r="CI471" s="142" t="n">
        <v>1</v>
      </c>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24">
        <f>+COUNTA(BV471:CY471)</f>
        <v/>
      </c>
      <c r="DA471" s="251" t="n"/>
      <c r="DB471" s="251" t="n"/>
      <c r="DC471" s="251" t="n"/>
      <c r="DD471" s="251" t="n"/>
      <c r="DE471" s="251" t="n"/>
      <c r="DF471" s="251" t="n"/>
      <c r="DG471" s="251" t="n"/>
      <c r="DH471" s="251" t="n"/>
      <c r="DI471" s="251" t="n"/>
      <c r="DJ471" s="251" t="inlineStr">
        <is>
          <t>M</t>
        </is>
      </c>
      <c r="DK471" s="251" t="n">
        <v>8</v>
      </c>
      <c r="DL471" s="95" t="n">
        <v>14</v>
      </c>
      <c r="DM471" s="251" t="n"/>
      <c r="DN471" s="95" t="n"/>
      <c r="DO471" s="95" t="n"/>
    </row>
    <row r="472" ht="13" customHeight="1">
      <c r="A472" s="203" t="inlineStr">
        <is>
          <t>MAU-08B</t>
        </is>
      </c>
      <c r="B472" s="376" t="n"/>
      <c r="C472" s="376"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76" t="n"/>
      <c r="BL472" s="7" t="inlineStr">
        <is>
          <t>LIXIVIACIÓN</t>
        </is>
      </c>
      <c r="BM472" s="251" t="inlineStr">
        <is>
          <t>ASUB</t>
        </is>
      </c>
      <c r="BN472" s="337" t="inlineStr">
        <is>
          <t>Lixiviación</t>
        </is>
      </c>
      <c r="BO472" s="251" t="inlineStr">
        <is>
          <t>SI</t>
        </is>
      </c>
      <c r="BP472" s="106" t="inlineStr">
        <is>
          <t>MAU-08B LIXIVIACIÓN/ASUB</t>
        </is>
      </c>
      <c r="BQ472" s="106">
        <f>VLOOKUP(BP472,[1]AGUA!$1:$1048576,2,FALSE)</f>
        <v/>
      </c>
      <c r="BR472" s="106">
        <f>VLOOKUP(BP472,[1]AGUA!$1:$1048576,6,FALSE)</f>
        <v/>
      </c>
      <c r="BS472" s="106">
        <f>VLOOKUP(BP472,[1]AGUA!$1:$1048576,7,FALSE)</f>
        <v/>
      </c>
      <c r="BT472" s="106" t="n"/>
      <c r="BU472" s="377" t="n"/>
      <c r="BV472" s="105" t="n"/>
      <c r="BW472" s="105" t="n"/>
      <c r="BX472" s="105" t="n"/>
      <c r="BY472" s="105" t="n"/>
      <c r="BZ472" s="105" t="n"/>
      <c r="CA472" s="105" t="n"/>
      <c r="CB472" s="105" t="n"/>
      <c r="CC472" s="105" t="n"/>
      <c r="CD472" s="105" t="n"/>
      <c r="CE472" s="105" t="n"/>
      <c r="CF472" s="105" t="n"/>
      <c r="CG472" s="105" t="n"/>
      <c r="CH472" s="105" t="n"/>
      <c r="CI472" s="107" t="n">
        <v>1</v>
      </c>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24">
        <f>+COUNTA(BV472:CY472)</f>
        <v/>
      </c>
      <c r="DA472" s="251" t="n"/>
      <c r="DB472" s="251" t="n"/>
      <c r="DC472" s="251" t="n"/>
      <c r="DD472" s="251" t="n"/>
      <c r="DE472" s="251" t="n"/>
      <c r="DF472" s="251" t="n"/>
      <c r="DG472" s="251" t="n"/>
      <c r="DH472" s="251" t="n"/>
      <c r="DI472" s="251" t="n"/>
      <c r="DJ472" s="251" t="n"/>
      <c r="DK472" s="251" t="n"/>
      <c r="DL472" s="95" t="n"/>
      <c r="DM472" s="251" t="inlineStr">
        <is>
          <t>M</t>
        </is>
      </c>
      <c r="DN472" s="95" t="n">
        <v>8</v>
      </c>
      <c r="DO472" s="95" t="n">
        <v>14</v>
      </c>
    </row>
    <row r="473" ht="13" customHeight="1">
      <c r="A473" s="203" t="inlineStr">
        <is>
          <t>MAU-09</t>
        </is>
      </c>
      <c r="B473" s="305"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2" t="inlineStr">
        <is>
          <t>532MAMAU</t>
        </is>
      </c>
      <c r="BL473" s="61" t="inlineStr">
        <is>
          <t>LIXIVIACIÓN</t>
        </is>
      </c>
      <c r="BM473" s="251" t="inlineStr">
        <is>
          <t>NF</t>
        </is>
      </c>
      <c r="BN473" s="337" t="inlineStr">
        <is>
          <t>Lixiviación</t>
        </is>
      </c>
      <c r="BO473" s="251"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05" t="n"/>
      <c r="CT473" s="105" t="n"/>
      <c r="CU473" s="105" t="n"/>
      <c r="CV473" s="105" t="n"/>
      <c r="CW473" s="142" t="n">
        <v>1</v>
      </c>
      <c r="CX473" s="105" t="n"/>
      <c r="CY473" s="105" t="n"/>
      <c r="CZ473" s="124">
        <f>+COUNTA(BV473:CY473)</f>
        <v/>
      </c>
      <c r="DA473" s="251" t="n"/>
      <c r="DB473" s="251" t="n"/>
      <c r="DC473" s="251" t="n"/>
      <c r="DD473" s="251" t="n"/>
      <c r="DE473" s="251" t="n"/>
      <c r="DF473" s="251" t="n"/>
      <c r="DG473" s="251" t="n"/>
      <c r="DH473" s="251" t="n"/>
      <c r="DI473" s="251" t="n"/>
      <c r="DJ473" s="251" t="inlineStr">
        <is>
          <t>M</t>
        </is>
      </c>
      <c r="DK473" s="251" t="n">
        <v>22</v>
      </c>
      <c r="DL473" s="95" t="n">
        <v>28</v>
      </c>
      <c r="DM473" s="251" t="n"/>
      <c r="DN473" s="95" t="n"/>
      <c r="DO473" s="95" t="n"/>
    </row>
    <row r="474" ht="13" customHeight="1">
      <c r="A474" s="203" t="inlineStr">
        <is>
          <t>MAU-10</t>
        </is>
      </c>
      <c r="B474" s="305" t="inlineStr">
        <is>
          <t>MAU-10 LIXIVIACIÓN</t>
        </is>
      </c>
      <c r="C474" s="251"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1" t="inlineStr">
        <is>
          <t>532MAMAU</t>
        </is>
      </c>
      <c r="BL474" s="7" t="inlineStr">
        <is>
          <t>LIXIVIACIÓN</t>
        </is>
      </c>
      <c r="BM474" s="251" t="inlineStr">
        <is>
          <t>NF</t>
        </is>
      </c>
      <c r="BN474" s="337" t="inlineStr">
        <is>
          <t>Lixiviación</t>
        </is>
      </c>
      <c r="BO474" s="251" t="inlineStr">
        <is>
          <t>NO</t>
        </is>
      </c>
      <c r="BP474" s="106" t="inlineStr">
        <is>
          <t>MAU-10 LIXIVIACIÓN/NF</t>
        </is>
      </c>
      <c r="BQ474" s="106">
        <f>VLOOKUP(BP474,[1]AGUA!$1:$1048576,2,FALSE)</f>
        <v/>
      </c>
      <c r="BR474" s="106">
        <f>VLOOKUP(BP474,[1]AGUA!$1:$1048576,6,FALSE)</f>
        <v/>
      </c>
      <c r="BS474" s="106">
        <f>VLOOKUP(BP474,[1]AGUA!$1:$1048576,7,FALSE)</f>
        <v/>
      </c>
      <c r="BT474" s="106" t="n"/>
      <c r="BU474" s="253"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05" t="n"/>
      <c r="CT474" s="105" t="n"/>
      <c r="CU474" s="105" t="n"/>
      <c r="CV474" s="105" t="n"/>
      <c r="CW474" s="142" t="n">
        <v>1</v>
      </c>
      <c r="CX474" s="105" t="n"/>
      <c r="CY474" s="105" t="n"/>
      <c r="CZ474" s="124">
        <f>+COUNTA(BV474:CY474)</f>
        <v/>
      </c>
      <c r="DA474" s="251" t="n"/>
      <c r="DB474" s="251" t="n"/>
      <c r="DC474" s="251" t="n"/>
      <c r="DD474" s="251" t="n"/>
      <c r="DE474" s="251" t="n"/>
      <c r="DF474" s="251" t="n"/>
      <c r="DG474" s="251" t="n"/>
      <c r="DH474" s="251" t="n"/>
      <c r="DI474" s="251" t="n"/>
      <c r="DJ474" s="251" t="inlineStr">
        <is>
          <t>M</t>
        </is>
      </c>
      <c r="DK474" s="251" t="n">
        <v>22</v>
      </c>
      <c r="DL474" s="95" t="n">
        <v>28</v>
      </c>
      <c r="DM474" s="251" t="n"/>
      <c r="DN474" s="95" t="n"/>
      <c r="DO474" s="95" t="n"/>
    </row>
    <row r="475" ht="13" customHeight="1">
      <c r="A475" s="203" t="inlineStr">
        <is>
          <t>MAU-10</t>
        </is>
      </c>
      <c r="B475" s="376" t="n"/>
      <c r="C475" s="376"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76" t="n"/>
      <c r="BL475" s="7" t="inlineStr">
        <is>
          <t>LIXIVIACIÓN</t>
        </is>
      </c>
      <c r="BM475" s="251" t="inlineStr">
        <is>
          <t>ASUB</t>
        </is>
      </c>
      <c r="BN475" s="337" t="inlineStr">
        <is>
          <t>Lixiviación</t>
        </is>
      </c>
      <c r="BO475" s="251" t="inlineStr">
        <is>
          <t>NO</t>
        </is>
      </c>
      <c r="BP475" s="106" t="inlineStr">
        <is>
          <t>MAU-10 LIXIVIACIÓN/ASUB</t>
        </is>
      </c>
      <c r="BQ475" s="106">
        <f>VLOOKUP(BP475,[1]AGUA!$1:$1048576,2,FALSE)</f>
        <v/>
      </c>
      <c r="BR475" s="106">
        <f>VLOOKUP(BP475,[1]AGUA!$1:$1048576,6,FALSE)</f>
        <v/>
      </c>
      <c r="BS475" s="106">
        <f>VLOOKUP(BP475,[1]AGUA!$1:$1048576,7,FALSE)</f>
        <v/>
      </c>
      <c r="BT475" s="106" t="n"/>
      <c r="BU475" s="377"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5" t="n"/>
      <c r="CR475" s="105" t="n"/>
      <c r="CS475" s="105" t="n"/>
      <c r="CT475" s="105" t="n"/>
      <c r="CU475" s="105" t="n"/>
      <c r="CV475" s="105" t="n"/>
      <c r="CW475" s="107" t="n">
        <v>1</v>
      </c>
      <c r="CX475" s="105" t="n"/>
      <c r="CY475" s="105" t="n"/>
      <c r="CZ475" s="124">
        <f>+COUNTA(BV475:CY475)</f>
        <v/>
      </c>
      <c r="DA475" s="251" t="n"/>
      <c r="DB475" s="251" t="n"/>
      <c r="DC475" s="251" t="n"/>
      <c r="DD475" s="251" t="n"/>
      <c r="DE475" s="251" t="n"/>
      <c r="DF475" s="251" t="n"/>
      <c r="DG475" s="251" t="n"/>
      <c r="DH475" s="251" t="n"/>
      <c r="DI475" s="251" t="n"/>
      <c r="DJ475" s="251" t="n"/>
      <c r="DK475" s="251" t="n"/>
      <c r="DL475" s="95" t="n"/>
      <c r="DM475" s="251" t="inlineStr">
        <is>
          <t>M</t>
        </is>
      </c>
      <c r="DN475" s="95" t="n">
        <v>22</v>
      </c>
      <c r="DO475" s="95" t="n">
        <v>28</v>
      </c>
    </row>
    <row r="476" ht="13" customHeight="1">
      <c r="A476" s="203" t="inlineStr">
        <is>
          <t>MAU-11B</t>
        </is>
      </c>
      <c r="B476" s="305" t="inlineStr">
        <is>
          <t>MAU-11B LIXIVIACIÓN</t>
        </is>
      </c>
      <c r="C476" s="251"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1" t="inlineStr">
        <is>
          <t>532MAMAU</t>
        </is>
      </c>
      <c r="BL476" s="7" t="inlineStr">
        <is>
          <t>LIXIVIACIÓN</t>
        </is>
      </c>
      <c r="BM476" s="251" t="inlineStr">
        <is>
          <t>NF</t>
        </is>
      </c>
      <c r="BN476" s="337" t="inlineStr">
        <is>
          <t>Lixiviación</t>
        </is>
      </c>
      <c r="BO476" s="251" t="inlineStr">
        <is>
          <t>SI PAT TRANQUE</t>
        </is>
      </c>
      <c r="BP476" s="106" t="inlineStr">
        <is>
          <t>MAU-11B LIXIVIACIÓN/NF</t>
        </is>
      </c>
      <c r="BQ476" s="106">
        <f>VLOOKUP(BP476,[1]AGUA!$1:$1048576,2,FALSE)</f>
        <v/>
      </c>
      <c r="BR476" s="106">
        <f>VLOOKUP(BP476,[1]AGUA!$1:$1048576,6,FALSE)</f>
        <v/>
      </c>
      <c r="BS476" s="106">
        <f>VLOOKUP(BP476,[1]AGUA!$1:$1048576,7,FALSE)</f>
        <v/>
      </c>
      <c r="BT476" s="106" t="n"/>
      <c r="BU476" s="253" t="inlineStr">
        <is>
          <t>1 MUESTRA OFICIAL Y DOS DUPLICADOS + 1 BLANCO</t>
        </is>
      </c>
      <c r="BV476" s="105" t="n"/>
      <c r="BW476" s="105" t="n"/>
      <c r="BX476" s="105" t="n"/>
      <c r="BY476" s="105" t="n"/>
      <c r="BZ476" s="105" t="n"/>
      <c r="CA476" s="105" t="n"/>
      <c r="CB476" s="105" t="n"/>
      <c r="CC476" s="105" t="n"/>
      <c r="CD476" s="105" t="n"/>
      <c r="CE476" s="105" t="n"/>
      <c r="CF476" s="105" t="n"/>
      <c r="CG476" s="105" t="n"/>
      <c r="CH476" s="105" t="n"/>
      <c r="CI476" s="142" t="n">
        <v>1</v>
      </c>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24">
        <f>+COUNTA(BV476:CY476)</f>
        <v/>
      </c>
      <c r="DA476" s="251" t="n"/>
      <c r="DB476" s="251" t="n"/>
      <c r="DC476" s="251" t="n"/>
      <c r="DD476" s="251" t="n"/>
      <c r="DE476" s="251" t="n"/>
      <c r="DF476" s="251" t="n"/>
      <c r="DG476" s="251" t="n"/>
      <c r="DH476" s="251" t="n"/>
      <c r="DI476" s="251" t="n"/>
      <c r="DJ476" s="251" t="inlineStr">
        <is>
          <t>M</t>
        </is>
      </c>
      <c r="DK476" s="251" t="n">
        <v>8</v>
      </c>
      <c r="DL476" s="95" t="n">
        <v>14</v>
      </c>
      <c r="DM476" s="251" t="n"/>
      <c r="DN476" s="95" t="n"/>
      <c r="DO476" s="95" t="n"/>
    </row>
    <row r="477" ht="13" customHeight="1">
      <c r="A477" s="203" t="inlineStr">
        <is>
          <t>MAU-11B</t>
        </is>
      </c>
      <c r="B477" s="376" t="n"/>
      <c r="C477" s="376"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76" t="n"/>
      <c r="BL477" s="7" t="inlineStr">
        <is>
          <t>LIXIVIACIÓN</t>
        </is>
      </c>
      <c r="BM477" s="251" t="inlineStr">
        <is>
          <t>ASUB</t>
        </is>
      </c>
      <c r="BN477" s="337" t="inlineStr">
        <is>
          <t>Lixiviación</t>
        </is>
      </c>
      <c r="BO477" s="251"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77" t="n"/>
      <c r="BV477" s="105" t="n"/>
      <c r="BW477" s="105" t="n"/>
      <c r="BX477" s="105" t="n"/>
      <c r="BY477" s="105" t="n"/>
      <c r="BZ477" s="105" t="n"/>
      <c r="CA477" s="105" t="n"/>
      <c r="CB477" s="105" t="n"/>
      <c r="CC477" s="105" t="n"/>
      <c r="CD477" s="105" t="n"/>
      <c r="CE477" s="105" t="n"/>
      <c r="CF477" s="105" t="n"/>
      <c r="CG477" s="105" t="n"/>
      <c r="CH477" s="105" t="n"/>
      <c r="CI477" s="107" t="n">
        <v>1</v>
      </c>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24">
        <f>+COUNTA(BV477:CY477)</f>
        <v/>
      </c>
      <c r="DA477" s="251" t="n"/>
      <c r="DB477" s="251" t="n"/>
      <c r="DC477" s="251" t="n"/>
      <c r="DD477" s="251" t="n"/>
      <c r="DE477" s="251" t="n"/>
      <c r="DF477" s="251" t="n"/>
      <c r="DG477" s="251" t="n"/>
      <c r="DH477" s="251" t="n"/>
      <c r="DI477" s="251" t="n"/>
      <c r="DJ477" s="251" t="n"/>
      <c r="DK477" s="251" t="n"/>
      <c r="DL477" s="95" t="n"/>
      <c r="DM477" s="251" t="inlineStr">
        <is>
          <t>M</t>
        </is>
      </c>
      <c r="DN477" s="95" t="n">
        <v>8</v>
      </c>
      <c r="DO477" s="95" t="n">
        <v>14</v>
      </c>
    </row>
    <row r="478" ht="13" customHeight="1">
      <c r="A478" s="203" t="inlineStr">
        <is>
          <t>MAU-12</t>
        </is>
      </c>
      <c r="B478" s="305" t="inlineStr">
        <is>
          <t>MAU-12 LIXIVIACIÓN</t>
        </is>
      </c>
      <c r="C478" s="251"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1" t="inlineStr">
        <is>
          <t>532MAMAU</t>
        </is>
      </c>
      <c r="BL478" s="7" t="inlineStr">
        <is>
          <t>LIXIVIACIÓN</t>
        </is>
      </c>
      <c r="BM478" s="251" t="inlineStr">
        <is>
          <t>NF</t>
        </is>
      </c>
      <c r="BN478" s="337" t="inlineStr">
        <is>
          <t>Lixiviación</t>
        </is>
      </c>
      <c r="BO478" s="251" t="inlineStr">
        <is>
          <t>SI</t>
        </is>
      </c>
      <c r="BP478" s="106" t="inlineStr">
        <is>
          <t>MAU-12 LIXIVIACIÓN/NF</t>
        </is>
      </c>
      <c r="BQ478" s="106">
        <f>VLOOKUP(BP478,[1]AGUA!$1:$1048576,2,FALSE)</f>
        <v/>
      </c>
      <c r="BR478" s="106">
        <f>VLOOKUP(BP478,[1]AGUA!$1:$1048576,6,FALSE)</f>
        <v/>
      </c>
      <c r="BS478" s="106">
        <f>VLOOKUP(BP478,[1]AGUA!$1:$1048576,7,FALSE)</f>
        <v/>
      </c>
      <c r="BT478" s="106" t="n"/>
      <c r="BU478" s="253" t="n"/>
      <c r="BV478" s="105" t="n"/>
      <c r="BW478" s="105" t="n"/>
      <c r="BX478" s="105" t="n"/>
      <c r="BY478" s="105" t="n"/>
      <c r="BZ478" s="105" t="n"/>
      <c r="CA478" s="105" t="n"/>
      <c r="CB478" s="105" t="n"/>
      <c r="CC478" s="105" t="n"/>
      <c r="CD478" s="105" t="n"/>
      <c r="CE478" s="105" t="n"/>
      <c r="CF478" s="105" t="n"/>
      <c r="CG478" s="105" t="n"/>
      <c r="CH478" s="105" t="n"/>
      <c r="CI478" s="105" t="n"/>
      <c r="CJ478" s="105" t="n"/>
      <c r="CK478" s="105" t="n"/>
      <c r="CM478" s="105" t="n"/>
      <c r="CN478" s="105" t="n"/>
      <c r="CO478" s="142" t="n">
        <v>1</v>
      </c>
      <c r="CP478" s="105" t="n"/>
      <c r="CQ478" s="105" t="n"/>
      <c r="CR478" s="105" t="n"/>
      <c r="CS478" s="105" t="n"/>
      <c r="CT478" s="105" t="n"/>
      <c r="CU478" s="105" t="n"/>
      <c r="CV478" s="105" t="n"/>
      <c r="CW478" s="105" t="n"/>
      <c r="CX478" s="105" t="n"/>
      <c r="CY478" s="105" t="n"/>
      <c r="CZ478" s="124">
        <f>+COUNTA(BV478:CY478)</f>
        <v/>
      </c>
      <c r="DA478" s="251" t="n"/>
      <c r="DB478" s="251" t="n"/>
      <c r="DC478" s="251" t="n"/>
      <c r="DD478" s="251" t="n"/>
      <c r="DE478" s="251" t="n"/>
      <c r="DF478" s="251" t="n"/>
      <c r="DG478" s="251" t="n"/>
      <c r="DH478" s="251" t="n"/>
      <c r="DI478" s="251" t="n"/>
      <c r="DJ478" s="251" t="inlineStr">
        <is>
          <t>M</t>
        </is>
      </c>
      <c r="DK478" s="251" t="n">
        <v>15</v>
      </c>
      <c r="DL478" s="95" t="n">
        <v>21</v>
      </c>
      <c r="DM478" s="251" t="n"/>
      <c r="DN478" s="95" t="n"/>
      <c r="DO478" s="95" t="n"/>
    </row>
    <row r="479" ht="13" customHeight="1">
      <c r="A479" s="203" t="inlineStr">
        <is>
          <t>MAU-12</t>
        </is>
      </c>
      <c r="B479" s="376" t="n"/>
      <c r="C479" s="376"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76" t="n"/>
      <c r="BL479" s="7" t="inlineStr">
        <is>
          <t>LIXIVIACIÓN</t>
        </is>
      </c>
      <c r="BM479" s="168" t="inlineStr">
        <is>
          <t>ASUB</t>
        </is>
      </c>
      <c r="BN479" s="337" t="inlineStr">
        <is>
          <t>Lixiviación</t>
        </is>
      </c>
      <c r="BO479" s="251" t="inlineStr">
        <is>
          <t>SI</t>
        </is>
      </c>
      <c r="BP479" s="106" t="inlineStr">
        <is>
          <t>MAU-12 LIXIVIACIÓN/ASUB</t>
        </is>
      </c>
      <c r="BQ479" s="106">
        <f>VLOOKUP(BP479,[1]AGUA!$1:$1048576,2,FALSE)</f>
        <v/>
      </c>
      <c r="BR479" s="106">
        <f>VLOOKUP(BP479,[1]AGUA!$1:$1048576,6,FALSE)</f>
        <v/>
      </c>
      <c r="BS479" s="106">
        <f>VLOOKUP(BP479,[1]AGUA!$1:$1048576,7,FALSE)</f>
        <v/>
      </c>
      <c r="BT479" s="106" t="n"/>
      <c r="BU479" s="377" t="n"/>
      <c r="BV479" s="105" t="n"/>
      <c r="BW479" s="105" t="n"/>
      <c r="BX479" s="105" t="n"/>
      <c r="BY479" s="105" t="n"/>
      <c r="BZ479" s="105" t="n"/>
      <c r="CA479" s="105" t="n"/>
      <c r="CB479" s="105" t="n"/>
      <c r="CC479" s="105" t="n"/>
      <c r="CD479" s="105" t="n"/>
      <c r="CE479" s="105" t="n"/>
      <c r="CF479" s="105" t="n"/>
      <c r="CG479" s="105" t="n"/>
      <c r="CH479" s="105" t="n"/>
      <c r="CI479" s="105" t="n"/>
      <c r="CJ479" s="105" t="n"/>
      <c r="CK479" s="105" t="n"/>
      <c r="CM479" s="105" t="n"/>
      <c r="CN479" s="105" t="n"/>
      <c r="CO479" s="107" t="n">
        <v>1</v>
      </c>
      <c r="CP479" s="105" t="n"/>
      <c r="CQ479" s="105" t="n"/>
      <c r="CR479" s="105" t="n"/>
      <c r="CS479" s="105" t="n"/>
      <c r="CT479" s="105" t="n"/>
      <c r="CU479" s="105" t="n"/>
      <c r="CV479" s="105" t="n"/>
      <c r="CW479" s="105" t="n"/>
      <c r="CX479" s="105" t="n"/>
      <c r="CY479" s="105" t="n"/>
      <c r="CZ479" s="124">
        <f>+COUNTA(BV479:CY479)</f>
        <v/>
      </c>
      <c r="DA479" s="251" t="n"/>
      <c r="DB479" s="251" t="n"/>
      <c r="DC479" s="251" t="n"/>
      <c r="DD479" s="251" t="n"/>
      <c r="DE479" s="251" t="n"/>
      <c r="DF479" s="251" t="n"/>
      <c r="DG479" s="251" t="n"/>
      <c r="DH479" s="251" t="n"/>
      <c r="DI479" s="251" t="n"/>
      <c r="DJ479" s="251" t="n"/>
      <c r="DK479" s="251" t="n"/>
      <c r="DL479" s="95" t="n"/>
      <c r="DM479" s="251" t="inlineStr">
        <is>
          <t>M</t>
        </is>
      </c>
      <c r="DN479" s="95" t="n">
        <v>15</v>
      </c>
      <c r="DO479" s="95" t="n">
        <v>21</v>
      </c>
    </row>
    <row r="480" ht="13.5" customHeight="1">
      <c r="A480" s="219" t="inlineStr">
        <is>
          <t>MAU-13</t>
        </is>
      </c>
      <c r="B480" s="305" t="inlineStr">
        <is>
          <t>MAU-13 LIXIVIACIÓN</t>
        </is>
      </c>
      <c r="C480" s="251"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1" t="inlineStr">
        <is>
          <t>532MAMAU</t>
        </is>
      </c>
      <c r="BL480" s="7" t="inlineStr">
        <is>
          <t>LIXIVIACIÓN</t>
        </is>
      </c>
      <c r="BM480" s="251" t="inlineStr">
        <is>
          <t>NF</t>
        </is>
      </c>
      <c r="BN480" s="337" t="inlineStr">
        <is>
          <t>Lixiviación</t>
        </is>
      </c>
      <c r="BO480" s="251" t="inlineStr">
        <is>
          <t>SI</t>
        </is>
      </c>
      <c r="BP480" s="106" t="inlineStr">
        <is>
          <t>MAU-13 LIXIVIACIÓN/NF</t>
        </is>
      </c>
      <c r="BQ480" s="106">
        <f>VLOOKUP(BP480,[1]AGUA!$1:$1048576,2,FALSE)</f>
        <v/>
      </c>
      <c r="BR480" s="106">
        <f>VLOOKUP(BP480,[1]AGUA!$1:$1048576,6,FALSE)</f>
        <v/>
      </c>
      <c r="BS480" s="106">
        <f>VLOOKUP(BP480,[1]AGUA!$1:$1048576,7,FALSE)</f>
        <v/>
      </c>
      <c r="BT480" s="106" t="n"/>
      <c r="BU480" s="253" t="n"/>
      <c r="BV480" s="105" t="n"/>
      <c r="BW480" s="105" t="n"/>
      <c r="BX480" s="105" t="n"/>
      <c r="BY480" s="105" t="n"/>
      <c r="BZ480" s="142" t="n">
        <v>1</v>
      </c>
      <c r="CA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24">
        <f>+COUNTA(BV480:CY480)</f>
        <v/>
      </c>
      <c r="DA480" s="251" t="n"/>
      <c r="DB480" s="251" t="n"/>
      <c r="DC480" s="251" t="n"/>
      <c r="DD480" s="251" t="n"/>
      <c r="DE480" s="251" t="n"/>
      <c r="DF480" s="251" t="n"/>
      <c r="DG480" s="251" t="n"/>
      <c r="DH480" s="251" t="n"/>
      <c r="DI480" s="251" t="n"/>
      <c r="DJ480" s="251" t="inlineStr">
        <is>
          <t>M</t>
        </is>
      </c>
      <c r="DK480" s="251" t="n">
        <v>1</v>
      </c>
      <c r="DL480" s="95" t="n">
        <v>7</v>
      </c>
      <c r="DM480" s="251" t="n"/>
      <c r="DN480" s="95" t="n"/>
      <c r="DO480" s="95" t="n"/>
    </row>
    <row r="481" ht="13.5" customHeight="1">
      <c r="A481" s="219" t="inlineStr">
        <is>
          <t>MAU-13</t>
        </is>
      </c>
      <c r="B481" s="376" t="n"/>
      <c r="C481" s="376"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76" t="n"/>
      <c r="BL481" s="7" t="inlineStr">
        <is>
          <t>LIXIVIACIÓN</t>
        </is>
      </c>
      <c r="BM481" s="251" t="inlineStr">
        <is>
          <t>ASUB</t>
        </is>
      </c>
      <c r="BN481" s="337" t="inlineStr">
        <is>
          <t>Lixiviación</t>
        </is>
      </c>
      <c r="BO481" s="251" t="inlineStr">
        <is>
          <t>SI</t>
        </is>
      </c>
      <c r="BP481" s="106" t="inlineStr">
        <is>
          <t>MAU-13 LIXIVIACIÓN/ASUB</t>
        </is>
      </c>
      <c r="BQ481" s="106">
        <f>VLOOKUP(BP481,[1]AGUA!$1:$1048576,2,FALSE)</f>
        <v/>
      </c>
      <c r="BR481" s="106">
        <f>VLOOKUP(BP481,[1]AGUA!$1:$1048576,6,FALSE)</f>
        <v/>
      </c>
      <c r="BS481" s="106">
        <f>VLOOKUP(BP481,[1]AGUA!$1:$1048576,7,FALSE)</f>
        <v/>
      </c>
      <c r="BT481" s="106" t="n"/>
      <c r="BU481" s="377" t="n"/>
      <c r="BV481" s="105" t="n"/>
      <c r="BW481" s="105" t="n"/>
      <c r="BX481" s="105" t="n"/>
      <c r="BY481" s="105" t="n"/>
      <c r="BZ481" s="107" t="n">
        <v>1</v>
      </c>
      <c r="CA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24">
        <f>+COUNTA(BV481:CY481)</f>
        <v/>
      </c>
      <c r="DA481" s="251" t="n"/>
      <c r="DB481" s="251" t="n"/>
      <c r="DC481" s="251" t="n"/>
      <c r="DD481" s="251" t="n"/>
      <c r="DE481" s="251" t="n"/>
      <c r="DF481" s="251" t="n"/>
      <c r="DG481" s="251" t="n"/>
      <c r="DH481" s="251" t="n"/>
      <c r="DI481" s="251" t="n"/>
      <c r="DJ481" s="251" t="n"/>
      <c r="DK481" s="251" t="n"/>
      <c r="DL481" s="95" t="n"/>
      <c r="DM481" s="251" t="inlineStr">
        <is>
          <t>M</t>
        </is>
      </c>
      <c r="DN481" s="95" t="n">
        <v>1</v>
      </c>
      <c r="DO481" s="95" t="n">
        <v>7</v>
      </c>
    </row>
    <row r="482" ht="11.5" customHeight="1">
      <c r="A482" s="203" t="inlineStr">
        <is>
          <t>MAU-14</t>
        </is>
      </c>
      <c r="B482" s="305" t="inlineStr">
        <is>
          <t>MAU-14 MICHINCHA</t>
        </is>
      </c>
      <c r="C482" s="251"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1" t="inlineStr">
        <is>
          <t>532MAMAU</t>
        </is>
      </c>
      <c r="BL482" s="7" t="inlineStr">
        <is>
          <t>GMAP-SIGA</t>
        </is>
      </c>
      <c r="BM482" s="251" t="inlineStr">
        <is>
          <t>NF</t>
        </is>
      </c>
      <c r="BN482" s="337" t="inlineStr">
        <is>
          <t>Michincha</t>
        </is>
      </c>
      <c r="BO482" s="251" t="inlineStr">
        <is>
          <t>SI PAT TRANQUE</t>
        </is>
      </c>
      <c r="BP482" s="106" t="inlineStr">
        <is>
          <t>MAU-14 MICHINCHA/NF</t>
        </is>
      </c>
      <c r="BQ482" s="106">
        <f>VLOOKUP(BP482,[1]AGUA!$1:$1048576,2,FALSE)</f>
        <v/>
      </c>
      <c r="BR482" s="106">
        <f>VLOOKUP(BP482,[1]AGUA!$1:$1048576,6,FALSE)</f>
        <v/>
      </c>
      <c r="BS482" s="106">
        <f>VLOOKUP(BP482,[1]AGUA!$1:$1048576,7,FALSE)</f>
        <v/>
      </c>
      <c r="BT482" s="106" t="n"/>
      <c r="BU482" s="253" t="inlineStr">
        <is>
          <t>1 MUESTRA OFICIAL Y DOS DUPLICADOS + 1 BLANCO</t>
        </is>
      </c>
      <c r="BV482" s="105" t="n"/>
      <c r="BW482" s="105" t="n"/>
      <c r="BX482" s="105" t="n"/>
      <c r="BY482" s="105" t="n"/>
      <c r="BZ482" s="105" t="n"/>
      <c r="CA482" s="105" t="n"/>
      <c r="CB482" s="105" t="n"/>
      <c r="CC482" s="105" t="n"/>
      <c r="CD482" s="105" t="n"/>
      <c r="CE482" s="105" t="n"/>
      <c r="CF482" s="105" t="n"/>
      <c r="CG482" s="105" t="n"/>
      <c r="CH482" s="105" t="n"/>
      <c r="CI482" s="142" t="n">
        <v>1</v>
      </c>
      <c r="CJ482" s="105" t="n"/>
      <c r="CK482" s="105" t="n"/>
      <c r="CL482" s="105" t="n"/>
      <c r="CM482" s="105" t="n"/>
      <c r="CN482" s="105" t="n"/>
      <c r="CO482" s="105" t="n"/>
      <c r="CP482" s="105" t="n"/>
      <c r="CQ482" s="105" t="n"/>
      <c r="CR482" s="105" t="n"/>
      <c r="CS482" s="105" t="n"/>
      <c r="CT482" s="105" t="n"/>
      <c r="CU482" s="105" t="n"/>
      <c r="CV482" s="105" t="n"/>
      <c r="CW482" s="105" t="n"/>
      <c r="CX482" s="105" t="n"/>
      <c r="CY482" s="105" t="n"/>
      <c r="CZ482" s="124">
        <f>+COUNTA(BV482:CY482)</f>
        <v/>
      </c>
      <c r="DA482" s="251" t="n"/>
      <c r="DB482" s="251" t="n"/>
      <c r="DC482" s="251" t="n"/>
      <c r="DD482" s="251" t="n"/>
      <c r="DE482" s="251" t="n"/>
      <c r="DF482" s="251" t="n"/>
      <c r="DG482" s="251" t="n"/>
      <c r="DH482" s="251" t="n"/>
      <c r="DI482" s="251" t="n"/>
      <c r="DJ482" s="251" t="inlineStr">
        <is>
          <t>M</t>
        </is>
      </c>
      <c r="DK482" s="251" t="n">
        <v>8</v>
      </c>
      <c r="DL482" s="95" t="n">
        <v>14</v>
      </c>
      <c r="DM482" s="251" t="n"/>
      <c r="DN482" s="95" t="n"/>
      <c r="DO482" s="95" t="n"/>
    </row>
    <row r="483" ht="13" customHeight="1">
      <c r="A483" s="203" t="inlineStr">
        <is>
          <t>MAU-14</t>
        </is>
      </c>
      <c r="B483" s="376" t="n"/>
      <c r="C483" s="376"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76" t="n"/>
      <c r="BL483" s="7" t="inlineStr">
        <is>
          <t>GMAP-SIGA</t>
        </is>
      </c>
      <c r="BM483" s="251" t="inlineStr">
        <is>
          <t>ASUB</t>
        </is>
      </c>
      <c r="BN483" s="337" t="inlineStr">
        <is>
          <t>Michincha</t>
        </is>
      </c>
      <c r="BO483" s="251" t="inlineStr">
        <is>
          <t>SI PAT TRANQUE</t>
        </is>
      </c>
      <c r="BP483" s="106" t="inlineStr">
        <is>
          <t>MAU-14 MICHINCHA/ASUB</t>
        </is>
      </c>
      <c r="BQ483" s="106">
        <f>VLOOKUP(BP483,[1]AGUA!$1:$1048576,2,FALSE)</f>
        <v/>
      </c>
      <c r="BR483" s="106">
        <f>VLOOKUP(BP483,[1]AGUA!$1:$1048576,6,FALSE)</f>
        <v/>
      </c>
      <c r="BS483" s="106">
        <f>VLOOKUP(BP483,[1]AGUA!$1:$1048576,7,FALSE)</f>
        <v/>
      </c>
      <c r="BT483" s="106" t="n"/>
      <c r="BU483" s="377" t="n"/>
      <c r="BV483" s="105" t="n"/>
      <c r="BW483" s="105" t="n"/>
      <c r="BX483" s="105" t="n"/>
      <c r="BY483" s="105" t="n"/>
      <c r="BZ483" s="105" t="n"/>
      <c r="CA483" s="105" t="n"/>
      <c r="CB483" s="105" t="n"/>
      <c r="CC483" s="105" t="n"/>
      <c r="CD483" s="105" t="n"/>
      <c r="CE483" s="105" t="n"/>
      <c r="CF483" s="105" t="n"/>
      <c r="CG483" s="105" t="n"/>
      <c r="CH483" s="105" t="n"/>
      <c r="CI483" s="107" t="n">
        <v>1</v>
      </c>
      <c r="CJ483" s="105" t="n"/>
      <c r="CK483" s="105" t="n"/>
      <c r="CL483" s="105" t="n"/>
      <c r="CM483" s="105" t="n"/>
      <c r="CN483" s="105" t="n"/>
      <c r="CO483" s="105" t="n"/>
      <c r="CP483" s="105" t="n"/>
      <c r="CQ483" s="105" t="n"/>
      <c r="CR483" s="105" t="n"/>
      <c r="CS483" s="105" t="n"/>
      <c r="CT483" s="105" t="n"/>
      <c r="CU483" s="105" t="n"/>
      <c r="CV483" s="105" t="n"/>
      <c r="CW483" s="105" t="n"/>
      <c r="CX483" s="105" t="n"/>
      <c r="CY483" s="105" t="n"/>
      <c r="CZ483" s="124">
        <f>+COUNTA(BV483:CY483)</f>
        <v/>
      </c>
      <c r="DA483" s="251" t="n"/>
      <c r="DB483" s="251" t="n"/>
      <c r="DC483" s="251" t="n"/>
      <c r="DD483" s="251" t="n"/>
      <c r="DE483" s="251" t="n"/>
      <c r="DF483" s="251" t="n"/>
      <c r="DG483" s="251" t="n"/>
      <c r="DH483" s="251" t="n"/>
      <c r="DI483" s="251" t="n"/>
      <c r="DJ483" s="251" t="n"/>
      <c r="DK483" s="251" t="n"/>
      <c r="DL483" s="95" t="n"/>
      <c r="DM483" s="251" t="inlineStr">
        <is>
          <t>M</t>
        </is>
      </c>
      <c r="DN483" s="95" t="n">
        <v>8</v>
      </c>
      <c r="DO483" s="95" t="n">
        <v>14</v>
      </c>
    </row>
    <row r="484" ht="13" customHeight="1">
      <c r="A484" s="203" t="inlineStr">
        <is>
          <t>MAU-15</t>
        </is>
      </c>
      <c r="B484" s="305" t="inlineStr">
        <is>
          <t>MAU-15 LIXIVIACIÓN</t>
        </is>
      </c>
      <c r="C484" s="251"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1" t="inlineStr">
        <is>
          <t>532MAMAU</t>
        </is>
      </c>
      <c r="BL484" s="7" t="inlineStr">
        <is>
          <t>LIXIVIACIÓN</t>
        </is>
      </c>
      <c r="BM484" s="251" t="inlineStr">
        <is>
          <t>NF</t>
        </is>
      </c>
      <c r="BN484" s="337" t="inlineStr">
        <is>
          <t>Lixiviación</t>
        </is>
      </c>
      <c r="BO484" s="251" t="inlineStr">
        <is>
          <t>SI</t>
        </is>
      </c>
      <c r="BP484" s="106" t="inlineStr">
        <is>
          <t>MAU-15 LIXIVIACIÓN/NF</t>
        </is>
      </c>
      <c r="BQ484" s="106">
        <f>VLOOKUP(BP484,[1]AGUA!$1:$1048576,2,FALSE)</f>
        <v/>
      </c>
      <c r="BR484" s="106">
        <f>VLOOKUP(BP484,[1]AGUA!$1:$1048576,6,FALSE)</f>
        <v/>
      </c>
      <c r="BS484" s="106">
        <f>VLOOKUP(BP484,[1]AGUA!$1:$1048576,7,FALSE)</f>
        <v/>
      </c>
      <c r="BT484" s="106" t="n"/>
      <c r="BU484" s="253" t="n"/>
      <c r="BV484" s="105" t="n"/>
      <c r="BW484" s="105" t="n"/>
      <c r="BX484" s="105" t="n"/>
      <c r="BY484" s="105" t="n"/>
      <c r="BZ484" s="105" t="n"/>
      <c r="CA484" s="105" t="n"/>
      <c r="CB484" s="105" t="n"/>
      <c r="CC484" s="105" t="n"/>
      <c r="CD484" s="105" t="n"/>
      <c r="CE484" s="105" t="n"/>
      <c r="CF484" s="105" t="n"/>
      <c r="CG484" s="105" t="n"/>
      <c r="CH484" s="105" t="n"/>
      <c r="CI484" s="142" t="n">
        <v>1</v>
      </c>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24">
        <f>+COUNTA(BV484:CY484)</f>
        <v/>
      </c>
      <c r="DA484" s="251" t="n"/>
      <c r="DB484" s="251" t="n"/>
      <c r="DC484" s="251" t="n"/>
      <c r="DD484" s="251" t="n"/>
      <c r="DE484" s="251" t="n"/>
      <c r="DF484" s="251" t="n"/>
      <c r="DG484" s="251" t="n"/>
      <c r="DH484" s="251" t="n"/>
      <c r="DI484" s="251" t="n"/>
      <c r="DJ484" s="251" t="inlineStr">
        <is>
          <t>M</t>
        </is>
      </c>
      <c r="DK484" s="251" t="n">
        <v>8</v>
      </c>
      <c r="DL484" s="95" t="n">
        <v>14</v>
      </c>
      <c r="DM484" s="251" t="n"/>
      <c r="DN484" s="95" t="n"/>
      <c r="DO484" s="95" t="n"/>
    </row>
    <row r="485" ht="13" customHeight="1">
      <c r="A485" s="203" t="inlineStr">
        <is>
          <t>MAU-15</t>
        </is>
      </c>
      <c r="B485" s="376" t="n"/>
      <c r="C485" s="376"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76" t="n"/>
      <c r="BL485" s="7" t="inlineStr">
        <is>
          <t>LIXIVIACIÓN</t>
        </is>
      </c>
      <c r="BM485" s="251" t="inlineStr">
        <is>
          <t>ASUB</t>
        </is>
      </c>
      <c r="BN485" s="337" t="inlineStr">
        <is>
          <t>Lixiviación</t>
        </is>
      </c>
      <c r="BO485" s="251" t="inlineStr">
        <is>
          <t>SI</t>
        </is>
      </c>
      <c r="BP485" s="106" t="inlineStr">
        <is>
          <t>MAU-15 LIXIVIACIÓN/ASUB</t>
        </is>
      </c>
      <c r="BQ485" s="106">
        <f>VLOOKUP(BP485,[1]AGUA!$1:$1048576,2,FALSE)</f>
        <v/>
      </c>
      <c r="BR485" s="106">
        <f>VLOOKUP(BP485,[1]AGUA!$1:$1048576,6,FALSE)</f>
        <v/>
      </c>
      <c r="BS485" s="106">
        <f>VLOOKUP(BP485,[1]AGUA!$1:$1048576,7,FALSE)</f>
        <v/>
      </c>
      <c r="BT485" s="106" t="n"/>
      <c r="BU485" s="377" t="n"/>
      <c r="BV485" s="105" t="n"/>
      <c r="BW485" s="105" t="n"/>
      <c r="BX485" s="105" t="n"/>
      <c r="BY485" s="105" t="n"/>
      <c r="BZ485" s="105" t="n"/>
      <c r="CA485" s="105" t="n"/>
      <c r="CB485" s="105" t="n"/>
      <c r="CC485" s="105" t="n"/>
      <c r="CD485" s="105" t="n"/>
      <c r="CE485" s="105" t="n"/>
      <c r="CF485" s="105" t="n"/>
      <c r="CG485" s="105" t="n"/>
      <c r="CH485" s="105" t="n"/>
      <c r="CI485" s="107" t="n">
        <v>1</v>
      </c>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24">
        <f>+COUNTA(BV485:CY485)</f>
        <v/>
      </c>
      <c r="DA485" s="251" t="n"/>
      <c r="DB485" s="251" t="n"/>
      <c r="DC485" s="251" t="n"/>
      <c r="DD485" s="251" t="n"/>
      <c r="DE485" s="251" t="n"/>
      <c r="DF485" s="251" t="n"/>
      <c r="DG485" s="251" t="n"/>
      <c r="DH485" s="251" t="n"/>
      <c r="DI485" s="251" t="n"/>
      <c r="DJ485" s="251" t="n"/>
      <c r="DK485" s="251" t="n"/>
      <c r="DL485" s="95" t="n"/>
      <c r="DM485" s="251" t="inlineStr">
        <is>
          <t>M</t>
        </is>
      </c>
      <c r="DN485" s="95" t="n">
        <v>8</v>
      </c>
      <c r="DO485" s="95" t="n">
        <v>14</v>
      </c>
    </row>
    <row r="486" ht="13" customHeight="1">
      <c r="A486" s="203" t="inlineStr">
        <is>
          <t>MAU-16</t>
        </is>
      </c>
      <c r="B486" s="305" t="inlineStr">
        <is>
          <t>MAU-16 LIXIVIACIÓN</t>
        </is>
      </c>
      <c r="C486" s="251"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1" t="inlineStr">
        <is>
          <t>532MAMAU</t>
        </is>
      </c>
      <c r="BL486" s="7" t="inlineStr">
        <is>
          <t>LIXIVIACIÓN</t>
        </is>
      </c>
      <c r="BM486" s="251" t="inlineStr">
        <is>
          <t>NF</t>
        </is>
      </c>
      <c r="BN486" s="337" t="inlineStr">
        <is>
          <t>Lixiviación</t>
        </is>
      </c>
      <c r="BO486" s="251" t="inlineStr">
        <is>
          <t>SI</t>
        </is>
      </c>
      <c r="BP486" s="106" t="inlineStr">
        <is>
          <t>MAU-16 LIXIVIACIÓN/NF</t>
        </is>
      </c>
      <c r="BQ486" s="106">
        <f>VLOOKUP(BP486,[1]AGUA!$1:$1048576,2,FALSE)</f>
        <v/>
      </c>
      <c r="BR486" s="106">
        <f>VLOOKUP(BP486,[1]AGUA!$1:$1048576,6,FALSE)</f>
        <v/>
      </c>
      <c r="BS486" s="106">
        <f>VLOOKUP(BP486,[1]AGUA!$1:$1048576,7,FALSE)</f>
        <v/>
      </c>
      <c r="BT486" s="106" t="n"/>
      <c r="BU486" s="253" t="n"/>
      <c r="BV486" s="105" t="n"/>
      <c r="BW486" s="105" t="n"/>
      <c r="BX486" s="105" t="n"/>
      <c r="BY486" s="105" t="n"/>
      <c r="BZ486" s="105" t="n"/>
      <c r="CA486" s="105" t="n"/>
      <c r="CB486" s="105" t="n"/>
      <c r="CC486" s="105" t="n"/>
      <c r="CD486" s="105" t="n"/>
      <c r="CE486" s="105" t="n"/>
      <c r="CF486" s="105" t="n"/>
      <c r="CG486" s="105" t="n"/>
      <c r="CH486" s="105" t="n"/>
      <c r="CI486" s="142" t="n">
        <v>1</v>
      </c>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24">
        <f>+COUNTA(BV486:CY486)</f>
        <v/>
      </c>
      <c r="DA486" s="251" t="n"/>
      <c r="DB486" s="251" t="n"/>
      <c r="DC486" s="251" t="n"/>
      <c r="DD486" s="251" t="n"/>
      <c r="DE486" s="251" t="n"/>
      <c r="DF486" s="251" t="n"/>
      <c r="DG486" s="251" t="n"/>
      <c r="DH486" s="251" t="n"/>
      <c r="DI486" s="251" t="n"/>
      <c r="DJ486" s="251" t="inlineStr">
        <is>
          <t>M</t>
        </is>
      </c>
      <c r="DK486" s="251" t="n">
        <v>8</v>
      </c>
      <c r="DL486" s="95" t="n">
        <v>14</v>
      </c>
      <c r="DM486" s="251" t="n"/>
      <c r="DN486" s="95" t="n"/>
      <c r="DO486" s="95" t="n"/>
    </row>
    <row r="487" ht="13" customHeight="1">
      <c r="A487" s="203" t="inlineStr">
        <is>
          <t>MAU-16</t>
        </is>
      </c>
      <c r="B487" s="376" t="n"/>
      <c r="C487" s="376"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76" t="n"/>
      <c r="BL487" s="7" t="inlineStr">
        <is>
          <t>LIXIVIACIÓN</t>
        </is>
      </c>
      <c r="BM487" s="251" t="inlineStr">
        <is>
          <t>ASUB</t>
        </is>
      </c>
      <c r="BN487" s="337" t="inlineStr">
        <is>
          <t>Lixiviación</t>
        </is>
      </c>
      <c r="BO487" s="251" t="inlineStr">
        <is>
          <t>SI</t>
        </is>
      </c>
      <c r="BP487" s="106" t="inlineStr">
        <is>
          <t>MAU-16 LIXIVIACIÓN/ASUB</t>
        </is>
      </c>
      <c r="BQ487" s="106">
        <f>VLOOKUP(BP487,[1]AGUA!$1:$1048576,2,FALSE)</f>
        <v/>
      </c>
      <c r="BR487" s="106">
        <f>VLOOKUP(BP487,[1]AGUA!$1:$1048576,6,FALSE)</f>
        <v/>
      </c>
      <c r="BS487" s="106">
        <f>VLOOKUP(BP487,[1]AGUA!$1:$1048576,7,FALSE)</f>
        <v/>
      </c>
      <c r="BT487" s="106" t="n"/>
      <c r="BU487" s="377" t="n"/>
      <c r="BV487" s="105" t="n"/>
      <c r="BW487" s="105" t="n"/>
      <c r="BX487" s="105" t="n"/>
      <c r="BY487" s="105" t="n"/>
      <c r="BZ487" s="105" t="n"/>
      <c r="CA487" s="105" t="n"/>
      <c r="CB487" s="105" t="n"/>
      <c r="CC487" s="105" t="n"/>
      <c r="CD487" s="105" t="n"/>
      <c r="CE487" s="105" t="n"/>
      <c r="CF487" s="105" t="n"/>
      <c r="CG487" s="105" t="n"/>
      <c r="CH487" s="105" t="n"/>
      <c r="CI487" s="107" t="n">
        <v>1</v>
      </c>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24">
        <f>+COUNTA(BV487:CY487)</f>
        <v/>
      </c>
      <c r="DA487" s="251" t="n"/>
      <c r="DB487" s="251" t="n"/>
      <c r="DC487" s="251" t="n"/>
      <c r="DD487" s="251" t="n"/>
      <c r="DE487" s="251" t="n"/>
      <c r="DF487" s="251" t="n"/>
      <c r="DG487" s="251" t="n"/>
      <c r="DH487" s="251" t="n"/>
      <c r="DI487" s="251" t="n"/>
      <c r="DJ487" s="251" t="n"/>
      <c r="DK487" s="251" t="n"/>
      <c r="DL487" s="95" t="n"/>
      <c r="DM487" s="251" t="inlineStr">
        <is>
          <t>M</t>
        </is>
      </c>
      <c r="DN487" s="95" t="n">
        <v>8</v>
      </c>
      <c r="DO487" s="95" t="n">
        <v>14</v>
      </c>
    </row>
    <row r="488" ht="13" customHeight="1">
      <c r="A488" s="203" t="inlineStr">
        <is>
          <t>MIT-01B</t>
        </is>
      </c>
      <c r="B488" s="305" t="inlineStr">
        <is>
          <t>MIT-01B LIXIVIACIÓN</t>
        </is>
      </c>
      <c r="C488" s="251"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1" t="inlineStr">
        <is>
          <t>532MAMIT</t>
        </is>
      </c>
      <c r="BL488" s="7" t="inlineStr">
        <is>
          <t>LIXIVIACIÓN</t>
        </is>
      </c>
      <c r="BM488" s="251" t="inlineStr">
        <is>
          <t>NF</t>
        </is>
      </c>
      <c r="BN488" s="337" t="inlineStr">
        <is>
          <t>Lixiviación</t>
        </is>
      </c>
      <c r="BO488" s="251" t="inlineStr">
        <is>
          <t>SI</t>
        </is>
      </c>
      <c r="BP488" s="106" t="inlineStr">
        <is>
          <t>MIT-01B LIXIVIACIÓN/NF</t>
        </is>
      </c>
      <c r="BQ488" s="106">
        <f>VLOOKUP(BP488,[1]AGUA!$1:$1048576,2,FALSE)</f>
        <v/>
      </c>
      <c r="BR488" s="106">
        <f>VLOOKUP(BP488,[1]AGUA!$1:$1048576,6,FALSE)</f>
        <v/>
      </c>
      <c r="BS488" s="106">
        <f>VLOOKUP(BP488,[1]AGUA!$1:$1048576,7,FALSE)</f>
        <v/>
      </c>
      <c r="BT488" s="106" t="n"/>
      <c r="BU488" s="253" t="n"/>
      <c r="BV488" s="105" t="n"/>
      <c r="BW488" s="105" t="n"/>
      <c r="BX488" s="105" t="n"/>
      <c r="BY488" s="105" t="n"/>
      <c r="BZ488" s="142" t="n">
        <v>1</v>
      </c>
      <c r="CA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24">
        <f>+COUNTA(BV488:CY488)</f>
        <v/>
      </c>
      <c r="DA488" s="251" t="n"/>
      <c r="DB488" s="251" t="n"/>
      <c r="DC488" s="251" t="n"/>
      <c r="DD488" s="251" t="n"/>
      <c r="DE488" s="251" t="n"/>
      <c r="DF488" s="251" t="n"/>
      <c r="DG488" s="251" t="n"/>
      <c r="DH488" s="251" t="n"/>
      <c r="DI488" s="251" t="n"/>
      <c r="DJ488" s="251" t="inlineStr">
        <is>
          <t>M</t>
        </is>
      </c>
      <c r="DK488" s="251" t="n">
        <v>1</v>
      </c>
      <c r="DL488" s="95" t="n">
        <v>7</v>
      </c>
      <c r="DM488" s="251" t="n"/>
      <c r="DN488" s="95" t="n"/>
      <c r="DO488" s="95" t="n"/>
    </row>
    <row r="489" ht="13" customHeight="1">
      <c r="A489" s="203" t="inlineStr">
        <is>
          <t>MIT-01B</t>
        </is>
      </c>
      <c r="B489" s="376" t="n"/>
      <c r="C489" s="376"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76" t="n"/>
      <c r="BL489" s="7" t="inlineStr">
        <is>
          <t>LIXIVIACIÓN</t>
        </is>
      </c>
      <c r="BM489" s="251" t="inlineStr">
        <is>
          <t>ASUB</t>
        </is>
      </c>
      <c r="BN489" s="337" t="inlineStr">
        <is>
          <t>Lixiviación</t>
        </is>
      </c>
      <c r="BO489" s="251" t="inlineStr">
        <is>
          <t>SI</t>
        </is>
      </c>
      <c r="BP489" s="106" t="inlineStr">
        <is>
          <t>MIT-01B LIXIVIACIÓN/ASUB</t>
        </is>
      </c>
      <c r="BQ489" s="106">
        <f>VLOOKUP(BP489,[1]AGUA!$1:$1048576,2,FALSE)</f>
        <v/>
      </c>
      <c r="BR489" s="106">
        <f>VLOOKUP(BP489,[1]AGUA!$1:$1048576,6,FALSE)</f>
        <v/>
      </c>
      <c r="BS489" s="106">
        <f>VLOOKUP(BP489,[1]AGUA!$1:$1048576,7,FALSE)</f>
        <v/>
      </c>
      <c r="BT489" s="106" t="n"/>
      <c r="BU489" s="377" t="n"/>
      <c r="BV489" s="105" t="n"/>
      <c r="BW489" s="105" t="n"/>
      <c r="BX489" s="105" t="n"/>
      <c r="BY489" s="105" t="n"/>
      <c r="BZ489" s="107" t="n">
        <v>1</v>
      </c>
      <c r="CA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24">
        <f>+COUNTA(BV489:CY489)</f>
        <v/>
      </c>
      <c r="DA489" s="251" t="n"/>
      <c r="DB489" s="251" t="n"/>
      <c r="DC489" s="251" t="n"/>
      <c r="DD489" s="251" t="n"/>
      <c r="DE489" s="251" t="n"/>
      <c r="DF489" s="251" t="n"/>
      <c r="DG489" s="251" t="n"/>
      <c r="DH489" s="251" t="n"/>
      <c r="DI489" s="251" t="n"/>
      <c r="DJ489" s="251" t="n"/>
      <c r="DK489" s="251" t="n"/>
      <c r="DL489" s="95" t="n"/>
      <c r="DM489" s="251" t="inlineStr">
        <is>
          <t>M</t>
        </is>
      </c>
      <c r="DN489" s="95" t="n">
        <v>1</v>
      </c>
      <c r="DO489" s="95" t="n">
        <v>7</v>
      </c>
    </row>
    <row r="490" ht="13" customHeight="1">
      <c r="A490" s="203" t="inlineStr">
        <is>
          <t>MIT-02B</t>
        </is>
      </c>
      <c r="B490" s="305" t="inlineStr">
        <is>
          <t>MIT-02B LIXIVIACIÓN</t>
        </is>
      </c>
      <c r="C490" s="251"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1" t="inlineStr">
        <is>
          <t>532MAMIT</t>
        </is>
      </c>
      <c r="BL490" s="7" t="inlineStr">
        <is>
          <t>LIXIVIACIÓN</t>
        </is>
      </c>
      <c r="BM490" s="251" t="inlineStr">
        <is>
          <t>NF</t>
        </is>
      </c>
      <c r="BN490" s="337" t="inlineStr">
        <is>
          <t>Lixiviación</t>
        </is>
      </c>
      <c r="BO490" s="251" t="inlineStr">
        <is>
          <t>SI</t>
        </is>
      </c>
      <c r="BP490" s="106" t="inlineStr">
        <is>
          <t>MIT-02B LIXIVIACIÓN/NF</t>
        </is>
      </c>
      <c r="BQ490" s="106">
        <f>VLOOKUP(BP490,[1]AGUA!$1:$1048576,2,FALSE)</f>
        <v/>
      </c>
      <c r="BR490" s="106">
        <f>VLOOKUP(BP490,[1]AGUA!$1:$1048576,6,FALSE)</f>
        <v/>
      </c>
      <c r="BS490" s="106">
        <f>VLOOKUP(BP490,[1]AGUA!$1:$1048576,7,FALSE)</f>
        <v/>
      </c>
      <c r="BT490" s="106" t="n"/>
      <c r="BU490" s="253" t="n"/>
      <c r="BV490" s="105" t="n"/>
      <c r="BW490" s="105" t="n"/>
      <c r="BX490" s="105" t="n"/>
      <c r="BY490" s="105" t="n"/>
      <c r="BZ490" s="142" t="n">
        <v>1</v>
      </c>
      <c r="CA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24">
        <f>+COUNTA(BV490:CY490)</f>
        <v/>
      </c>
      <c r="DA490" s="251" t="n"/>
      <c r="DB490" s="251" t="n"/>
      <c r="DC490" s="251" t="n"/>
      <c r="DD490" s="251" t="n"/>
      <c r="DE490" s="251" t="n"/>
      <c r="DF490" s="251" t="n"/>
      <c r="DG490" s="251" t="n"/>
      <c r="DH490" s="251" t="n"/>
      <c r="DI490" s="251" t="n"/>
      <c r="DJ490" s="251" t="inlineStr">
        <is>
          <t>M</t>
        </is>
      </c>
      <c r="DK490" s="251" t="n">
        <v>1</v>
      </c>
      <c r="DL490" s="95" t="n">
        <v>7</v>
      </c>
      <c r="DM490" s="251" t="n"/>
      <c r="DN490" s="95" t="n"/>
      <c r="DO490" s="95" t="n"/>
    </row>
    <row r="491" ht="13" customHeight="1">
      <c r="A491" s="203" t="inlineStr">
        <is>
          <t>MIT-02B</t>
        </is>
      </c>
      <c r="B491" s="376" t="n"/>
      <c r="C491" s="376"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76" t="n"/>
      <c r="BL491" s="7" t="inlineStr">
        <is>
          <t>LIXIVIACIÓN</t>
        </is>
      </c>
      <c r="BM491" s="251" t="inlineStr">
        <is>
          <t>ASUB</t>
        </is>
      </c>
      <c r="BN491" s="337" t="inlineStr">
        <is>
          <t>Lixiviación</t>
        </is>
      </c>
      <c r="BO491" s="251" t="inlineStr">
        <is>
          <t>SI</t>
        </is>
      </c>
      <c r="BP491" s="106" t="inlineStr">
        <is>
          <t>MIT-02B LIXIVIACIÓN/ASUB</t>
        </is>
      </c>
      <c r="BQ491" s="106">
        <f>VLOOKUP(BP491,[1]AGUA!$1:$1048576,2,FALSE)</f>
        <v/>
      </c>
      <c r="BR491" s="106">
        <f>VLOOKUP(BP491,[1]AGUA!$1:$1048576,6,FALSE)</f>
        <v/>
      </c>
      <c r="BS491" s="106">
        <f>VLOOKUP(BP491,[1]AGUA!$1:$1048576,7,FALSE)</f>
        <v/>
      </c>
      <c r="BT491" s="106" t="n"/>
      <c r="BU491" s="377" t="n"/>
      <c r="BV491" s="105" t="n"/>
      <c r="BW491" s="105" t="n"/>
      <c r="BX491" s="105" t="n"/>
      <c r="BY491" s="105" t="n"/>
      <c r="BZ491" s="107" t="n">
        <v>1</v>
      </c>
      <c r="CA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24">
        <f>+COUNTA(BV491:CY491)</f>
        <v/>
      </c>
      <c r="DA491" s="251" t="n"/>
      <c r="DB491" s="251" t="n"/>
      <c r="DC491" s="251" t="n"/>
      <c r="DD491" s="251" t="n"/>
      <c r="DE491" s="251" t="n"/>
      <c r="DF491" s="251" t="n"/>
      <c r="DG491" s="251" t="n"/>
      <c r="DH491" s="251" t="n"/>
      <c r="DI491" s="251" t="n"/>
      <c r="DJ491" s="251" t="n"/>
      <c r="DK491" s="251" t="n"/>
      <c r="DL491" s="95" t="n"/>
      <c r="DM491" s="251" t="inlineStr">
        <is>
          <t>M</t>
        </is>
      </c>
      <c r="DN491" s="95" t="n">
        <v>1</v>
      </c>
      <c r="DO491" s="95" t="n">
        <v>7</v>
      </c>
    </row>
    <row r="492" ht="13" customHeight="1">
      <c r="A492" s="203" t="inlineStr">
        <is>
          <t>MIT-03</t>
        </is>
      </c>
      <c r="B492" s="305" t="inlineStr">
        <is>
          <t>MIT-03 LIXIVIACIÓN</t>
        </is>
      </c>
      <c r="C492" s="251"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1" t="inlineStr">
        <is>
          <t>532MAMIT</t>
        </is>
      </c>
      <c r="BL492" s="7" t="inlineStr">
        <is>
          <t>LIXIVIACIÓN</t>
        </is>
      </c>
      <c r="BM492" s="251" t="inlineStr">
        <is>
          <t>NF</t>
        </is>
      </c>
      <c r="BN492" s="337" t="inlineStr">
        <is>
          <t>Lixiviación</t>
        </is>
      </c>
      <c r="BO492" s="251" t="inlineStr">
        <is>
          <t>SI</t>
        </is>
      </c>
      <c r="BP492" s="106" t="inlineStr">
        <is>
          <t>MIT-03 LIXIVIACIÓN/NF</t>
        </is>
      </c>
      <c r="BQ492" s="106">
        <f>VLOOKUP(BP492,[1]AGUA!$1:$1048576,2,FALSE)</f>
        <v/>
      </c>
      <c r="BR492" s="106">
        <f>VLOOKUP(BP492,[1]AGUA!$1:$1048576,6,FALSE)</f>
        <v/>
      </c>
      <c r="BS492" s="106">
        <f>VLOOKUP(BP492,[1]AGUA!$1:$1048576,7,FALSE)</f>
        <v/>
      </c>
      <c r="BT492" s="106" t="n"/>
      <c r="BU492" s="253" t="n"/>
      <c r="BV492" s="105" t="n"/>
      <c r="BW492" s="105" t="n"/>
      <c r="BX492" s="105" t="n"/>
      <c r="BY492" s="105" t="n"/>
      <c r="BZ492" s="142" t="n">
        <v>1</v>
      </c>
      <c r="CA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24">
        <f>+COUNTA(BV492:CY492)</f>
        <v/>
      </c>
      <c r="DA492" s="251" t="n"/>
      <c r="DB492" s="251" t="n"/>
      <c r="DC492" s="251" t="n"/>
      <c r="DD492" s="251" t="n"/>
      <c r="DE492" s="251" t="n"/>
      <c r="DF492" s="251" t="n"/>
      <c r="DG492" s="251" t="n"/>
      <c r="DH492" s="251" t="n"/>
      <c r="DI492" s="251" t="n"/>
      <c r="DJ492" s="251" t="inlineStr">
        <is>
          <t>M</t>
        </is>
      </c>
      <c r="DK492" s="251" t="n">
        <v>1</v>
      </c>
      <c r="DL492" s="95" t="n">
        <v>7</v>
      </c>
      <c r="DM492" s="251" t="n"/>
      <c r="DN492" s="95" t="n"/>
      <c r="DO492" s="95" t="n"/>
    </row>
    <row r="493" ht="13" customHeight="1">
      <c r="A493" s="203" t="inlineStr">
        <is>
          <t>MIT-03</t>
        </is>
      </c>
      <c r="B493" s="376" t="n"/>
      <c r="C493" s="376"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76" t="n"/>
      <c r="BL493" s="7" t="inlineStr">
        <is>
          <t>LIXIVIACIÓN</t>
        </is>
      </c>
      <c r="BM493" s="251" t="inlineStr">
        <is>
          <t>ASUB</t>
        </is>
      </c>
      <c r="BN493" s="337" t="inlineStr">
        <is>
          <t>Lixiviación</t>
        </is>
      </c>
      <c r="BO493" s="251" t="inlineStr">
        <is>
          <t>SI</t>
        </is>
      </c>
      <c r="BP493" s="106" t="inlineStr">
        <is>
          <t>MIT-03 LIXIVIACIÓN/ASUB</t>
        </is>
      </c>
      <c r="BQ493" s="106">
        <f>VLOOKUP(BP493,[1]AGUA!$1:$1048576,2,FALSE)</f>
        <v/>
      </c>
      <c r="BR493" s="106">
        <f>VLOOKUP(BP493,[1]AGUA!$1:$1048576,6,FALSE)</f>
        <v/>
      </c>
      <c r="BS493" s="106">
        <f>VLOOKUP(BP493,[1]AGUA!$1:$1048576,7,FALSE)</f>
        <v/>
      </c>
      <c r="BT493" s="106" t="n"/>
      <c r="BU493" s="377" t="n"/>
      <c r="BV493" s="105" t="n"/>
      <c r="BW493" s="105" t="n"/>
      <c r="BX493" s="105" t="n"/>
      <c r="BY493" s="105" t="n"/>
      <c r="BZ493" s="107" t="n">
        <v>1</v>
      </c>
      <c r="CA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24">
        <f>+COUNTA(BV493:CY493)</f>
        <v/>
      </c>
      <c r="DA493" s="251" t="n"/>
      <c r="DB493" s="251" t="n"/>
      <c r="DC493" s="251" t="n"/>
      <c r="DD493" s="251" t="n"/>
      <c r="DE493" s="251" t="n"/>
      <c r="DF493" s="251" t="n"/>
      <c r="DG493" s="251" t="n"/>
      <c r="DH493" s="251" t="n"/>
      <c r="DI493" s="251" t="n"/>
      <c r="DJ493" s="251" t="n"/>
      <c r="DK493" s="251" t="n"/>
      <c r="DL493" s="95" t="n"/>
      <c r="DM493" s="251" t="inlineStr">
        <is>
          <t>M</t>
        </is>
      </c>
      <c r="DN493" s="95" t="n">
        <v>1</v>
      </c>
      <c r="DO493" s="95" t="n">
        <v>7</v>
      </c>
    </row>
    <row r="494" ht="13" customHeight="1">
      <c r="A494" s="203" t="inlineStr">
        <is>
          <t>Mitigación Jachucoposa (CP-03M)</t>
        </is>
      </c>
      <c r="B494" s="305"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1" t="inlineStr">
        <is>
          <t>532MACP</t>
        </is>
      </c>
      <c r="BL494" s="61" t="inlineStr">
        <is>
          <t>GTAM</t>
        </is>
      </c>
      <c r="BM494" s="168" t="inlineStr">
        <is>
          <t>ASUB</t>
        </is>
      </c>
      <c r="BN494" s="106" t="inlineStr">
        <is>
          <t>Falla Pabellón</t>
        </is>
      </c>
      <c r="BO494" s="251"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105" t="n"/>
      <c r="CM494" s="105" t="n"/>
      <c r="CN494" s="105" t="n"/>
      <c r="CO494" s="105" t="n"/>
      <c r="CP494" s="250" t="n">
        <v>1</v>
      </c>
      <c r="CQ494" s="105" t="n"/>
      <c r="CR494" s="105" t="n"/>
      <c r="CS494" s="105" t="n"/>
      <c r="CT494" s="105" t="n"/>
      <c r="CU494" s="105" t="n"/>
      <c r="CV494" s="105" t="n"/>
      <c r="CW494" s="105" t="n"/>
      <c r="CX494" s="105" t="n"/>
      <c r="CY494" s="105" t="n"/>
      <c r="CZ494" s="124">
        <f>+COUNTA(BV494:CY494)</f>
        <v/>
      </c>
      <c r="DA494" s="206" t="n"/>
      <c r="DB494" s="251" t="n"/>
      <c r="DC494" s="251" t="n"/>
      <c r="DD494" s="251" t="n"/>
      <c r="DE494" s="251" t="n"/>
      <c r="DF494" s="251" t="n"/>
      <c r="DG494" s="251" t="n"/>
      <c r="DH494" s="251" t="n"/>
      <c r="DI494" s="251" t="n"/>
      <c r="DJ494" s="251" t="n"/>
      <c r="DK494" s="251" t="n"/>
      <c r="DL494" s="95" t="n"/>
      <c r="DM494" s="251" t="inlineStr">
        <is>
          <t>M</t>
        </is>
      </c>
      <c r="DN494" s="95" t="n">
        <v>15</v>
      </c>
      <c r="DO494" s="95" t="n">
        <v>21</v>
      </c>
    </row>
    <row r="495" ht="13" customHeight="1">
      <c r="A495" s="203" t="inlineStr">
        <is>
          <t>MMA-01</t>
        </is>
      </c>
      <c r="B495" s="305" t="inlineStr">
        <is>
          <t>MMA-01 MICHINCHA</t>
        </is>
      </c>
      <c r="C495" s="251"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1" t="inlineStr">
        <is>
          <t>532MAMMA</t>
        </is>
      </c>
      <c r="BL495" s="7" t="inlineStr">
        <is>
          <t>GMAP-SIGA</t>
        </is>
      </c>
      <c r="BM495" s="251" t="inlineStr">
        <is>
          <t>NF</t>
        </is>
      </c>
      <c r="BN495" s="337" t="inlineStr">
        <is>
          <t>Michincha</t>
        </is>
      </c>
      <c r="BO495" s="251" t="inlineStr">
        <is>
          <t>SI</t>
        </is>
      </c>
      <c r="BP495" s="106" t="inlineStr">
        <is>
          <t>MMA-01 MICHINCHA/NF</t>
        </is>
      </c>
      <c r="BQ495" s="106">
        <f>VLOOKUP(BP495,[1]AGUA!$1:$1048576,2,FALSE)</f>
        <v/>
      </c>
      <c r="BR495" s="106">
        <f>VLOOKUP(BP495,[1]AGUA!$1:$1048576,6,FALSE)</f>
        <v/>
      </c>
      <c r="BS495" s="106">
        <f>VLOOKUP(BP495,[1]AGUA!$1:$1048576,7,FALSE)</f>
        <v/>
      </c>
      <c r="BT495" s="106" t="n"/>
      <c r="BU495" s="253" t="inlineStr">
        <is>
          <t>muestra mensual de 28 dias holdingtime</t>
        </is>
      </c>
      <c r="BV495" s="105" t="n"/>
      <c r="BW495" s="105" t="n"/>
      <c r="BX495" s="105" t="n"/>
      <c r="BY495" s="105" t="n"/>
      <c r="BZ495" s="105" t="n"/>
      <c r="CA495" s="142" t="n">
        <v>1</v>
      </c>
      <c r="CB495" s="105" t="n"/>
      <c r="CC495" s="105" t="n"/>
      <c r="CD495" s="105" t="n"/>
      <c r="CE495" s="105" t="n"/>
      <c r="CF495" s="10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24">
        <f>+COUNTA(BV495:CY495)</f>
        <v/>
      </c>
      <c r="DA495" s="251" t="n"/>
      <c r="DB495" s="251" t="n"/>
      <c r="DC495" s="251" t="n"/>
      <c r="DD495" s="251" t="n"/>
      <c r="DE495" s="251" t="n"/>
      <c r="DF495" s="251" t="n"/>
      <c r="DG495" s="251" t="n"/>
      <c r="DH495" s="251" t="n"/>
      <c r="DI495" s="251" t="n"/>
      <c r="DJ495" s="251" t="inlineStr">
        <is>
          <t>T</t>
        </is>
      </c>
      <c r="DK495" s="251" t="n">
        <v>1</v>
      </c>
      <c r="DL495" s="95" t="n">
        <v>7</v>
      </c>
      <c r="DM495" s="251" t="n"/>
      <c r="DN495" s="95" t="n"/>
      <c r="DO495" s="95" t="n"/>
    </row>
    <row r="496" ht="13" customHeight="1">
      <c r="A496" s="203" t="inlineStr">
        <is>
          <t>MMA-01</t>
        </is>
      </c>
      <c r="B496" s="376" t="n"/>
      <c r="C496" s="376"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76" t="n"/>
      <c r="BL496" s="7" t="inlineStr">
        <is>
          <t>GMAP-SIGA</t>
        </is>
      </c>
      <c r="BM496" s="251" t="inlineStr">
        <is>
          <t>ASUB</t>
        </is>
      </c>
      <c r="BN496" s="337" t="inlineStr">
        <is>
          <t>Michincha</t>
        </is>
      </c>
      <c r="BO496" s="251" t="inlineStr">
        <is>
          <t>SI</t>
        </is>
      </c>
      <c r="BP496" s="106" t="inlineStr">
        <is>
          <t>MMA-01 MICHINCHA/ASUB</t>
        </is>
      </c>
      <c r="BQ496" s="106">
        <f>VLOOKUP(BP496,[1]AGUA!$1:$1048576,2,FALSE)</f>
        <v/>
      </c>
      <c r="BR496" s="106">
        <f>VLOOKUP(BP496,[1]AGUA!$1:$1048576,6,FALSE)</f>
        <v/>
      </c>
      <c r="BS496" s="106">
        <f>VLOOKUP(BP496,[1]AGUA!$1:$1048576,7,FALSE)</f>
        <v/>
      </c>
      <c r="BT496" s="106" t="n"/>
      <c r="BU496" s="377" t="n"/>
      <c r="BV496" s="105" t="n"/>
      <c r="BW496" s="105" t="n"/>
      <c r="BX496" s="105" t="n"/>
      <c r="BY496" s="105" t="n"/>
      <c r="BZ496" s="105" t="n"/>
      <c r="CA496" s="107" t="n">
        <v>1</v>
      </c>
      <c r="CB496" s="105"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24">
        <f>+COUNTA(BW496:CY496)</f>
        <v/>
      </c>
      <c r="DA496" s="251" t="n"/>
      <c r="DB496" s="251" t="n"/>
      <c r="DC496" s="251" t="n"/>
      <c r="DD496" s="251" t="n"/>
      <c r="DE496" s="251" t="n"/>
      <c r="DF496" s="251" t="n"/>
      <c r="DG496" s="251" t="n"/>
      <c r="DH496" s="251" t="n"/>
      <c r="DI496" s="251" t="n"/>
      <c r="DJ496" s="251" t="n"/>
      <c r="DK496" s="251" t="n"/>
      <c r="DL496" s="95" t="n"/>
      <c r="DM496" s="251" t="inlineStr">
        <is>
          <t>M</t>
        </is>
      </c>
      <c r="DN496" s="95" t="n">
        <v>1</v>
      </c>
      <c r="DO496" s="95" t="n">
        <v>7</v>
      </c>
    </row>
    <row r="497" ht="13" customHeight="1">
      <c r="A497" s="203" t="inlineStr">
        <is>
          <t>MMA-02</t>
        </is>
      </c>
      <c r="B497" s="305" t="inlineStr">
        <is>
          <t>MMA-02 MICHINCHA</t>
        </is>
      </c>
      <c r="C497" s="251"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1" t="inlineStr">
        <is>
          <t>532MAMMA</t>
        </is>
      </c>
      <c r="BL497" s="7" t="inlineStr">
        <is>
          <t>GMAP-SIGA</t>
        </is>
      </c>
      <c r="BM497" s="251" t="inlineStr">
        <is>
          <t>NF</t>
        </is>
      </c>
      <c r="BN497" s="337" t="inlineStr">
        <is>
          <t>Michincha</t>
        </is>
      </c>
      <c r="BO497" s="251" t="inlineStr">
        <is>
          <t>SI</t>
        </is>
      </c>
      <c r="BP497" s="106" t="inlineStr">
        <is>
          <t>MMA-02 MICHINCHA/NF</t>
        </is>
      </c>
      <c r="BQ497" s="106">
        <f>VLOOKUP(BP497,[1]AGUA!$1:$1048576,2,FALSE)</f>
        <v/>
      </c>
      <c r="BR497" s="106">
        <f>VLOOKUP(BP497,[1]AGUA!$1:$1048576,6,FALSE)</f>
        <v/>
      </c>
      <c r="BS497" s="106">
        <f>VLOOKUP(BP497,[1]AGUA!$1:$1048576,7,FALSE)</f>
        <v/>
      </c>
      <c r="BT497" s="106" t="n"/>
      <c r="BU497" s="332" t="inlineStr">
        <is>
          <t>muestra mensual de 28 dias holdingtime</t>
        </is>
      </c>
      <c r="BV497" s="105" t="n"/>
      <c r="BW497" s="105" t="n"/>
      <c r="BX497" s="105" t="n"/>
      <c r="BY497" s="105" t="n"/>
      <c r="BZ497" s="105" t="n"/>
      <c r="CA497" s="142" t="n">
        <v>1</v>
      </c>
      <c r="CB497" s="105" t="n"/>
      <c r="CC497" s="105" t="n"/>
      <c r="CD497" s="105" t="n"/>
      <c r="CE497" s="105" t="n"/>
      <c r="CF497" s="10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24">
        <f>+COUNTA(BV497:CY497)</f>
        <v/>
      </c>
      <c r="DA497" s="251" t="n"/>
      <c r="DB497" s="251" t="n"/>
      <c r="DC497" s="251" t="n"/>
      <c r="DD497" s="251" t="n"/>
      <c r="DE497" s="251" t="n"/>
      <c r="DF497" s="251" t="n"/>
      <c r="DG497" s="251" t="n"/>
      <c r="DH497" s="251" t="n"/>
      <c r="DI497" s="251" t="n"/>
      <c r="DJ497" s="251" t="inlineStr">
        <is>
          <t>T</t>
        </is>
      </c>
      <c r="DK497" s="251" t="n">
        <v>1</v>
      </c>
      <c r="DL497" s="95" t="n">
        <v>7</v>
      </c>
      <c r="DM497" s="251" t="n"/>
      <c r="DN497" s="95" t="n"/>
      <c r="DO497" s="95" t="n"/>
    </row>
    <row r="498" ht="13" customHeight="1">
      <c r="A498" s="203" t="inlineStr">
        <is>
          <t>MMA-02</t>
        </is>
      </c>
      <c r="B498" s="376" t="n"/>
      <c r="C498" s="376"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76" t="n"/>
      <c r="BL498" s="7" t="inlineStr">
        <is>
          <t>GMAP-SIGA</t>
        </is>
      </c>
      <c r="BM498" s="251" t="inlineStr">
        <is>
          <t>ASUB</t>
        </is>
      </c>
      <c r="BN498" s="337" t="inlineStr">
        <is>
          <t>Michincha</t>
        </is>
      </c>
      <c r="BO498" s="251" t="inlineStr">
        <is>
          <t>SI</t>
        </is>
      </c>
      <c r="BP498" s="106" t="inlineStr">
        <is>
          <t>MMA-02 MICHINCHA/ASUB</t>
        </is>
      </c>
      <c r="BQ498" s="106">
        <f>VLOOKUP(BP498,[1]AGUA!$1:$1048576,2,FALSE)</f>
        <v/>
      </c>
      <c r="BR498" s="106">
        <f>VLOOKUP(BP498,[1]AGUA!$1:$1048576,6,FALSE)</f>
        <v/>
      </c>
      <c r="BS498" s="106">
        <f>VLOOKUP(BP498,[1]AGUA!$1:$1048576,7,FALSE)</f>
        <v/>
      </c>
      <c r="BT498" s="106" t="n"/>
      <c r="BU498" s="377" t="n"/>
      <c r="BV498" s="105" t="n"/>
      <c r="BW498" s="105" t="n"/>
      <c r="BX498" s="105" t="n"/>
      <c r="BY498" s="105" t="n"/>
      <c r="BZ498" s="105" t="n"/>
      <c r="CA498" s="107" t="n">
        <v>1</v>
      </c>
      <c r="CB498" s="105"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24">
        <f>+COUNTA(BW498:CY498)</f>
        <v/>
      </c>
      <c r="DA498" s="251" t="n"/>
      <c r="DB498" s="251" t="n"/>
      <c r="DC498" s="251" t="n"/>
      <c r="DD498" s="251" t="n"/>
      <c r="DE498" s="251" t="n"/>
      <c r="DF498" s="251" t="n"/>
      <c r="DG498" s="251" t="n"/>
      <c r="DH498" s="251" t="n"/>
      <c r="DI498" s="251" t="n"/>
      <c r="DJ498" s="251" t="n"/>
      <c r="DK498" s="251" t="n"/>
      <c r="DL498" s="95" t="n"/>
      <c r="DM498" s="251" t="inlineStr">
        <is>
          <t>M</t>
        </is>
      </c>
      <c r="DN498" s="95" t="n">
        <v>1</v>
      </c>
      <c r="DO498" s="95" t="n">
        <v>7</v>
      </c>
    </row>
    <row r="499" ht="13" customHeight="1">
      <c r="A499" s="203" t="inlineStr">
        <is>
          <t>MMA-03</t>
        </is>
      </c>
      <c r="B499" s="305" t="inlineStr">
        <is>
          <t>MMA-03 MICHINCHA</t>
        </is>
      </c>
      <c r="C499" s="251"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1" t="inlineStr">
        <is>
          <t>532MAMMA</t>
        </is>
      </c>
      <c r="BL499" s="7" t="inlineStr">
        <is>
          <t>GMAP-SIGA</t>
        </is>
      </c>
      <c r="BM499" s="251" t="inlineStr">
        <is>
          <t>NF</t>
        </is>
      </c>
      <c r="BN499" s="337" t="inlineStr">
        <is>
          <t>Michincha</t>
        </is>
      </c>
      <c r="BO499" s="251" t="inlineStr">
        <is>
          <t>SI</t>
        </is>
      </c>
      <c r="BP499" s="106" t="inlineStr">
        <is>
          <t>MMA-03 MICHINCHA/NF</t>
        </is>
      </c>
      <c r="BQ499" s="106">
        <f>VLOOKUP(BP499,[1]AGUA!$1:$1048576,2,FALSE)</f>
        <v/>
      </c>
      <c r="BR499" s="106">
        <f>VLOOKUP(BP499,[1]AGUA!$1:$1048576,6,FALSE)</f>
        <v/>
      </c>
      <c r="BS499" s="106">
        <f>VLOOKUP(BP499,[1]AGUA!$1:$1048576,7,FALSE)</f>
        <v/>
      </c>
      <c r="BT499" s="106" t="n"/>
      <c r="BU499" s="332" t="inlineStr">
        <is>
          <t>muestra mensual de 28 dias holdingtime</t>
        </is>
      </c>
      <c r="BV499" s="105" t="n"/>
      <c r="BW499" s="105" t="n"/>
      <c r="BX499" s="105" t="n"/>
      <c r="BY499" s="105" t="n"/>
      <c r="BZ499" s="105" t="n"/>
      <c r="CA499" s="142" t="n">
        <v>1</v>
      </c>
      <c r="CB499" s="105" t="n"/>
      <c r="CC499" s="105" t="n"/>
      <c r="CD499" s="105" t="n"/>
      <c r="CE499" s="105" t="n"/>
      <c r="CF499" s="10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24">
        <f>+COUNTA(BV499:CY499)</f>
        <v/>
      </c>
      <c r="DA499" s="251" t="n"/>
      <c r="DB499" s="251" t="n"/>
      <c r="DC499" s="251" t="n"/>
      <c r="DD499" s="251" t="n"/>
      <c r="DE499" s="251" t="n"/>
      <c r="DF499" s="251" t="n"/>
      <c r="DG499" s="251" t="n"/>
      <c r="DH499" s="251" t="n"/>
      <c r="DI499" s="251" t="n"/>
      <c r="DJ499" s="251" t="inlineStr">
        <is>
          <t>T</t>
        </is>
      </c>
      <c r="DK499" s="251" t="n">
        <v>1</v>
      </c>
      <c r="DL499" s="95" t="n">
        <v>7</v>
      </c>
      <c r="DM499" s="251" t="n"/>
      <c r="DN499" s="95" t="n"/>
      <c r="DO499" s="95" t="n"/>
    </row>
    <row r="500" ht="13" customHeight="1">
      <c r="A500" s="203" t="inlineStr">
        <is>
          <t>MMA-03</t>
        </is>
      </c>
      <c r="B500" s="376" t="n"/>
      <c r="C500" s="376"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76" t="n"/>
      <c r="BL500" s="7" t="inlineStr">
        <is>
          <t>GMAP-SIGA</t>
        </is>
      </c>
      <c r="BM500" s="251" t="inlineStr">
        <is>
          <t>ASUB</t>
        </is>
      </c>
      <c r="BN500" s="337" t="inlineStr">
        <is>
          <t>Michincha</t>
        </is>
      </c>
      <c r="BO500" s="251" t="inlineStr">
        <is>
          <t>SI</t>
        </is>
      </c>
      <c r="BP500" s="106" t="inlineStr">
        <is>
          <t>MMA-03 MICHINCHA/ASUB</t>
        </is>
      </c>
      <c r="BQ500" s="106">
        <f>VLOOKUP(BP500,[1]AGUA!$1:$1048576,2,FALSE)</f>
        <v/>
      </c>
      <c r="BR500" s="106">
        <f>VLOOKUP(BP500,[1]AGUA!$1:$1048576,6,FALSE)</f>
        <v/>
      </c>
      <c r="BS500" s="106">
        <f>VLOOKUP(BP500,[1]AGUA!$1:$1048576,7,FALSE)</f>
        <v/>
      </c>
      <c r="BT500" s="106" t="n"/>
      <c r="BU500" s="377" t="n"/>
      <c r="BV500" s="105" t="n"/>
      <c r="BW500" s="105" t="n"/>
      <c r="BX500" s="105" t="n"/>
      <c r="BY500" s="105" t="n"/>
      <c r="BZ500" s="105" t="n"/>
      <c r="CA500" s="107" t="n">
        <v>1</v>
      </c>
      <c r="CB500" s="105"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24">
        <f>+COUNTA(BW500:CY500)</f>
        <v/>
      </c>
      <c r="DA500" s="251" t="n"/>
      <c r="DB500" s="251" t="n"/>
      <c r="DC500" s="251" t="n"/>
      <c r="DD500" s="251" t="n"/>
      <c r="DE500" s="251" t="n"/>
      <c r="DF500" s="251" t="n"/>
      <c r="DG500" s="251" t="n"/>
      <c r="DH500" s="251" t="n"/>
      <c r="DI500" s="251" t="n"/>
      <c r="DJ500" s="251" t="n"/>
      <c r="DK500" s="251" t="n"/>
      <c r="DL500" s="95" t="n"/>
      <c r="DM500" s="251" t="inlineStr">
        <is>
          <t>M</t>
        </is>
      </c>
      <c r="DN500" s="95" t="n">
        <v>1</v>
      </c>
      <c r="DO500" s="95" t="n">
        <v>7</v>
      </c>
    </row>
    <row r="501" ht="13.5" customHeight="1">
      <c r="A501" s="203" t="inlineStr">
        <is>
          <t>MMA-04</t>
        </is>
      </c>
      <c r="B501" s="305" t="inlineStr">
        <is>
          <t>MMA-04 MICHINCHA</t>
        </is>
      </c>
      <c r="C501" s="251"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1" t="inlineStr">
        <is>
          <t>532MAMMA</t>
        </is>
      </c>
      <c r="BL501" s="7" t="inlineStr">
        <is>
          <t>GMAP-SIGA</t>
        </is>
      </c>
      <c r="BM501" s="251" t="inlineStr">
        <is>
          <t>NF</t>
        </is>
      </c>
      <c r="BN501" s="337" t="inlineStr">
        <is>
          <t>Michincha</t>
        </is>
      </c>
      <c r="BO501" s="251" t="inlineStr">
        <is>
          <t>SI</t>
        </is>
      </c>
      <c r="BP501" s="106" t="inlineStr">
        <is>
          <t>MMA-04 MICHINCHA/NF</t>
        </is>
      </c>
      <c r="BQ501" s="106">
        <f>VLOOKUP(BP501,[1]AGUA!$1:$1048576,2,FALSE)</f>
        <v/>
      </c>
      <c r="BR501" s="106">
        <f>VLOOKUP(BP501,[1]AGUA!$1:$1048576,6,FALSE)</f>
        <v/>
      </c>
      <c r="BS501" s="106">
        <f>VLOOKUP(BP501,[1]AGUA!$1:$1048576,7,FALSE)</f>
        <v/>
      </c>
      <c r="BT501" s="106" t="n"/>
      <c r="BU501" s="332" t="inlineStr">
        <is>
          <t>muestra mensual de 28 dias holdingtime</t>
        </is>
      </c>
      <c r="BV501" s="105" t="n"/>
      <c r="BW501" s="105" t="n"/>
      <c r="BX501" s="105" t="n"/>
      <c r="BY501" s="105" t="n"/>
      <c r="BZ501" s="105" t="n"/>
      <c r="CA501" s="142" t="n">
        <v>1</v>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24">
        <f>+COUNTA(BW501:CY501)</f>
        <v/>
      </c>
      <c r="DA501" s="251" t="n"/>
      <c r="DB501" s="251" t="n"/>
      <c r="DC501" s="251" t="n"/>
      <c r="DD501" s="251" t="n"/>
      <c r="DE501" s="251" t="n"/>
      <c r="DF501" s="251" t="n"/>
      <c r="DG501" s="251" t="n"/>
      <c r="DH501" s="251" t="n"/>
      <c r="DI501" s="251" t="n"/>
      <c r="DJ501" s="251" t="inlineStr">
        <is>
          <t>M</t>
        </is>
      </c>
      <c r="DK501" s="251" t="n">
        <v>1</v>
      </c>
      <c r="DL501" s="95" t="n">
        <v>7</v>
      </c>
      <c r="DM501" s="251" t="n"/>
      <c r="DN501" s="95" t="n"/>
      <c r="DO501" s="95" t="n"/>
    </row>
    <row r="502" ht="13" customHeight="1">
      <c r="A502" s="203" t="inlineStr">
        <is>
          <t>MMA-04</t>
        </is>
      </c>
      <c r="B502" s="376" t="n"/>
      <c r="C502" s="376"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76" t="n"/>
      <c r="BL502" s="7" t="inlineStr">
        <is>
          <t>GMAP-SIGA</t>
        </is>
      </c>
      <c r="BM502" s="251" t="inlineStr">
        <is>
          <t>ASUB</t>
        </is>
      </c>
      <c r="BN502" s="337" t="inlineStr">
        <is>
          <t>Michincha</t>
        </is>
      </c>
      <c r="BO502" s="251" t="inlineStr">
        <is>
          <t>SI</t>
        </is>
      </c>
      <c r="BP502" s="106" t="inlineStr">
        <is>
          <t>MMA-04 MICHINCHA/ASUB</t>
        </is>
      </c>
      <c r="BQ502" s="106">
        <f>VLOOKUP(BP502,[1]AGUA!$1:$1048576,2,FALSE)</f>
        <v/>
      </c>
      <c r="BR502" s="106">
        <f>VLOOKUP(BP502,[1]AGUA!$1:$1048576,6,FALSE)</f>
        <v/>
      </c>
      <c r="BS502" s="106">
        <f>VLOOKUP(BP502,[1]AGUA!$1:$1048576,7,FALSE)</f>
        <v/>
      </c>
      <c r="BT502" s="106" t="n"/>
      <c r="BU502" s="377" t="n"/>
      <c r="BV502" s="105" t="n"/>
      <c r="BW502" s="105" t="n"/>
      <c r="BX502" s="105" t="n"/>
      <c r="BY502" s="105" t="n"/>
      <c r="BZ502" s="105" t="n"/>
      <c r="CA502" s="107" t="n">
        <v>1</v>
      </c>
      <c r="CB502" s="105"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24">
        <f>+COUNTA(BW502:CY502)</f>
        <v/>
      </c>
      <c r="DA502" s="251" t="n"/>
      <c r="DB502" s="251" t="n"/>
      <c r="DC502" s="251" t="n"/>
      <c r="DD502" s="251" t="n"/>
      <c r="DE502" s="251" t="n"/>
      <c r="DF502" s="251" t="n"/>
      <c r="DG502" s="251" t="n"/>
      <c r="DH502" s="251" t="n"/>
      <c r="DI502" s="251" t="n"/>
      <c r="DJ502" s="251" t="n"/>
      <c r="DK502" s="251" t="n"/>
      <c r="DL502" s="95" t="n"/>
      <c r="DM502" s="251" t="inlineStr">
        <is>
          <t>M</t>
        </is>
      </c>
      <c r="DN502" s="95" t="n">
        <v>1</v>
      </c>
      <c r="DO502" s="95" t="n">
        <v>7</v>
      </c>
    </row>
    <row r="503" ht="13" customHeight="1">
      <c r="A503" s="203" t="inlineStr">
        <is>
          <t>MMA-05</t>
        </is>
      </c>
      <c r="B503" s="305" t="inlineStr">
        <is>
          <t>MMA-05 MICHINCHA</t>
        </is>
      </c>
      <c r="C503" s="251"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1" t="inlineStr">
        <is>
          <t>532MAMMA</t>
        </is>
      </c>
      <c r="BL503" s="7" t="inlineStr">
        <is>
          <t>GMAP-SIGA</t>
        </is>
      </c>
      <c r="BM503" s="251" t="inlineStr">
        <is>
          <t>NF</t>
        </is>
      </c>
      <c r="BN503" s="337" t="inlineStr">
        <is>
          <t>Michincha</t>
        </is>
      </c>
      <c r="BO503" s="251" t="inlineStr">
        <is>
          <t>SI</t>
        </is>
      </c>
      <c r="BP503" s="106" t="inlineStr">
        <is>
          <t>MMA-05 MICHINCHA/NF</t>
        </is>
      </c>
      <c r="BQ503" s="106">
        <f>VLOOKUP(BP503,[1]AGUA!$1:$1048576,2,FALSE)</f>
        <v/>
      </c>
      <c r="BR503" s="106">
        <f>VLOOKUP(BP503,[1]AGUA!$1:$1048576,6,FALSE)</f>
        <v/>
      </c>
      <c r="BS503" s="106">
        <f>VLOOKUP(BP503,[1]AGUA!$1:$1048576,7,FALSE)</f>
        <v/>
      </c>
      <c r="BT503" s="106" t="n"/>
      <c r="BU503" s="332" t="inlineStr">
        <is>
          <t>muestra mensual de 28 dias holdingtime</t>
        </is>
      </c>
      <c r="BV503" s="105" t="n"/>
      <c r="BW503" s="105" t="n"/>
      <c r="BX503" s="142" t="n">
        <v>1</v>
      </c>
      <c r="BY503" s="105" t="n"/>
      <c r="BZ503" s="105" t="n"/>
      <c r="CA503" s="105" t="n"/>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24">
        <f>+COUNTA(BV503:CY503)</f>
        <v/>
      </c>
      <c r="DA503" s="251" t="n"/>
      <c r="DB503" s="251" t="n"/>
      <c r="DC503" s="251" t="n"/>
      <c r="DD503" s="251" t="n"/>
      <c r="DE503" s="251" t="n"/>
      <c r="DF503" s="251" t="n"/>
      <c r="DG503" s="251" t="n"/>
      <c r="DH503" s="251" t="n"/>
      <c r="DI503" s="251" t="n"/>
      <c r="DJ503" s="251" t="inlineStr">
        <is>
          <t>M</t>
        </is>
      </c>
      <c r="DK503" s="251" t="n">
        <v>1</v>
      </c>
      <c r="DL503" s="95" t="n">
        <v>7</v>
      </c>
      <c r="DM503" s="251" t="n"/>
      <c r="DN503" s="95" t="n"/>
      <c r="DO503" s="95" t="n"/>
    </row>
    <row r="504" ht="13" customHeight="1">
      <c r="A504" s="203" t="inlineStr">
        <is>
          <t>MMA-05</t>
        </is>
      </c>
      <c r="B504" s="376" t="n"/>
      <c r="C504" s="376"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76" t="n"/>
      <c r="BL504" s="7" t="inlineStr">
        <is>
          <t>GMAP-SIGA</t>
        </is>
      </c>
      <c r="BM504" s="251" t="inlineStr">
        <is>
          <t>ASUB</t>
        </is>
      </c>
      <c r="BN504" s="337" t="inlineStr">
        <is>
          <t>Michincha</t>
        </is>
      </c>
      <c r="BO504" s="251" t="inlineStr">
        <is>
          <t>SI</t>
        </is>
      </c>
      <c r="BP504" s="106" t="inlineStr">
        <is>
          <t>MMA-05 MICHINCHA/ASUB</t>
        </is>
      </c>
      <c r="BQ504" s="106">
        <f>VLOOKUP(BP504,[1]AGUA!$1:$1048576,2,FALSE)</f>
        <v/>
      </c>
      <c r="BR504" s="106">
        <f>VLOOKUP(BP504,[1]AGUA!$1:$1048576,6,FALSE)</f>
        <v/>
      </c>
      <c r="BS504" s="106">
        <f>VLOOKUP(BP504,[1]AGUA!$1:$1048576,7,FALSE)</f>
        <v/>
      </c>
      <c r="BT504" s="106" t="n"/>
      <c r="BU504" s="377" t="n"/>
      <c r="BV504" s="105" t="n"/>
      <c r="BW504" s="105" t="n"/>
      <c r="BX504" s="107" t="n">
        <v>1</v>
      </c>
      <c r="BY504" s="105" t="n"/>
      <c r="BZ504" s="105" t="n"/>
      <c r="CA504" s="105" t="n"/>
      <c r="CB504" s="105"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24">
        <f>+COUNTA(BV504:CY504)</f>
        <v/>
      </c>
      <c r="DA504" s="251" t="n"/>
      <c r="DB504" s="251" t="n"/>
      <c r="DC504" s="251" t="n"/>
      <c r="DD504" s="251" t="n"/>
      <c r="DE504" s="251" t="n"/>
      <c r="DF504" s="251" t="n"/>
      <c r="DG504" s="251" t="n"/>
      <c r="DH504" s="251" t="n"/>
      <c r="DI504" s="251" t="n"/>
      <c r="DJ504" s="251" t="n"/>
      <c r="DK504" s="251" t="n"/>
      <c r="DL504" s="95" t="n"/>
      <c r="DM504" s="251" t="inlineStr">
        <is>
          <t>M</t>
        </is>
      </c>
      <c r="DN504" s="95" t="n">
        <v>1</v>
      </c>
      <c r="DO504" s="95" t="n">
        <v>7</v>
      </c>
    </row>
    <row r="505" ht="13" customHeight="1">
      <c r="A505" s="203" t="inlineStr">
        <is>
          <t>MMA-06</t>
        </is>
      </c>
      <c r="B505" s="305" t="inlineStr">
        <is>
          <t>MMA-06 MICHINCHA</t>
        </is>
      </c>
      <c r="C505" s="251"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1" t="inlineStr">
        <is>
          <t>532MAMMA</t>
        </is>
      </c>
      <c r="BL505" s="7" t="inlineStr">
        <is>
          <t>GMAP-SIGA</t>
        </is>
      </c>
      <c r="BM505" s="251" t="inlineStr">
        <is>
          <t>NF</t>
        </is>
      </c>
      <c r="BN505" s="337" t="inlineStr">
        <is>
          <t>Michincha</t>
        </is>
      </c>
      <c r="BO505" s="251" t="inlineStr">
        <is>
          <t>SI</t>
        </is>
      </c>
      <c r="BP505" s="106" t="inlineStr">
        <is>
          <t>MMA-06 MICHINCHA/NF</t>
        </is>
      </c>
      <c r="BQ505" s="106">
        <f>VLOOKUP(BP505,[1]AGUA!$1:$1048576,2,FALSE)</f>
        <v/>
      </c>
      <c r="BR505" s="106">
        <f>VLOOKUP(BP505,[1]AGUA!$1:$1048576,6,FALSE)</f>
        <v/>
      </c>
      <c r="BS505" s="106">
        <f>VLOOKUP(BP505,[1]AGUA!$1:$1048576,7,FALSE)</f>
        <v/>
      </c>
      <c r="BT505" s="106" t="n"/>
      <c r="BU505" s="332" t="inlineStr">
        <is>
          <t>muestra mensual de 28 dias holdingtime</t>
        </is>
      </c>
      <c r="BV505" s="105" t="n"/>
      <c r="BW505" s="105" t="n"/>
      <c r="BX505" s="142" t="n">
        <v>1</v>
      </c>
      <c r="BY505" s="105" t="n"/>
      <c r="BZ505" s="105" t="n"/>
      <c r="CA505" s="105" t="n"/>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24">
        <f>+COUNTA(BV505:CY505)</f>
        <v/>
      </c>
      <c r="DA505" s="251" t="n"/>
      <c r="DB505" s="251" t="n"/>
      <c r="DC505" s="251" t="n"/>
      <c r="DD505" s="251" t="n"/>
      <c r="DE505" s="251" t="n"/>
      <c r="DF505" s="251" t="n"/>
      <c r="DG505" s="251" t="n"/>
      <c r="DH505" s="251" t="n"/>
      <c r="DI505" s="251" t="n"/>
      <c r="DJ505" s="251" t="inlineStr">
        <is>
          <t>M</t>
        </is>
      </c>
      <c r="DK505" s="251" t="n">
        <v>1</v>
      </c>
      <c r="DL505" s="95" t="n">
        <v>7</v>
      </c>
      <c r="DM505" s="251" t="n"/>
      <c r="DN505" s="95" t="n"/>
      <c r="DO505" s="95" t="n"/>
    </row>
    <row r="506" ht="13" customHeight="1">
      <c r="A506" s="203" t="inlineStr">
        <is>
          <t>MMA-06</t>
        </is>
      </c>
      <c r="B506" s="376" t="n"/>
      <c r="C506" s="376"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76" t="n"/>
      <c r="BL506" s="7" t="inlineStr">
        <is>
          <t>GMAP-SIGA</t>
        </is>
      </c>
      <c r="BM506" s="251" t="inlineStr">
        <is>
          <t>ASUB</t>
        </is>
      </c>
      <c r="BN506" s="337" t="inlineStr">
        <is>
          <t>Michincha</t>
        </is>
      </c>
      <c r="BO506" s="251" t="inlineStr">
        <is>
          <t>SI</t>
        </is>
      </c>
      <c r="BP506" s="106" t="inlineStr">
        <is>
          <t>MMA-06 MICHINCHA/ASUB</t>
        </is>
      </c>
      <c r="BQ506" s="106">
        <f>VLOOKUP(BP506,[1]AGUA!$1:$1048576,2,FALSE)</f>
        <v/>
      </c>
      <c r="BR506" s="106">
        <f>VLOOKUP(BP506,[1]AGUA!$1:$1048576,6,FALSE)</f>
        <v/>
      </c>
      <c r="BS506" s="106">
        <f>VLOOKUP(BP506,[1]AGUA!$1:$1048576,7,FALSE)</f>
        <v/>
      </c>
      <c r="BT506" s="106" t="n"/>
      <c r="BU506" s="377" t="n"/>
      <c r="BV506" s="105" t="n"/>
      <c r="BW506" s="105" t="n"/>
      <c r="BX506" s="107" t="n">
        <v>1</v>
      </c>
      <c r="BY506" s="105" t="n"/>
      <c r="BZ506" s="105" t="n"/>
      <c r="CA506" s="105" t="n"/>
      <c r="CB506" s="105"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24">
        <f>+COUNTA(BV506:CY506)</f>
        <v/>
      </c>
      <c r="DA506" s="251" t="n"/>
      <c r="DB506" s="251" t="n"/>
      <c r="DC506" s="251" t="n"/>
      <c r="DD506" s="251" t="n"/>
      <c r="DE506" s="251" t="n"/>
      <c r="DF506" s="251" t="n"/>
      <c r="DG506" s="251" t="n"/>
      <c r="DH506" s="251" t="n"/>
      <c r="DI506" s="251" t="n"/>
      <c r="DJ506" s="251" t="n"/>
      <c r="DK506" s="251" t="n"/>
      <c r="DL506" s="95" t="n"/>
      <c r="DM506" s="251" t="inlineStr">
        <is>
          <t>M</t>
        </is>
      </c>
      <c r="DN506" s="95" t="n">
        <v>1</v>
      </c>
      <c r="DO506" s="95" t="n">
        <v>7</v>
      </c>
    </row>
    <row r="507" ht="13" customHeight="1">
      <c r="A507" s="203" t="inlineStr">
        <is>
          <t>MMA-07</t>
        </is>
      </c>
      <c r="B507" s="305" t="inlineStr">
        <is>
          <t>MMA-07 MICHINCHA</t>
        </is>
      </c>
      <c r="C507" s="251"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1" t="inlineStr">
        <is>
          <t>532MAMMA</t>
        </is>
      </c>
      <c r="BL507" s="7" t="inlineStr">
        <is>
          <t>GMAP-SIGA</t>
        </is>
      </c>
      <c r="BM507" s="251" t="inlineStr">
        <is>
          <t>NF</t>
        </is>
      </c>
      <c r="BN507" s="337" t="inlineStr">
        <is>
          <t>Michincha</t>
        </is>
      </c>
      <c r="BO507" s="251" t="inlineStr">
        <is>
          <t>SI</t>
        </is>
      </c>
      <c r="BP507" s="106" t="inlineStr">
        <is>
          <t>MMA-07 MICHINCHA/NF</t>
        </is>
      </c>
      <c r="BQ507" s="106">
        <f>VLOOKUP(BP507,[1]AGUA!$1:$1048576,2,FALSE)</f>
        <v/>
      </c>
      <c r="BR507" s="106">
        <f>VLOOKUP(BP507,[1]AGUA!$1:$1048576,6,FALSE)</f>
        <v/>
      </c>
      <c r="BS507" s="106">
        <f>VLOOKUP(BP507,[1]AGUA!$1:$1048576,7,FALSE)</f>
        <v/>
      </c>
      <c r="BT507" s="106" t="n"/>
      <c r="BU507" s="332" t="inlineStr">
        <is>
          <t>muestra mensual de 28 dias holdingtime</t>
        </is>
      </c>
      <c r="BV507" s="105" t="n"/>
      <c r="BW507" s="105" t="n"/>
      <c r="BX507" s="105" t="n"/>
      <c r="BY507" s="105" t="n"/>
      <c r="BZ507" s="105" t="n"/>
      <c r="CA507" s="142" t="n">
        <v>1</v>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24">
        <f>+COUNTA(BW507:CY507)</f>
        <v/>
      </c>
      <c r="DA507" s="251" t="n"/>
      <c r="DB507" s="251" t="n"/>
      <c r="DC507" s="251" t="n"/>
      <c r="DD507" s="251" t="n"/>
      <c r="DE507" s="251" t="n"/>
      <c r="DF507" s="251" t="n"/>
      <c r="DG507" s="251" t="n"/>
      <c r="DH507" s="251" t="n"/>
      <c r="DI507" s="251" t="n"/>
      <c r="DJ507" s="251" t="inlineStr">
        <is>
          <t>M</t>
        </is>
      </c>
      <c r="DK507" s="251" t="n">
        <v>1</v>
      </c>
      <c r="DL507" s="95" t="n">
        <v>7</v>
      </c>
      <c r="DM507" s="251" t="n"/>
      <c r="DN507" s="95" t="n"/>
      <c r="DO507" s="95" t="n"/>
    </row>
    <row r="508" ht="13" customHeight="1">
      <c r="A508" s="203" t="inlineStr">
        <is>
          <t>MMA-07</t>
        </is>
      </c>
      <c r="B508" s="376" t="n"/>
      <c r="C508" s="376"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76" t="n"/>
      <c r="BL508" s="7" t="inlineStr">
        <is>
          <t>GMAP-SIGA</t>
        </is>
      </c>
      <c r="BM508" s="251" t="inlineStr">
        <is>
          <t>ASUB</t>
        </is>
      </c>
      <c r="BN508" s="337" t="inlineStr">
        <is>
          <t>Michincha</t>
        </is>
      </c>
      <c r="BO508" s="251" t="inlineStr">
        <is>
          <t>SI</t>
        </is>
      </c>
      <c r="BP508" s="106" t="inlineStr">
        <is>
          <t>MMA-07 MICHINCHA/ASUB</t>
        </is>
      </c>
      <c r="BQ508" s="106">
        <f>VLOOKUP(BP508,[1]AGUA!$1:$1048576,2,FALSE)</f>
        <v/>
      </c>
      <c r="BR508" s="106">
        <f>VLOOKUP(BP508,[1]AGUA!$1:$1048576,6,FALSE)</f>
        <v/>
      </c>
      <c r="BS508" s="106">
        <f>VLOOKUP(BP508,[1]AGUA!$1:$1048576,7,FALSE)</f>
        <v/>
      </c>
      <c r="BT508" s="106" t="n"/>
      <c r="BU508" s="377" t="n"/>
      <c r="BV508" s="105" t="n"/>
      <c r="BW508" s="105" t="n"/>
      <c r="BX508" s="105" t="n"/>
      <c r="BY508" s="105" t="n"/>
      <c r="BZ508" s="105" t="n"/>
      <c r="CA508" s="107" t="n">
        <v>1</v>
      </c>
      <c r="CB508" s="105"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24">
        <f>+COUNTA(BW508:CY508)</f>
        <v/>
      </c>
      <c r="DA508" s="251" t="n"/>
      <c r="DB508" s="251" t="n"/>
      <c r="DC508" s="251" t="n"/>
      <c r="DD508" s="251" t="n"/>
      <c r="DE508" s="251" t="n"/>
      <c r="DF508" s="251" t="n"/>
      <c r="DG508" s="251" t="n"/>
      <c r="DH508" s="251" t="n"/>
      <c r="DI508" s="251" t="n"/>
      <c r="DJ508" s="251" t="n"/>
      <c r="DK508" s="251" t="n"/>
      <c r="DL508" s="95" t="n"/>
      <c r="DM508" s="251" t="inlineStr">
        <is>
          <t>M</t>
        </is>
      </c>
      <c r="DN508" s="95" t="n">
        <v>1</v>
      </c>
      <c r="DO508" s="95" t="n">
        <v>7</v>
      </c>
    </row>
    <row r="509" ht="13" customHeight="1">
      <c r="A509" s="203" t="inlineStr">
        <is>
          <t>MMA-08</t>
        </is>
      </c>
      <c r="B509" s="305" t="inlineStr">
        <is>
          <t>MMA-08 MICHINCHA</t>
        </is>
      </c>
      <c r="C509" s="251"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1" t="inlineStr">
        <is>
          <t>532MAMMA</t>
        </is>
      </c>
      <c r="BL509" s="7" t="inlineStr">
        <is>
          <t>GMAP-SIGA</t>
        </is>
      </c>
      <c r="BM509" s="251" t="inlineStr">
        <is>
          <t>NF</t>
        </is>
      </c>
      <c r="BN509" s="337" t="inlineStr">
        <is>
          <t>Michincha</t>
        </is>
      </c>
      <c r="BO509" s="251" t="inlineStr">
        <is>
          <t>SI</t>
        </is>
      </c>
      <c r="BP509" s="106" t="inlineStr">
        <is>
          <t>MMA-08 MICHINCHA/NF</t>
        </is>
      </c>
      <c r="BQ509" s="106">
        <f>VLOOKUP(BP509,[1]AGUA!$1:$1048576,2,FALSE)</f>
        <v/>
      </c>
      <c r="BR509" s="106">
        <f>VLOOKUP(BP509,[1]AGUA!$1:$1048576,6,FALSE)</f>
        <v/>
      </c>
      <c r="BS509" s="106">
        <f>VLOOKUP(BP509,[1]AGUA!$1:$1048576,7,FALSE)</f>
        <v/>
      </c>
      <c r="BT509" s="106" t="n"/>
      <c r="BU509" s="332" t="inlineStr">
        <is>
          <t>muestra mensual de 28 dias holdingtime</t>
        </is>
      </c>
      <c r="BV509" s="105" t="n"/>
      <c r="BW509" s="105" t="n"/>
      <c r="BX509" s="105" t="n"/>
      <c r="BY509" s="105" t="n"/>
      <c r="BZ509" s="105" t="n"/>
      <c r="CA509" s="142" t="n">
        <v>1</v>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24">
        <f>+COUNTA(BW509:CY509)</f>
        <v/>
      </c>
      <c r="DA509" s="251" t="n"/>
      <c r="DB509" s="251" t="n"/>
      <c r="DC509" s="251" t="n"/>
      <c r="DD509" s="251" t="n"/>
      <c r="DE509" s="251" t="n"/>
      <c r="DF509" s="251" t="n"/>
      <c r="DG509" s="251" t="n"/>
      <c r="DH509" s="251" t="n"/>
      <c r="DI509" s="251" t="n"/>
      <c r="DJ509" s="251" t="inlineStr">
        <is>
          <t>M</t>
        </is>
      </c>
      <c r="DK509" s="251" t="n">
        <v>1</v>
      </c>
      <c r="DL509" s="95" t="n">
        <v>7</v>
      </c>
      <c r="DM509" s="251" t="n"/>
      <c r="DN509" s="95" t="n"/>
      <c r="DO509" s="95" t="n"/>
    </row>
    <row r="510" ht="13" customHeight="1">
      <c r="A510" s="203" t="inlineStr">
        <is>
          <t>MMA-08</t>
        </is>
      </c>
      <c r="B510" s="376" t="n"/>
      <c r="C510" s="376"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76" t="n"/>
      <c r="BL510" s="7" t="inlineStr">
        <is>
          <t>GMAP-SIGA</t>
        </is>
      </c>
      <c r="BM510" s="251" t="inlineStr">
        <is>
          <t>ASUB</t>
        </is>
      </c>
      <c r="BN510" s="337" t="inlineStr">
        <is>
          <t>Michincha</t>
        </is>
      </c>
      <c r="BO510" s="251" t="inlineStr">
        <is>
          <t>SI</t>
        </is>
      </c>
      <c r="BP510" s="106" t="inlineStr">
        <is>
          <t>MMA-08 MICHINCHA/ASUB</t>
        </is>
      </c>
      <c r="BQ510" s="106">
        <f>VLOOKUP(BP510,[1]AGUA!$1:$1048576,2,FALSE)</f>
        <v/>
      </c>
      <c r="BR510" s="106">
        <f>VLOOKUP(BP510,[1]AGUA!$1:$1048576,6,FALSE)</f>
        <v/>
      </c>
      <c r="BS510" s="106">
        <f>VLOOKUP(BP510,[1]AGUA!$1:$1048576,7,FALSE)</f>
        <v/>
      </c>
      <c r="BT510" s="106" t="n"/>
      <c r="BU510" s="377" t="n"/>
      <c r="BV510" s="105" t="n"/>
      <c r="BW510" s="105" t="n"/>
      <c r="BX510" s="105" t="n"/>
      <c r="BY510" s="105" t="n"/>
      <c r="BZ510" s="105" t="n"/>
      <c r="CA510" s="107" t="n">
        <v>1</v>
      </c>
      <c r="CB510" s="105"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24">
        <f>+COUNTA(BW510:CY510)</f>
        <v/>
      </c>
      <c r="DA510" s="251" t="n"/>
      <c r="DB510" s="251" t="n"/>
      <c r="DC510" s="251" t="n"/>
      <c r="DD510" s="251" t="n"/>
      <c r="DE510" s="251" t="n"/>
      <c r="DF510" s="251" t="n"/>
      <c r="DG510" s="251" t="n"/>
      <c r="DH510" s="251" t="n"/>
      <c r="DI510" s="251" t="n"/>
      <c r="DJ510" s="251" t="n"/>
      <c r="DK510" s="251" t="n"/>
      <c r="DL510" s="95" t="n"/>
      <c r="DM510" s="251" t="inlineStr">
        <is>
          <t>M</t>
        </is>
      </c>
      <c r="DN510" s="95" t="n">
        <v>1</v>
      </c>
      <c r="DO510" s="95" t="n">
        <v>7</v>
      </c>
    </row>
    <row r="511" ht="13" customHeight="1">
      <c r="A511" s="203" t="inlineStr">
        <is>
          <t>MMA-09</t>
        </is>
      </c>
      <c r="B511" s="305" t="inlineStr">
        <is>
          <t>MMA-09 MICHINCHA</t>
        </is>
      </c>
      <c r="C511" s="251"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1" t="inlineStr">
        <is>
          <t>532MAMMA</t>
        </is>
      </c>
      <c r="BL511" s="7" t="inlineStr">
        <is>
          <t>GMAP-SIGA</t>
        </is>
      </c>
      <c r="BM511" s="251" t="inlineStr">
        <is>
          <t>NF</t>
        </is>
      </c>
      <c r="BN511" s="337" t="inlineStr">
        <is>
          <t>Michincha</t>
        </is>
      </c>
      <c r="BO511" s="251" t="inlineStr">
        <is>
          <t>SI</t>
        </is>
      </c>
      <c r="BP511" s="106" t="inlineStr">
        <is>
          <t>MMA-09 MICHINCHA/NF</t>
        </is>
      </c>
      <c r="BQ511" s="106">
        <f>VLOOKUP(BP511,[1]AGUA!$1:$1048576,2,FALSE)</f>
        <v/>
      </c>
      <c r="BR511" s="106">
        <f>VLOOKUP(BP511,[1]AGUA!$1:$1048576,6,FALSE)</f>
        <v/>
      </c>
      <c r="BS511" s="106">
        <f>VLOOKUP(BP511,[1]AGUA!$1:$1048576,7,FALSE)</f>
        <v/>
      </c>
      <c r="BT511" s="106" t="n"/>
      <c r="BU511" s="332" t="inlineStr">
        <is>
          <t>muestra mensual de 28 dias holdingtime</t>
        </is>
      </c>
      <c r="BV511" s="105" t="n"/>
      <c r="BW511" s="105" t="n"/>
      <c r="BX511" s="105" t="n"/>
      <c r="BY511" s="105" t="n"/>
      <c r="BZ511" s="105" t="n"/>
      <c r="CA511" s="142" t="n">
        <v>1</v>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24">
        <f>+COUNTA(BW511:CY511)</f>
        <v/>
      </c>
      <c r="DA511" s="251" t="n"/>
      <c r="DB511" s="251" t="n"/>
      <c r="DC511" s="251" t="n"/>
      <c r="DD511" s="251" t="n"/>
      <c r="DE511" s="251" t="n"/>
      <c r="DF511" s="251" t="n"/>
      <c r="DG511" s="251" t="n"/>
      <c r="DH511" s="251" t="n"/>
      <c r="DI511" s="251" t="n"/>
      <c r="DJ511" s="251" t="inlineStr">
        <is>
          <t>M</t>
        </is>
      </c>
      <c r="DK511" s="251" t="n">
        <v>1</v>
      </c>
      <c r="DL511" s="95" t="n">
        <v>7</v>
      </c>
      <c r="DM511" s="251" t="n"/>
      <c r="DN511" s="95" t="n"/>
      <c r="DO511" s="95" t="n"/>
    </row>
    <row r="512" ht="13" customHeight="1">
      <c r="A512" s="203" t="inlineStr">
        <is>
          <t>MMA-09</t>
        </is>
      </c>
      <c r="B512" s="376" t="n"/>
      <c r="C512" s="376"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76" t="n"/>
      <c r="BL512" s="7" t="inlineStr">
        <is>
          <t>GMAP-SIGA</t>
        </is>
      </c>
      <c r="BM512" s="251" t="inlineStr">
        <is>
          <t>ASUB</t>
        </is>
      </c>
      <c r="BN512" s="337" t="inlineStr">
        <is>
          <t>Michincha</t>
        </is>
      </c>
      <c r="BO512" s="251" t="inlineStr">
        <is>
          <t>SI</t>
        </is>
      </c>
      <c r="BP512" s="106" t="inlineStr">
        <is>
          <t>MMA-09 MICHINCHA/ASUB</t>
        </is>
      </c>
      <c r="BQ512" s="106">
        <f>VLOOKUP(BP512,[1]AGUA!$1:$1048576,2,FALSE)</f>
        <v/>
      </c>
      <c r="BR512" s="106">
        <f>VLOOKUP(BP512,[1]AGUA!$1:$1048576,6,FALSE)</f>
        <v/>
      </c>
      <c r="BS512" s="106">
        <f>VLOOKUP(BP512,[1]AGUA!$1:$1048576,7,FALSE)</f>
        <v/>
      </c>
      <c r="BT512" s="106" t="n"/>
      <c r="BU512" s="377" t="n"/>
      <c r="BV512" s="105" t="n"/>
      <c r="BW512" s="105" t="n"/>
      <c r="BX512" s="105" t="n"/>
      <c r="BY512" s="105" t="n"/>
      <c r="BZ512" s="105" t="n"/>
      <c r="CA512" s="107" t="n">
        <v>1</v>
      </c>
      <c r="CB512" s="105"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24">
        <f>+COUNTA(BW512:CY512)</f>
        <v/>
      </c>
      <c r="DA512" s="251" t="n"/>
      <c r="DB512" s="251" t="n"/>
      <c r="DC512" s="251" t="n"/>
      <c r="DD512" s="251" t="n"/>
      <c r="DE512" s="251" t="n"/>
      <c r="DF512" s="251" t="n"/>
      <c r="DG512" s="251" t="n"/>
      <c r="DH512" s="251" t="n"/>
      <c r="DI512" s="251" t="n"/>
      <c r="DJ512" s="251" t="n"/>
      <c r="DK512" s="251" t="n"/>
      <c r="DL512" s="95" t="n"/>
      <c r="DM512" s="251" t="inlineStr">
        <is>
          <t>M</t>
        </is>
      </c>
      <c r="DN512" s="95" t="n">
        <v>1</v>
      </c>
      <c r="DO512" s="95" t="n">
        <v>7</v>
      </c>
    </row>
    <row r="513" ht="13" customHeight="1">
      <c r="A513" s="203" t="inlineStr">
        <is>
          <t>MMA-10</t>
        </is>
      </c>
      <c r="B513" s="305" t="inlineStr">
        <is>
          <t>MMA-10 MICHINCHA</t>
        </is>
      </c>
      <c r="C513" s="251"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1" t="inlineStr">
        <is>
          <t>532MAMMA</t>
        </is>
      </c>
      <c r="BL513" s="7" t="inlineStr">
        <is>
          <t>GMAP-SIGA</t>
        </is>
      </c>
      <c r="BM513" s="251" t="inlineStr">
        <is>
          <t>NF</t>
        </is>
      </c>
      <c r="BN513" s="337" t="inlineStr">
        <is>
          <t>Michincha</t>
        </is>
      </c>
      <c r="BO513" s="251" t="inlineStr">
        <is>
          <t>SI</t>
        </is>
      </c>
      <c r="BP513" s="106" t="inlineStr">
        <is>
          <t>MMA-10 MICHINCHA/NF</t>
        </is>
      </c>
      <c r="BQ513" s="106">
        <f>VLOOKUP(BP513,[1]AGUA!$1:$1048576,2,FALSE)</f>
        <v/>
      </c>
      <c r="BR513" s="106">
        <f>VLOOKUP(BP513,[1]AGUA!$1:$1048576,6,FALSE)</f>
        <v/>
      </c>
      <c r="BS513" s="106">
        <f>VLOOKUP(BP513,[1]AGUA!$1:$1048576,7,FALSE)</f>
        <v/>
      </c>
      <c r="BT513" s="106" t="n"/>
      <c r="BU513" s="332" t="inlineStr">
        <is>
          <t>muestra mensual de 28 dias holdingtime</t>
        </is>
      </c>
      <c r="BV513" s="105" t="n"/>
      <c r="BW513" s="105" t="n"/>
      <c r="BX513" s="142" t="n">
        <v>1</v>
      </c>
      <c r="BY513" s="105" t="n"/>
      <c r="BZ513" s="105" t="n"/>
      <c r="CA513" s="105" t="n"/>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24">
        <f>+COUNTA(BV513:CY513)</f>
        <v/>
      </c>
      <c r="DA513" s="251" t="n"/>
      <c r="DB513" s="251" t="n"/>
      <c r="DC513" s="251" t="n"/>
      <c r="DD513" s="251" t="n"/>
      <c r="DE513" s="251" t="n"/>
      <c r="DF513" s="251" t="n"/>
      <c r="DG513" s="251" t="n"/>
      <c r="DH513" s="251" t="n"/>
      <c r="DI513" s="251" t="n"/>
      <c r="DJ513" s="251" t="inlineStr">
        <is>
          <t>M</t>
        </is>
      </c>
      <c r="DK513" s="251" t="n">
        <v>1</v>
      </c>
      <c r="DL513" s="95" t="n">
        <v>7</v>
      </c>
      <c r="DM513" s="251" t="n"/>
      <c r="DN513" s="95" t="n"/>
      <c r="DO513" s="95" t="n"/>
    </row>
    <row r="514" ht="13" customHeight="1">
      <c r="A514" s="203" t="inlineStr">
        <is>
          <t>MMA-10</t>
        </is>
      </c>
      <c r="B514" s="376" t="n"/>
      <c r="C514" s="376"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76" t="n"/>
      <c r="BL514" s="7" t="inlineStr">
        <is>
          <t>GMAP-SIGA</t>
        </is>
      </c>
      <c r="BM514" s="251" t="inlineStr">
        <is>
          <t>ASUB</t>
        </is>
      </c>
      <c r="BN514" s="337" t="inlineStr">
        <is>
          <t>Michincha</t>
        </is>
      </c>
      <c r="BO514" s="251" t="inlineStr">
        <is>
          <t>SI</t>
        </is>
      </c>
      <c r="BP514" s="106" t="inlineStr">
        <is>
          <t>MMA-10 MICHINCHA/ASUB</t>
        </is>
      </c>
      <c r="BQ514" s="106">
        <f>VLOOKUP(BP514,[1]AGUA!$1:$1048576,2,FALSE)</f>
        <v/>
      </c>
      <c r="BR514" s="106">
        <f>VLOOKUP(BP514,[1]AGUA!$1:$1048576,6,FALSE)</f>
        <v/>
      </c>
      <c r="BS514" s="106">
        <f>VLOOKUP(BP514,[1]AGUA!$1:$1048576,7,FALSE)</f>
        <v/>
      </c>
      <c r="BT514" s="106" t="n"/>
      <c r="BU514" s="377" t="n"/>
      <c r="BV514" s="105" t="n"/>
      <c r="BW514" s="105" t="n"/>
      <c r="BX514" s="107" t="n">
        <v>1</v>
      </c>
      <c r="BY514" s="105" t="n"/>
      <c r="BZ514" s="105" t="n"/>
      <c r="CA514" s="105" t="n"/>
      <c r="CB514" s="105"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24">
        <f>+COUNTA(BV514:CY514)</f>
        <v/>
      </c>
      <c r="DA514" s="251" t="n"/>
      <c r="DB514" s="251" t="n"/>
      <c r="DC514" s="251" t="n"/>
      <c r="DD514" s="251" t="n"/>
      <c r="DE514" s="251" t="n"/>
      <c r="DF514" s="251" t="n"/>
      <c r="DG514" s="251" t="n"/>
      <c r="DH514" s="251" t="n"/>
      <c r="DI514" s="251" t="n"/>
      <c r="DJ514" s="251" t="n"/>
      <c r="DK514" s="251" t="n"/>
      <c r="DL514" s="95" t="n"/>
      <c r="DM514" s="251" t="inlineStr">
        <is>
          <t>M</t>
        </is>
      </c>
      <c r="DN514" s="95" t="n">
        <v>1</v>
      </c>
      <c r="DO514" s="95" t="n">
        <v>7</v>
      </c>
    </row>
    <row r="515" ht="13" customHeight="1">
      <c r="A515" s="203" t="inlineStr">
        <is>
          <t>MMA-11</t>
        </is>
      </c>
      <c r="B515" s="305" t="inlineStr">
        <is>
          <t>MMA-11 MICHINCHA</t>
        </is>
      </c>
      <c r="C515" s="251"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1" t="inlineStr">
        <is>
          <t>532MAMMA</t>
        </is>
      </c>
      <c r="BL515" s="7" t="inlineStr">
        <is>
          <t>GMAP-SIGA</t>
        </is>
      </c>
      <c r="BM515" s="251" t="inlineStr">
        <is>
          <t>NF</t>
        </is>
      </c>
      <c r="BN515" s="337" t="inlineStr">
        <is>
          <t>Michincha</t>
        </is>
      </c>
      <c r="BO515" s="251" t="inlineStr">
        <is>
          <t>SI</t>
        </is>
      </c>
      <c r="BP515" s="106" t="inlineStr">
        <is>
          <t>MMA-11 MICHINCHA/NF</t>
        </is>
      </c>
      <c r="BQ515" s="106">
        <f>VLOOKUP(BP515,[1]AGUA!$1:$1048576,2,FALSE)</f>
        <v/>
      </c>
      <c r="BR515" s="106">
        <f>VLOOKUP(BP515,[1]AGUA!$1:$1048576,6,FALSE)</f>
        <v/>
      </c>
      <c r="BS515" s="106">
        <f>VLOOKUP(BP515,[1]AGUA!$1:$1048576,7,FALSE)</f>
        <v/>
      </c>
      <c r="BT515" s="106" t="n"/>
      <c r="BU515" s="332" t="inlineStr">
        <is>
          <t>muestra mensual de 28 dias holdingtime</t>
        </is>
      </c>
      <c r="BV515" s="105" t="n"/>
      <c r="BW515" s="105" t="n"/>
      <c r="BX515" s="142" t="n">
        <v>1</v>
      </c>
      <c r="BY515" s="105" t="n"/>
      <c r="BZ515" s="105" t="n"/>
      <c r="CA515" s="105" t="n"/>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24">
        <f>+COUNTA(BV515:CY515)</f>
        <v/>
      </c>
      <c r="DA515" s="251" t="n"/>
      <c r="DB515" s="251" t="n"/>
      <c r="DC515" s="251" t="n"/>
      <c r="DD515" s="251" t="n"/>
      <c r="DE515" s="251" t="n"/>
      <c r="DF515" s="251" t="n"/>
      <c r="DG515" s="251" t="n"/>
      <c r="DH515" s="251" t="n"/>
      <c r="DI515" s="251" t="n"/>
      <c r="DJ515" s="251" t="inlineStr">
        <is>
          <t>M</t>
        </is>
      </c>
      <c r="DK515" s="251" t="n">
        <v>1</v>
      </c>
      <c r="DL515" s="95" t="n">
        <v>7</v>
      </c>
      <c r="DM515" s="251" t="n"/>
      <c r="DN515" s="95" t="n"/>
      <c r="DO515" s="95" t="n"/>
    </row>
    <row r="516" ht="13" customHeight="1">
      <c r="A516" s="203" t="inlineStr">
        <is>
          <t>MMA-11</t>
        </is>
      </c>
      <c r="B516" s="376" t="n"/>
      <c r="C516" s="376"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76" t="n"/>
      <c r="BL516" s="7" t="inlineStr">
        <is>
          <t>GMAP-SIGA</t>
        </is>
      </c>
      <c r="BM516" s="251" t="inlineStr">
        <is>
          <t>ASUB</t>
        </is>
      </c>
      <c r="BN516" s="337" t="inlineStr">
        <is>
          <t>Michincha</t>
        </is>
      </c>
      <c r="BO516" s="251" t="inlineStr">
        <is>
          <t>SI</t>
        </is>
      </c>
      <c r="BP516" s="106" t="inlineStr">
        <is>
          <t>MMA-11 MICHINCHA/ASUB</t>
        </is>
      </c>
      <c r="BQ516" s="106">
        <f>VLOOKUP(BP516,[1]AGUA!$1:$1048576,2,FALSE)</f>
        <v/>
      </c>
      <c r="BR516" s="106">
        <f>VLOOKUP(BP516,[1]AGUA!$1:$1048576,6,FALSE)</f>
        <v/>
      </c>
      <c r="BS516" s="106">
        <f>VLOOKUP(BP516,[1]AGUA!$1:$1048576,7,FALSE)</f>
        <v/>
      </c>
      <c r="BT516" s="106" t="n"/>
      <c r="BU516" s="377" t="n"/>
      <c r="BV516" s="105" t="n"/>
      <c r="BW516" s="105" t="n"/>
      <c r="BX516" s="107" t="n">
        <v>1</v>
      </c>
      <c r="BY516" s="105" t="n"/>
      <c r="BZ516" s="105" t="n"/>
      <c r="CA516" s="105" t="n"/>
      <c r="CB516" s="105"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24">
        <f>+COUNTA(BV516:CY516)</f>
        <v/>
      </c>
      <c r="DA516" s="251" t="n"/>
      <c r="DB516" s="251" t="n"/>
      <c r="DC516" s="251" t="n"/>
      <c r="DD516" s="251" t="n"/>
      <c r="DE516" s="251" t="n"/>
      <c r="DF516" s="251" t="n"/>
      <c r="DG516" s="251" t="n"/>
      <c r="DH516" s="251" t="n"/>
      <c r="DI516" s="251" t="n"/>
      <c r="DJ516" s="251" t="n"/>
      <c r="DK516" s="251" t="n"/>
      <c r="DL516" s="95" t="n"/>
      <c r="DM516" s="251" t="inlineStr">
        <is>
          <t>M</t>
        </is>
      </c>
      <c r="DN516" s="95" t="n">
        <v>1</v>
      </c>
      <c r="DO516" s="95" t="n">
        <v>7</v>
      </c>
    </row>
    <row r="517" ht="13" customHeight="1">
      <c r="A517" s="203" t="inlineStr">
        <is>
          <t>MMA-12</t>
        </is>
      </c>
      <c r="B517" s="305" t="inlineStr">
        <is>
          <t>MMA-12 MICHINCHA</t>
        </is>
      </c>
      <c r="C517" s="251"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1" t="inlineStr">
        <is>
          <t>532MAMMA</t>
        </is>
      </c>
      <c r="BL517" s="7" t="inlineStr">
        <is>
          <t>GMAP-SIGA</t>
        </is>
      </c>
      <c r="BM517" s="251" t="inlineStr">
        <is>
          <t>NF</t>
        </is>
      </c>
      <c r="BN517" s="337" t="inlineStr">
        <is>
          <t>Michincha</t>
        </is>
      </c>
      <c r="BO517" s="251" t="inlineStr">
        <is>
          <t>SI</t>
        </is>
      </c>
      <c r="BP517" s="106" t="inlineStr">
        <is>
          <t>MMA-12 MICHINCHA/NF</t>
        </is>
      </c>
      <c r="BQ517" s="106">
        <f>VLOOKUP(BP517,[1]AGUA!$1:$1048576,2,FALSE)</f>
        <v/>
      </c>
      <c r="BR517" s="106">
        <f>VLOOKUP(BP517,[1]AGUA!$1:$1048576,6,FALSE)</f>
        <v/>
      </c>
      <c r="BS517" s="106">
        <f>VLOOKUP(BP517,[1]AGUA!$1:$1048576,7,FALSE)</f>
        <v/>
      </c>
      <c r="BT517" s="106" t="n"/>
      <c r="BU517" s="332" t="inlineStr">
        <is>
          <t>muestra mensual de 28 dias holdingtime</t>
        </is>
      </c>
      <c r="BV517" s="105" t="n"/>
      <c r="BW517" s="105" t="n"/>
      <c r="BX517" s="142" t="n">
        <v>1</v>
      </c>
      <c r="BY517" s="105" t="n"/>
      <c r="BZ517" s="105" t="n"/>
      <c r="CA517" s="105" t="n"/>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24">
        <f>+COUNTA(BW517:CY517)</f>
        <v/>
      </c>
      <c r="DA517" s="251" t="n"/>
      <c r="DB517" s="251" t="n"/>
      <c r="DC517" s="251" t="n"/>
      <c r="DD517" s="251" t="n"/>
      <c r="DE517" s="251" t="n"/>
      <c r="DF517" s="251" t="n"/>
      <c r="DG517" s="251" t="n"/>
      <c r="DH517" s="251" t="n"/>
      <c r="DI517" s="251" t="n"/>
      <c r="DJ517" s="251" t="inlineStr">
        <is>
          <t>M</t>
        </is>
      </c>
      <c r="DK517" s="251" t="n">
        <v>1</v>
      </c>
      <c r="DL517" s="95" t="n">
        <v>7</v>
      </c>
      <c r="DM517" s="251" t="n"/>
      <c r="DN517" s="95" t="n"/>
      <c r="DO517" s="95" t="n"/>
    </row>
    <row r="518" ht="13" customHeight="1">
      <c r="A518" s="203" t="inlineStr">
        <is>
          <t>MMA-12</t>
        </is>
      </c>
      <c r="B518" s="376" t="n"/>
      <c r="C518" s="376"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76" t="n"/>
      <c r="BL518" s="7" t="inlineStr">
        <is>
          <t>GMAP-SIGA</t>
        </is>
      </c>
      <c r="BM518" s="251" t="inlineStr">
        <is>
          <t>ASUB</t>
        </is>
      </c>
      <c r="BN518" s="337" t="inlineStr">
        <is>
          <t>Michincha</t>
        </is>
      </c>
      <c r="BO518" s="251" t="inlineStr">
        <is>
          <t>SI</t>
        </is>
      </c>
      <c r="BP518" s="106" t="inlineStr">
        <is>
          <t>MMA-12 MICHINCHA/ASUB</t>
        </is>
      </c>
      <c r="BQ518" s="106">
        <f>VLOOKUP(BP518,[1]AGUA!$1:$1048576,2,FALSE)</f>
        <v/>
      </c>
      <c r="BR518" s="106">
        <f>VLOOKUP(BP518,[1]AGUA!$1:$1048576,6,FALSE)</f>
        <v/>
      </c>
      <c r="BS518" s="106">
        <f>VLOOKUP(BP518,[1]AGUA!$1:$1048576,7,FALSE)</f>
        <v/>
      </c>
      <c r="BT518" s="106" t="n"/>
      <c r="BU518" s="377" t="n"/>
      <c r="BV518" s="105" t="n"/>
      <c r="BW518" s="105" t="n"/>
      <c r="BX518" s="107" t="n">
        <v>1</v>
      </c>
      <c r="BY518" s="105" t="n"/>
      <c r="BZ518" s="105" t="n"/>
      <c r="CA518" s="105" t="n"/>
      <c r="CB518" s="105"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24">
        <f>+COUNTA(BW518:CY518)</f>
        <v/>
      </c>
      <c r="DA518" s="251" t="n"/>
      <c r="DB518" s="251" t="n"/>
      <c r="DC518" s="251" t="n"/>
      <c r="DD518" s="251" t="n"/>
      <c r="DE518" s="251" t="n"/>
      <c r="DF518" s="251" t="n"/>
      <c r="DG518" s="251" t="n"/>
      <c r="DH518" s="251" t="n"/>
      <c r="DI518" s="251" t="n"/>
      <c r="DJ518" s="251" t="n"/>
      <c r="DK518" s="251" t="n"/>
      <c r="DL518" s="95" t="n"/>
      <c r="DM518" s="251" t="inlineStr">
        <is>
          <t>M</t>
        </is>
      </c>
      <c r="DN518" s="95" t="n">
        <v>1</v>
      </c>
      <c r="DO518" s="95" t="n">
        <v>7</v>
      </c>
    </row>
    <row r="519" ht="13" customHeight="1">
      <c r="A519" s="203" t="inlineStr">
        <is>
          <t>MMA-13</t>
        </is>
      </c>
      <c r="B519" s="305" t="inlineStr">
        <is>
          <t>MMA-13 MICHINCHA</t>
        </is>
      </c>
      <c r="C519" s="251"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1" t="inlineStr">
        <is>
          <t>532MAMMA</t>
        </is>
      </c>
      <c r="BL519" s="7" t="inlineStr">
        <is>
          <t>GMAP-SIGA</t>
        </is>
      </c>
      <c r="BM519" s="251" t="inlineStr">
        <is>
          <t>NF</t>
        </is>
      </c>
      <c r="BN519" s="337" t="inlineStr">
        <is>
          <t>Michincha</t>
        </is>
      </c>
      <c r="BO519" s="251" t="inlineStr">
        <is>
          <t>SI</t>
        </is>
      </c>
      <c r="BP519" s="106" t="inlineStr">
        <is>
          <t>MMA-13 MICHINCHA/NF</t>
        </is>
      </c>
      <c r="BQ519" s="106">
        <f>VLOOKUP(BP519,[1]AGUA!$1:$1048576,2,FALSE)</f>
        <v/>
      </c>
      <c r="BR519" s="106">
        <f>VLOOKUP(BP519,[1]AGUA!$1:$1048576,6,FALSE)</f>
        <v/>
      </c>
      <c r="BS519" s="106">
        <f>VLOOKUP(BP519,[1]AGUA!$1:$1048576,7,FALSE)</f>
        <v/>
      </c>
      <c r="BT519" s="106" t="n"/>
      <c r="BU519" s="332" t="inlineStr">
        <is>
          <t>muestra mensual de 28 dias holdingtime</t>
        </is>
      </c>
      <c r="BV519" s="105" t="n"/>
      <c r="BW519" s="105" t="n"/>
      <c r="BX519" s="142" t="n">
        <v>1</v>
      </c>
      <c r="BY519" s="105" t="n"/>
      <c r="BZ519" s="105" t="n"/>
      <c r="CA519" s="105" t="n"/>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24">
        <f>+COUNTA(BV519:CY519)</f>
        <v/>
      </c>
      <c r="DA519" s="251" t="n"/>
      <c r="DB519" s="251" t="n"/>
      <c r="DC519" s="251" t="n"/>
      <c r="DD519" s="251" t="n"/>
      <c r="DE519" s="251" t="n"/>
      <c r="DF519" s="251" t="n"/>
      <c r="DG519" s="251" t="n"/>
      <c r="DH519" s="251" t="n"/>
      <c r="DI519" s="251" t="n"/>
      <c r="DJ519" s="251" t="inlineStr">
        <is>
          <t>M</t>
        </is>
      </c>
      <c r="DK519" s="251" t="n">
        <v>1</v>
      </c>
      <c r="DL519" s="95" t="n">
        <v>7</v>
      </c>
      <c r="DM519" s="251" t="n"/>
      <c r="DN519" s="95" t="n"/>
      <c r="DO519" s="95" t="n"/>
    </row>
    <row r="520" ht="13" customHeight="1">
      <c r="A520" s="203" t="inlineStr">
        <is>
          <t>MMA-13</t>
        </is>
      </c>
      <c r="B520" s="376" t="n"/>
      <c r="C520" s="376"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76" t="n"/>
      <c r="BL520" s="7" t="inlineStr">
        <is>
          <t>GMAP-SIGA</t>
        </is>
      </c>
      <c r="BM520" s="251" t="inlineStr">
        <is>
          <t>ASUB</t>
        </is>
      </c>
      <c r="BN520" s="337" t="inlineStr">
        <is>
          <t>Michincha</t>
        </is>
      </c>
      <c r="BO520" s="251" t="inlineStr">
        <is>
          <t>SI</t>
        </is>
      </c>
      <c r="BP520" s="106" t="inlineStr">
        <is>
          <t>MMA-13 MICHINCHA/ASUB</t>
        </is>
      </c>
      <c r="BQ520" s="106">
        <f>VLOOKUP(BP520,[1]AGUA!$1:$1048576,2,FALSE)</f>
        <v/>
      </c>
      <c r="BR520" s="106">
        <f>VLOOKUP(BP520,[1]AGUA!$1:$1048576,6,FALSE)</f>
        <v/>
      </c>
      <c r="BS520" s="106">
        <f>VLOOKUP(BP520,[1]AGUA!$1:$1048576,7,FALSE)</f>
        <v/>
      </c>
      <c r="BT520" s="106" t="n"/>
      <c r="BU520" s="377" t="n"/>
      <c r="BV520" s="105" t="n"/>
      <c r="BW520" s="105" t="n"/>
      <c r="BX520" s="107" t="n">
        <v>1</v>
      </c>
      <c r="BY520" s="105" t="n"/>
      <c r="BZ520" s="105" t="n"/>
      <c r="CA520" s="105" t="n"/>
      <c r="CB520" s="105"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24">
        <f>+COUNTA(BV520:CY520)</f>
        <v/>
      </c>
      <c r="DA520" s="251" t="n"/>
      <c r="DB520" s="251" t="n"/>
      <c r="DC520" s="251" t="n"/>
      <c r="DD520" s="251" t="n"/>
      <c r="DE520" s="251" t="n"/>
      <c r="DF520" s="251" t="n"/>
      <c r="DG520" s="251" t="n"/>
      <c r="DH520" s="251" t="n"/>
      <c r="DI520" s="251" t="n"/>
      <c r="DJ520" s="251" t="n"/>
      <c r="DK520" s="251" t="n"/>
      <c r="DL520" s="95" t="n"/>
      <c r="DM520" s="251" t="inlineStr">
        <is>
          <t>M</t>
        </is>
      </c>
      <c r="DN520" s="95" t="n">
        <v>1</v>
      </c>
      <c r="DO520" s="95" t="n">
        <v>7</v>
      </c>
    </row>
    <row r="521" ht="13" customHeight="1">
      <c r="A521" s="203" t="inlineStr">
        <is>
          <t>MMA-14</t>
        </is>
      </c>
      <c r="B521" s="305" t="inlineStr">
        <is>
          <t>MMA-14 MICHINCHA</t>
        </is>
      </c>
      <c r="C521" s="251"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1" t="inlineStr">
        <is>
          <t>532MAMMA</t>
        </is>
      </c>
      <c r="BL521" s="7" t="inlineStr">
        <is>
          <t>GMAP-SIGA</t>
        </is>
      </c>
      <c r="BM521" s="251" t="inlineStr">
        <is>
          <t>NF</t>
        </is>
      </c>
      <c r="BN521" s="337" t="inlineStr">
        <is>
          <t>Michincha</t>
        </is>
      </c>
      <c r="BO521" s="251" t="inlineStr">
        <is>
          <t>SI</t>
        </is>
      </c>
      <c r="BP521" s="106" t="inlineStr">
        <is>
          <t>MMA-14 MICHINCHA/NF</t>
        </is>
      </c>
      <c r="BQ521" s="106">
        <f>VLOOKUP(BP521,[1]AGUA!$1:$1048576,2,FALSE)</f>
        <v/>
      </c>
      <c r="BR521" s="106">
        <f>VLOOKUP(BP521,[1]AGUA!$1:$1048576,6,FALSE)</f>
        <v/>
      </c>
      <c r="BS521" s="106">
        <f>VLOOKUP(BP521,[1]AGUA!$1:$1048576,7,FALSE)</f>
        <v/>
      </c>
      <c r="BT521" s="106" t="n"/>
      <c r="BU521" s="332" t="inlineStr">
        <is>
          <t>muestra mensual de 28 dias holdingtime</t>
        </is>
      </c>
      <c r="BV521" s="105" t="n"/>
      <c r="BW521" s="105" t="n"/>
      <c r="BX521" s="142" t="n">
        <v>1</v>
      </c>
      <c r="BY521" s="105" t="n"/>
      <c r="BZ521" s="105" t="n"/>
      <c r="CA521" s="105" t="n"/>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24">
        <f>+COUNTA(BV521:CY521)</f>
        <v/>
      </c>
      <c r="DA521" s="251" t="n"/>
      <c r="DB521" s="251" t="n"/>
      <c r="DC521" s="251" t="n"/>
      <c r="DD521" s="251" t="n"/>
      <c r="DE521" s="251" t="n"/>
      <c r="DF521" s="251" t="n"/>
      <c r="DG521" s="251" t="n"/>
      <c r="DH521" s="251" t="n"/>
      <c r="DI521" s="251" t="n"/>
      <c r="DJ521" s="251" t="inlineStr">
        <is>
          <t>M</t>
        </is>
      </c>
      <c r="DK521" s="251" t="n">
        <v>1</v>
      </c>
      <c r="DL521" s="95" t="n">
        <v>7</v>
      </c>
      <c r="DM521" s="251" t="n"/>
      <c r="DN521" s="95" t="n"/>
      <c r="DO521" s="95" t="n"/>
    </row>
    <row r="522" ht="13" customHeight="1">
      <c r="A522" s="203" t="inlineStr">
        <is>
          <t>MMA-14</t>
        </is>
      </c>
      <c r="B522" s="376" t="n"/>
      <c r="C522" s="376"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76" t="n"/>
      <c r="BL522" s="7" t="inlineStr">
        <is>
          <t>GMAP-SIGA</t>
        </is>
      </c>
      <c r="BM522" s="251" t="inlineStr">
        <is>
          <t>ASUB</t>
        </is>
      </c>
      <c r="BN522" s="337" t="inlineStr">
        <is>
          <t>Michincha</t>
        </is>
      </c>
      <c r="BO522" s="251" t="inlineStr">
        <is>
          <t>SI</t>
        </is>
      </c>
      <c r="BP522" s="106" t="inlineStr">
        <is>
          <t>MMA-14 MICHINCHA/ASUB</t>
        </is>
      </c>
      <c r="BQ522" s="106">
        <f>VLOOKUP(BP522,[1]AGUA!$1:$1048576,2,FALSE)</f>
        <v/>
      </c>
      <c r="BR522" s="106">
        <f>VLOOKUP(BP522,[1]AGUA!$1:$1048576,6,FALSE)</f>
        <v/>
      </c>
      <c r="BS522" s="106">
        <f>VLOOKUP(BP522,[1]AGUA!$1:$1048576,7,FALSE)</f>
        <v/>
      </c>
      <c r="BT522" s="106" t="n"/>
      <c r="BU522" s="377" t="n"/>
      <c r="BV522" s="105" t="n"/>
      <c r="BW522" s="105" t="n"/>
      <c r="BX522" s="107" t="n">
        <v>1</v>
      </c>
      <c r="BY522" s="105" t="n"/>
      <c r="BZ522" s="105" t="n"/>
      <c r="CA522" s="105" t="n"/>
      <c r="CB522" s="105"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24">
        <f>+COUNTA(BV522:CY522)</f>
        <v/>
      </c>
      <c r="DA522" s="251" t="n"/>
      <c r="DB522" s="251" t="n"/>
      <c r="DC522" s="251" t="n"/>
      <c r="DD522" s="251" t="n"/>
      <c r="DE522" s="251" t="n"/>
      <c r="DF522" s="251" t="n"/>
      <c r="DG522" s="251" t="n"/>
      <c r="DH522" s="251" t="n"/>
      <c r="DI522" s="251" t="n"/>
      <c r="DJ522" s="251" t="n"/>
      <c r="DK522" s="251" t="n"/>
      <c r="DL522" s="95" t="n"/>
      <c r="DM522" s="251" t="inlineStr">
        <is>
          <t>M</t>
        </is>
      </c>
      <c r="DN522" s="95" t="n">
        <v>1</v>
      </c>
      <c r="DO522" s="95" t="n">
        <v>7</v>
      </c>
    </row>
    <row r="523" ht="13" customHeight="1">
      <c r="A523" s="203" t="inlineStr">
        <is>
          <t>MP-01A</t>
        </is>
      </c>
      <c r="B523" s="305" t="n"/>
      <c r="C523" s="251"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1" t="n"/>
      <c r="BL523" s="7" t="inlineStr">
        <is>
          <t>GMAP-SIGA</t>
        </is>
      </c>
      <c r="BM523" s="251" t="inlineStr">
        <is>
          <t>NF</t>
        </is>
      </c>
      <c r="BN523" s="337" t="inlineStr">
        <is>
          <t>Tranque</t>
        </is>
      </c>
      <c r="BO523" s="251" t="inlineStr">
        <is>
          <t>SI PAT TRANQUE</t>
        </is>
      </c>
      <c r="BP523" s="106" t="inlineStr">
        <is>
          <t>MP-01A/NF</t>
        </is>
      </c>
      <c r="BQ523" s="106">
        <f>VLOOKUP(BP523,[1]AGUA!$1:$1048576,2,FALSE)</f>
        <v/>
      </c>
      <c r="BR523" s="106">
        <f>VLOOKUP(BP523,[1]AGUA!$1:$1048576,6,FALSE)</f>
        <v/>
      </c>
      <c r="BS523" s="106">
        <f>VLOOKUP(BP523,[1]AGUA!$1:$1048576,7,FALSE)</f>
        <v/>
      </c>
      <c r="BT523" s="106" t="n"/>
      <c r="BU523" s="332" t="n"/>
      <c r="BV523" s="105" t="n"/>
      <c r="BW523" s="142" t="n">
        <v>1</v>
      </c>
      <c r="BX523" s="105" t="n"/>
      <c r="BY523" s="105" t="n"/>
      <c r="BZ523" s="105" t="n"/>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24">
        <f>+COUNTA(BW523:CY523)</f>
        <v/>
      </c>
      <c r="DA523" s="251" t="n"/>
      <c r="DB523" s="251" t="n"/>
      <c r="DC523" s="251" t="n"/>
      <c r="DD523" s="251" t="n"/>
      <c r="DE523" s="251" t="n"/>
      <c r="DF523" s="251" t="n"/>
      <c r="DG523" s="251" t="n"/>
      <c r="DH523" s="251" t="n"/>
      <c r="DI523" s="251" t="n"/>
      <c r="DJ523" s="251" t="inlineStr">
        <is>
          <t>M</t>
        </is>
      </c>
      <c r="DK523" s="251" t="n">
        <v>1</v>
      </c>
      <c r="DL523" s="95" t="n">
        <v>14</v>
      </c>
      <c r="DM523" s="251" t="n"/>
      <c r="DN523" s="95" t="n"/>
      <c r="DO523" s="95" t="n"/>
    </row>
    <row r="524" ht="13" customHeight="1">
      <c r="A524" s="203" t="inlineStr">
        <is>
          <t>MP-01A</t>
        </is>
      </c>
      <c r="B524" s="305" t="n"/>
      <c r="C524" s="251"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1" t="n"/>
      <c r="BL524" s="7" t="inlineStr">
        <is>
          <t>GMAP-SIGA</t>
        </is>
      </c>
      <c r="BM524" s="251" t="inlineStr">
        <is>
          <t>NF</t>
        </is>
      </c>
      <c r="BN524" s="337" t="inlineStr">
        <is>
          <t>tranque</t>
        </is>
      </c>
      <c r="BO524" s="251" t="inlineStr">
        <is>
          <t>SI PAT TRANQUE</t>
        </is>
      </c>
      <c r="BP524" s="106" t="inlineStr">
        <is>
          <t>MP-01A/ASUB</t>
        </is>
      </c>
      <c r="BQ524" s="106">
        <f>VLOOKUP(BP524,[1]AGUA!$1:$1048576,2,FALSE)</f>
        <v/>
      </c>
      <c r="BR524" s="106">
        <f>VLOOKUP(BP524,[1]AGUA!$1:$1048576,6,FALSE)</f>
        <v/>
      </c>
      <c r="BS524" s="106">
        <f>VLOOKUP(BP524,[1]AGUA!$1:$1048576,7,FALSE)</f>
        <v/>
      </c>
      <c r="BT524" s="106" t="n"/>
      <c r="BU524" s="332" t="n"/>
      <c r="BV524" s="105" t="n"/>
      <c r="BW524" s="107" t="n">
        <v>1</v>
      </c>
      <c r="BX524" s="105" t="n"/>
      <c r="BY524" s="105" t="n"/>
      <c r="BZ524" s="105" t="n"/>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24">
        <f>+COUNTA(BW524:CY524)</f>
        <v/>
      </c>
      <c r="DA524" s="251" t="n"/>
      <c r="DB524" s="251" t="n"/>
      <c r="DC524" s="251" t="n"/>
      <c r="DD524" s="251" t="n"/>
      <c r="DE524" s="251" t="n"/>
      <c r="DF524" s="251" t="n"/>
      <c r="DG524" s="251" t="n"/>
      <c r="DH524" s="251" t="n"/>
      <c r="DI524" s="251" t="n"/>
      <c r="DJ524" s="251" t="n"/>
      <c r="DK524" s="251" t="n"/>
      <c r="DL524" s="95" t="n"/>
      <c r="DM524" s="251" t="inlineStr">
        <is>
          <t>M</t>
        </is>
      </c>
      <c r="DN524" s="251" t="n">
        <v>1</v>
      </c>
      <c r="DO524" s="95" t="n">
        <v>14</v>
      </c>
    </row>
    <row r="525" ht="13" customHeight="1">
      <c r="A525" s="203" t="inlineStr">
        <is>
          <t>MP-01B</t>
        </is>
      </c>
      <c r="B525" s="305" t="n"/>
      <c r="C525" s="251"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1" t="n"/>
      <c r="BL525" s="7" t="inlineStr">
        <is>
          <t>GMAP-SIGA</t>
        </is>
      </c>
      <c r="BM525" s="251" t="inlineStr">
        <is>
          <t>NF</t>
        </is>
      </c>
      <c r="BN525" s="337" t="inlineStr">
        <is>
          <t>tranque</t>
        </is>
      </c>
      <c r="BO525" s="251" t="inlineStr">
        <is>
          <t>SI PAT TRANQUE</t>
        </is>
      </c>
      <c r="BP525" s="106" t="inlineStr">
        <is>
          <t>MP-01B/NF</t>
        </is>
      </c>
      <c r="BQ525" s="106">
        <f>VLOOKUP(BP525,[1]AGUA!$1:$1048576,2,FALSE)</f>
        <v/>
      </c>
      <c r="BR525" s="106">
        <f>VLOOKUP(BP525,[1]AGUA!$1:$1048576,6,FALSE)</f>
        <v/>
      </c>
      <c r="BS525" s="106">
        <f>VLOOKUP(BP525,[1]AGUA!$1:$1048576,7,FALSE)</f>
        <v/>
      </c>
      <c r="BT525" s="106" t="n"/>
      <c r="BU525" s="332" t="n"/>
      <c r="BV525" s="105" t="n"/>
      <c r="BW525" s="142" t="n">
        <v>1</v>
      </c>
      <c r="BX525" s="105" t="n"/>
      <c r="BY525" s="105" t="n"/>
      <c r="BZ525" s="105" t="n"/>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24">
        <f>+COUNTA(BW525:CY525)</f>
        <v/>
      </c>
      <c r="DA525" s="251" t="n"/>
      <c r="DB525" s="251" t="n"/>
      <c r="DC525" s="251" t="n"/>
      <c r="DD525" s="251" t="n"/>
      <c r="DE525" s="251" t="n"/>
      <c r="DF525" s="251" t="n"/>
      <c r="DG525" s="251" t="n"/>
      <c r="DH525" s="251" t="n"/>
      <c r="DI525" s="251" t="n"/>
      <c r="DJ525" s="251" t="inlineStr">
        <is>
          <t>M</t>
        </is>
      </c>
      <c r="DK525" s="251" t="n">
        <v>1</v>
      </c>
      <c r="DL525" s="95" t="n">
        <v>14</v>
      </c>
      <c r="DM525" s="251" t="n"/>
      <c r="DN525" s="95" t="n"/>
      <c r="DO525" s="95" t="n"/>
    </row>
    <row r="526" ht="13" customHeight="1">
      <c r="A526" s="203" t="inlineStr">
        <is>
          <t>MP-01B</t>
        </is>
      </c>
      <c r="B526" s="305" t="n"/>
      <c r="C526" s="251"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1" t="n"/>
      <c r="BL526" s="7" t="inlineStr">
        <is>
          <t>GMAP-SIGA</t>
        </is>
      </c>
      <c r="BM526" s="251" t="inlineStr">
        <is>
          <t>ASUB</t>
        </is>
      </c>
      <c r="BN526" s="337" t="inlineStr">
        <is>
          <t>tranque</t>
        </is>
      </c>
      <c r="BO526" s="251" t="inlineStr">
        <is>
          <t>SI PAT TRANQUE</t>
        </is>
      </c>
      <c r="BP526" s="106" t="inlineStr">
        <is>
          <t>MP-01B/ASUB</t>
        </is>
      </c>
      <c r="BQ526" s="106">
        <f>VLOOKUP(BP526,[1]AGUA!$1:$1048576,2,FALSE)</f>
        <v/>
      </c>
      <c r="BR526" s="106">
        <f>VLOOKUP(BP526,[1]AGUA!$1:$1048576,6,FALSE)</f>
        <v/>
      </c>
      <c r="BS526" s="106">
        <f>VLOOKUP(BP526,[1]AGUA!$1:$1048576,7,FALSE)</f>
        <v/>
      </c>
      <c r="BT526" s="106" t="n"/>
      <c r="BU526" s="332" t="n"/>
      <c r="BV526" s="105" t="n"/>
      <c r="BW526" s="107" t="n">
        <v>1</v>
      </c>
      <c r="BX526" s="105" t="n"/>
      <c r="BY526" s="105" t="n"/>
      <c r="BZ526" s="105" t="n"/>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24">
        <f>+COUNTA(BW526:CY526)</f>
        <v/>
      </c>
      <c r="DA526" s="251" t="n"/>
      <c r="DB526" s="251" t="n"/>
      <c r="DC526" s="251" t="n"/>
      <c r="DD526" s="251" t="n"/>
      <c r="DE526" s="251" t="n"/>
      <c r="DF526" s="251" t="n"/>
      <c r="DG526" s="251" t="n"/>
      <c r="DH526" s="251" t="n"/>
      <c r="DI526" s="251" t="n"/>
      <c r="DJ526" s="251" t="n"/>
      <c r="DK526" s="251" t="n"/>
      <c r="DL526" s="95" t="n"/>
      <c r="DM526" s="251" t="inlineStr">
        <is>
          <t>M</t>
        </is>
      </c>
      <c r="DN526" s="251" t="n">
        <v>1</v>
      </c>
      <c r="DO526" s="95" t="n">
        <v>14</v>
      </c>
    </row>
    <row r="527" ht="14.15" customHeight="1">
      <c r="A527" s="203" t="inlineStr">
        <is>
          <t>MP-01C</t>
        </is>
      </c>
      <c r="B527" s="305"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1" t="n"/>
      <c r="BL527" s="61" t="inlineStr">
        <is>
          <t>GMAP-SIGA</t>
        </is>
      </c>
      <c r="BM527" s="251" t="inlineStr">
        <is>
          <t>NF</t>
        </is>
      </c>
      <c r="BN527" s="337" t="inlineStr">
        <is>
          <t>tranque</t>
        </is>
      </c>
      <c r="BO527" s="251" t="inlineStr">
        <is>
          <t>SI PAT TRANQUE</t>
        </is>
      </c>
      <c r="BP527" s="337" t="inlineStr">
        <is>
          <t>MP-1C/NF</t>
        </is>
      </c>
      <c r="BQ527" s="106">
        <f>VLOOKUP(BP527,[1]AGUA!$1:$1048576,2,FALSE)</f>
        <v/>
      </c>
      <c r="BR527" s="106">
        <f>VLOOKUP(BP527,[1]AGUA!$1:$1048576,6,FALSE)</f>
        <v/>
      </c>
      <c r="BS527" s="106">
        <f>VLOOKUP(BP527,[1]AGUA!$1:$1048576,7,FALSE)</f>
        <v/>
      </c>
      <c r="BT527" s="106" t="n"/>
      <c r="BU527" s="101" t="n"/>
      <c r="BV527" s="105" t="n"/>
      <c r="BW527" s="142" t="n">
        <v>1</v>
      </c>
      <c r="BX527" s="105" t="n"/>
      <c r="BY527" s="105" t="n"/>
      <c r="BZ527" s="105" t="n"/>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24">
        <f>+COUNTA(BW527:CY527)</f>
        <v/>
      </c>
      <c r="DA527" s="251" t="n"/>
      <c r="DB527" s="251" t="n"/>
      <c r="DC527" s="251" t="n"/>
      <c r="DD527" s="251" t="n"/>
      <c r="DE527" s="251" t="n"/>
      <c r="DF527" s="251" t="n"/>
      <c r="DG527" s="251" t="n"/>
      <c r="DH527" s="251" t="n"/>
      <c r="DI527" s="251" t="n"/>
      <c r="DJ527" s="251" t="inlineStr">
        <is>
          <t>M</t>
        </is>
      </c>
      <c r="DK527" s="251" t="n">
        <v>1</v>
      </c>
      <c r="DL527" s="95" t="n">
        <v>14</v>
      </c>
      <c r="DM527" s="251" t="n"/>
      <c r="DN527" s="95" t="n"/>
      <c r="DO527" s="95" t="n"/>
    </row>
    <row r="528" ht="13" customHeight="1">
      <c r="A528" s="203" t="inlineStr">
        <is>
          <t>MP-01C</t>
        </is>
      </c>
      <c r="B528" s="305"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1" t="n"/>
      <c r="BL528" s="61" t="inlineStr">
        <is>
          <t>GMAP-SIGA</t>
        </is>
      </c>
      <c r="BM528" s="251" t="inlineStr">
        <is>
          <t>ASUB</t>
        </is>
      </c>
      <c r="BN528" s="337" t="inlineStr">
        <is>
          <t>Tranque</t>
        </is>
      </c>
      <c r="BO528" s="251" t="inlineStr">
        <is>
          <t>SI PAT TRANQUE</t>
        </is>
      </c>
      <c r="BP528" s="251" t="inlineStr">
        <is>
          <t>MP-1C/ASUB</t>
        </is>
      </c>
      <c r="BQ528" s="106">
        <f>VLOOKUP(BP528,[1]AGUA!$1:$1048576,2,FALSE)</f>
        <v/>
      </c>
      <c r="BR528" s="106">
        <f>VLOOKUP(BP528,[1]AGUA!$1:$1048576,6,FALSE)</f>
        <v/>
      </c>
      <c r="BS528" s="106">
        <f>VLOOKUP(BP528,[1]AGUA!$1:$1048576,7,FALSE)</f>
        <v/>
      </c>
      <c r="BT528" s="106" t="n"/>
      <c r="BU528" s="101" t="n"/>
      <c r="BV528" s="105" t="n"/>
      <c r="BW528" s="107" t="n">
        <v>1</v>
      </c>
      <c r="BX528" s="105" t="n"/>
      <c r="BY528" s="105" t="n"/>
      <c r="BZ528" s="105" t="n"/>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24">
        <f>+COUNTA(BW528:CY528)</f>
        <v/>
      </c>
      <c r="DA528" s="251" t="n"/>
      <c r="DB528" s="251" t="n"/>
      <c r="DC528" s="251" t="n"/>
      <c r="DD528" s="251" t="n"/>
      <c r="DE528" s="251" t="n"/>
      <c r="DF528" s="251" t="n"/>
      <c r="DG528" s="251" t="n"/>
      <c r="DH528" s="251" t="n"/>
      <c r="DI528" s="251" t="n"/>
      <c r="DJ528" s="251" t="n"/>
      <c r="DK528" s="251" t="n"/>
      <c r="DL528" s="95" t="n"/>
      <c r="DM528" s="251" t="inlineStr">
        <is>
          <t>M</t>
        </is>
      </c>
      <c r="DN528" s="251" t="n">
        <v>1</v>
      </c>
      <c r="DO528" s="95" t="n">
        <v>14</v>
      </c>
    </row>
    <row r="529" ht="13" customHeight="1">
      <c r="A529" s="203" t="inlineStr">
        <is>
          <t>MP-02A</t>
        </is>
      </c>
      <c r="B529" s="305"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1" t="n"/>
      <c r="BL529" s="61" t="inlineStr">
        <is>
          <t>GMAP-SIGA</t>
        </is>
      </c>
      <c r="BM529" s="251" t="inlineStr">
        <is>
          <t>NF</t>
        </is>
      </c>
      <c r="BN529" s="337" t="inlineStr">
        <is>
          <t>Tranque</t>
        </is>
      </c>
      <c r="BO529" s="251" t="inlineStr">
        <is>
          <t>SI PAT TRANQUE</t>
        </is>
      </c>
      <c r="BP529" s="251" t="inlineStr">
        <is>
          <t>MP-02A/NF</t>
        </is>
      </c>
      <c r="BQ529" s="106">
        <f>VLOOKUP(BP529,[1]AGUA!$1:$1048576,2,FALSE)</f>
        <v/>
      </c>
      <c r="BR529" s="106">
        <f>VLOOKUP(BP529,[1]AGUA!$1:$1048576,6,FALSE)</f>
        <v/>
      </c>
      <c r="BS529" s="106">
        <f>VLOOKUP(BP529,[1]AGUA!$1:$1048576,7,FALSE)</f>
        <v/>
      </c>
      <c r="BT529" s="106" t="n"/>
      <c r="BU529" s="101" t="n"/>
      <c r="BV529" s="105" t="n"/>
      <c r="BW529" s="142" t="n">
        <v>1</v>
      </c>
      <c r="BX529" s="105" t="n"/>
      <c r="BY529" s="105" t="n"/>
      <c r="BZ529" s="105" t="n"/>
      <c r="CA529" s="105" t="n"/>
      <c r="CB529" s="105" t="n"/>
      <c r="CC529" s="105" t="n"/>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24">
        <f>+COUNTA(BV529:CY529)</f>
        <v/>
      </c>
      <c r="DA529" s="251" t="n"/>
      <c r="DB529" s="251" t="n"/>
      <c r="DC529" s="251" t="n"/>
      <c r="DD529" s="207" t="n"/>
      <c r="DE529" s="251" t="n"/>
      <c r="DF529" s="251" t="n"/>
      <c r="DG529" s="251" t="n"/>
      <c r="DH529" s="251" t="n"/>
      <c r="DI529" s="251" t="n"/>
      <c r="DJ529" s="251" t="inlineStr">
        <is>
          <t>M</t>
        </is>
      </c>
      <c r="DK529" s="251" t="n">
        <v>1</v>
      </c>
      <c r="DL529" s="95" t="n">
        <v>14</v>
      </c>
      <c r="DM529" s="251" t="n"/>
      <c r="DN529" s="95" t="n"/>
      <c r="DO529" s="95" t="n"/>
    </row>
    <row r="530" ht="13" customHeight="1">
      <c r="A530" s="203" t="inlineStr">
        <is>
          <t>MP-02A</t>
        </is>
      </c>
      <c r="B530" s="305"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1" t="n"/>
      <c r="BL530" s="61" t="inlineStr">
        <is>
          <t>GMAP-SIGA</t>
        </is>
      </c>
      <c r="BM530" s="251" t="inlineStr">
        <is>
          <t>ASUB</t>
        </is>
      </c>
      <c r="BN530" s="337" t="inlineStr">
        <is>
          <t>Tranque</t>
        </is>
      </c>
      <c r="BO530" s="251" t="inlineStr">
        <is>
          <t>SI PAT TRANQUE</t>
        </is>
      </c>
      <c r="BP530" s="251" t="inlineStr">
        <is>
          <t>MP-02A/ASUB</t>
        </is>
      </c>
      <c r="BQ530" s="106">
        <f>VLOOKUP(BP530,[1]AGUA!$1:$1048576,2,FALSE)</f>
        <v/>
      </c>
      <c r="BR530" s="106">
        <f>VLOOKUP(BP530,[1]AGUA!$1:$1048576,6,FALSE)</f>
        <v/>
      </c>
      <c r="BS530" s="106">
        <f>VLOOKUP(BP530,[1]AGUA!$1:$1048576,7,FALSE)</f>
        <v/>
      </c>
      <c r="BT530" s="106" t="n"/>
      <c r="BU530" s="101" t="n"/>
      <c r="BV530" s="105" t="n"/>
      <c r="BW530" s="107" t="n">
        <v>1</v>
      </c>
      <c r="BX530" s="105" t="n"/>
      <c r="BY530" s="105" t="n"/>
      <c r="BZ530" s="105" t="n"/>
      <c r="CA530" s="105" t="n"/>
      <c r="CB530" s="105" t="n"/>
      <c r="CC530" s="105" t="n"/>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24">
        <f>+COUNTA(BV530:CY530)</f>
        <v/>
      </c>
      <c r="DA530" s="251" t="n"/>
      <c r="DB530" s="251" t="n"/>
      <c r="DC530" s="251" t="n"/>
      <c r="DD530" s="207" t="n"/>
      <c r="DE530" s="251" t="n"/>
      <c r="DF530" s="251" t="n"/>
      <c r="DG530" s="251" t="n"/>
      <c r="DH530" s="251" t="n"/>
      <c r="DI530" s="251" t="n"/>
      <c r="DJ530" s="251" t="n"/>
      <c r="DK530" s="251" t="n"/>
      <c r="DL530" s="95" t="n"/>
      <c r="DM530" s="251" t="inlineStr">
        <is>
          <t>M</t>
        </is>
      </c>
      <c r="DN530" s="251" t="n">
        <v>1</v>
      </c>
      <c r="DO530" s="95" t="n">
        <v>14</v>
      </c>
    </row>
    <row r="531" ht="13" customHeight="1">
      <c r="A531" s="203" t="inlineStr">
        <is>
          <t>MP-02B</t>
        </is>
      </c>
      <c r="B531" s="305"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1" t="n"/>
      <c r="BL531" s="61" t="inlineStr">
        <is>
          <t>GMAP-SIGA</t>
        </is>
      </c>
      <c r="BM531" s="251" t="inlineStr">
        <is>
          <t>NF</t>
        </is>
      </c>
      <c r="BN531" s="337" t="inlineStr">
        <is>
          <t>Tranque</t>
        </is>
      </c>
      <c r="BO531" s="251" t="inlineStr">
        <is>
          <t>SI PAT TRANQUE</t>
        </is>
      </c>
      <c r="BP531" s="251" t="inlineStr">
        <is>
          <t>MP-02B/NF</t>
        </is>
      </c>
      <c r="BQ531" s="106">
        <f>VLOOKUP(BP531,[1]AGUA!$1:$1048576,2,FALSE)</f>
        <v/>
      </c>
      <c r="BR531" s="106">
        <f>VLOOKUP(BP531,[1]AGUA!$1:$1048576,6,FALSE)</f>
        <v/>
      </c>
      <c r="BS531" s="106">
        <f>VLOOKUP(BP531,[1]AGUA!$1:$1048576,7,FALSE)</f>
        <v/>
      </c>
      <c r="BT531" s="106" t="n"/>
      <c r="BU531" s="101" t="n"/>
      <c r="BV531" s="105" t="n"/>
      <c r="BW531" s="142" t="n">
        <v>1</v>
      </c>
      <c r="BX531" s="105" t="n"/>
      <c r="BY531" s="105" t="n"/>
      <c r="BZ531" s="105" t="n"/>
      <c r="CA531" s="105" t="n"/>
      <c r="CB531" s="105" t="n"/>
      <c r="CC531" s="105" t="n"/>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24">
        <f>+COUNTA(BV531:CY531)</f>
        <v/>
      </c>
      <c r="DA531" s="251" t="n"/>
      <c r="DB531" s="251" t="n"/>
      <c r="DC531" s="251" t="n"/>
      <c r="DD531" s="207" t="n"/>
      <c r="DE531" s="251" t="n"/>
      <c r="DF531" s="251" t="n"/>
      <c r="DG531" s="251" t="n"/>
      <c r="DH531" s="251" t="n"/>
      <c r="DI531" s="251" t="n"/>
      <c r="DJ531" s="251" t="inlineStr">
        <is>
          <t>M</t>
        </is>
      </c>
      <c r="DK531" s="251" t="n">
        <v>1</v>
      </c>
      <c r="DL531" s="95" t="n">
        <v>14</v>
      </c>
      <c r="DM531" s="251" t="n"/>
      <c r="DN531" s="95" t="n"/>
      <c r="DO531" s="95" t="n"/>
    </row>
    <row r="532" ht="13" customHeight="1">
      <c r="A532" s="203" t="inlineStr">
        <is>
          <t>MP-02B</t>
        </is>
      </c>
      <c r="B532" s="305"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1" t="n"/>
      <c r="BL532" s="61" t="inlineStr">
        <is>
          <t>GMAP-SIGA</t>
        </is>
      </c>
      <c r="BM532" s="251" t="inlineStr">
        <is>
          <t>ASUB</t>
        </is>
      </c>
      <c r="BN532" s="337" t="inlineStr">
        <is>
          <t>Tranque</t>
        </is>
      </c>
      <c r="BO532" s="251" t="inlineStr">
        <is>
          <t>SI PAT TRANQUE</t>
        </is>
      </c>
      <c r="BP532" s="251" t="inlineStr">
        <is>
          <t>MP-02B/ASUB</t>
        </is>
      </c>
      <c r="BQ532" s="106">
        <f>VLOOKUP(BP532,[1]AGUA!$1:$1048576,2,FALSE)</f>
        <v/>
      </c>
      <c r="BR532" s="106">
        <f>VLOOKUP(BP532,[1]AGUA!$1:$1048576,6,FALSE)</f>
        <v/>
      </c>
      <c r="BS532" s="106">
        <f>VLOOKUP(BP532,[1]AGUA!$1:$1048576,7,FALSE)</f>
        <v/>
      </c>
      <c r="BT532" s="106" t="n"/>
      <c r="BU532" s="101" t="n"/>
      <c r="BV532" s="105" t="n"/>
      <c r="BW532" s="107" t="n">
        <v>1</v>
      </c>
      <c r="BX532" s="105" t="n"/>
      <c r="BY532" s="105" t="n"/>
      <c r="BZ532" s="105" t="n"/>
      <c r="CA532" s="105" t="n"/>
      <c r="CB532" s="105" t="n"/>
      <c r="CC532" s="105" t="n"/>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24">
        <f>+COUNTA(BV532:CY532)</f>
        <v/>
      </c>
      <c r="DA532" s="251" t="n"/>
      <c r="DB532" s="251" t="n"/>
      <c r="DC532" s="251" t="n"/>
      <c r="DD532" s="207" t="n"/>
      <c r="DE532" s="251" t="n"/>
      <c r="DF532" s="251" t="n"/>
      <c r="DG532" s="251" t="n"/>
      <c r="DH532" s="251" t="n"/>
      <c r="DI532" s="251" t="n"/>
      <c r="DJ532" s="251" t="n"/>
      <c r="DK532" s="251" t="n"/>
      <c r="DL532" s="95" t="n"/>
      <c r="DM532" s="251" t="inlineStr">
        <is>
          <t>M</t>
        </is>
      </c>
      <c r="DN532" s="251" t="n">
        <v>1</v>
      </c>
      <c r="DO532" s="95" t="n">
        <v>14</v>
      </c>
    </row>
    <row r="533" ht="13" customHeight="1">
      <c r="A533" s="203" t="inlineStr">
        <is>
          <t>MP-02C</t>
        </is>
      </c>
      <c r="B533" s="305"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1" t="n"/>
      <c r="BL533" s="61" t="inlineStr">
        <is>
          <t>GMAP-SIGA</t>
        </is>
      </c>
      <c r="BM533" s="251" t="inlineStr">
        <is>
          <t>NF</t>
        </is>
      </c>
      <c r="BN533" s="337" t="inlineStr">
        <is>
          <t>tranque</t>
        </is>
      </c>
      <c r="BO533" s="251" t="inlineStr">
        <is>
          <t>SI PAT TRANQUE</t>
        </is>
      </c>
      <c r="BP533" s="251" t="inlineStr">
        <is>
          <t>MP-02C/NF</t>
        </is>
      </c>
      <c r="BQ533" s="106">
        <f>VLOOKUP(BP533,[1]AGUA!$1:$1048576,2,FALSE)</f>
        <v/>
      </c>
      <c r="BR533" s="106">
        <f>VLOOKUP(BP533,[1]AGUA!$1:$1048576,6,FALSE)</f>
        <v/>
      </c>
      <c r="BS533" s="106">
        <f>VLOOKUP(BP533,[1]AGUA!$1:$1048576,7,FALSE)</f>
        <v/>
      </c>
      <c r="BT533" s="106" t="n"/>
      <c r="BU533" s="101" t="n"/>
      <c r="BV533" s="105" t="n"/>
      <c r="BW533" s="142" t="n">
        <v>1</v>
      </c>
      <c r="BX533" s="105" t="n"/>
      <c r="BY533" s="105" t="n"/>
      <c r="BZ533" s="105" t="n"/>
      <c r="CA533" s="105" t="n"/>
      <c r="CB533" s="105" t="n"/>
      <c r="CC533" s="105" t="n"/>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24">
        <f>+COUNTA(BV533:CY533)</f>
        <v/>
      </c>
      <c r="DA533" s="251" t="n"/>
      <c r="DB533" s="251" t="n"/>
      <c r="DC533" s="251" t="n"/>
      <c r="DD533" s="207" t="n"/>
      <c r="DE533" s="251" t="n"/>
      <c r="DF533" s="251" t="n"/>
      <c r="DG533" s="251" t="n"/>
      <c r="DH533" s="251" t="n"/>
      <c r="DI533" s="251" t="n"/>
      <c r="DJ533" s="251" t="n"/>
      <c r="DK533" s="251" t="n"/>
      <c r="DL533" s="95" t="n"/>
      <c r="DM533" s="251" t="n"/>
      <c r="DN533" s="251" t="n"/>
      <c r="DO533" s="95" t="n"/>
    </row>
    <row r="534" ht="13" customHeight="1">
      <c r="A534" s="203" t="inlineStr">
        <is>
          <t>MP-02C</t>
        </is>
      </c>
      <c r="B534" s="305"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1" t="n"/>
      <c r="BL534" s="61" t="inlineStr">
        <is>
          <t>GMAP-SIGA</t>
        </is>
      </c>
      <c r="BM534" s="251" t="inlineStr">
        <is>
          <t>ASUB</t>
        </is>
      </c>
      <c r="BN534" s="337" t="inlineStr">
        <is>
          <t>tranque</t>
        </is>
      </c>
      <c r="BO534" s="251" t="inlineStr">
        <is>
          <t>SI PAT TRANQUE</t>
        </is>
      </c>
      <c r="BP534" s="251" t="inlineStr">
        <is>
          <t>MP-02C/ASUB</t>
        </is>
      </c>
      <c r="BQ534" s="106">
        <f>VLOOKUP(BP534,[1]AGUA!$1:$1048576,2,FALSE)</f>
        <v/>
      </c>
      <c r="BR534" s="106">
        <f>VLOOKUP(BP534,[1]AGUA!$1:$1048576,6,FALSE)</f>
        <v/>
      </c>
      <c r="BS534" s="106">
        <f>VLOOKUP(BP534,[1]AGUA!$1:$1048576,7,FALSE)</f>
        <v/>
      </c>
      <c r="BT534" s="106" t="n"/>
      <c r="BU534" s="101" t="n"/>
      <c r="BV534" s="105" t="n"/>
      <c r="BW534" s="107" t="n">
        <v>1</v>
      </c>
      <c r="BX534" s="105" t="n"/>
      <c r="BY534" s="105" t="n"/>
      <c r="BZ534" s="105" t="n"/>
      <c r="CA534" s="105" t="n"/>
      <c r="CB534" s="105" t="n"/>
      <c r="CC534" s="105" t="n"/>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24">
        <f>+COUNTA(BV534:CY534)</f>
        <v/>
      </c>
      <c r="DA534" s="251" t="n"/>
      <c r="DB534" s="251" t="n"/>
      <c r="DC534" s="251" t="n"/>
      <c r="DD534" s="207" t="n"/>
      <c r="DE534" s="251" t="n"/>
      <c r="DF534" s="251" t="n"/>
      <c r="DG534" s="251" t="n"/>
      <c r="DH534" s="251" t="n"/>
      <c r="DI534" s="251" t="n"/>
      <c r="DJ534" s="251" t="n"/>
      <c r="DK534" s="251" t="n"/>
      <c r="DL534" s="95" t="n"/>
      <c r="DM534" s="251" t="n"/>
      <c r="DN534" s="251" t="n"/>
      <c r="DO534" s="95" t="n"/>
    </row>
    <row r="535" ht="13.5" customHeight="1">
      <c r="A535" s="203" t="inlineStr">
        <is>
          <t>MP-03A</t>
        </is>
      </c>
      <c r="B535" s="305"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1" t="n"/>
      <c r="BL535" s="61" t="inlineStr">
        <is>
          <t>GMAP-SIGA</t>
        </is>
      </c>
      <c r="BM535" s="251" t="inlineStr">
        <is>
          <t>NF</t>
        </is>
      </c>
      <c r="BN535" s="337" t="inlineStr">
        <is>
          <t>Tranque</t>
        </is>
      </c>
      <c r="BO535" s="251" t="inlineStr">
        <is>
          <t>SI PAT TRANQUE</t>
        </is>
      </c>
      <c r="BP535" s="251" t="inlineStr">
        <is>
          <t>MP-3A/NF</t>
        </is>
      </c>
      <c r="BQ535" s="106">
        <f>VLOOKUP(BP535,[1]AGUA!$1:$1048576,2,FALSE)</f>
        <v/>
      </c>
      <c r="BR535" s="106">
        <f>VLOOKUP(BP535,[1]AGUA!$1:$1048576,6,FALSE)</f>
        <v/>
      </c>
      <c r="BS535" s="106">
        <f>VLOOKUP(BP535,[1]AGUA!$1:$1048576,7,FALSE)</f>
        <v/>
      </c>
      <c r="BT535" s="106" t="n"/>
      <c r="BU535" s="101" t="n"/>
      <c r="BV535" s="105" t="n"/>
      <c r="BW535" s="142" t="n">
        <v>1</v>
      </c>
      <c r="BX535" s="105" t="n"/>
      <c r="BY535" s="105" t="n"/>
      <c r="BZ535" s="105" t="n"/>
      <c r="CA535" s="105" t="n"/>
      <c r="CB535" s="105" t="n"/>
      <c r="CC535" s="105" t="n"/>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24">
        <f>+COUNTA(BV535:CY535)</f>
        <v/>
      </c>
      <c r="DA535" s="251" t="n"/>
      <c r="DB535" s="251" t="n"/>
      <c r="DC535" s="251" t="n"/>
      <c r="DD535" s="207" t="n"/>
      <c r="DE535" s="251" t="n"/>
      <c r="DF535" s="251" t="n"/>
      <c r="DG535" s="251" t="n"/>
      <c r="DH535" s="251" t="n"/>
      <c r="DI535" s="251" t="n"/>
      <c r="DJ535" s="251" t="inlineStr">
        <is>
          <t>M</t>
        </is>
      </c>
      <c r="DK535" s="251" t="n">
        <v>1</v>
      </c>
      <c r="DL535" s="95" t="n">
        <v>14</v>
      </c>
      <c r="DM535" s="251" t="n"/>
      <c r="DN535" s="95" t="n"/>
      <c r="DO535" s="95" t="n"/>
    </row>
    <row r="536" ht="13" customHeight="1">
      <c r="A536" s="203" t="inlineStr">
        <is>
          <t>MP-03A</t>
        </is>
      </c>
      <c r="B536" s="305"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1" t="n"/>
      <c r="BL536" s="61" t="inlineStr">
        <is>
          <t>GMAP-SIGA</t>
        </is>
      </c>
      <c r="BM536" s="251" t="inlineStr">
        <is>
          <t>ASUB</t>
        </is>
      </c>
      <c r="BN536" s="337" t="inlineStr">
        <is>
          <t>Tranque</t>
        </is>
      </c>
      <c r="BO536" s="251" t="inlineStr">
        <is>
          <t>SI PAT TRANQUE</t>
        </is>
      </c>
      <c r="BP536" s="251" t="inlineStr">
        <is>
          <t>MP-3A/ASUB</t>
        </is>
      </c>
      <c r="BQ536" s="106">
        <f>VLOOKUP(BP536,[1]AGUA!$1:$1048576,2,FALSE)</f>
        <v/>
      </c>
      <c r="BR536" s="106">
        <f>VLOOKUP(BP536,[1]AGUA!$1:$1048576,6,FALSE)</f>
        <v/>
      </c>
      <c r="BS536" s="106">
        <f>VLOOKUP(BP536,[1]AGUA!$1:$1048576,7,FALSE)</f>
        <v/>
      </c>
      <c r="BT536" s="106" t="n"/>
      <c r="BU536" s="101" t="n"/>
      <c r="BV536" s="105" t="n"/>
      <c r="BW536" s="107" t="n">
        <v>1</v>
      </c>
      <c r="BX536" s="105" t="n"/>
      <c r="BY536" s="105" t="n"/>
      <c r="BZ536" s="105" t="n"/>
      <c r="CA536" s="105" t="n"/>
      <c r="CB536" s="105" t="n"/>
      <c r="CC536" s="105" t="n"/>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24">
        <f>+COUNTA(BV536:CY536)</f>
        <v/>
      </c>
      <c r="DA536" s="251" t="n"/>
      <c r="DB536" s="251" t="n"/>
      <c r="DC536" s="251" t="n"/>
      <c r="DD536" s="207" t="n"/>
      <c r="DE536" s="251" t="n"/>
      <c r="DF536" s="251" t="n"/>
      <c r="DG536" s="251" t="n"/>
      <c r="DH536" s="251" t="n"/>
      <c r="DI536" s="251" t="n"/>
      <c r="DJ536" s="251" t="n"/>
      <c r="DK536" s="251" t="n"/>
      <c r="DL536" s="95" t="n"/>
      <c r="DM536" s="251" t="inlineStr">
        <is>
          <t>M</t>
        </is>
      </c>
      <c r="DN536" s="251" t="n">
        <v>1</v>
      </c>
      <c r="DO536" s="95" t="n">
        <v>14</v>
      </c>
    </row>
    <row r="537" ht="13" customHeight="1">
      <c r="A537" s="203" t="inlineStr">
        <is>
          <t>MP-03B</t>
        </is>
      </c>
      <c r="B537" s="305"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1" t="n"/>
      <c r="BL537" s="61" t="inlineStr">
        <is>
          <t>GMAP-SIGA</t>
        </is>
      </c>
      <c r="BM537" s="251" t="inlineStr">
        <is>
          <t>NF</t>
        </is>
      </c>
      <c r="BN537" s="337" t="inlineStr">
        <is>
          <t>Tranque</t>
        </is>
      </c>
      <c r="BO537" s="251" t="inlineStr">
        <is>
          <t>SI PAT TRANQUE</t>
        </is>
      </c>
      <c r="BP537" s="251" t="inlineStr">
        <is>
          <t>MP-3B/NF</t>
        </is>
      </c>
      <c r="BQ537" s="106">
        <f>VLOOKUP(BP537,[1]AGUA!$1:$1048576,2,FALSE)</f>
        <v/>
      </c>
      <c r="BR537" s="106">
        <f>VLOOKUP(BP537,[1]AGUA!$1:$1048576,6,FALSE)</f>
        <v/>
      </c>
      <c r="BS537" s="106">
        <f>VLOOKUP(BP537,[1]AGUA!$1:$1048576,7,FALSE)</f>
        <v/>
      </c>
      <c r="BT537" s="106" t="n"/>
      <c r="BU537" s="183" t="n"/>
      <c r="BV537" s="105" t="n"/>
      <c r="BW537" s="142" t="n">
        <v>1</v>
      </c>
      <c r="BX537" s="105" t="n"/>
      <c r="BY537" s="105" t="n"/>
      <c r="BZ537" s="105" t="n"/>
      <c r="CA537" s="105" t="n"/>
      <c r="CB537" s="105" t="n"/>
      <c r="CC537" s="105" t="n"/>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24">
        <f>+COUNTA(BV537:CY537)</f>
        <v/>
      </c>
      <c r="DA537" s="251" t="n"/>
      <c r="DB537" s="251" t="n"/>
      <c r="DC537" s="251" t="n"/>
      <c r="DD537" s="207" t="n"/>
      <c r="DE537" s="251" t="n"/>
      <c r="DF537" s="251" t="n"/>
      <c r="DG537" s="251" t="n"/>
      <c r="DH537" s="251" t="n"/>
      <c r="DI537" s="251" t="n"/>
      <c r="DJ537" s="251" t="inlineStr">
        <is>
          <t>M</t>
        </is>
      </c>
      <c r="DK537" s="251" t="n">
        <v>1</v>
      </c>
      <c r="DL537" s="95" t="n">
        <v>14</v>
      </c>
      <c r="DM537" s="251" t="n"/>
      <c r="DN537" s="95" t="n"/>
      <c r="DO537" s="95" t="n"/>
    </row>
    <row r="538" ht="13" customHeight="1">
      <c r="A538" s="203" t="inlineStr">
        <is>
          <t>MP-03B</t>
        </is>
      </c>
      <c r="B538" s="305"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1" t="n"/>
      <c r="BL538" s="61" t="inlineStr">
        <is>
          <t>GMAP-SIGA</t>
        </is>
      </c>
      <c r="BM538" s="251" t="inlineStr">
        <is>
          <t>ASUB</t>
        </is>
      </c>
      <c r="BN538" s="337" t="inlineStr">
        <is>
          <t>Tranque</t>
        </is>
      </c>
      <c r="BO538" s="251" t="inlineStr">
        <is>
          <t>SI PAT TRANQUE</t>
        </is>
      </c>
      <c r="BP538" s="251" t="inlineStr">
        <is>
          <t>MP-3B/ASUB</t>
        </is>
      </c>
      <c r="BQ538" s="106">
        <f>VLOOKUP(BP538,[1]AGUA!$1:$1048576,2,FALSE)</f>
        <v/>
      </c>
      <c r="BR538" s="106">
        <f>VLOOKUP(BP538,[1]AGUA!$1:$1048576,6,FALSE)</f>
        <v/>
      </c>
      <c r="BS538" s="106">
        <f>VLOOKUP(BP538,[1]AGUA!$1:$1048576,7,FALSE)</f>
        <v/>
      </c>
      <c r="BT538" s="106" t="n"/>
      <c r="BU538" s="183" t="n"/>
      <c r="BV538" s="105" t="n"/>
      <c r="BW538" s="107" t="n">
        <v>1</v>
      </c>
      <c r="BX538" s="105" t="n"/>
      <c r="BY538" s="105" t="n"/>
      <c r="BZ538" s="105" t="n"/>
      <c r="CA538" s="105" t="n"/>
      <c r="CB538" s="105" t="n"/>
      <c r="CC538" s="105" t="n"/>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24">
        <f>+COUNTA(BV538:CY538)</f>
        <v/>
      </c>
      <c r="DA538" s="251" t="n"/>
      <c r="DB538" s="251" t="n"/>
      <c r="DC538" s="251" t="n"/>
      <c r="DD538" s="207" t="n"/>
      <c r="DE538" s="251" t="n"/>
      <c r="DF538" s="251" t="n"/>
      <c r="DG538" s="251" t="n"/>
      <c r="DH538" s="251" t="n"/>
      <c r="DI538" s="251" t="n"/>
      <c r="DJ538" s="251" t="n"/>
      <c r="DK538" s="251" t="n"/>
      <c r="DL538" s="95" t="n"/>
      <c r="DM538" s="251" t="inlineStr">
        <is>
          <t>M</t>
        </is>
      </c>
      <c r="DN538" s="251" t="n">
        <v>1</v>
      </c>
      <c r="DO538" s="95" t="n">
        <v>14</v>
      </c>
    </row>
    <row r="539" ht="13" customHeight="1">
      <c r="A539" s="203" t="inlineStr">
        <is>
          <t>MP-03C</t>
        </is>
      </c>
      <c r="B539" s="305"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1" t="n"/>
      <c r="BL539" s="61" t="inlineStr">
        <is>
          <t>GMAP-SIGA</t>
        </is>
      </c>
      <c r="BM539" s="251" t="inlineStr">
        <is>
          <t>NF</t>
        </is>
      </c>
      <c r="BN539" s="337" t="inlineStr">
        <is>
          <t>Tranque</t>
        </is>
      </c>
      <c r="BO539" s="251" t="inlineStr">
        <is>
          <t>SI PAT TRANQUE</t>
        </is>
      </c>
      <c r="BP539" s="251" t="inlineStr">
        <is>
          <t>MP-3C/NF</t>
        </is>
      </c>
      <c r="BQ539" s="106">
        <f>VLOOKUP(BP539,[1]AGUA!$1:$1048576,2,FALSE)</f>
        <v/>
      </c>
      <c r="BR539" s="106">
        <f>VLOOKUP(BP539,[1]AGUA!$1:$1048576,6,FALSE)</f>
        <v/>
      </c>
      <c r="BS539" s="106">
        <f>VLOOKUP(BP539,[1]AGUA!$1:$1048576,7,FALSE)</f>
        <v/>
      </c>
      <c r="BT539" s="106" t="n"/>
      <c r="BU539" s="101" t="n"/>
      <c r="BV539" s="105" t="n"/>
      <c r="BW539" s="142" t="n">
        <v>1</v>
      </c>
      <c r="BX539" s="105" t="n"/>
      <c r="BY539" s="105" t="n"/>
      <c r="BZ539" s="105" t="n"/>
      <c r="CA539" s="105" t="n"/>
      <c r="CB539" s="105" t="n"/>
      <c r="CC539" s="105" t="n"/>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24">
        <f>+COUNTA(BV539:CY539)</f>
        <v/>
      </c>
      <c r="DA539" s="251" t="n"/>
      <c r="DB539" s="251" t="n"/>
      <c r="DC539" s="251" t="n"/>
      <c r="DD539" s="207" t="n"/>
      <c r="DE539" s="251" t="n"/>
      <c r="DF539" s="251" t="n"/>
      <c r="DG539" s="251" t="n"/>
      <c r="DH539" s="251" t="n"/>
      <c r="DI539" s="251" t="n"/>
      <c r="DJ539" s="251" t="inlineStr">
        <is>
          <t>M</t>
        </is>
      </c>
      <c r="DK539" s="251" t="n">
        <v>1</v>
      </c>
      <c r="DL539" s="95" t="n">
        <v>14</v>
      </c>
      <c r="DM539" s="251" t="n"/>
      <c r="DN539" s="95" t="n"/>
      <c r="DO539" s="95" t="n"/>
    </row>
    <row r="540" ht="13" customHeight="1">
      <c r="A540" s="203" t="inlineStr">
        <is>
          <t>MP-03C</t>
        </is>
      </c>
      <c r="B540" s="305"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1" t="n"/>
      <c r="BL540" s="61" t="inlineStr">
        <is>
          <t>GMAP-SIGA</t>
        </is>
      </c>
      <c r="BM540" s="251" t="inlineStr">
        <is>
          <t>NF</t>
        </is>
      </c>
      <c r="BN540" s="337" t="inlineStr">
        <is>
          <t>Tranque</t>
        </is>
      </c>
      <c r="BO540" s="251" t="inlineStr">
        <is>
          <t>SI PAT TRANQUE</t>
        </is>
      </c>
      <c r="BP540" s="251" t="inlineStr">
        <is>
          <t>MP-3C/ASUB</t>
        </is>
      </c>
      <c r="BQ540" s="106">
        <f>VLOOKUP(BP540,[1]AGUA!$1:$1048576,2,FALSE)</f>
        <v/>
      </c>
      <c r="BR540" s="106">
        <f>VLOOKUP(BP540,[1]AGUA!$1:$1048576,6,FALSE)</f>
        <v/>
      </c>
      <c r="BS540" s="106">
        <f>VLOOKUP(BP540,[1]AGUA!$1:$1048576,7,FALSE)</f>
        <v/>
      </c>
      <c r="BT540" s="106" t="n"/>
      <c r="BU540" s="101" t="n"/>
      <c r="BV540" s="105" t="n"/>
      <c r="BW540" s="107" t="n">
        <v>1</v>
      </c>
      <c r="BX540" s="105" t="n"/>
      <c r="BY540" s="105" t="n"/>
      <c r="BZ540" s="105" t="n"/>
      <c r="CA540" s="105" t="n"/>
      <c r="CB540" s="105" t="n"/>
      <c r="CC540" s="105" t="n"/>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24">
        <f>+COUNTA(BV540:CY540)</f>
        <v/>
      </c>
      <c r="DA540" s="251" t="n"/>
      <c r="DB540" s="251" t="n"/>
      <c r="DC540" s="251" t="n"/>
      <c r="DD540" s="207" t="n"/>
      <c r="DE540" s="251" t="n"/>
      <c r="DF540" s="251" t="n"/>
      <c r="DG540" s="251" t="n"/>
      <c r="DH540" s="251" t="n"/>
      <c r="DI540" s="251" t="n"/>
      <c r="DJ540" s="251" t="n"/>
      <c r="DK540" s="251" t="n"/>
      <c r="DL540" s="95" t="n"/>
      <c r="DM540" s="251" t="inlineStr">
        <is>
          <t>M</t>
        </is>
      </c>
      <c r="DN540" s="95" t="n">
        <v>8</v>
      </c>
      <c r="DO540" s="95" t="n">
        <v>14</v>
      </c>
    </row>
    <row r="541" ht="13" customHeight="1">
      <c r="A541" s="203" t="inlineStr">
        <is>
          <t>MP-04A</t>
        </is>
      </c>
      <c r="B541" s="305"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1" t="n"/>
      <c r="BL541" s="61" t="inlineStr">
        <is>
          <t>GMAP-SIGA</t>
        </is>
      </c>
      <c r="BM541" s="251" t="inlineStr">
        <is>
          <t>NF</t>
        </is>
      </c>
      <c r="BN541" s="337" t="inlineStr">
        <is>
          <t>Tranque</t>
        </is>
      </c>
      <c r="BO541" s="251" t="inlineStr">
        <is>
          <t>SI PAT TRANQUE</t>
        </is>
      </c>
      <c r="BP541" s="251" t="inlineStr">
        <is>
          <t>MP-4A/NF</t>
        </is>
      </c>
      <c r="BQ541" s="106">
        <f>VLOOKUP(BP541,[1]AGUA!$1:$1048576,2,FALSE)</f>
        <v/>
      </c>
      <c r="BR541" s="106">
        <f>VLOOKUP(BP541,[1]AGUA!$1:$1048576,6,FALSE)</f>
        <v/>
      </c>
      <c r="BS541" s="106">
        <f>VLOOKUP(BP541,[1]AGUA!$1:$1048576,7,FALSE)</f>
        <v/>
      </c>
      <c r="BT541" s="106" t="n"/>
      <c r="BU541" s="101" t="n"/>
      <c r="BV541" s="105" t="n"/>
      <c r="BW541" s="105" t="n"/>
      <c r="BX541" s="105" t="n"/>
      <c r="BY541" s="105" t="n"/>
      <c r="BZ541" s="105" t="n"/>
      <c r="CA541" s="105" t="n"/>
      <c r="CB541" s="105" t="n"/>
      <c r="CC541" s="105" t="n"/>
      <c r="CD541" s="105" t="n"/>
      <c r="CE541" s="105" t="n"/>
      <c r="CF541" s="105" t="n"/>
      <c r="CG541" s="105" t="n"/>
      <c r="CH541" s="142" t="n">
        <v>1</v>
      </c>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24">
        <f>+COUNTA(BV541:CY541)</f>
        <v/>
      </c>
      <c r="DA541" s="251" t="n"/>
      <c r="DB541" s="251" t="n"/>
      <c r="DC541" s="251" t="n"/>
      <c r="DD541" s="251" t="n"/>
      <c r="DE541" s="251" t="n"/>
      <c r="DF541" s="251" t="n"/>
      <c r="DG541" s="251" t="n"/>
      <c r="DH541" s="251" t="n"/>
      <c r="DI541" s="251" t="n"/>
      <c r="DJ541" s="251" t="inlineStr">
        <is>
          <t>M</t>
        </is>
      </c>
      <c r="DK541" s="251" t="n">
        <v>1</v>
      </c>
      <c r="DL541" s="95" t="n">
        <v>14</v>
      </c>
      <c r="DM541" s="251" t="n"/>
      <c r="DN541" s="95" t="n"/>
      <c r="DO541" s="95" t="n"/>
    </row>
    <row r="542" ht="13" customHeight="1">
      <c r="A542" s="203" t="inlineStr">
        <is>
          <t>MP-04A</t>
        </is>
      </c>
      <c r="B542" s="305"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1" t="n"/>
      <c r="BL542" s="61" t="inlineStr">
        <is>
          <t>GMAP-SIGA</t>
        </is>
      </c>
      <c r="BM542" s="251" t="inlineStr">
        <is>
          <t>NF</t>
        </is>
      </c>
      <c r="BN542" s="337" t="inlineStr">
        <is>
          <t>Tranque</t>
        </is>
      </c>
      <c r="BO542" s="251" t="inlineStr">
        <is>
          <t>SI PAT TRANQUE</t>
        </is>
      </c>
      <c r="BP542" s="251" t="inlineStr">
        <is>
          <t>MP-4A/ASUB</t>
        </is>
      </c>
      <c r="BQ542" s="106">
        <f>VLOOKUP(BP542,[1]AGUA!$1:$1048576,2,FALSE)</f>
        <v/>
      </c>
      <c r="BR542" s="106">
        <f>VLOOKUP(BP542,[1]AGUA!$1:$1048576,6,FALSE)</f>
        <v/>
      </c>
      <c r="BS542" s="106">
        <f>VLOOKUP(BP542,[1]AGUA!$1:$1048576,7,FALSE)</f>
        <v/>
      </c>
      <c r="BT542" s="106" t="n"/>
      <c r="BU542" s="101" t="n"/>
      <c r="BV542" s="105" t="n"/>
      <c r="BW542" s="105" t="n"/>
      <c r="BX542" s="105" t="n"/>
      <c r="BY542" s="105" t="n"/>
      <c r="BZ542" s="105" t="n"/>
      <c r="CA542" s="105" t="n"/>
      <c r="CB542" s="105" t="n"/>
      <c r="CC542" s="105" t="n"/>
      <c r="CD542" s="105" t="n"/>
      <c r="CE542" s="105" t="n"/>
      <c r="CF542" s="105" t="n"/>
      <c r="CG542" s="105" t="n"/>
      <c r="CH542" s="107" t="n">
        <v>1</v>
      </c>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24">
        <f>+COUNTA(BV542:CY542)</f>
        <v/>
      </c>
      <c r="DA542" s="251" t="n"/>
      <c r="DB542" s="251" t="n"/>
      <c r="DC542" s="251" t="n"/>
      <c r="DD542" s="251" t="n"/>
      <c r="DE542" s="251" t="n"/>
      <c r="DF542" s="251" t="n"/>
      <c r="DG542" s="251" t="n"/>
      <c r="DH542" s="251" t="n"/>
      <c r="DI542" s="251" t="n"/>
      <c r="DJ542" s="251" t="n"/>
      <c r="DK542" s="251" t="n"/>
      <c r="DL542" s="95" t="n"/>
      <c r="DM542" s="251" t="inlineStr">
        <is>
          <t>M</t>
        </is>
      </c>
      <c r="DN542" s="251" t="n">
        <v>1</v>
      </c>
      <c r="DO542" s="95" t="n">
        <v>14</v>
      </c>
    </row>
    <row r="543" ht="13" customHeight="1">
      <c r="A543" s="203" t="inlineStr">
        <is>
          <t>MP-04B</t>
        </is>
      </c>
      <c r="B543" s="305"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1" t="n"/>
      <c r="BL543" s="61" t="inlineStr">
        <is>
          <t>GMAP-SIGA</t>
        </is>
      </c>
      <c r="BM543" s="251" t="inlineStr">
        <is>
          <t>NF</t>
        </is>
      </c>
      <c r="BN543" s="337" t="inlineStr">
        <is>
          <t>Tranque</t>
        </is>
      </c>
      <c r="BO543" s="251" t="inlineStr">
        <is>
          <t>SI PAT TRANQUE</t>
        </is>
      </c>
      <c r="BP543" s="251" t="inlineStr">
        <is>
          <t>MP-4B/NF</t>
        </is>
      </c>
      <c r="BQ543" s="106">
        <f>VLOOKUP(BP543,[1]AGUA!$1:$1048576,2,FALSE)</f>
        <v/>
      </c>
      <c r="BR543" s="106">
        <f>VLOOKUP(BP543,[1]AGUA!$1:$1048576,6,FALSE)</f>
        <v/>
      </c>
      <c r="BS543" s="106">
        <f>VLOOKUP(BP543,[1]AGUA!$1:$1048576,7,FALSE)</f>
        <v/>
      </c>
      <c r="BT543" s="106" t="n"/>
      <c r="BU543" s="101" t="n"/>
      <c r="BV543" s="105" t="n"/>
      <c r="BW543" s="105" t="n"/>
      <c r="BX543" s="105" t="n"/>
      <c r="BY543" s="105" t="n"/>
      <c r="BZ543" s="105" t="n"/>
      <c r="CA543" s="105" t="n"/>
      <c r="CB543" s="105" t="n"/>
      <c r="CC543" s="105" t="n"/>
      <c r="CD543" s="105" t="n"/>
      <c r="CE543" s="105" t="n"/>
      <c r="CF543" s="105" t="n"/>
      <c r="CG543" s="105" t="n"/>
      <c r="CH543" s="142" t="n">
        <v>1</v>
      </c>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24">
        <f>+COUNTA(BV543:CY543)</f>
        <v/>
      </c>
      <c r="DA543" s="251" t="n"/>
      <c r="DB543" s="251" t="n"/>
      <c r="DC543" s="251" t="n"/>
      <c r="DD543" s="105" t="n"/>
      <c r="DE543" s="251" t="n"/>
      <c r="DF543" s="251" t="n"/>
      <c r="DG543" s="251" t="n"/>
      <c r="DH543" s="251" t="n"/>
      <c r="DI543" s="251" t="n"/>
      <c r="DJ543" s="251" t="inlineStr">
        <is>
          <t>M</t>
        </is>
      </c>
      <c r="DK543" s="251" t="n">
        <v>1</v>
      </c>
      <c r="DL543" s="95" t="n">
        <v>14</v>
      </c>
      <c r="DM543" s="251" t="n"/>
      <c r="DN543" s="95" t="n"/>
      <c r="DO543" s="95" t="n"/>
    </row>
    <row r="544" ht="13" customHeight="1">
      <c r="A544" s="203" t="inlineStr">
        <is>
          <t>MP-04B</t>
        </is>
      </c>
      <c r="B544" s="305"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1" t="n"/>
      <c r="BL544" s="61" t="inlineStr">
        <is>
          <t>GMAP-SIGA</t>
        </is>
      </c>
      <c r="BM544" s="251" t="inlineStr">
        <is>
          <t>ASUB</t>
        </is>
      </c>
      <c r="BN544" s="337" t="inlineStr">
        <is>
          <t>Tranque</t>
        </is>
      </c>
      <c r="BO544" s="251" t="inlineStr">
        <is>
          <t>SI PAT TRANQUE</t>
        </is>
      </c>
      <c r="BP544" s="251" t="inlineStr">
        <is>
          <t>MP-4B/ASUB</t>
        </is>
      </c>
      <c r="BQ544" s="106">
        <f>VLOOKUP(BP544,[1]AGUA!$1:$1048576,2,FALSE)</f>
        <v/>
      </c>
      <c r="BR544" s="106">
        <f>VLOOKUP(BP544,[1]AGUA!$1:$1048576,6,FALSE)</f>
        <v/>
      </c>
      <c r="BS544" s="106">
        <f>VLOOKUP(BP544,[1]AGUA!$1:$1048576,7,FALSE)</f>
        <v/>
      </c>
      <c r="BT544" s="106" t="n"/>
      <c r="BU544" s="101" t="n"/>
      <c r="BV544" s="105" t="n"/>
      <c r="BW544" s="105" t="n"/>
      <c r="BX544" s="105" t="n"/>
      <c r="BY544" s="105" t="n"/>
      <c r="BZ544" s="105" t="n"/>
      <c r="CA544" s="105" t="n"/>
      <c r="CB544" s="105" t="n"/>
      <c r="CC544" s="105" t="n"/>
      <c r="CD544" s="105" t="n"/>
      <c r="CE544" s="105" t="n"/>
      <c r="CF544" s="105" t="n"/>
      <c r="CG544" s="105" t="n"/>
      <c r="CH544" s="107" t="n">
        <v>1</v>
      </c>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24">
        <f>+COUNTA(BV544:CY544)</f>
        <v/>
      </c>
      <c r="DA544" s="251" t="n"/>
      <c r="DB544" s="251" t="n"/>
      <c r="DC544" s="251" t="n"/>
      <c r="DD544" s="105" t="n"/>
      <c r="DE544" s="251" t="n"/>
      <c r="DF544" s="251" t="n"/>
      <c r="DG544" s="251" t="n"/>
      <c r="DH544" s="251" t="n"/>
      <c r="DI544" s="251" t="n"/>
      <c r="DJ544" s="251" t="n"/>
      <c r="DK544" s="251" t="n"/>
      <c r="DL544" s="95" t="n"/>
      <c r="DM544" s="251" t="inlineStr">
        <is>
          <t>M</t>
        </is>
      </c>
      <c r="DN544" s="251" t="n">
        <v>1</v>
      </c>
      <c r="DO544" s="95" t="n">
        <v>14</v>
      </c>
    </row>
    <row r="545" ht="13" customHeight="1">
      <c r="A545" s="203" t="inlineStr">
        <is>
          <t>MP-04C</t>
        </is>
      </c>
      <c r="B545" s="305"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1" t="n"/>
      <c r="BL545" s="61" t="inlineStr">
        <is>
          <t>GMAP-SIGA</t>
        </is>
      </c>
      <c r="BM545" s="251" t="inlineStr">
        <is>
          <t>NF</t>
        </is>
      </c>
      <c r="BN545" s="337" t="inlineStr">
        <is>
          <t>Tranque</t>
        </is>
      </c>
      <c r="BO545" s="251" t="inlineStr">
        <is>
          <t>SI PAT TRANQUE</t>
        </is>
      </c>
      <c r="BP545" s="251" t="inlineStr">
        <is>
          <t>MP-4C/NF</t>
        </is>
      </c>
      <c r="BQ545" s="106">
        <f>VLOOKUP(BP545,[1]AGUA!$1:$1048576,2,FALSE)</f>
        <v/>
      </c>
      <c r="BR545" s="106">
        <f>VLOOKUP(BP545,[1]AGUA!$1:$1048576,6,FALSE)</f>
        <v/>
      </c>
      <c r="BS545" s="106">
        <f>VLOOKUP(BP545,[1]AGUA!$1:$1048576,7,FALSE)</f>
        <v/>
      </c>
      <c r="BT545" s="106" t="n"/>
      <c r="BU545" s="101" t="n"/>
      <c r="BV545" s="105" t="n"/>
      <c r="BW545" s="105" t="n"/>
      <c r="BX545" s="105" t="n"/>
      <c r="BY545" s="105" t="n"/>
      <c r="BZ545" s="105" t="n"/>
      <c r="CA545" s="105" t="n"/>
      <c r="CB545" s="105" t="n"/>
      <c r="CC545" s="105" t="n"/>
      <c r="CD545" s="105" t="n"/>
      <c r="CE545" s="105" t="n"/>
      <c r="CF545" s="105" t="n"/>
      <c r="CG545" s="105" t="n"/>
      <c r="CH545" s="142" t="n">
        <v>1</v>
      </c>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24">
        <f>+COUNTA(BV545:CY545)</f>
        <v/>
      </c>
      <c r="DA545" s="251" t="n"/>
      <c r="DB545" s="251" t="n"/>
      <c r="DC545" s="251" t="n"/>
      <c r="DD545" s="251" t="n"/>
      <c r="DE545" s="251" t="n"/>
      <c r="DF545" s="251" t="n"/>
      <c r="DG545" s="251" t="n"/>
      <c r="DH545" s="251" t="n"/>
      <c r="DI545" s="251" t="n"/>
      <c r="DJ545" s="251" t="inlineStr">
        <is>
          <t>M</t>
        </is>
      </c>
      <c r="DK545" s="251" t="n">
        <v>1</v>
      </c>
      <c r="DL545" s="95" t="n">
        <v>14</v>
      </c>
      <c r="DM545" s="251" t="n"/>
      <c r="DN545" s="95" t="n"/>
      <c r="DO545" s="95" t="n"/>
    </row>
    <row r="546" ht="13" customHeight="1">
      <c r="A546" s="203" t="inlineStr">
        <is>
          <t>MP-04C</t>
        </is>
      </c>
      <c r="B546" s="305"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1" t="n"/>
      <c r="BL546" s="61" t="inlineStr">
        <is>
          <t>GMAP-SIGA</t>
        </is>
      </c>
      <c r="BM546" s="251" t="inlineStr">
        <is>
          <t>ASUB</t>
        </is>
      </c>
      <c r="BN546" s="337" t="inlineStr">
        <is>
          <t>Tranque</t>
        </is>
      </c>
      <c r="BO546" s="251" t="inlineStr">
        <is>
          <t>SI PAT TRANQUE</t>
        </is>
      </c>
      <c r="BP546" s="251" t="inlineStr">
        <is>
          <t>MP-4C/ASUB</t>
        </is>
      </c>
      <c r="BQ546" s="106">
        <f>VLOOKUP(BP546,[1]AGUA!$1:$1048576,2,FALSE)</f>
        <v/>
      </c>
      <c r="BR546" s="106">
        <f>VLOOKUP(BP546,[1]AGUA!$1:$1048576,6,FALSE)</f>
        <v/>
      </c>
      <c r="BS546" s="106">
        <f>VLOOKUP(BP546,[1]AGUA!$1:$1048576,7,FALSE)</f>
        <v/>
      </c>
      <c r="BT546" s="106" t="n"/>
      <c r="BU546" s="101" t="n"/>
      <c r="BV546" s="105" t="n"/>
      <c r="BW546" s="105" t="n"/>
      <c r="BX546" s="105" t="n"/>
      <c r="BY546" s="105" t="n"/>
      <c r="BZ546" s="105" t="n"/>
      <c r="CA546" s="105" t="n"/>
      <c r="CB546" s="105" t="n"/>
      <c r="CC546" s="105" t="n"/>
      <c r="CD546" s="105" t="n"/>
      <c r="CE546" s="105" t="n"/>
      <c r="CF546" s="105" t="n"/>
      <c r="CG546" s="105" t="n"/>
      <c r="CH546" s="107" t="n">
        <v>1</v>
      </c>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24">
        <f>+COUNTA(BV546:CY546)</f>
        <v/>
      </c>
      <c r="DA546" s="251" t="n"/>
      <c r="DB546" s="251" t="n"/>
      <c r="DC546" s="251" t="n"/>
      <c r="DD546" s="251" t="n"/>
      <c r="DE546" s="251" t="n"/>
      <c r="DF546" s="251" t="n"/>
      <c r="DG546" s="251" t="n"/>
      <c r="DH546" s="251" t="n"/>
      <c r="DI546" s="251" t="n"/>
      <c r="DJ546" s="251" t="n"/>
      <c r="DK546" s="251" t="n"/>
      <c r="DL546" s="95" t="n"/>
      <c r="DM546" s="251" t="inlineStr">
        <is>
          <t>M</t>
        </is>
      </c>
      <c r="DN546" s="251" t="n">
        <v>1</v>
      </c>
      <c r="DO546" s="95" t="n">
        <v>14</v>
      </c>
    </row>
    <row r="547" ht="14.15" customHeight="1">
      <c r="A547" s="203" t="inlineStr">
        <is>
          <t>MP-05A</t>
        </is>
      </c>
      <c r="B547" s="305"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1" t="n"/>
      <c r="BL547" s="61" t="inlineStr">
        <is>
          <t>GMAP-SIGA</t>
        </is>
      </c>
      <c r="BM547" s="251" t="inlineStr">
        <is>
          <t>NF</t>
        </is>
      </c>
      <c r="BN547" s="337" t="inlineStr">
        <is>
          <t>Tranque</t>
        </is>
      </c>
      <c r="BO547" s="251" t="inlineStr">
        <is>
          <t>SI PAT TRANQUE</t>
        </is>
      </c>
      <c r="BP547" s="251" t="inlineStr">
        <is>
          <t>MP-5A/NF</t>
        </is>
      </c>
      <c r="BQ547" s="106">
        <f>VLOOKUP(BP547,[1]AGUA!$1:$1048576,2,FALSE)</f>
        <v/>
      </c>
      <c r="BR547" s="106">
        <f>VLOOKUP(BP547,[1]AGUA!$1:$1048576,6,FALSE)</f>
        <v/>
      </c>
      <c r="BS547" s="106">
        <f>VLOOKUP(BP547,[1]AGUA!$1:$1048576,7,FALSE)</f>
        <v/>
      </c>
      <c r="BT547" s="106" t="n"/>
      <c r="BU547" s="101" t="n"/>
      <c r="BV547" s="105" t="n"/>
      <c r="BY547" s="105" t="n"/>
      <c r="BZ547" s="105" t="n"/>
      <c r="CA547" s="105" t="n"/>
      <c r="CB547" s="105" t="n"/>
      <c r="CC547" s="142" t="n">
        <v>1</v>
      </c>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24">
        <f>+COUNTA(BV547:CY547)</f>
        <v/>
      </c>
      <c r="DA547" s="251" t="n"/>
      <c r="DB547" s="251" t="n"/>
      <c r="DC547" s="251" t="n"/>
      <c r="DD547" s="251" t="n"/>
      <c r="DE547" s="251" t="n"/>
      <c r="DF547" s="251" t="n"/>
      <c r="DG547" s="251" t="n"/>
      <c r="DH547" s="251" t="n"/>
      <c r="DI547" s="251" t="n"/>
      <c r="DJ547" s="251" t="inlineStr">
        <is>
          <t>M</t>
        </is>
      </c>
      <c r="DK547" s="251" t="n">
        <v>1</v>
      </c>
      <c r="DL547" s="95" t="n">
        <v>14</v>
      </c>
      <c r="DM547" s="251" t="n"/>
      <c r="DN547" s="95" t="n"/>
      <c r="DO547" s="95" t="n"/>
    </row>
    <row r="548" ht="13" customHeight="1">
      <c r="A548" s="203" t="inlineStr">
        <is>
          <t>MP-05A</t>
        </is>
      </c>
      <c r="B548" s="305"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1" t="n"/>
      <c r="BL548" s="61" t="inlineStr">
        <is>
          <t>GMAP-SIGA</t>
        </is>
      </c>
      <c r="BM548" s="251" t="inlineStr">
        <is>
          <t>ASUB</t>
        </is>
      </c>
      <c r="BN548" s="337" t="inlineStr">
        <is>
          <t>Tranque</t>
        </is>
      </c>
      <c r="BO548" s="251" t="inlineStr">
        <is>
          <t>SI PAT TRANQUE</t>
        </is>
      </c>
      <c r="BP548" s="251" t="inlineStr">
        <is>
          <t>MP-5A/ASUB</t>
        </is>
      </c>
      <c r="BQ548" s="106">
        <f>VLOOKUP(BP548,[1]AGUA!$1:$1048576,2,FALSE)</f>
        <v/>
      </c>
      <c r="BR548" s="106">
        <f>VLOOKUP(BP548,[1]AGUA!$1:$1048576,6,FALSE)</f>
        <v/>
      </c>
      <c r="BS548" s="106">
        <f>VLOOKUP(BP548,[1]AGUA!$1:$1048576,7,FALSE)</f>
        <v/>
      </c>
      <c r="BT548" s="106" t="n"/>
      <c r="BU548" s="101" t="n"/>
      <c r="BV548" s="105" t="n"/>
      <c r="BY548" s="105" t="n"/>
      <c r="BZ548" s="105" t="n"/>
      <c r="CA548" s="105" t="n"/>
      <c r="CB548" s="105" t="n"/>
      <c r="CC548" s="107" t="n">
        <v>1</v>
      </c>
      <c r="CD548" s="105" t="n"/>
      <c r="CE548" s="105" t="n"/>
      <c r="CF548" s="105"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24">
        <f>+COUNTA(BV548:CY548)</f>
        <v/>
      </c>
      <c r="DA548" s="251" t="n"/>
      <c r="DB548" s="251" t="n"/>
      <c r="DC548" s="251" t="n"/>
      <c r="DD548" s="251" t="n"/>
      <c r="DE548" s="251" t="n"/>
      <c r="DF548" s="251" t="n"/>
      <c r="DG548" s="251" t="n"/>
      <c r="DH548" s="251" t="n"/>
      <c r="DI548" s="251" t="n"/>
      <c r="DJ548" s="251" t="n"/>
      <c r="DK548" s="251" t="n"/>
      <c r="DL548" s="95" t="n"/>
      <c r="DM548" s="251" t="inlineStr">
        <is>
          <t>M</t>
        </is>
      </c>
      <c r="DN548" s="251" t="n">
        <v>1</v>
      </c>
      <c r="DO548" s="95" t="n">
        <v>14</v>
      </c>
    </row>
    <row r="549" ht="13" customHeight="1">
      <c r="A549" s="203" t="inlineStr">
        <is>
          <t>MP-05B</t>
        </is>
      </c>
      <c r="B549" s="305"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1" t="n"/>
      <c r="BL549" s="61" t="inlineStr">
        <is>
          <t>GMAP-SIGA</t>
        </is>
      </c>
      <c r="BM549" s="251" t="inlineStr">
        <is>
          <t>NF</t>
        </is>
      </c>
      <c r="BN549" s="337" t="inlineStr">
        <is>
          <t>Tranque</t>
        </is>
      </c>
      <c r="BO549" s="251" t="inlineStr">
        <is>
          <t>SI PAT TRANQUE</t>
        </is>
      </c>
      <c r="BP549" s="251" t="inlineStr">
        <is>
          <t>MP-5B/NF</t>
        </is>
      </c>
      <c r="BQ549" s="106">
        <f>VLOOKUP(BP549,[1]AGUA!$1:$1048576,2,FALSE)</f>
        <v/>
      </c>
      <c r="BR549" s="106">
        <f>VLOOKUP(BP549,[1]AGUA!$1:$1048576,6,FALSE)</f>
        <v/>
      </c>
      <c r="BS549" s="106">
        <f>VLOOKUP(BP549,[1]AGUA!$1:$1048576,7,FALSE)</f>
        <v/>
      </c>
      <c r="BT549" s="106" t="n"/>
      <c r="BU549" s="183" t="n"/>
      <c r="BV549" s="105" t="n"/>
      <c r="BY549" s="105" t="n"/>
      <c r="BZ549" s="105" t="n"/>
      <c r="CA549" s="105" t="n"/>
      <c r="CB549" s="105" t="n"/>
      <c r="CC549" s="142" t="n">
        <v>1</v>
      </c>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24">
        <f>+COUNTA(BV549:CY549)</f>
        <v/>
      </c>
      <c r="DA549" s="251" t="n"/>
      <c r="DB549" s="251" t="n"/>
      <c r="DC549" s="251" t="n"/>
      <c r="DD549" s="251" t="n"/>
      <c r="DE549" s="251" t="n"/>
      <c r="DF549" s="251" t="n"/>
      <c r="DG549" s="251" t="n"/>
      <c r="DH549" s="251" t="n"/>
      <c r="DI549" s="251" t="n"/>
      <c r="DJ549" s="251" t="inlineStr">
        <is>
          <t>M</t>
        </is>
      </c>
      <c r="DK549" s="251" t="n">
        <v>1</v>
      </c>
      <c r="DL549" s="95" t="n">
        <v>14</v>
      </c>
      <c r="DM549" s="251" t="n"/>
      <c r="DN549" s="95" t="n"/>
      <c r="DO549" s="95" t="n"/>
    </row>
    <row r="550" ht="13" customHeight="1">
      <c r="A550" s="203" t="inlineStr">
        <is>
          <t>MP-05B</t>
        </is>
      </c>
      <c r="B550" s="305"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1" t="n"/>
      <c r="BL550" s="61" t="inlineStr">
        <is>
          <t>GMAP-SIGA</t>
        </is>
      </c>
      <c r="BM550" s="251" t="inlineStr">
        <is>
          <t>ASUB</t>
        </is>
      </c>
      <c r="BN550" s="337" t="inlineStr">
        <is>
          <t>Tranque</t>
        </is>
      </c>
      <c r="BO550" s="251" t="inlineStr">
        <is>
          <t>SI PAT TRANQUE</t>
        </is>
      </c>
      <c r="BP550" s="251" t="inlineStr">
        <is>
          <t>MP-5B/ASUB</t>
        </is>
      </c>
      <c r="BQ550" s="106">
        <f>VLOOKUP(BP550,[1]AGUA!$1:$1048576,2,FALSE)</f>
        <v/>
      </c>
      <c r="BR550" s="106">
        <f>VLOOKUP(BP550,[1]AGUA!$1:$1048576,6,FALSE)</f>
        <v/>
      </c>
      <c r="BS550" s="106">
        <f>VLOOKUP(BP550,[1]AGUA!$1:$1048576,7,FALSE)</f>
        <v/>
      </c>
      <c r="BT550" s="106" t="n"/>
      <c r="BU550" s="183" t="n"/>
      <c r="BV550" s="105" t="n"/>
      <c r="BY550" s="105" t="n"/>
      <c r="BZ550" s="105" t="n"/>
      <c r="CA550" s="105" t="n"/>
      <c r="CB550" s="105" t="n"/>
      <c r="CC550" s="107" t="n">
        <v>1</v>
      </c>
      <c r="CD550" s="105" t="n"/>
      <c r="CE550" s="105" t="n"/>
      <c r="CF550" s="105"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24">
        <f>+COUNTA(BV550:CY550)</f>
        <v/>
      </c>
      <c r="DA550" s="251" t="n"/>
      <c r="DB550" s="251" t="n"/>
      <c r="DC550" s="251" t="n"/>
      <c r="DD550" s="251" t="n"/>
      <c r="DE550" s="251" t="n"/>
      <c r="DF550" s="251" t="n"/>
      <c r="DG550" s="251" t="n"/>
      <c r="DH550" s="251" t="n"/>
      <c r="DI550" s="251" t="n"/>
      <c r="DJ550" s="251" t="n"/>
      <c r="DK550" s="251" t="n"/>
      <c r="DL550" s="95" t="n"/>
      <c r="DM550" s="251" t="inlineStr">
        <is>
          <t>M</t>
        </is>
      </c>
      <c r="DN550" s="251" t="n">
        <v>1</v>
      </c>
      <c r="DO550" s="95" t="n">
        <v>14</v>
      </c>
    </row>
    <row r="551" ht="13" customHeight="1">
      <c r="A551" s="203" t="inlineStr">
        <is>
          <t>MP-05C_B</t>
        </is>
      </c>
      <c r="B551" s="305"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1" t="n"/>
      <c r="BL551" s="61" t="inlineStr">
        <is>
          <t>GMAP-SIGA</t>
        </is>
      </c>
      <c r="BM551" s="251" t="inlineStr">
        <is>
          <t>NF</t>
        </is>
      </c>
      <c r="BN551" s="337" t="inlineStr">
        <is>
          <t>Tranque</t>
        </is>
      </c>
      <c r="BO551" s="251" t="inlineStr">
        <is>
          <t>SI PAT TRANQUE</t>
        </is>
      </c>
      <c r="BP551" s="251" t="inlineStr">
        <is>
          <t>MP-5C_B/NF</t>
        </is>
      </c>
      <c r="BQ551" s="106">
        <f>VLOOKUP(BP551,[1]AGUA!$1:$1048576,2,FALSE)</f>
        <v/>
      </c>
      <c r="BR551" s="106">
        <f>VLOOKUP(BP551,[1]AGUA!$1:$1048576,6,FALSE)</f>
        <v/>
      </c>
      <c r="BS551" s="106">
        <f>VLOOKUP(BP551,[1]AGUA!$1:$1048576,7,FALSE)</f>
        <v/>
      </c>
      <c r="BT551" s="106" t="n"/>
      <c r="BU551" s="183" t="n"/>
      <c r="BV551" s="105" t="n"/>
      <c r="BY551" s="105" t="n"/>
      <c r="BZ551" s="105" t="n"/>
      <c r="CA551" s="105" t="n"/>
      <c r="CB551" s="105" t="n"/>
      <c r="CC551" s="142" t="n">
        <v>1</v>
      </c>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24">
        <f>+COUNTA(BV551:CY551)</f>
        <v/>
      </c>
      <c r="DA551" s="251" t="n"/>
      <c r="DB551" s="251" t="n"/>
      <c r="DC551" s="251" t="n"/>
      <c r="DD551" s="251" t="n"/>
      <c r="DE551" s="251" t="n"/>
      <c r="DF551" s="251" t="n"/>
      <c r="DG551" s="251" t="n"/>
      <c r="DH551" s="251" t="n"/>
      <c r="DI551" s="251" t="n"/>
      <c r="DJ551" s="251" t="inlineStr">
        <is>
          <t>M</t>
        </is>
      </c>
      <c r="DK551" s="251" t="n">
        <v>1</v>
      </c>
      <c r="DL551" s="95" t="n">
        <v>14</v>
      </c>
      <c r="DM551" s="251" t="n"/>
      <c r="DN551" s="95" t="n"/>
      <c r="DO551" s="95" t="n"/>
    </row>
    <row r="552" ht="13" customHeight="1">
      <c r="A552" s="203" t="inlineStr">
        <is>
          <t>MP-05C_B</t>
        </is>
      </c>
      <c r="B552" s="305"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1" t="n"/>
      <c r="BL552" s="61" t="inlineStr">
        <is>
          <t>GMAP-SIGA</t>
        </is>
      </c>
      <c r="BM552" s="251" t="inlineStr">
        <is>
          <t>ASUB</t>
        </is>
      </c>
      <c r="BN552" s="337" t="inlineStr">
        <is>
          <t>Tranque</t>
        </is>
      </c>
      <c r="BO552" s="251" t="inlineStr">
        <is>
          <t>SI PAT TRANQUE</t>
        </is>
      </c>
      <c r="BP552" s="251" t="inlineStr">
        <is>
          <t>MP-5C_B/ASUB</t>
        </is>
      </c>
      <c r="BQ552" s="106">
        <f>VLOOKUP(BP552,[1]AGUA!$1:$1048576,2,FALSE)</f>
        <v/>
      </c>
      <c r="BR552" s="106">
        <f>VLOOKUP(BP552,[1]AGUA!$1:$1048576,6,FALSE)</f>
        <v/>
      </c>
      <c r="BS552" s="106">
        <f>VLOOKUP(BP552,[1]AGUA!$1:$1048576,7,FALSE)</f>
        <v/>
      </c>
      <c r="BT552" s="106" t="n"/>
      <c r="BU552" s="183" t="n"/>
      <c r="BV552" s="105" t="n"/>
      <c r="BY552" s="105" t="n"/>
      <c r="BZ552" s="105" t="n"/>
      <c r="CA552" s="105" t="n"/>
      <c r="CB552" s="105" t="n"/>
      <c r="CC552" s="107" t="n">
        <v>1</v>
      </c>
      <c r="CD552" s="105" t="n"/>
      <c r="CE552" s="105" t="n"/>
      <c r="CF552" s="105"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24">
        <f>+COUNTA(BV552:CY552)</f>
        <v/>
      </c>
      <c r="DA552" s="251" t="n"/>
      <c r="DB552" s="251" t="n"/>
      <c r="DC552" s="251" t="n"/>
      <c r="DD552" s="251" t="n"/>
      <c r="DE552" s="251" t="n"/>
      <c r="DF552" s="251" t="n"/>
      <c r="DG552" s="251" t="n"/>
      <c r="DH552" s="251" t="n"/>
      <c r="DI552" s="251" t="n"/>
      <c r="DJ552" s="251" t="n"/>
      <c r="DK552" s="251" t="n"/>
      <c r="DL552" s="95" t="n"/>
      <c r="DM552" s="251" t="inlineStr">
        <is>
          <t>M</t>
        </is>
      </c>
      <c r="DN552" s="251" t="n">
        <v>1</v>
      </c>
      <c r="DO552" s="95" t="n">
        <v>14</v>
      </c>
    </row>
    <row r="553" ht="13" customHeight="1">
      <c r="A553" s="203" t="inlineStr">
        <is>
          <t>MP-06A</t>
        </is>
      </c>
      <c r="B553" s="305"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1" t="n"/>
      <c r="BL553" s="61" t="inlineStr">
        <is>
          <t>GMAP-SIGA</t>
        </is>
      </c>
      <c r="BM553" s="251" t="inlineStr">
        <is>
          <t>NF</t>
        </is>
      </c>
      <c r="BN553" s="337" t="inlineStr">
        <is>
          <t>Tranque</t>
        </is>
      </c>
      <c r="BO553" s="251" t="inlineStr">
        <is>
          <t>SI PAT TRANQUE</t>
        </is>
      </c>
      <c r="BP553" s="251" t="inlineStr">
        <is>
          <t>MP-6A/NF</t>
        </is>
      </c>
      <c r="BQ553" s="106">
        <f>VLOOKUP(BP553,[1]AGUA!$1:$1048576,2,FALSE)</f>
        <v/>
      </c>
      <c r="BR553" s="106">
        <f>VLOOKUP(BP553,[1]AGUA!$1:$1048576,6,FALSE)</f>
        <v/>
      </c>
      <c r="BS553" s="106">
        <f>VLOOKUP(BP553,[1]AGUA!$1:$1048576,7,FALSE)</f>
        <v/>
      </c>
      <c r="BT553" s="106" t="n"/>
      <c r="BU553" s="183" t="n"/>
      <c r="BV553" s="105" t="n"/>
      <c r="BY553" s="105" t="n"/>
      <c r="BZ553" s="105" t="n"/>
      <c r="CA553" s="105" t="n"/>
      <c r="CB553" s="105" t="n"/>
      <c r="CD553" s="142" t="n">
        <v>1</v>
      </c>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24">
        <f>+COUNTA(BV553:CY553)</f>
        <v/>
      </c>
      <c r="DA553" s="251" t="n"/>
      <c r="DB553" s="251" t="n"/>
      <c r="DC553" s="251" t="n"/>
      <c r="DD553" s="251" t="n"/>
      <c r="DE553" s="251" t="n"/>
      <c r="DF553" s="251" t="n"/>
      <c r="DG553" s="251" t="n"/>
      <c r="DH553" s="251" t="n"/>
      <c r="DI553" s="251" t="n"/>
      <c r="DJ553" s="251" t="inlineStr">
        <is>
          <t>M</t>
        </is>
      </c>
      <c r="DK553" s="251" t="n">
        <v>1</v>
      </c>
      <c r="DL553" s="95" t="n">
        <v>14</v>
      </c>
      <c r="DM553" s="251" t="n"/>
      <c r="DN553" s="95" t="n"/>
      <c r="DO553" s="95" t="n"/>
    </row>
    <row r="554" ht="13" customHeight="1">
      <c r="A554" s="203" t="inlineStr">
        <is>
          <t>MP-06A</t>
        </is>
      </c>
      <c r="B554" s="305"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1" t="n"/>
      <c r="BL554" s="61" t="inlineStr">
        <is>
          <t>GMAP-SIGA</t>
        </is>
      </c>
      <c r="BM554" s="251" t="inlineStr">
        <is>
          <t>ASUB</t>
        </is>
      </c>
      <c r="BN554" s="337" t="inlineStr">
        <is>
          <t>Tranque</t>
        </is>
      </c>
      <c r="BO554" s="251" t="inlineStr">
        <is>
          <t>SI PAT TRANQUE</t>
        </is>
      </c>
      <c r="BP554" s="251" t="inlineStr">
        <is>
          <t>MP-6A/ASUB</t>
        </is>
      </c>
      <c r="BQ554" s="106">
        <f>VLOOKUP(BP554,[1]AGUA!$1:$1048576,2,FALSE)</f>
        <v/>
      </c>
      <c r="BR554" s="106">
        <f>VLOOKUP(BP554,[1]AGUA!$1:$1048576,6,FALSE)</f>
        <v/>
      </c>
      <c r="BS554" s="106">
        <f>VLOOKUP(BP554,[1]AGUA!$1:$1048576,7,FALSE)</f>
        <v/>
      </c>
      <c r="BT554" s="106" t="n"/>
      <c r="BU554" s="183" t="n"/>
      <c r="BV554" s="105" t="n"/>
      <c r="BY554" s="105" t="n"/>
      <c r="BZ554" s="105" t="n"/>
      <c r="CA554" s="105" t="n"/>
      <c r="CB554" s="105" t="n"/>
      <c r="CD554" s="107" t="n">
        <v>1</v>
      </c>
      <c r="CE554" s="105" t="n"/>
      <c r="CF554" s="105" t="n"/>
      <c r="CG554" s="105"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24">
        <f>+COUNTA(BV554:CY554)</f>
        <v/>
      </c>
      <c r="DA554" s="251" t="n"/>
      <c r="DB554" s="251" t="n"/>
      <c r="DC554" s="251" t="n"/>
      <c r="DD554" s="251" t="n"/>
      <c r="DE554" s="251" t="n"/>
      <c r="DF554" s="251" t="n"/>
      <c r="DG554" s="251" t="n"/>
      <c r="DH554" s="251" t="n"/>
      <c r="DI554" s="251" t="n"/>
      <c r="DJ554" s="251" t="n"/>
      <c r="DK554" s="251" t="n"/>
      <c r="DL554" s="95" t="n"/>
      <c r="DM554" s="251" t="inlineStr">
        <is>
          <t>M</t>
        </is>
      </c>
      <c r="DN554" s="251" t="n">
        <v>1</v>
      </c>
      <c r="DO554" s="95" t="n">
        <v>14</v>
      </c>
    </row>
    <row r="555" ht="13" customHeight="1">
      <c r="A555" s="203" t="inlineStr">
        <is>
          <t>MP-06B</t>
        </is>
      </c>
      <c r="B555" s="305"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1" t="n"/>
      <c r="BL555" s="61" t="inlineStr">
        <is>
          <t>GMAP-SIGA</t>
        </is>
      </c>
      <c r="BM555" s="251" t="inlineStr">
        <is>
          <t>NF</t>
        </is>
      </c>
      <c r="BN555" s="337" t="inlineStr">
        <is>
          <t>Tranque</t>
        </is>
      </c>
      <c r="BO555" s="251" t="inlineStr">
        <is>
          <t>SI PAT TRANQUE</t>
        </is>
      </c>
      <c r="BP555" s="251" t="inlineStr">
        <is>
          <t>MP-6B/NF</t>
        </is>
      </c>
      <c r="BQ555" s="106">
        <f>VLOOKUP(BP555,[1]AGUA!$1:$1048576,2,FALSE)</f>
        <v/>
      </c>
      <c r="BR555" s="106">
        <f>VLOOKUP(BP555,[1]AGUA!$1:$1048576,6,FALSE)</f>
        <v/>
      </c>
      <c r="BS555" s="106">
        <f>VLOOKUP(BP555,[1]AGUA!$1:$1048576,7,FALSE)</f>
        <v/>
      </c>
      <c r="BT555" s="106" t="n"/>
      <c r="BU555" s="183" t="n"/>
      <c r="BV555" s="105" t="n"/>
      <c r="BY555" s="105" t="n"/>
      <c r="BZ555" s="105" t="n"/>
      <c r="CA555" s="105" t="n"/>
      <c r="CB555" s="105" t="n"/>
      <c r="CD555" s="142" t="n">
        <v>1</v>
      </c>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24">
        <f>+COUNTA(BV555:CY555)</f>
        <v/>
      </c>
      <c r="DA555" s="251" t="n"/>
      <c r="DB555" s="251" t="n"/>
      <c r="DC555" s="251" t="n"/>
      <c r="DD555" s="251" t="n"/>
      <c r="DE555" s="251" t="n"/>
      <c r="DF555" s="251" t="n"/>
      <c r="DG555" s="251" t="n"/>
      <c r="DH555" s="251" t="n"/>
      <c r="DI555" s="251" t="n"/>
      <c r="DJ555" s="251" t="n"/>
      <c r="DK555" s="251" t="n"/>
      <c r="DL555" s="95" t="n"/>
      <c r="DM555" s="251" t="n"/>
      <c r="DN555" s="251" t="n"/>
      <c r="DO555" s="95" t="n"/>
    </row>
    <row r="556" ht="13" customHeight="1">
      <c r="A556" s="203" t="inlineStr">
        <is>
          <t>MP-06B</t>
        </is>
      </c>
      <c r="B556" s="305"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1" t="n"/>
      <c r="BL556" s="61" t="inlineStr">
        <is>
          <t>GMAP-SIGA</t>
        </is>
      </c>
      <c r="BM556" s="251" t="inlineStr">
        <is>
          <t>ASUB</t>
        </is>
      </c>
      <c r="BN556" s="337" t="inlineStr">
        <is>
          <t>Tranque</t>
        </is>
      </c>
      <c r="BO556" s="251" t="inlineStr">
        <is>
          <t>SI PAT TRANQUE</t>
        </is>
      </c>
      <c r="BP556" s="251" t="inlineStr">
        <is>
          <t>MP-6B/ASUB</t>
        </is>
      </c>
      <c r="BQ556" s="106">
        <f>VLOOKUP(BP556,[1]AGUA!$1:$1048576,2,FALSE)</f>
        <v/>
      </c>
      <c r="BR556" s="106">
        <f>VLOOKUP(BP556,[1]AGUA!$1:$1048576,6,FALSE)</f>
        <v/>
      </c>
      <c r="BS556" s="106">
        <f>VLOOKUP(BP556,[1]AGUA!$1:$1048576,7,FALSE)</f>
        <v/>
      </c>
      <c r="BT556" s="106" t="n"/>
      <c r="BU556" s="183" t="n"/>
      <c r="BV556" s="105" t="n"/>
      <c r="BY556" s="105" t="n"/>
      <c r="BZ556" s="105" t="n"/>
      <c r="CA556" s="105" t="n"/>
      <c r="CB556" s="105" t="n"/>
      <c r="CD556" s="107" t="n">
        <v>1</v>
      </c>
      <c r="CE556" s="105" t="n"/>
      <c r="CF556" s="105" t="n"/>
      <c r="CG556" s="105"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24">
        <f>+COUNTA(BV556:CY556)</f>
        <v/>
      </c>
      <c r="DA556" s="251" t="n"/>
      <c r="DB556" s="251" t="n"/>
      <c r="DC556" s="251" t="n"/>
      <c r="DD556" s="251" t="n"/>
      <c r="DE556" s="251" t="n"/>
      <c r="DF556" s="251" t="n"/>
      <c r="DG556" s="251" t="n"/>
      <c r="DH556" s="251" t="n"/>
      <c r="DI556" s="251" t="n"/>
      <c r="DJ556" s="251" t="n"/>
      <c r="DK556" s="251" t="n"/>
      <c r="DL556" s="95" t="n"/>
      <c r="DM556" s="251" t="n"/>
      <c r="DN556" s="251" t="n"/>
      <c r="DO556" s="95" t="n"/>
    </row>
    <row r="557" ht="13" customHeight="1">
      <c r="A557" s="203" t="inlineStr">
        <is>
          <t>MP-06C</t>
        </is>
      </c>
      <c r="B557" s="305"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1" t="n"/>
      <c r="BL557" s="61" t="inlineStr">
        <is>
          <t>GMAP-SIGA</t>
        </is>
      </c>
      <c r="BM557" s="251" t="inlineStr">
        <is>
          <t>NF</t>
        </is>
      </c>
      <c r="BN557" s="337" t="inlineStr">
        <is>
          <t>Tranque</t>
        </is>
      </c>
      <c r="BO557" s="251" t="inlineStr">
        <is>
          <t>SI PAT TRANQUE</t>
        </is>
      </c>
      <c r="BP557" s="251" t="inlineStr">
        <is>
          <t>MP-6C/NF</t>
        </is>
      </c>
      <c r="BQ557" s="106">
        <f>VLOOKUP(BP557,[1]AGUA!$1:$1048576,2,FALSE)</f>
        <v/>
      </c>
      <c r="BR557" s="106">
        <f>VLOOKUP(BP557,[1]AGUA!$1:$1048576,6,FALSE)</f>
        <v/>
      </c>
      <c r="BS557" s="106">
        <f>VLOOKUP(BP557,[1]AGUA!$1:$1048576,7,FALSE)</f>
        <v/>
      </c>
      <c r="BT557" s="106" t="n"/>
      <c r="BU557" s="101" t="n"/>
      <c r="BV557" s="105" t="n"/>
      <c r="BY557" s="105" t="n"/>
      <c r="BZ557" s="105" t="n"/>
      <c r="CA557" s="105" t="n"/>
      <c r="CB557" s="105" t="n"/>
      <c r="CD557" s="142" t="n">
        <v>1</v>
      </c>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24">
        <f>+COUNTA(BV557:CY557)</f>
        <v/>
      </c>
      <c r="DA557" s="251" t="n"/>
      <c r="DB557" s="251" t="n"/>
      <c r="DC557" s="251" t="n"/>
      <c r="DD557" s="251" t="n"/>
      <c r="DE557" s="251" t="n"/>
      <c r="DF557" s="251" t="n"/>
      <c r="DG557" s="251" t="n"/>
      <c r="DH557" s="251" t="n"/>
      <c r="DI557" s="251" t="n"/>
      <c r="DJ557" s="251" t="inlineStr">
        <is>
          <t>M</t>
        </is>
      </c>
      <c r="DK557" s="251" t="n">
        <v>1</v>
      </c>
      <c r="DL557" s="95" t="n">
        <v>14</v>
      </c>
      <c r="DM557" s="251" t="n"/>
      <c r="DN557" s="95" t="n"/>
      <c r="DO557" s="95" t="n"/>
    </row>
    <row r="558" ht="13" customHeight="1">
      <c r="A558" s="203" t="inlineStr">
        <is>
          <t>MP-06C</t>
        </is>
      </c>
      <c r="B558" s="305"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1" t="n"/>
      <c r="BL558" s="61" t="inlineStr">
        <is>
          <t>GMAP-SIGA</t>
        </is>
      </c>
      <c r="BM558" s="251" t="inlineStr">
        <is>
          <t>ASUB</t>
        </is>
      </c>
      <c r="BN558" s="337" t="inlineStr">
        <is>
          <t>Tranque</t>
        </is>
      </c>
      <c r="BO558" s="251" t="inlineStr">
        <is>
          <t>SI PAT TRANQUE</t>
        </is>
      </c>
      <c r="BP558" s="251" t="inlineStr">
        <is>
          <t>MP-6C/ASUB</t>
        </is>
      </c>
      <c r="BQ558" s="106">
        <f>VLOOKUP(BP558,[1]AGUA!$1:$1048576,2,FALSE)</f>
        <v/>
      </c>
      <c r="BR558" s="106">
        <f>VLOOKUP(BP558,[1]AGUA!$1:$1048576,6,FALSE)</f>
        <v/>
      </c>
      <c r="BS558" s="106">
        <f>VLOOKUP(BP558,[1]AGUA!$1:$1048576,7,FALSE)</f>
        <v/>
      </c>
      <c r="BT558" s="106" t="n"/>
      <c r="BU558" s="101" t="n"/>
      <c r="BV558" s="105" t="n"/>
      <c r="BY558" s="105" t="n"/>
      <c r="BZ558" s="105" t="n"/>
      <c r="CA558" s="105" t="n"/>
      <c r="CB558" s="105" t="n"/>
      <c r="CD558" s="107" t="n">
        <v>1</v>
      </c>
      <c r="CE558" s="105" t="n"/>
      <c r="CF558" s="105" t="n"/>
      <c r="CG558" s="105"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24">
        <f>+COUNTA(BV558:CY558)</f>
        <v/>
      </c>
      <c r="DA558" s="251" t="n"/>
      <c r="DB558" s="251" t="n"/>
      <c r="DC558" s="251" t="n"/>
      <c r="DD558" s="251" t="n"/>
      <c r="DE558" s="251" t="n"/>
      <c r="DF558" s="251" t="n"/>
      <c r="DG558" s="251" t="n"/>
      <c r="DH558" s="251" t="n"/>
      <c r="DI558" s="251" t="n"/>
      <c r="DJ558" s="251" t="n"/>
      <c r="DK558" s="251" t="n"/>
      <c r="DL558" s="95" t="n"/>
      <c r="DM558" s="251" t="inlineStr">
        <is>
          <t>M</t>
        </is>
      </c>
      <c r="DN558" s="251" t="n">
        <v>1</v>
      </c>
      <c r="DO558" s="95" t="n">
        <v>14</v>
      </c>
    </row>
    <row r="559" ht="13.5" customHeight="1">
      <c r="A559" s="203" t="inlineStr">
        <is>
          <t>MP-07A</t>
        </is>
      </c>
      <c r="B559" s="305"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1" t="n"/>
      <c r="BL559" s="61" t="inlineStr">
        <is>
          <t>GMAP-SIGA</t>
        </is>
      </c>
      <c r="BM559" s="251" t="inlineStr">
        <is>
          <t>NF</t>
        </is>
      </c>
      <c r="BN559" s="337" t="inlineStr">
        <is>
          <t>Tranque</t>
        </is>
      </c>
      <c r="BO559" s="251" t="inlineStr">
        <is>
          <t>SI PAT TRANQUE</t>
        </is>
      </c>
      <c r="BP559" s="251" t="inlineStr">
        <is>
          <t>MP-07A/NF</t>
        </is>
      </c>
      <c r="BQ559" s="106">
        <f>VLOOKUP(BP559,[1]AGUA!$1:$1048576,2,FALSE)</f>
        <v/>
      </c>
      <c r="BR559" s="106">
        <f>VLOOKUP(BP559,[1]AGUA!$1:$1048576,6,FALSE)</f>
        <v/>
      </c>
      <c r="BS559" s="106">
        <f>VLOOKUP(BP559,[1]AGUA!$1:$1048576,7,FALSE)</f>
        <v/>
      </c>
      <c r="BT559" s="106" t="n"/>
      <c r="BU559" s="101" t="n"/>
      <c r="BV559" s="142" t="inlineStr">
        <is>
          <t>R</t>
        </is>
      </c>
      <c r="BW559" s="105" t="n"/>
      <c r="BX559" s="105" t="n"/>
      <c r="BZ559" s="105" t="n"/>
      <c r="CA559" s="105" t="n"/>
      <c r="CB559" s="105" t="n"/>
      <c r="CC559" s="105" t="n"/>
      <c r="CD559" s="105" t="n"/>
      <c r="CE559" s="105" t="n"/>
      <c r="CF559" s="105" t="n"/>
      <c r="CG559" s="105"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24">
        <f>+COUNTA(BW559:CY559)</f>
        <v/>
      </c>
      <c r="DA559" s="251" t="n"/>
      <c r="DB559" s="251" t="n"/>
      <c r="DC559" s="251" t="n"/>
      <c r="DD559" s="251" t="n"/>
      <c r="DE559" s="251" t="n"/>
      <c r="DF559" s="251" t="n"/>
      <c r="DG559" s="251" t="n"/>
      <c r="DH559" s="251" t="n"/>
      <c r="DI559" s="251" t="n"/>
      <c r="DJ559" s="251" t="inlineStr">
        <is>
          <t>M</t>
        </is>
      </c>
      <c r="DK559" s="251" t="n">
        <v>1</v>
      </c>
      <c r="DL559" s="95" t="n">
        <v>14</v>
      </c>
      <c r="DM559" s="251" t="n"/>
      <c r="DN559" s="95" t="n"/>
      <c r="DO559" s="95" t="n"/>
    </row>
    <row r="560" ht="13" customHeight="1">
      <c r="A560" s="203" t="inlineStr">
        <is>
          <t>MP-07A</t>
        </is>
      </c>
      <c r="B560" s="305"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1" t="n"/>
      <c r="BL560" s="61" t="inlineStr">
        <is>
          <t>GMAP-SIGA</t>
        </is>
      </c>
      <c r="BM560" s="251" t="inlineStr">
        <is>
          <t>ASUB</t>
        </is>
      </c>
      <c r="BN560" s="337" t="inlineStr">
        <is>
          <t>Tranque</t>
        </is>
      </c>
      <c r="BO560" s="251" t="inlineStr">
        <is>
          <t>SI PAT TRANQUE</t>
        </is>
      </c>
      <c r="BP560" s="251" t="inlineStr">
        <is>
          <t>MP-07A/ASUB</t>
        </is>
      </c>
      <c r="BQ560" s="106">
        <f>VLOOKUP(BP560,[1]AGUA!$1:$1048576,2,FALSE)</f>
        <v/>
      </c>
      <c r="BR560" s="106">
        <f>VLOOKUP(BP560,[1]AGUA!$1:$1048576,6,FALSE)</f>
        <v/>
      </c>
      <c r="BS560" s="106">
        <f>VLOOKUP(BP560,[1]AGUA!$1:$1048576,7,FALSE)</f>
        <v/>
      </c>
      <c r="BT560" s="106" t="n"/>
      <c r="BU560" s="101" t="n"/>
      <c r="BV560" s="107" t="inlineStr">
        <is>
          <t>R</t>
        </is>
      </c>
      <c r="BW560" s="105" t="n"/>
      <c r="BX560" s="105" t="n"/>
      <c r="BY560" s="105" t="n"/>
      <c r="BZ560" s="105" t="n"/>
      <c r="CA560" s="105" t="n"/>
      <c r="CB560" s="105" t="n"/>
      <c r="CC560" s="105" t="n"/>
      <c r="CD560" s="105" t="n"/>
      <c r="CE560" s="105" t="n"/>
      <c r="CF560" s="105" t="n"/>
      <c r="CG560" s="105"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24">
        <f>+COUNTA(BV560:CY560)</f>
        <v/>
      </c>
      <c r="DA560" s="251" t="n"/>
      <c r="DB560" s="251" t="n"/>
      <c r="DC560" s="251" t="n"/>
      <c r="DD560" s="251" t="n"/>
      <c r="DE560" s="251" t="n"/>
      <c r="DF560" s="251" t="n"/>
      <c r="DG560" s="251" t="n"/>
      <c r="DH560" s="251" t="n"/>
      <c r="DI560" s="251" t="n"/>
      <c r="DJ560" s="251" t="n"/>
      <c r="DK560" s="251" t="n"/>
      <c r="DL560" s="95" t="n"/>
      <c r="DM560" s="251" t="inlineStr">
        <is>
          <t>M</t>
        </is>
      </c>
      <c r="DN560" s="251" t="n">
        <v>1</v>
      </c>
      <c r="DO560" s="95" t="n">
        <v>14</v>
      </c>
    </row>
    <row r="561" ht="13" customHeight="1">
      <c r="A561" s="203" t="inlineStr">
        <is>
          <t>MP-07B_C</t>
        </is>
      </c>
      <c r="B561" s="305"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1" t="n"/>
      <c r="BL561" s="61" t="inlineStr">
        <is>
          <t>GMAP-SIGA</t>
        </is>
      </c>
      <c r="BM561" s="251" t="inlineStr">
        <is>
          <t>NF</t>
        </is>
      </c>
      <c r="BN561" s="337" t="inlineStr">
        <is>
          <t>Tranque</t>
        </is>
      </c>
      <c r="BO561" s="251" t="inlineStr">
        <is>
          <t>SI PAT TRANQUE</t>
        </is>
      </c>
      <c r="BP561" s="251" t="inlineStr">
        <is>
          <t>POZO MP-07B_C/NF</t>
        </is>
      </c>
      <c r="BQ561" s="106">
        <f>VLOOKUP(BP561,[1]AGUA!$1:$1048576,2,FALSE)</f>
        <v/>
      </c>
      <c r="BR561" s="106">
        <f>VLOOKUP(BP561,[1]AGUA!$1:$1048576,6,FALSE)</f>
        <v/>
      </c>
      <c r="BS561" s="106">
        <f>VLOOKUP(BP561,[1]AGUA!$1:$1048576,7,FALSE)</f>
        <v/>
      </c>
      <c r="BT561" s="106" t="n"/>
      <c r="BU561" s="101" t="inlineStr">
        <is>
          <t>PRIMER MONITOREO Marzo</t>
        </is>
      </c>
      <c r="BV561" s="142" t="inlineStr">
        <is>
          <t>R</t>
        </is>
      </c>
      <c r="BW561" s="105" t="n"/>
      <c r="BX561" s="105" t="n"/>
      <c r="BY561" s="105" t="n"/>
      <c r="BZ561" s="105" t="n"/>
      <c r="CA561" s="105" t="n"/>
      <c r="CB561" s="105" t="n"/>
      <c r="CC561" s="105" t="n"/>
      <c r="CD561" s="105" t="n"/>
      <c r="CE561" s="105" t="n"/>
      <c r="CF561" s="105" t="n"/>
      <c r="CG561" s="105"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24">
        <f>+COUNTA(BV561:CY561)</f>
        <v/>
      </c>
      <c r="DA561" s="251" t="n"/>
      <c r="DB561" s="251" t="n"/>
      <c r="DC561" s="251" t="n"/>
      <c r="DD561" s="251" t="n"/>
      <c r="DE561" s="251" t="n"/>
      <c r="DF561" s="251" t="n"/>
      <c r="DG561" s="251" t="n"/>
      <c r="DH561" s="251" t="n"/>
      <c r="DI561" s="251" t="n"/>
      <c r="DJ561" s="251" t="inlineStr">
        <is>
          <t>M</t>
        </is>
      </c>
      <c r="DK561" s="251" t="n">
        <v>1</v>
      </c>
      <c r="DL561" s="95" t="n">
        <v>14</v>
      </c>
      <c r="DM561" s="251" t="n"/>
      <c r="DN561" s="95" t="n"/>
      <c r="DO561" s="95" t="n"/>
    </row>
    <row r="562" ht="13" customHeight="1">
      <c r="A562" s="203" t="inlineStr">
        <is>
          <t>MP-07B_C</t>
        </is>
      </c>
      <c r="B562" s="305"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1" t="n"/>
      <c r="BL562" s="61" t="inlineStr">
        <is>
          <t>GMAP-SIGA</t>
        </is>
      </c>
      <c r="BM562" s="251" t="inlineStr">
        <is>
          <t>ASUB</t>
        </is>
      </c>
      <c r="BN562" s="337" t="inlineStr">
        <is>
          <t>tranque</t>
        </is>
      </c>
      <c r="BO562" s="251" t="inlineStr">
        <is>
          <t>SI PAT TRANQUE</t>
        </is>
      </c>
      <c r="BP562" s="251"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07" t="inlineStr">
        <is>
          <t>R</t>
        </is>
      </c>
      <c r="BW562" s="105" t="n"/>
      <c r="BX562" s="105" t="n"/>
      <c r="BY562" s="105" t="n"/>
      <c r="BZ562" s="105" t="n"/>
      <c r="CA562" s="105" t="n"/>
      <c r="CB562" s="105" t="n"/>
      <c r="CC562" s="105" t="n"/>
      <c r="CD562" s="105" t="n"/>
      <c r="CE562" s="105" t="n"/>
      <c r="CF562" s="105" t="n"/>
      <c r="CG562" s="105"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24">
        <f>+COUNTA(BV562:CY562)</f>
        <v/>
      </c>
      <c r="DA562" s="251" t="n"/>
      <c r="DB562" s="251" t="n"/>
      <c r="DC562" s="251" t="n"/>
      <c r="DD562" s="251" t="n"/>
      <c r="DE562" s="251" t="n"/>
      <c r="DF562" s="251" t="n"/>
      <c r="DG562" s="251" t="n"/>
      <c r="DH562" s="251" t="n"/>
      <c r="DI562" s="251" t="n"/>
      <c r="DJ562" s="251" t="n"/>
      <c r="DK562" s="251" t="n"/>
      <c r="DL562" s="95" t="n"/>
      <c r="DM562" s="251" t="inlineStr">
        <is>
          <t>M</t>
        </is>
      </c>
      <c r="DN562" s="251" t="n">
        <v>1</v>
      </c>
      <c r="DO562" s="95" t="n">
        <v>14</v>
      </c>
    </row>
    <row r="563" ht="12.5" customHeight="1">
      <c r="A563" s="203" t="inlineStr">
        <is>
          <t>MP-07C</t>
        </is>
      </c>
      <c r="B563" s="305"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2" t="inlineStr">
        <is>
          <t>530WLMP07</t>
        </is>
      </c>
      <c r="BL563" s="7" t="inlineStr">
        <is>
          <t>GMAP-SIGA</t>
        </is>
      </c>
      <c r="BM563" s="251" t="inlineStr">
        <is>
          <t>NF</t>
        </is>
      </c>
      <c r="BN563" s="337" t="inlineStr">
        <is>
          <t>Tranque</t>
        </is>
      </c>
      <c r="BO563" s="251"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42" t="inlineStr">
        <is>
          <t>R</t>
        </is>
      </c>
      <c r="BW563" s="105" t="n"/>
      <c r="BX563" s="105" t="n"/>
      <c r="BY563" s="105" t="n"/>
      <c r="BZ563" s="105" t="n"/>
      <c r="CA563" s="105" t="n"/>
      <c r="CB563" s="105" t="n"/>
      <c r="CC563" s="105" t="n"/>
      <c r="CD563" s="105" t="n"/>
      <c r="CE563" s="105" t="n"/>
      <c r="CF563" s="105" t="n"/>
      <c r="CG563" s="105"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24">
        <f>+COUNTA(BV563:CY563)</f>
        <v/>
      </c>
      <c r="DA563" s="251" t="n"/>
      <c r="DB563" s="251" t="n"/>
      <c r="DC563" s="251" t="n"/>
      <c r="DD563" s="251" t="n"/>
      <c r="DE563" s="251" t="n"/>
      <c r="DF563" s="251" t="n"/>
      <c r="DG563" s="251" t="n"/>
      <c r="DH563" s="251" t="n"/>
      <c r="DI563" s="251" t="n"/>
      <c r="DJ563" s="251" t="inlineStr">
        <is>
          <t>M</t>
        </is>
      </c>
      <c r="DK563" s="251" t="n">
        <v>1</v>
      </c>
      <c r="DL563" s="95" t="n">
        <v>14</v>
      </c>
      <c r="DM563" s="251" t="n"/>
      <c r="DN563" s="95" t="n"/>
      <c r="DO563" s="95" t="n"/>
    </row>
    <row r="564" ht="13" customHeight="1">
      <c r="A564" s="203" t="inlineStr">
        <is>
          <t>MP-07C</t>
        </is>
      </c>
      <c r="B564" s="305"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2" t="inlineStr">
        <is>
          <t>530WLMP07</t>
        </is>
      </c>
      <c r="BL564" s="7" t="inlineStr">
        <is>
          <t>GMAP-SIGA</t>
        </is>
      </c>
      <c r="BM564" s="251" t="inlineStr">
        <is>
          <t>ASUB</t>
        </is>
      </c>
      <c r="BN564" s="337" t="inlineStr">
        <is>
          <t>Tranque</t>
        </is>
      </c>
      <c r="BO564" s="251"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07" t="inlineStr">
        <is>
          <t>R</t>
        </is>
      </c>
      <c r="BW564" s="105" t="n"/>
      <c r="BX564" s="105" t="n"/>
      <c r="BY564" s="105" t="n"/>
      <c r="BZ564" s="105" t="n"/>
      <c r="CA564" s="105" t="n"/>
      <c r="CB564" s="105" t="n"/>
      <c r="CC564" s="105" t="n"/>
      <c r="CD564" s="105" t="n"/>
      <c r="CE564" s="105" t="n"/>
      <c r="CF564" s="105" t="n"/>
      <c r="CG564" s="105"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24">
        <f>+COUNTA(BV564:CY564)</f>
        <v/>
      </c>
      <c r="DA564" s="251" t="n"/>
      <c r="DB564" s="251" t="n"/>
      <c r="DC564" s="251" t="n"/>
      <c r="DD564" s="251" t="n"/>
      <c r="DE564" s="251" t="n"/>
      <c r="DF564" s="251" t="n"/>
      <c r="DG564" s="251" t="n"/>
      <c r="DH564" s="251" t="n"/>
      <c r="DI564" s="251" t="n"/>
      <c r="DJ564" s="251" t="n"/>
      <c r="DK564" s="251" t="n"/>
      <c r="DL564" s="251" t="n"/>
      <c r="DM564" s="251" t="inlineStr">
        <is>
          <t>M</t>
        </is>
      </c>
      <c r="DN564" s="251" t="n">
        <v>1</v>
      </c>
      <c r="DO564" s="95" t="n">
        <v>14</v>
      </c>
    </row>
    <row r="565" ht="13" customHeight="1">
      <c r="A565" s="203" t="inlineStr">
        <is>
          <t>MP-08A</t>
        </is>
      </c>
      <c r="B565" s="305"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2" t="n"/>
      <c r="BL565" s="7" t="inlineStr">
        <is>
          <t>GMAP-SIGA</t>
        </is>
      </c>
      <c r="BM565" s="251" t="inlineStr">
        <is>
          <t>NF</t>
        </is>
      </c>
      <c r="BN565" s="337" t="inlineStr">
        <is>
          <t>Tranque</t>
        </is>
      </c>
      <c r="BO565" s="251" t="inlineStr">
        <is>
          <t>SI PAT TRANQUE</t>
        </is>
      </c>
      <c r="BP565" s="251" t="inlineStr">
        <is>
          <t>MP-8A/NF</t>
        </is>
      </c>
      <c r="BQ565" s="106">
        <f>VLOOKUP(BP565,[1]AGUA!$1:$1048576,2,FALSE)</f>
        <v/>
      </c>
      <c r="BR565" s="106">
        <f>VLOOKUP(BP565,[1]AGUA!$1:$1048576,6,FALSE)</f>
        <v/>
      </c>
      <c r="BS565" s="106">
        <f>VLOOKUP(BP565,[1]AGUA!$1:$1048576,7,FALSE)</f>
        <v/>
      </c>
      <c r="BT565" s="106" t="n"/>
      <c r="BU565" s="101" t="n"/>
      <c r="BV565" s="142" t="inlineStr">
        <is>
          <t>R</t>
        </is>
      </c>
      <c r="BW565" s="105" t="n"/>
      <c r="BX565" s="105" t="n"/>
      <c r="BY565" s="105" t="n"/>
      <c r="BZ565" s="105" t="n"/>
      <c r="CA565" s="105" t="n"/>
      <c r="CB565" s="105" t="n"/>
      <c r="CC565" s="105" t="n"/>
      <c r="CD565" s="105" t="n"/>
      <c r="CE565" s="105" t="n"/>
      <c r="CF565" s="105" t="n"/>
      <c r="CG565" s="105"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24">
        <f>+COUNTA(BV565:CY565)</f>
        <v/>
      </c>
      <c r="DA565" s="251" t="n"/>
      <c r="DB565" s="251" t="n"/>
      <c r="DC565" s="251" t="n"/>
      <c r="DD565" s="251" t="n"/>
      <c r="DE565" s="251" t="n"/>
      <c r="DF565" s="251" t="n"/>
      <c r="DG565" s="251" t="n"/>
      <c r="DH565" s="251" t="n"/>
      <c r="DI565" s="251" t="n"/>
      <c r="DJ565" s="251" t="inlineStr">
        <is>
          <t>M</t>
        </is>
      </c>
      <c r="DK565" s="251" t="n">
        <v>1</v>
      </c>
      <c r="DL565" s="95" t="n">
        <v>14</v>
      </c>
      <c r="DM565" s="251" t="n"/>
      <c r="DN565" s="95" t="n"/>
      <c r="DO565" s="95" t="n"/>
    </row>
    <row r="566" ht="12.5" customHeight="1">
      <c r="A566" s="203" t="inlineStr">
        <is>
          <t>MP-08A</t>
        </is>
      </c>
      <c r="B566" s="305"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2" t="n"/>
      <c r="BL566" s="7" t="inlineStr">
        <is>
          <t>GMAP-SIGA</t>
        </is>
      </c>
      <c r="BM566" s="251" t="inlineStr">
        <is>
          <t>ASUB</t>
        </is>
      </c>
      <c r="BN566" s="337" t="inlineStr">
        <is>
          <t>Tranque</t>
        </is>
      </c>
      <c r="BO566" s="251" t="inlineStr">
        <is>
          <t>SI PAT TRANQUE</t>
        </is>
      </c>
      <c r="BP566" s="251" t="inlineStr">
        <is>
          <t>MP-8A/ASUB</t>
        </is>
      </c>
      <c r="BQ566" s="106">
        <f>VLOOKUP(BP566,[1]AGUA!$1:$1048576,2,FALSE)</f>
        <v/>
      </c>
      <c r="BR566" s="106">
        <f>VLOOKUP(BP566,[1]AGUA!$1:$1048576,6,FALSE)</f>
        <v/>
      </c>
      <c r="BS566" s="106">
        <f>VLOOKUP(BP566,[1]AGUA!$1:$1048576,7,FALSE)</f>
        <v/>
      </c>
      <c r="BT566" s="106" t="n"/>
      <c r="BU566" s="101" t="n"/>
      <c r="BV566" s="107" t="inlineStr">
        <is>
          <t>R</t>
        </is>
      </c>
      <c r="BW566" s="105" t="n"/>
      <c r="BX566" s="105" t="n"/>
      <c r="BY566" s="105" t="n"/>
      <c r="BZ566" s="105" t="n"/>
      <c r="CA566" s="105" t="n"/>
      <c r="CB566" s="105" t="n"/>
      <c r="CC566" s="105" t="n"/>
      <c r="CD566" s="105" t="n"/>
      <c r="CE566" s="105" t="n"/>
      <c r="CF566" s="105" t="n"/>
      <c r="CG566" s="105"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24">
        <f>+COUNTA(BV566:CY566)</f>
        <v/>
      </c>
      <c r="DA566" s="251" t="n"/>
      <c r="DB566" s="251" t="n"/>
      <c r="DC566" s="251" t="n"/>
      <c r="DD566" s="251" t="n"/>
      <c r="DE566" s="251" t="n"/>
      <c r="DF566" s="251" t="n"/>
      <c r="DG566" s="251" t="n"/>
      <c r="DH566" s="251" t="n"/>
      <c r="DI566" s="251" t="n"/>
      <c r="DJ566" s="251" t="n"/>
      <c r="DK566" s="251" t="n"/>
      <c r="DL566" s="95" t="n"/>
      <c r="DM566" s="251" t="inlineStr">
        <is>
          <t>M</t>
        </is>
      </c>
      <c r="DN566" s="251" t="n">
        <v>1</v>
      </c>
      <c r="DO566" s="95" t="n">
        <v>14</v>
      </c>
    </row>
    <row r="567" ht="12.5" customHeight="1">
      <c r="A567" s="203" t="inlineStr">
        <is>
          <t>MP-08B_B</t>
        </is>
      </c>
      <c r="B567" s="305"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2" t="n"/>
      <c r="BL567" s="7" t="inlineStr">
        <is>
          <t>GMAP-SIGA</t>
        </is>
      </c>
      <c r="BM567" s="251" t="inlineStr">
        <is>
          <t>NF</t>
        </is>
      </c>
      <c r="BN567" s="337" t="inlineStr">
        <is>
          <t>Tranque</t>
        </is>
      </c>
      <c r="BO567" s="251" t="inlineStr">
        <is>
          <t>SI PAT TRANQUE</t>
        </is>
      </c>
      <c r="BP567" s="251" t="inlineStr">
        <is>
          <t>MP-8A/NF</t>
        </is>
      </c>
      <c r="BQ567" s="106">
        <f>VLOOKUP(BP567,[1]AGUA!$1:$1048576,2,FALSE)</f>
        <v/>
      </c>
      <c r="BR567" s="106">
        <f>VLOOKUP(BP567,[1]AGUA!$1:$1048576,6,FALSE)</f>
        <v/>
      </c>
      <c r="BS567" s="106">
        <f>VLOOKUP(BP567,[1]AGUA!$1:$1048576,7,FALSE)</f>
        <v/>
      </c>
      <c r="BT567" s="106" t="n"/>
      <c r="BU567" s="101" t="n"/>
      <c r="BV567" s="142" t="inlineStr">
        <is>
          <t>R</t>
        </is>
      </c>
      <c r="BW567" s="105" t="n"/>
      <c r="BX567" s="105" t="n"/>
      <c r="BY567" s="105" t="n"/>
      <c r="BZ567" s="105" t="n"/>
      <c r="CA567" s="105" t="n"/>
      <c r="CB567" s="105" t="n"/>
      <c r="CC567" s="105" t="n"/>
      <c r="CD567" s="105" t="n"/>
      <c r="CE567" s="105" t="n"/>
      <c r="CF567" s="105" t="n"/>
      <c r="CG567" s="105"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24">
        <f>+COUNTA(BV567:CY567)</f>
        <v/>
      </c>
      <c r="DA567" s="251" t="n"/>
      <c r="DB567" s="251" t="n"/>
      <c r="DC567" s="251" t="n"/>
      <c r="DD567" s="251" t="n"/>
      <c r="DE567" s="251" t="n"/>
      <c r="DF567" s="251" t="n"/>
      <c r="DG567" s="251" t="n"/>
      <c r="DH567" s="251" t="n"/>
      <c r="DI567" s="251" t="n"/>
      <c r="DJ567" s="251" t="inlineStr">
        <is>
          <t>M</t>
        </is>
      </c>
      <c r="DK567" s="251" t="n">
        <v>1</v>
      </c>
      <c r="DL567" s="95" t="n">
        <v>14</v>
      </c>
      <c r="DM567" s="251" t="n"/>
      <c r="DN567" s="95" t="n"/>
      <c r="DO567" s="95" t="n"/>
    </row>
    <row r="568" ht="12.5" customHeight="1">
      <c r="A568" s="203" t="inlineStr">
        <is>
          <t>MP-08B_B</t>
        </is>
      </c>
      <c r="B568" s="305"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2" t="n"/>
      <c r="BL568" s="7" t="inlineStr">
        <is>
          <t>GMAP-SIGA</t>
        </is>
      </c>
      <c r="BM568" s="251" t="inlineStr">
        <is>
          <t>ASUB</t>
        </is>
      </c>
      <c r="BN568" s="337" t="inlineStr">
        <is>
          <t>Tranque</t>
        </is>
      </c>
      <c r="BO568" s="251" t="inlineStr">
        <is>
          <t>SI PAT TRANQUE</t>
        </is>
      </c>
      <c r="BP568" s="251" t="inlineStr">
        <is>
          <t>MP-8A/ASUB</t>
        </is>
      </c>
      <c r="BQ568" s="106">
        <f>VLOOKUP(BP568,[1]AGUA!$1:$1048576,2,FALSE)</f>
        <v/>
      </c>
      <c r="BR568" s="106">
        <f>VLOOKUP(BP568,[1]AGUA!$1:$1048576,6,FALSE)</f>
        <v/>
      </c>
      <c r="BS568" s="106">
        <f>VLOOKUP(BP568,[1]AGUA!$1:$1048576,7,FALSE)</f>
        <v/>
      </c>
      <c r="BT568" s="106" t="n"/>
      <c r="BU568" s="101" t="n"/>
      <c r="BV568" s="107" t="inlineStr">
        <is>
          <t>R</t>
        </is>
      </c>
      <c r="BW568" s="105" t="n"/>
      <c r="BX568" s="105" t="n"/>
      <c r="BY568" s="105" t="n"/>
      <c r="BZ568" s="105" t="n"/>
      <c r="CA568" s="105" t="n"/>
      <c r="CB568" s="105" t="n"/>
      <c r="CC568" s="105" t="n"/>
      <c r="CD568" s="105" t="n"/>
      <c r="CE568" s="105" t="n"/>
      <c r="CF568" s="105" t="n"/>
      <c r="CG568" s="105"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24">
        <f>+COUNTA(BV568:CY568)</f>
        <v/>
      </c>
      <c r="DA568" s="251" t="n"/>
      <c r="DB568" s="251" t="n"/>
      <c r="DC568" s="251" t="n"/>
      <c r="DD568" s="251" t="n"/>
      <c r="DE568" s="251" t="n"/>
      <c r="DF568" s="251" t="n"/>
      <c r="DG568" s="251" t="n"/>
      <c r="DH568" s="251" t="n"/>
      <c r="DI568" s="251" t="n"/>
      <c r="DJ568" s="251" t="n"/>
      <c r="DK568" s="251" t="n"/>
      <c r="DL568" s="95" t="n"/>
      <c r="DM568" s="251" t="inlineStr">
        <is>
          <t>M</t>
        </is>
      </c>
      <c r="DN568" s="251" t="n">
        <v>1</v>
      </c>
      <c r="DO568" s="95" t="n">
        <v>14</v>
      </c>
    </row>
    <row r="569" ht="12.5" customHeight="1">
      <c r="A569" s="203" t="inlineStr">
        <is>
          <t>MP-08C</t>
        </is>
      </c>
      <c r="B569" s="305"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1" t="n"/>
      <c r="BL569" s="61" t="inlineStr">
        <is>
          <t>GMAP-SIGA</t>
        </is>
      </c>
      <c r="BM569" s="251" t="inlineStr">
        <is>
          <t>NF</t>
        </is>
      </c>
      <c r="BN569" s="337" t="inlineStr">
        <is>
          <t>Tranque</t>
        </is>
      </c>
      <c r="BO569" s="251" t="inlineStr">
        <is>
          <t>SI PAT TRANQUE</t>
        </is>
      </c>
      <c r="BP569" s="251" t="inlineStr">
        <is>
          <t>MP-8C/NF</t>
        </is>
      </c>
      <c r="BQ569" s="106">
        <f>VLOOKUP(BP569,[1]AGUA!$1:$1048576,2,FALSE)</f>
        <v/>
      </c>
      <c r="BR569" s="106">
        <f>VLOOKUP(BP569,[1]AGUA!$1:$1048576,6,FALSE)</f>
        <v/>
      </c>
      <c r="BS569" s="106">
        <f>VLOOKUP(BP569,[1]AGUA!$1:$1048576,7,FALSE)</f>
        <v/>
      </c>
      <c r="BT569" s="106" t="n"/>
      <c r="BU569" s="101" t="n"/>
      <c r="BV569" s="142" t="inlineStr">
        <is>
          <t>R</t>
        </is>
      </c>
      <c r="BW569" s="105" t="n"/>
      <c r="BX569" s="105" t="n"/>
      <c r="BY569" s="105" t="n"/>
      <c r="BZ569" s="105" t="n"/>
      <c r="CA569" s="105" t="n"/>
      <c r="CB569" s="105" t="n"/>
      <c r="CC569" s="105" t="n"/>
      <c r="CD569" s="105" t="n"/>
      <c r="CE569" s="105" t="n"/>
      <c r="CF569" s="105" t="n"/>
      <c r="CG569" s="105"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24">
        <f>+COUNTA(BV569:CY569)</f>
        <v/>
      </c>
      <c r="DA569" s="251" t="n"/>
      <c r="DB569" s="251" t="n"/>
      <c r="DC569" s="251" t="n"/>
      <c r="DD569" s="251" t="n"/>
      <c r="DE569" s="251" t="n"/>
      <c r="DF569" s="251" t="n"/>
      <c r="DG569" s="251" t="n"/>
      <c r="DH569" s="251" t="n"/>
      <c r="DI569" s="251" t="n"/>
      <c r="DJ569" s="251" t="inlineStr">
        <is>
          <t>M</t>
        </is>
      </c>
      <c r="DK569" s="251" t="n">
        <v>1</v>
      </c>
      <c r="DL569" s="95" t="n">
        <v>14</v>
      </c>
      <c r="DM569" s="251" t="n"/>
      <c r="DN569" s="95" t="n"/>
      <c r="DO569" s="95" t="n"/>
    </row>
    <row r="570" ht="13" customHeight="1">
      <c r="A570" s="203" t="inlineStr">
        <is>
          <t>MP-08C</t>
        </is>
      </c>
      <c r="B570" s="305"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1" t="n"/>
      <c r="BL570" s="61" t="inlineStr">
        <is>
          <t>GMAP-SIGA</t>
        </is>
      </c>
      <c r="BM570" s="251" t="inlineStr">
        <is>
          <t>ASUB</t>
        </is>
      </c>
      <c r="BN570" s="337" t="inlineStr">
        <is>
          <t>Tranque</t>
        </is>
      </c>
      <c r="BO570" s="251" t="inlineStr">
        <is>
          <t>SI PAT TRANQUE</t>
        </is>
      </c>
      <c r="BP570" s="251" t="inlineStr">
        <is>
          <t>MP-8C/ASUB</t>
        </is>
      </c>
      <c r="BQ570" s="106">
        <f>VLOOKUP(BP570,[1]AGUA!$1:$1048576,2,FALSE)</f>
        <v/>
      </c>
      <c r="BR570" s="106">
        <f>VLOOKUP(BP570,[1]AGUA!$1:$1048576,6,FALSE)</f>
        <v/>
      </c>
      <c r="BS570" s="106">
        <f>VLOOKUP(BP570,[1]AGUA!$1:$1048576,7,FALSE)</f>
        <v/>
      </c>
      <c r="BT570" s="106" t="n"/>
      <c r="BU570" s="101" t="n"/>
      <c r="BV570" s="107" t="inlineStr">
        <is>
          <t>R</t>
        </is>
      </c>
      <c r="BW570" s="105" t="n"/>
      <c r="BX570" s="105" t="n"/>
      <c r="BY570" s="105" t="n"/>
      <c r="BZ570" s="105" t="n"/>
      <c r="CA570" s="105" t="n"/>
      <c r="CB570" s="105" t="n"/>
      <c r="CC570" s="105" t="n"/>
      <c r="CD570" s="105" t="n"/>
      <c r="CE570" s="105" t="n"/>
      <c r="CF570" s="105" t="n"/>
      <c r="CG570" s="105"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24">
        <f>+COUNTA(BV570:CY570)</f>
        <v/>
      </c>
      <c r="DA570" s="251" t="n"/>
      <c r="DB570" s="251" t="n"/>
      <c r="DC570" s="251" t="n"/>
      <c r="DD570" s="251" t="n"/>
      <c r="DE570" s="251" t="n"/>
      <c r="DF570" s="251" t="n"/>
      <c r="DG570" s="251" t="n"/>
      <c r="DH570" s="251" t="n"/>
      <c r="DI570" s="251" t="n"/>
      <c r="DJ570" s="251" t="n"/>
      <c r="DK570" s="251" t="n"/>
      <c r="DL570" s="95" t="n"/>
      <c r="DM570" s="251" t="inlineStr">
        <is>
          <t>M</t>
        </is>
      </c>
      <c r="DN570" s="251" t="n">
        <v>1</v>
      </c>
      <c r="DO570" s="95" t="n">
        <v>14</v>
      </c>
    </row>
    <row r="571" ht="13" customHeight="1">
      <c r="A571" s="203" t="inlineStr">
        <is>
          <t>MP-09A</t>
        </is>
      </c>
      <c r="B571" s="305"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1" t="n"/>
      <c r="BL571" s="61" t="inlineStr">
        <is>
          <t>GMAP-SIGA</t>
        </is>
      </c>
      <c r="BM571" s="251" t="inlineStr">
        <is>
          <t>NF</t>
        </is>
      </c>
      <c r="BN571" s="337" t="inlineStr">
        <is>
          <t>Tranque</t>
        </is>
      </c>
      <c r="BO571" s="251" t="inlineStr">
        <is>
          <t>SI PAT TRANQUE</t>
        </is>
      </c>
      <c r="BP571" s="251" t="inlineStr">
        <is>
          <t>MP-9A/NF</t>
        </is>
      </c>
      <c r="BQ571" s="106">
        <f>VLOOKUP(BP571,[1]AGUA!$1:$1048576,2,FALSE)</f>
        <v/>
      </c>
      <c r="BR571" s="106">
        <f>VLOOKUP(BP571,[1]AGUA!$1:$1048576,6,FALSE)</f>
        <v/>
      </c>
      <c r="BS571" s="106">
        <f>VLOOKUP(BP571,[1]AGUA!$1:$1048576,7,FALSE)</f>
        <v/>
      </c>
      <c r="BT571" s="106" t="n"/>
      <c r="BU571" s="101" t="n"/>
      <c r="BV571" s="105" t="n"/>
      <c r="BW571" s="105" t="n"/>
      <c r="BX571" s="105" t="n"/>
      <c r="BY571" s="105" t="n"/>
      <c r="BZ571" s="105" t="n"/>
      <c r="CA571" s="105" t="n"/>
      <c r="CB571" s="142" t="n">
        <v>1</v>
      </c>
      <c r="CC571" s="105" t="n"/>
      <c r="CD571" s="105" t="n"/>
      <c r="CE571" s="105" t="n"/>
      <c r="CF571" s="105" t="n"/>
      <c r="CG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24">
        <f>+COUNTA(BV571:CY571)</f>
        <v/>
      </c>
      <c r="DA571" s="251" t="n"/>
      <c r="DB571" s="251" t="n"/>
      <c r="DC571" s="251" t="n"/>
      <c r="DD571" s="251" t="n"/>
      <c r="DE571" s="251" t="n"/>
      <c r="DF571" s="251" t="n"/>
      <c r="DG571" s="251" t="n"/>
      <c r="DH571" s="251" t="n"/>
      <c r="DI571" s="251" t="n"/>
      <c r="DJ571" s="251" t="inlineStr">
        <is>
          <t>M</t>
        </is>
      </c>
      <c r="DK571" s="251" t="n">
        <v>1</v>
      </c>
      <c r="DL571" s="95" t="n">
        <v>14</v>
      </c>
      <c r="DM571" s="251" t="n"/>
      <c r="DN571" s="95" t="n"/>
      <c r="DO571" s="95" t="n"/>
    </row>
    <row r="572" ht="13" customHeight="1">
      <c r="A572" s="203" t="inlineStr">
        <is>
          <t>MP-09A</t>
        </is>
      </c>
      <c r="B572" s="305"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1" t="n"/>
      <c r="BL572" s="61" t="inlineStr">
        <is>
          <t>GMAP-SIGA</t>
        </is>
      </c>
      <c r="BM572" s="251" t="inlineStr">
        <is>
          <t>ASUB</t>
        </is>
      </c>
      <c r="BN572" s="337" t="inlineStr">
        <is>
          <t>Tranque</t>
        </is>
      </c>
      <c r="BO572" s="251" t="inlineStr">
        <is>
          <t>SI PAT TRANQUE</t>
        </is>
      </c>
      <c r="BP572" s="251" t="inlineStr">
        <is>
          <t>MP-9A/ASUB</t>
        </is>
      </c>
      <c r="BQ572" s="106">
        <f>VLOOKUP(BP572,[1]AGUA!$1:$1048576,2,FALSE)</f>
        <v/>
      </c>
      <c r="BR572" s="106">
        <f>VLOOKUP(BP572,[1]AGUA!$1:$1048576,6,FALSE)</f>
        <v/>
      </c>
      <c r="BS572" s="106">
        <f>VLOOKUP(BP572,[1]AGUA!$1:$1048576,7,FALSE)</f>
        <v/>
      </c>
      <c r="BT572" s="106" t="n"/>
      <c r="BU572" s="101" t="n"/>
      <c r="BV572" s="105" t="n"/>
      <c r="BW572" s="105" t="n"/>
      <c r="BX572" s="105" t="n"/>
      <c r="BY572" s="105" t="n"/>
      <c r="BZ572" s="105" t="n"/>
      <c r="CA572" s="105" t="n"/>
      <c r="CB572" s="107" t="n">
        <v>1</v>
      </c>
      <c r="CC572" s="105" t="n"/>
      <c r="CD572" s="105" t="n"/>
      <c r="CE572" s="105" t="n"/>
      <c r="CF572" s="105" t="n"/>
      <c r="CG572" s="105"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24">
        <f>+COUNTA(BV572:CY572)</f>
        <v/>
      </c>
      <c r="DA572" s="251" t="n"/>
      <c r="DB572" s="251" t="n"/>
      <c r="DC572" s="251" t="n"/>
      <c r="DD572" s="251" t="n"/>
      <c r="DE572" s="251" t="n"/>
      <c r="DF572" s="251" t="n"/>
      <c r="DG572" s="251" t="n"/>
      <c r="DH572" s="251" t="n"/>
      <c r="DI572" s="251" t="n"/>
      <c r="DJ572" s="251" t="n"/>
      <c r="DK572" s="251" t="n"/>
      <c r="DL572" s="95" t="n"/>
      <c r="DM572" s="251" t="inlineStr">
        <is>
          <t>M</t>
        </is>
      </c>
      <c r="DN572" s="251" t="n">
        <v>1</v>
      </c>
      <c r="DO572" s="95" t="n">
        <v>14</v>
      </c>
    </row>
    <row r="573" ht="13" customHeight="1">
      <c r="A573" s="203" t="inlineStr">
        <is>
          <t>MP-09B</t>
        </is>
      </c>
      <c r="B573" s="305"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1" t="n"/>
      <c r="BL573" s="61" t="inlineStr">
        <is>
          <t>GMAP-SIGA</t>
        </is>
      </c>
      <c r="BM573" s="251" t="inlineStr">
        <is>
          <t>NF</t>
        </is>
      </c>
      <c r="BN573" s="337" t="inlineStr">
        <is>
          <t>Tranque</t>
        </is>
      </c>
      <c r="BO573" s="251" t="inlineStr">
        <is>
          <t>SI PAT TRANQUE</t>
        </is>
      </c>
      <c r="BP573" s="251" t="inlineStr">
        <is>
          <t>MP-9B/NF</t>
        </is>
      </c>
      <c r="BQ573" s="106">
        <f>VLOOKUP(BP573,[1]AGUA!$1:$1048576,2,FALSE)</f>
        <v/>
      </c>
      <c r="BR573" s="106">
        <f>VLOOKUP(BP573,[1]AGUA!$1:$1048576,6,FALSE)</f>
        <v/>
      </c>
      <c r="BS573" s="106">
        <f>VLOOKUP(BP573,[1]AGUA!$1:$1048576,7,FALSE)</f>
        <v/>
      </c>
      <c r="BT573" s="106" t="n"/>
      <c r="BU573" s="101" t="n"/>
      <c r="BV573" s="105" t="n"/>
      <c r="BW573" s="105" t="n"/>
      <c r="BX573" s="105" t="n"/>
      <c r="BY573" s="105" t="n"/>
      <c r="BZ573" s="105" t="n"/>
      <c r="CA573" s="105" t="n"/>
      <c r="CB573" s="142" t="n">
        <v>1</v>
      </c>
      <c r="CC573" s="105" t="n"/>
      <c r="CD573" s="105" t="n"/>
      <c r="CE573" s="105" t="n"/>
      <c r="CF573" s="105" t="n"/>
      <c r="CG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24">
        <f>+COUNTA(BV573:CY573)</f>
        <v/>
      </c>
      <c r="DA573" s="251" t="n"/>
      <c r="DB573" s="251" t="n"/>
      <c r="DC573" s="251" t="n"/>
      <c r="DD573" s="251" t="n"/>
      <c r="DE573" s="251" t="n"/>
      <c r="DF573" s="251" t="n"/>
      <c r="DG573" s="251" t="n"/>
      <c r="DH573" s="251" t="n"/>
      <c r="DI573" s="251" t="n"/>
      <c r="DJ573" s="251" t="inlineStr">
        <is>
          <t>M</t>
        </is>
      </c>
      <c r="DK573" s="251" t="n">
        <v>1</v>
      </c>
      <c r="DL573" s="95" t="n">
        <v>14</v>
      </c>
      <c r="DM573" s="251" t="n"/>
      <c r="DN573" s="95" t="n"/>
      <c r="DO573" s="95" t="n"/>
    </row>
    <row r="574" ht="13" customHeight="1">
      <c r="A574" s="203" t="inlineStr">
        <is>
          <t>MP-09B</t>
        </is>
      </c>
      <c r="B574" s="305"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1" t="n"/>
      <c r="BL574" s="61" t="inlineStr">
        <is>
          <t>GMAP-SIGA</t>
        </is>
      </c>
      <c r="BM574" s="251" t="inlineStr">
        <is>
          <t>ASUB</t>
        </is>
      </c>
      <c r="BN574" s="337" t="inlineStr">
        <is>
          <t>Tranque</t>
        </is>
      </c>
      <c r="BO574" s="251" t="inlineStr">
        <is>
          <t>SI PAT TRANQUE</t>
        </is>
      </c>
      <c r="BP574" s="251" t="inlineStr">
        <is>
          <t>MP-9B/ASUB</t>
        </is>
      </c>
      <c r="BQ574" s="106">
        <f>VLOOKUP(BP574,[1]AGUA!$1:$1048576,2,FALSE)</f>
        <v/>
      </c>
      <c r="BR574" s="106">
        <f>VLOOKUP(BP574,[1]AGUA!$1:$1048576,6,FALSE)</f>
        <v/>
      </c>
      <c r="BS574" s="106">
        <f>VLOOKUP(BP574,[1]AGUA!$1:$1048576,7,FALSE)</f>
        <v/>
      </c>
      <c r="BT574" s="106" t="n"/>
      <c r="BU574" s="101" t="n"/>
      <c r="BV574" s="105" t="n"/>
      <c r="BW574" s="105" t="n"/>
      <c r="BX574" s="105" t="n"/>
      <c r="BY574" s="105" t="n"/>
      <c r="BZ574" s="105" t="n"/>
      <c r="CA574" s="105" t="n"/>
      <c r="CB574" s="107" t="n">
        <v>1</v>
      </c>
      <c r="CC574" s="105" t="n"/>
      <c r="CD574" s="105" t="n"/>
      <c r="CE574" s="105" t="n"/>
      <c r="CF574" s="105" t="n"/>
      <c r="CG574" s="105"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24">
        <f>+COUNTA(BV574:CY574)</f>
        <v/>
      </c>
      <c r="DA574" s="251" t="n"/>
      <c r="DB574" s="251" t="n"/>
      <c r="DC574" s="251" t="n"/>
      <c r="DD574" s="251" t="n"/>
      <c r="DE574" s="251" t="n"/>
      <c r="DF574" s="251" t="n"/>
      <c r="DG574" s="251" t="n"/>
      <c r="DH574" s="251" t="n"/>
      <c r="DI574" s="251" t="n"/>
      <c r="DJ574" s="251" t="n"/>
      <c r="DK574" s="251" t="n"/>
      <c r="DL574" s="95" t="n"/>
      <c r="DM574" s="251" t="inlineStr">
        <is>
          <t>M</t>
        </is>
      </c>
      <c r="DN574" s="251" t="n">
        <v>1</v>
      </c>
      <c r="DO574" s="95" t="n">
        <v>14</v>
      </c>
    </row>
    <row r="575" ht="13" customHeight="1">
      <c r="A575" s="203" t="inlineStr">
        <is>
          <t>MP-09C</t>
        </is>
      </c>
      <c r="B575" s="305"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1" t="n"/>
      <c r="BL575" s="61" t="inlineStr">
        <is>
          <t>GMAP-SIGA</t>
        </is>
      </c>
      <c r="BM575" s="251" t="inlineStr">
        <is>
          <t>NF</t>
        </is>
      </c>
      <c r="BN575" s="337" t="inlineStr">
        <is>
          <t>Tranque</t>
        </is>
      </c>
      <c r="BO575" s="251" t="inlineStr">
        <is>
          <t>SI PAT TRANQUE</t>
        </is>
      </c>
      <c r="BP575" s="251" t="inlineStr">
        <is>
          <t>MP-9C/NF</t>
        </is>
      </c>
      <c r="BQ575" s="106">
        <f>VLOOKUP(BP575,[1]AGUA!$1:$1048576,2,FALSE)</f>
        <v/>
      </c>
      <c r="BR575" s="106">
        <f>VLOOKUP(BP575,[1]AGUA!$1:$1048576,6,FALSE)</f>
        <v/>
      </c>
      <c r="BS575" s="106">
        <f>VLOOKUP(BP575,[1]AGUA!$1:$1048576,7,FALSE)</f>
        <v/>
      </c>
      <c r="BT575" s="106" t="n"/>
      <c r="BU575" s="101" t="n"/>
      <c r="BV575" s="105" t="n"/>
      <c r="BW575" s="105" t="n"/>
      <c r="BX575" s="105" t="n"/>
      <c r="BY575" s="105" t="n"/>
      <c r="BZ575" s="105" t="n"/>
      <c r="CA575" s="105" t="n"/>
      <c r="CB575" s="142" t="n">
        <v>1</v>
      </c>
      <c r="CC575" s="105" t="n"/>
      <c r="CD575" s="105" t="n"/>
      <c r="CE575" s="105" t="n"/>
      <c r="CF575" s="105" t="n"/>
      <c r="CG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24">
        <f>+COUNTA(BV575:CY575)</f>
        <v/>
      </c>
      <c r="DA575" s="251" t="n"/>
      <c r="DB575" s="251" t="n"/>
      <c r="DC575" s="251" t="n"/>
      <c r="DD575" s="251" t="n"/>
      <c r="DE575" s="251" t="n"/>
      <c r="DF575" s="251" t="n"/>
      <c r="DG575" s="251" t="n"/>
      <c r="DH575" s="251" t="n"/>
      <c r="DI575" s="251" t="n"/>
      <c r="DJ575" s="251" t="inlineStr">
        <is>
          <t>M</t>
        </is>
      </c>
      <c r="DK575" s="251" t="n">
        <v>1</v>
      </c>
      <c r="DL575" s="95" t="n">
        <v>14</v>
      </c>
      <c r="DM575" s="251" t="n"/>
      <c r="DN575" s="95" t="n"/>
      <c r="DO575" s="95" t="n"/>
    </row>
    <row r="576" ht="13" customHeight="1">
      <c r="A576" s="203" t="inlineStr">
        <is>
          <t>MP-09C</t>
        </is>
      </c>
      <c r="B576" s="305"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1" t="n"/>
      <c r="BL576" s="61" t="inlineStr">
        <is>
          <t>GMAP-SIGA</t>
        </is>
      </c>
      <c r="BM576" s="251" t="inlineStr">
        <is>
          <t>ASUB</t>
        </is>
      </c>
      <c r="BN576" s="337" t="inlineStr">
        <is>
          <t>Tranque</t>
        </is>
      </c>
      <c r="BO576" s="251" t="inlineStr">
        <is>
          <t>SI PAT TRANQUE</t>
        </is>
      </c>
      <c r="BP576" s="251" t="inlineStr">
        <is>
          <t>MP-9C/ASUB</t>
        </is>
      </c>
      <c r="BQ576" s="106">
        <f>VLOOKUP(BP576,[1]AGUA!$1:$1048576,2,FALSE)</f>
        <v/>
      </c>
      <c r="BR576" s="106">
        <f>VLOOKUP(BP576,[1]AGUA!$1:$1048576,6,FALSE)</f>
        <v/>
      </c>
      <c r="BS576" s="106">
        <f>VLOOKUP(BP576,[1]AGUA!$1:$1048576,7,FALSE)</f>
        <v/>
      </c>
      <c r="BT576" s="106" t="n"/>
      <c r="BU576" s="101" t="n"/>
      <c r="BV576" s="105" t="n"/>
      <c r="BW576" s="105" t="n"/>
      <c r="BX576" s="105" t="n"/>
      <c r="BY576" s="105" t="n"/>
      <c r="BZ576" s="105" t="n"/>
      <c r="CA576" s="105" t="n"/>
      <c r="CB576" s="107" t="n">
        <v>1</v>
      </c>
      <c r="CC576" s="105" t="n"/>
      <c r="CD576" s="105" t="n"/>
      <c r="CE576" s="105" t="n"/>
      <c r="CF576" s="105" t="n"/>
      <c r="CG576" s="105"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24">
        <f>+COUNTA(BV576:CY576)</f>
        <v/>
      </c>
      <c r="DA576" s="251" t="n"/>
      <c r="DB576" s="251" t="n"/>
      <c r="DC576" s="251" t="n"/>
      <c r="DD576" s="251" t="n"/>
      <c r="DE576" s="251" t="n"/>
      <c r="DF576" s="251" t="n"/>
      <c r="DG576" s="251" t="n"/>
      <c r="DH576" s="251" t="n"/>
      <c r="DI576" s="251" t="n"/>
      <c r="DJ576" s="251" t="n"/>
      <c r="DK576" s="251" t="n"/>
      <c r="DL576" s="95" t="n"/>
      <c r="DM576" s="251" t="inlineStr">
        <is>
          <t>M</t>
        </is>
      </c>
      <c r="DN576" s="251" t="n">
        <v>1</v>
      </c>
      <c r="DO576" s="95" t="n">
        <v>14</v>
      </c>
    </row>
    <row r="577" ht="11.5" customHeight="1">
      <c r="A577" s="203" t="inlineStr">
        <is>
          <t>MP-10A</t>
        </is>
      </c>
      <c r="B577" s="305" t="inlineStr">
        <is>
          <t>MP-10A</t>
        </is>
      </c>
      <c r="C577" s="251"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2" t="inlineStr">
        <is>
          <t>530WLMP10</t>
        </is>
      </c>
      <c r="BL577" s="7" t="inlineStr">
        <is>
          <t>GMAP-SIGA</t>
        </is>
      </c>
      <c r="BM577" s="251" t="inlineStr">
        <is>
          <t>NF</t>
        </is>
      </c>
      <c r="BN577" s="337" t="inlineStr">
        <is>
          <t>Tranque</t>
        </is>
      </c>
      <c r="BO577" s="251" t="inlineStr">
        <is>
          <t>SI PAT TRANQUE</t>
        </is>
      </c>
      <c r="BP577" s="106" t="inlineStr">
        <is>
          <t>MP-10A/NF</t>
        </is>
      </c>
      <c r="BQ577" s="106">
        <f>VLOOKUP(BP577,[1]AGUA!$1:$1048576,2,FALSE)</f>
        <v/>
      </c>
      <c r="BR577" s="106">
        <f>VLOOKUP(BP577,[1]AGUA!$1:$1048576,6,FALSE)</f>
        <v/>
      </c>
      <c r="BS577" s="106">
        <f>VLOOKUP(BP577,[1]AGUA!$1:$1048576,7,FALSE)</f>
        <v/>
      </c>
      <c r="BT577" s="106" t="n"/>
      <c r="BU577" s="253" t="n"/>
      <c r="BV577" s="105" t="n"/>
      <c r="BW577" s="105" t="n"/>
      <c r="BX577" s="105" t="n"/>
      <c r="BY577" s="105" t="n"/>
      <c r="BZ577" s="105" t="n"/>
      <c r="CA577" s="105" t="n"/>
      <c r="CB577" s="105" t="n"/>
      <c r="CC577" s="105" t="n"/>
      <c r="CD577" s="105" t="n"/>
      <c r="CE577" s="105" t="n"/>
      <c r="CF577" s="105" t="n"/>
      <c r="CG577" s="105" t="n"/>
      <c r="CH577" s="142" t="n">
        <v>1</v>
      </c>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24">
        <f>+COUNTA(BV577:CY577)</f>
        <v/>
      </c>
      <c r="DA577" s="251" t="n"/>
      <c r="DB577" s="251" t="n"/>
      <c r="DC577" s="251" t="n"/>
      <c r="DD577" s="251" t="n"/>
      <c r="DE577" s="251" t="n"/>
      <c r="DF577" s="251" t="n"/>
      <c r="DG577" s="251" t="n"/>
      <c r="DH577" s="251" t="n"/>
      <c r="DI577" s="251" t="n"/>
      <c r="DJ577" s="110" t="inlineStr">
        <is>
          <t>M</t>
        </is>
      </c>
      <c r="DK577" s="251" t="n">
        <v>1</v>
      </c>
      <c r="DL577" s="95" t="n">
        <v>14</v>
      </c>
      <c r="DM577" s="251" t="n"/>
      <c r="DN577" s="95" t="n"/>
      <c r="DO577" s="95" t="n"/>
    </row>
    <row r="578" ht="12.5" customHeight="1">
      <c r="A578" s="203" t="inlineStr">
        <is>
          <t>MP-10A</t>
        </is>
      </c>
      <c r="B578" s="305" t="inlineStr">
        <is>
          <t>MP-10A</t>
        </is>
      </c>
      <c r="C578" s="376"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76" t="n"/>
      <c r="BL578" s="7" t="inlineStr">
        <is>
          <t>GMAP-SIGA</t>
        </is>
      </c>
      <c r="BM578" s="251" t="inlineStr">
        <is>
          <t>ASUB</t>
        </is>
      </c>
      <c r="BN578" s="337" t="inlineStr">
        <is>
          <t>Tranque</t>
        </is>
      </c>
      <c r="BO578" s="251" t="inlineStr">
        <is>
          <t>SI PAT TRANQUE</t>
        </is>
      </c>
      <c r="BP578" s="106" t="inlineStr">
        <is>
          <t>MP-10A/ASUB</t>
        </is>
      </c>
      <c r="BQ578" s="106">
        <f>VLOOKUP(BP578,[1]AGUA!$1:$1048576,2,FALSE)</f>
        <v/>
      </c>
      <c r="BR578" s="106">
        <f>VLOOKUP(BP578,[1]AGUA!$1:$1048576,6,FALSE)</f>
        <v/>
      </c>
      <c r="BS578" s="106">
        <f>VLOOKUP(BP578,[1]AGUA!$1:$1048576,7,FALSE)</f>
        <v/>
      </c>
      <c r="BT578" s="106" t="n"/>
      <c r="BU578" s="377" t="n"/>
      <c r="BV578" s="105" t="n"/>
      <c r="BW578" s="105" t="n"/>
      <c r="BX578" s="105" t="n"/>
      <c r="BY578" s="105" t="n"/>
      <c r="BZ578" s="105" t="n"/>
      <c r="CA578" s="105" t="n"/>
      <c r="CB578" s="105" t="n"/>
      <c r="CC578" s="105" t="n"/>
      <c r="CD578" s="105" t="n"/>
      <c r="CE578" s="105" t="n"/>
      <c r="CF578" s="105" t="n"/>
      <c r="CG578" s="105" t="n"/>
      <c r="CH578" s="107" t="n">
        <v>1</v>
      </c>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24">
        <f>+COUNTA(BV578:CY578)</f>
        <v/>
      </c>
      <c r="DA578" s="251" t="n"/>
      <c r="DB578" s="251" t="n"/>
      <c r="DC578" s="251" t="n"/>
      <c r="DD578" s="251" t="n"/>
      <c r="DE578" s="251" t="n"/>
      <c r="DF578" s="251" t="n"/>
      <c r="DG578" s="251" t="n"/>
      <c r="DH578" s="251" t="n"/>
      <c r="DI578" s="251" t="n"/>
      <c r="DJ578" s="110" t="n"/>
      <c r="DK578" s="251" t="n"/>
      <c r="DL578" s="95" t="n"/>
      <c r="DM578" s="251" t="inlineStr">
        <is>
          <t>M</t>
        </is>
      </c>
      <c r="DN578" s="251" t="n">
        <v>1</v>
      </c>
      <c r="DO578" s="95" t="n">
        <v>14</v>
      </c>
    </row>
    <row r="579" ht="11.5" customHeight="1">
      <c r="A579" s="203" t="inlineStr">
        <is>
          <t>MP-10B</t>
        </is>
      </c>
      <c r="B579" s="305" t="inlineStr">
        <is>
          <t>MP-10A</t>
        </is>
      </c>
      <c r="C579" s="251"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2" t="inlineStr">
        <is>
          <t>530WLMP10</t>
        </is>
      </c>
      <c r="BL579" s="7" t="inlineStr">
        <is>
          <t>GMAP-SIGA</t>
        </is>
      </c>
      <c r="BM579" s="251" t="inlineStr">
        <is>
          <t>NF</t>
        </is>
      </c>
      <c r="BN579" s="337" t="inlineStr">
        <is>
          <t>Tranque</t>
        </is>
      </c>
      <c r="BO579" s="251" t="inlineStr">
        <is>
          <t>SI PAT TRANQUE</t>
        </is>
      </c>
      <c r="BP579" s="192" t="inlineStr">
        <is>
          <t>MP-10A/NF</t>
        </is>
      </c>
      <c r="BQ579" s="106">
        <f>VLOOKUP(BP579,[1]AGUA!$1:$1048576,2,FALSE)</f>
        <v/>
      </c>
      <c r="BR579" s="106">
        <f>VLOOKUP(BP579,[1]AGUA!$1:$1048576,6,FALSE)</f>
        <v/>
      </c>
      <c r="BS579" s="106">
        <f>VLOOKUP(BP579,[1]AGUA!$1:$1048576,7,FALSE)</f>
        <v/>
      </c>
      <c r="BT579" s="106" t="n"/>
      <c r="BU579" s="253" t="n"/>
      <c r="BV579" s="105" t="n"/>
      <c r="BW579" s="105" t="n"/>
      <c r="BX579" s="105" t="n"/>
      <c r="BY579" s="105" t="n"/>
      <c r="BZ579" s="105" t="n"/>
      <c r="CA579" s="105" t="n"/>
      <c r="CB579" s="105" t="n"/>
      <c r="CC579" s="105" t="n"/>
      <c r="CD579" s="105" t="n"/>
      <c r="CE579" s="105" t="n"/>
      <c r="CF579" s="105" t="n"/>
      <c r="CG579" s="105" t="n"/>
      <c r="CH579" s="142" t="n">
        <v>1</v>
      </c>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24">
        <f>+COUNTA(BV579:CY579)</f>
        <v/>
      </c>
      <c r="DA579" s="251" t="n"/>
      <c r="DB579" s="251" t="n"/>
      <c r="DC579" s="251" t="n"/>
      <c r="DD579" s="251" t="n"/>
      <c r="DE579" s="251" t="n"/>
      <c r="DF579" s="251" t="n"/>
      <c r="DG579" s="251" t="n"/>
      <c r="DH579" s="251" t="n"/>
      <c r="DI579" s="251" t="n"/>
      <c r="DJ579" s="110" t="inlineStr">
        <is>
          <t>M</t>
        </is>
      </c>
      <c r="DK579" s="251" t="n">
        <v>1</v>
      </c>
      <c r="DL579" s="95" t="n">
        <v>14</v>
      </c>
      <c r="DM579" s="251" t="n"/>
      <c r="DN579" s="95" t="n"/>
      <c r="DO579" s="95" t="n"/>
    </row>
    <row r="580" ht="12.5" customHeight="1">
      <c r="A580" s="203" t="inlineStr">
        <is>
          <t>MP-10B</t>
        </is>
      </c>
      <c r="B580" s="305" t="inlineStr">
        <is>
          <t>MP-10A</t>
        </is>
      </c>
      <c r="C580" s="376"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76" t="n"/>
      <c r="BL580" s="7" t="inlineStr">
        <is>
          <t>GMAP-SIGA</t>
        </is>
      </c>
      <c r="BM580" s="251" t="inlineStr">
        <is>
          <t>ASUB</t>
        </is>
      </c>
      <c r="BN580" s="337" t="inlineStr">
        <is>
          <t>Tranque</t>
        </is>
      </c>
      <c r="BO580" s="251" t="inlineStr">
        <is>
          <t>SI PAT TRANQUE</t>
        </is>
      </c>
      <c r="BP580" s="192" t="inlineStr">
        <is>
          <t>MP-10A/ASUB</t>
        </is>
      </c>
      <c r="BQ580" s="106">
        <f>VLOOKUP(BP580,[1]AGUA!$1:$1048576,2,FALSE)</f>
        <v/>
      </c>
      <c r="BR580" s="106">
        <f>VLOOKUP(BP580,[1]AGUA!$1:$1048576,6,FALSE)</f>
        <v/>
      </c>
      <c r="BS580" s="106">
        <f>VLOOKUP(BP580,[1]AGUA!$1:$1048576,7,FALSE)</f>
        <v/>
      </c>
      <c r="BT580" s="106" t="n"/>
      <c r="BU580" s="377" t="n"/>
      <c r="BV580" s="105" t="n"/>
      <c r="BW580" s="105" t="n"/>
      <c r="BX580" s="105" t="n"/>
      <c r="BY580" s="105" t="n"/>
      <c r="BZ580" s="105" t="n"/>
      <c r="CA580" s="105" t="n"/>
      <c r="CB580" s="105" t="n"/>
      <c r="CC580" s="105" t="n"/>
      <c r="CD580" s="105" t="n"/>
      <c r="CE580" s="105" t="n"/>
      <c r="CF580" s="105" t="n"/>
      <c r="CG580" s="105" t="n"/>
      <c r="CH580" s="107" t="n">
        <v>1</v>
      </c>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24">
        <f>+COUNTA(BV580:CY580)</f>
        <v/>
      </c>
      <c r="DA580" s="251" t="n"/>
      <c r="DB580" s="251" t="n"/>
      <c r="DC580" s="251" t="n"/>
      <c r="DD580" s="251" t="n"/>
      <c r="DE580" s="251" t="n"/>
      <c r="DF580" s="251" t="n"/>
      <c r="DG580" s="251" t="n"/>
      <c r="DH580" s="251" t="n"/>
      <c r="DI580" s="251" t="n"/>
      <c r="DJ580" s="110" t="n"/>
      <c r="DK580" s="251" t="n"/>
      <c r="DL580" s="95" t="n"/>
      <c r="DM580" s="251" t="inlineStr">
        <is>
          <t>M</t>
        </is>
      </c>
      <c r="DN580" s="251" t="n">
        <v>1</v>
      </c>
      <c r="DO580" s="95" t="n">
        <v>14</v>
      </c>
    </row>
    <row r="581" ht="12.5" customHeight="1">
      <c r="A581" s="203" t="inlineStr">
        <is>
          <t>MP-10C</t>
        </is>
      </c>
      <c r="B581" s="305" t="inlineStr">
        <is>
          <t>MP-10C</t>
        </is>
      </c>
      <c r="C581" s="251"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2" t="inlineStr">
        <is>
          <t>530WLMP10</t>
        </is>
      </c>
      <c r="BL581" s="7" t="inlineStr">
        <is>
          <t>GMAP-SIGA</t>
        </is>
      </c>
      <c r="BM581" s="251" t="inlineStr">
        <is>
          <t>NF</t>
        </is>
      </c>
      <c r="BN581" s="337" t="inlineStr">
        <is>
          <t>Tranque</t>
        </is>
      </c>
      <c r="BO581" s="251" t="inlineStr">
        <is>
          <t>SI PAT TRANQUE</t>
        </is>
      </c>
      <c r="BP581" s="106" t="inlineStr">
        <is>
          <t>MP-10C/NF</t>
        </is>
      </c>
      <c r="BQ581" s="106">
        <f>VLOOKUP(BP581,[1]AGUA!$1:$1048576,2,FALSE)</f>
        <v/>
      </c>
      <c r="BR581" s="106">
        <f>VLOOKUP(BP581,[1]AGUA!$1:$1048576,6,FALSE)</f>
        <v/>
      </c>
      <c r="BS581" s="106">
        <f>VLOOKUP(BP581,[1]AGUA!$1:$1048576,7,FALSE)</f>
        <v/>
      </c>
      <c r="BT581" s="106" t="n"/>
      <c r="BU581" s="253" t="n"/>
      <c r="BV581" s="105" t="n"/>
      <c r="BW581" s="105" t="n"/>
      <c r="BX581" s="105" t="n"/>
      <c r="BY581" s="105" t="n"/>
      <c r="BZ581" s="105" t="n"/>
      <c r="CA581" s="105" t="n"/>
      <c r="CB581" s="105" t="n"/>
      <c r="CC581" s="105" t="n"/>
      <c r="CD581" s="105" t="n"/>
      <c r="CE581" s="105" t="n"/>
      <c r="CF581" s="105" t="n"/>
      <c r="CG581" s="105" t="n"/>
      <c r="CH581" s="142" t="n">
        <v>1</v>
      </c>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24">
        <f>+COUNTA(BV581:CY581)</f>
        <v/>
      </c>
      <c r="DA581" s="251" t="n"/>
      <c r="DB581" s="251" t="n"/>
      <c r="DC581" s="251" t="n"/>
      <c r="DD581" s="251" t="n"/>
      <c r="DE581" s="251" t="n"/>
      <c r="DF581" s="251" t="n"/>
      <c r="DG581" s="251" t="n"/>
      <c r="DH581" s="251" t="n"/>
      <c r="DI581" s="251" t="n"/>
      <c r="DJ581" s="251" t="inlineStr">
        <is>
          <t>M</t>
        </is>
      </c>
      <c r="DK581" s="251" t="n">
        <v>1</v>
      </c>
      <c r="DL581" s="95" t="n">
        <v>14</v>
      </c>
      <c r="DM581" s="251" t="n"/>
      <c r="DN581" s="95" t="n"/>
      <c r="DO581" s="95" t="n"/>
    </row>
    <row r="582" ht="12.5" customHeight="1">
      <c r="A582" s="203" t="inlineStr">
        <is>
          <t>MP-10C</t>
        </is>
      </c>
      <c r="B582" s="305" t="inlineStr">
        <is>
          <t>MP-10C</t>
        </is>
      </c>
      <c r="C582" s="376"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76" t="n"/>
      <c r="BL582" s="7" t="inlineStr">
        <is>
          <t>GMAP-SIGA</t>
        </is>
      </c>
      <c r="BM582" s="251" t="inlineStr">
        <is>
          <t>ASUB</t>
        </is>
      </c>
      <c r="BN582" s="337" t="inlineStr">
        <is>
          <t>Tranque</t>
        </is>
      </c>
      <c r="BO582" s="251" t="inlineStr">
        <is>
          <t>SI PAT TRANQUE</t>
        </is>
      </c>
      <c r="BP582" s="106" t="inlineStr">
        <is>
          <t>MP-10C/ASUB</t>
        </is>
      </c>
      <c r="BQ582" s="106">
        <f>VLOOKUP(BP582,[1]AGUA!$1:$1048576,2,FALSE)</f>
        <v/>
      </c>
      <c r="BR582" s="106">
        <f>VLOOKUP(BP582,[1]AGUA!$1:$1048576,6,FALSE)</f>
        <v/>
      </c>
      <c r="BS582" s="106">
        <f>VLOOKUP(BP582,[1]AGUA!$1:$1048576,7,FALSE)</f>
        <v/>
      </c>
      <c r="BT582" s="106" t="n"/>
      <c r="BU582" s="377" t="n"/>
      <c r="BV582" s="105" t="n"/>
      <c r="BW582" s="105" t="n"/>
      <c r="BX582" s="105" t="n"/>
      <c r="BY582" s="105" t="n"/>
      <c r="BZ582" s="105" t="n"/>
      <c r="CA582" s="105" t="n"/>
      <c r="CB582" s="105" t="n"/>
      <c r="CC582" s="105" t="n"/>
      <c r="CD582" s="105" t="n"/>
      <c r="CE582" s="105" t="n"/>
      <c r="CF582" s="105" t="n"/>
      <c r="CG582" s="105" t="n"/>
      <c r="CH582" s="107" t="n">
        <v>1</v>
      </c>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24">
        <f>+COUNTA(BV582:CY582)</f>
        <v/>
      </c>
      <c r="DA582" s="251" t="n"/>
      <c r="DB582" s="251" t="n"/>
      <c r="DC582" s="251" t="n"/>
      <c r="DD582" s="251" t="n"/>
      <c r="DE582" s="251" t="n"/>
      <c r="DF582" s="251" t="n"/>
      <c r="DG582" s="251" t="n"/>
      <c r="DH582" s="251" t="n"/>
      <c r="DI582" s="251" t="n"/>
      <c r="DJ582" s="251" t="n"/>
      <c r="DK582" s="251" t="n"/>
      <c r="DL582" s="95" t="n"/>
      <c r="DM582" s="251" t="inlineStr">
        <is>
          <t>M</t>
        </is>
      </c>
      <c r="DN582" s="251" t="n">
        <v>1</v>
      </c>
      <c r="DO582" s="95" t="n">
        <v>14</v>
      </c>
    </row>
    <row r="583" ht="12.65" customHeight="1">
      <c r="A583" s="203" t="inlineStr">
        <is>
          <t>MP-11A</t>
        </is>
      </c>
      <c r="B583" s="305"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1" t="n"/>
      <c r="BL583" s="61" t="inlineStr">
        <is>
          <t>GMAP-SIGA</t>
        </is>
      </c>
      <c r="BM583" s="251" t="inlineStr">
        <is>
          <t>NF</t>
        </is>
      </c>
      <c r="BN583" s="337" t="inlineStr">
        <is>
          <t>Michincha (camino internacional)</t>
        </is>
      </c>
      <c r="BO583" s="251" t="inlineStr">
        <is>
          <t>SI PAT TRANQUE</t>
        </is>
      </c>
      <c r="BP583" s="251"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05" t="n"/>
      <c r="BZ583" s="105" t="n"/>
      <c r="CA583" s="105" t="n"/>
      <c r="CB583" s="105" t="n"/>
      <c r="CC583" s="105" t="n"/>
      <c r="CD583" s="105" t="n"/>
      <c r="CF583" s="105" t="n"/>
      <c r="CG583" s="105" t="n"/>
      <c r="CH583" s="105" t="n"/>
      <c r="CI583" s="142" t="n">
        <v>1</v>
      </c>
      <c r="CJ583" s="105" t="n"/>
      <c r="CK583" s="105" t="n"/>
      <c r="CL583" s="105" t="n"/>
      <c r="CM583" s="105" t="n"/>
      <c r="CN583" s="105" t="n"/>
      <c r="CO583" s="105" t="n"/>
      <c r="CP583" s="105" t="n"/>
      <c r="CQ583" s="105" t="n"/>
      <c r="CR583" s="105" t="n"/>
      <c r="CS583" s="105" t="n"/>
      <c r="CT583" s="105" t="n"/>
      <c r="CU583" s="105" t="n"/>
      <c r="CV583" s="105" t="n"/>
      <c r="CW583" s="105" t="n"/>
      <c r="CX583" s="105" t="n"/>
      <c r="CY583" s="105" t="n"/>
      <c r="CZ583" s="124">
        <f>+COUNTA(BV583:CY583)</f>
        <v/>
      </c>
      <c r="DA583" s="251" t="n"/>
      <c r="DB583" s="251" t="n"/>
      <c r="DC583" s="251" t="n"/>
      <c r="DD583" s="251" t="n"/>
      <c r="DE583" s="251" t="n"/>
      <c r="DF583" s="251" t="n"/>
      <c r="DG583" s="251" t="n"/>
      <c r="DH583" s="251" t="n"/>
      <c r="DI583" s="251" t="n"/>
      <c r="DJ583" s="251" t="inlineStr">
        <is>
          <t>M</t>
        </is>
      </c>
      <c r="DK583" s="251" t="n">
        <v>1</v>
      </c>
      <c r="DL583" s="95" t="n">
        <v>14</v>
      </c>
      <c r="DM583" s="251" t="n"/>
      <c r="DN583" s="95" t="n"/>
      <c r="DO583" s="95" t="n"/>
    </row>
    <row r="584" ht="13" customHeight="1">
      <c r="A584" s="203" t="inlineStr">
        <is>
          <t>MP-11A</t>
        </is>
      </c>
      <c r="B584" s="305"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1" t="n"/>
      <c r="BL584" s="61" t="inlineStr">
        <is>
          <t>GMAP-SIGA</t>
        </is>
      </c>
      <c r="BM584" s="251" t="inlineStr">
        <is>
          <t>ASUB</t>
        </is>
      </c>
      <c r="BN584" s="337" t="inlineStr">
        <is>
          <t>Michincha (camino internacional)</t>
        </is>
      </c>
      <c r="BO584" s="251" t="inlineStr">
        <is>
          <t>SI PAT TRANQUE</t>
        </is>
      </c>
      <c r="BP584" s="251"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05" t="n"/>
      <c r="BZ584" s="105" t="n"/>
      <c r="CA584" s="105" t="n"/>
      <c r="CB584" s="105" t="n"/>
      <c r="CC584" s="105" t="n"/>
      <c r="CD584" s="105" t="n"/>
      <c r="CF584" s="105" t="n"/>
      <c r="CG584" s="105" t="n"/>
      <c r="CH584" s="105" t="n"/>
      <c r="CI584" s="107" t="n">
        <v>1</v>
      </c>
      <c r="CJ584" s="105" t="n"/>
      <c r="CK584" s="105" t="n"/>
      <c r="CL584" s="105" t="n"/>
      <c r="CM584" s="105" t="n"/>
      <c r="CN584" s="105" t="n"/>
      <c r="CO584" s="105" t="n"/>
      <c r="CP584" s="105" t="n"/>
      <c r="CQ584" s="105" t="n"/>
      <c r="CR584" s="105" t="n"/>
      <c r="CS584" s="105" t="n"/>
      <c r="CT584" s="105" t="n"/>
      <c r="CU584" s="105" t="n"/>
      <c r="CV584" s="105" t="n"/>
      <c r="CW584" s="105" t="n"/>
      <c r="CX584" s="105" t="n"/>
      <c r="CY584" s="105" t="n"/>
      <c r="CZ584" s="124">
        <f>+COUNTA(BV584:CY584)</f>
        <v/>
      </c>
      <c r="DA584" s="251" t="n"/>
      <c r="DB584" s="251" t="n"/>
      <c r="DC584" s="251" t="n"/>
      <c r="DD584" s="251" t="n"/>
      <c r="DE584" s="251" t="n"/>
      <c r="DF584" s="251" t="n"/>
      <c r="DG584" s="251" t="n"/>
      <c r="DH584" s="251" t="n"/>
      <c r="DI584" s="251" t="n"/>
      <c r="DJ584" s="251" t="n"/>
      <c r="DK584" s="251" t="n"/>
      <c r="DL584" s="95" t="n"/>
      <c r="DM584" s="251" t="inlineStr">
        <is>
          <t>M</t>
        </is>
      </c>
      <c r="DN584" s="251" t="n">
        <v>1</v>
      </c>
      <c r="DO584" s="95" t="n">
        <v>14</v>
      </c>
    </row>
    <row r="585" ht="13" customHeight="1">
      <c r="A585" s="203" t="inlineStr">
        <is>
          <t>MP-11B</t>
        </is>
      </c>
      <c r="B585" s="305"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1" t="n"/>
      <c r="BL585" s="61" t="inlineStr">
        <is>
          <t>GMAP-SIGA</t>
        </is>
      </c>
      <c r="BM585" s="251" t="inlineStr">
        <is>
          <t>NF</t>
        </is>
      </c>
      <c r="BN585" s="337" t="inlineStr">
        <is>
          <t>Michincha (camino internacional)</t>
        </is>
      </c>
      <c r="BO585" s="251" t="inlineStr">
        <is>
          <t>SI PAT TRANQUE</t>
        </is>
      </c>
      <c r="BP585" s="251"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05" t="n"/>
      <c r="BZ585" s="105" t="n"/>
      <c r="CA585" s="105" t="n"/>
      <c r="CB585" s="105" t="n"/>
      <c r="CC585" s="105" t="n"/>
      <c r="CD585" s="105" t="n"/>
      <c r="CF585" s="105" t="n"/>
      <c r="CG585" s="105" t="n"/>
      <c r="CH585" s="105" t="n"/>
      <c r="CI585" s="142" t="n">
        <v>1</v>
      </c>
      <c r="CJ585" s="105" t="n"/>
      <c r="CK585" s="105" t="n"/>
      <c r="CL585" s="105" t="n"/>
      <c r="CM585" s="105" t="n"/>
      <c r="CN585" s="105" t="n"/>
      <c r="CO585" s="105" t="n"/>
      <c r="CP585" s="105" t="n"/>
      <c r="CQ585" s="105" t="n"/>
      <c r="CR585" s="105" t="n"/>
      <c r="CS585" s="105" t="n"/>
      <c r="CT585" s="105" t="n"/>
      <c r="CU585" s="105" t="n"/>
      <c r="CV585" s="105" t="n"/>
      <c r="CW585" s="105" t="n"/>
      <c r="CX585" s="105" t="n"/>
      <c r="CY585" s="105" t="n"/>
      <c r="CZ585" s="124">
        <f>+COUNTA(BV585:CY585)</f>
        <v/>
      </c>
      <c r="DA585" s="251" t="n"/>
      <c r="DB585" s="251" t="n"/>
      <c r="DC585" s="251" t="n"/>
      <c r="DD585" s="251" t="n"/>
      <c r="DE585" s="251" t="n"/>
      <c r="DF585" s="251" t="n"/>
      <c r="DG585" s="251" t="n"/>
      <c r="DH585" s="251" t="n"/>
      <c r="DI585" s="251" t="n"/>
      <c r="DJ585" s="251" t="inlineStr">
        <is>
          <t>M</t>
        </is>
      </c>
      <c r="DK585" s="251" t="n">
        <v>1</v>
      </c>
      <c r="DL585" s="95" t="n">
        <v>14</v>
      </c>
      <c r="DM585" s="251" t="n"/>
      <c r="DN585" s="95" t="n"/>
      <c r="DO585" s="95" t="n"/>
    </row>
    <row r="586" ht="13" customHeight="1">
      <c r="A586" s="203" t="inlineStr">
        <is>
          <t>MP-11B</t>
        </is>
      </c>
      <c r="B586" s="305"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1" t="n"/>
      <c r="BL586" s="61" t="inlineStr">
        <is>
          <t>GMAP-SIGA</t>
        </is>
      </c>
      <c r="BM586" s="251" t="inlineStr">
        <is>
          <t>ASUB</t>
        </is>
      </c>
      <c r="BN586" s="337" t="inlineStr">
        <is>
          <t>Michincha (camino internacional)</t>
        </is>
      </c>
      <c r="BO586" s="251" t="inlineStr">
        <is>
          <t>SI PAT TRANQUE</t>
        </is>
      </c>
      <c r="BP586" s="251"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05" t="n"/>
      <c r="BZ586" s="105" t="n"/>
      <c r="CA586" s="105" t="n"/>
      <c r="CB586" s="105" t="n"/>
      <c r="CC586" s="105" t="n"/>
      <c r="CD586" s="105" t="n"/>
      <c r="CF586" s="105" t="n"/>
      <c r="CG586" s="105" t="n"/>
      <c r="CH586" s="105" t="n"/>
      <c r="CI586" s="107" t="n">
        <v>1</v>
      </c>
      <c r="CJ586" s="105" t="n"/>
      <c r="CK586" s="105" t="n"/>
      <c r="CL586" s="105" t="n"/>
      <c r="CM586" s="105" t="n"/>
      <c r="CN586" s="105" t="n"/>
      <c r="CO586" s="105" t="n"/>
      <c r="CP586" s="105" t="n"/>
      <c r="CQ586" s="105" t="n"/>
      <c r="CR586" s="105" t="n"/>
      <c r="CS586" s="105" t="n"/>
      <c r="CT586" s="105" t="n"/>
      <c r="CU586" s="105" t="n"/>
      <c r="CV586" s="105" t="n"/>
      <c r="CW586" s="105" t="n"/>
      <c r="CX586" s="105" t="n"/>
      <c r="CY586" s="105" t="n"/>
      <c r="CZ586" s="124">
        <f>+COUNTA(BV586:CY586)</f>
        <v/>
      </c>
      <c r="DA586" s="251" t="n"/>
      <c r="DB586" s="251" t="n"/>
      <c r="DC586" s="251" t="n"/>
      <c r="DD586" s="251" t="n"/>
      <c r="DE586" s="251" t="n"/>
      <c r="DF586" s="251" t="n"/>
      <c r="DG586" s="251" t="n"/>
      <c r="DH586" s="251" t="n"/>
      <c r="DI586" s="251" t="n"/>
      <c r="DJ586" s="251" t="n"/>
      <c r="DK586" s="251" t="n"/>
      <c r="DL586" s="95" t="n"/>
      <c r="DM586" s="251" t="inlineStr">
        <is>
          <t>M</t>
        </is>
      </c>
      <c r="DN586" s="251" t="n">
        <v>1</v>
      </c>
      <c r="DO586" s="95" t="n">
        <v>14</v>
      </c>
    </row>
    <row r="587" ht="13" customHeight="1">
      <c r="A587" s="203" t="inlineStr">
        <is>
          <t>MP-11C</t>
        </is>
      </c>
      <c r="B587" s="305"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1" t="n"/>
      <c r="BL587" s="61" t="inlineStr">
        <is>
          <t>GMAP-SIGA</t>
        </is>
      </c>
      <c r="BM587" s="251" t="inlineStr">
        <is>
          <t>NF</t>
        </is>
      </c>
      <c r="BN587" s="337" t="inlineStr">
        <is>
          <t>Michincha (camino internacional)</t>
        </is>
      </c>
      <c r="BO587" s="251" t="inlineStr">
        <is>
          <t>SI PAT TRANQUE</t>
        </is>
      </c>
      <c r="BP587" s="251"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05" t="n"/>
      <c r="BZ587" s="105" t="n"/>
      <c r="CA587" s="105" t="n"/>
      <c r="CB587" s="105" t="n"/>
      <c r="CC587" s="105" t="n"/>
      <c r="CD587" s="105" t="n"/>
      <c r="CF587" s="105" t="n"/>
      <c r="CG587" s="105" t="n"/>
      <c r="CH587" s="105" t="n"/>
      <c r="CI587" s="142" t="n">
        <v>1</v>
      </c>
      <c r="CJ587" s="105" t="n"/>
      <c r="CK587" s="105" t="n"/>
      <c r="CL587" s="105" t="n"/>
      <c r="CM587" s="105" t="n"/>
      <c r="CN587" s="105" t="n"/>
      <c r="CO587" s="105" t="n"/>
      <c r="CP587" s="105" t="n"/>
      <c r="CQ587" s="105" t="n"/>
      <c r="CR587" s="105" t="n"/>
      <c r="CS587" s="105" t="n"/>
      <c r="CT587" s="105" t="n"/>
      <c r="CU587" s="105" t="n"/>
      <c r="CV587" s="105" t="n"/>
      <c r="CW587" s="105" t="n"/>
      <c r="CX587" s="105" t="n"/>
      <c r="CY587" s="105" t="n"/>
      <c r="CZ587" s="124">
        <f>+COUNTA(BV587:CY587)</f>
        <v/>
      </c>
      <c r="DA587" s="251" t="n"/>
      <c r="DB587" s="251" t="n"/>
      <c r="DC587" s="251" t="n"/>
      <c r="DD587" s="251" t="n"/>
      <c r="DE587" s="251" t="n"/>
      <c r="DF587" s="251" t="n"/>
      <c r="DG587" s="251" t="n"/>
      <c r="DH587" s="251" t="n"/>
      <c r="DI587" s="251" t="n"/>
      <c r="DJ587" s="251" t="inlineStr">
        <is>
          <t>M</t>
        </is>
      </c>
      <c r="DK587" s="251" t="n">
        <v>1</v>
      </c>
      <c r="DL587" s="95" t="n">
        <v>14</v>
      </c>
      <c r="DM587" s="251" t="n"/>
      <c r="DN587" s="95" t="n"/>
      <c r="DO587" s="95" t="n"/>
    </row>
    <row r="588" ht="13" customHeight="1">
      <c r="A588" s="203" t="inlineStr">
        <is>
          <t>MP-11C</t>
        </is>
      </c>
      <c r="B588" s="305"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1" t="n"/>
      <c r="BL588" s="61" t="inlineStr">
        <is>
          <t>GMAP-SIGA</t>
        </is>
      </c>
      <c r="BM588" s="251" t="inlineStr">
        <is>
          <t>ASUB</t>
        </is>
      </c>
      <c r="BN588" s="337" t="inlineStr">
        <is>
          <t>Michincha (camino internacional)</t>
        </is>
      </c>
      <c r="BO588" s="251" t="inlineStr">
        <is>
          <t>SI PAT TRANQUE</t>
        </is>
      </c>
      <c r="BP588" s="251" t="inlineStr">
        <is>
          <t>MP-11C/ASUB</t>
        </is>
      </c>
      <c r="BQ588" s="106">
        <f>VLOOKUP(BP588,[1]AGUA!$1:$1048576,2,FALSE)</f>
        <v/>
      </c>
      <c r="BR588" s="106">
        <f>VLOOKUP(BP588,[1]AGUA!$1:$1048576,6,FALSE)</f>
        <v/>
      </c>
      <c r="BS588" s="106">
        <f>VLOOKUP(BP588,[1]AGUA!$1:$1048576,7,FALSE)</f>
        <v/>
      </c>
      <c r="BT588" s="106" t="n"/>
      <c r="BU588" s="183" t="n"/>
      <c r="BV588" s="105" t="n"/>
      <c r="BW588" s="105" t="n"/>
      <c r="BX588" s="105" t="n"/>
      <c r="BY588" s="105" t="n"/>
      <c r="BZ588" s="105" t="n"/>
      <c r="CA588" s="105" t="n"/>
      <c r="CB588" s="105" t="n"/>
      <c r="CC588" s="105" t="n"/>
      <c r="CD588" s="105" t="n"/>
      <c r="CF588" s="105" t="n"/>
      <c r="CG588" s="105" t="n"/>
      <c r="CH588" s="105" t="n"/>
      <c r="CI588" s="107" t="n">
        <v>1</v>
      </c>
      <c r="CJ588" s="105" t="n"/>
      <c r="CK588" s="105" t="n"/>
      <c r="CL588" s="105" t="n"/>
      <c r="CM588" s="105" t="n"/>
      <c r="CN588" s="105" t="n"/>
      <c r="CO588" s="105" t="n"/>
      <c r="CP588" s="105" t="n"/>
      <c r="CQ588" s="105" t="n"/>
      <c r="CR588" s="105" t="n"/>
      <c r="CS588" s="105" t="n"/>
      <c r="CT588" s="105" t="n"/>
      <c r="CU588" s="105" t="n"/>
      <c r="CV588" s="105" t="n"/>
      <c r="CW588" s="105" t="n"/>
      <c r="CX588" s="105" t="n"/>
      <c r="CY588" s="105" t="n"/>
      <c r="CZ588" s="124">
        <f>+COUNTA(BV588:CY588)</f>
        <v/>
      </c>
      <c r="DA588" s="251" t="n"/>
      <c r="DB588" s="251" t="n"/>
      <c r="DC588" s="251" t="n"/>
      <c r="DD588" s="251" t="n"/>
      <c r="DE588" s="251" t="n"/>
      <c r="DF588" s="251" t="n"/>
      <c r="DG588" s="251" t="n"/>
      <c r="DH588" s="251" t="n"/>
      <c r="DI588" s="251" t="n"/>
      <c r="DJ588" s="251" t="n"/>
      <c r="DK588" s="251" t="n"/>
      <c r="DL588" s="95" t="n"/>
      <c r="DM588" s="251" t="inlineStr">
        <is>
          <t>M</t>
        </is>
      </c>
      <c r="DN588" s="251" t="n">
        <v>1</v>
      </c>
      <c r="DO588" s="95" t="n">
        <v>14</v>
      </c>
    </row>
    <row r="589" ht="12.5" customHeight="1">
      <c r="A589" s="203" t="inlineStr">
        <is>
          <t>MP-12A</t>
        </is>
      </c>
      <c r="B589" s="305" t="inlineStr">
        <is>
          <t>MP-12A</t>
        </is>
      </c>
      <c r="C589" s="251"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2" t="inlineStr">
        <is>
          <t>530WLMP12</t>
        </is>
      </c>
      <c r="BL589" s="7" t="inlineStr">
        <is>
          <t>GMAP-SIGA</t>
        </is>
      </c>
      <c r="BM589" s="251" t="inlineStr">
        <is>
          <t>NF</t>
        </is>
      </c>
      <c r="BN589" s="337" t="inlineStr">
        <is>
          <t>Tranque</t>
        </is>
      </c>
      <c r="BO589" s="251" t="inlineStr">
        <is>
          <t>SI PAT TRANQUE</t>
        </is>
      </c>
      <c r="BP589" s="106" t="inlineStr">
        <is>
          <t>MP-12A/NF</t>
        </is>
      </c>
      <c r="BQ589" s="106">
        <f>VLOOKUP(BP589,[1]AGUA!$1:$1048576,2,FALSE)</f>
        <v/>
      </c>
      <c r="BR589" s="106">
        <f>VLOOKUP(BP589,[1]AGUA!$1:$1048576,6,FALSE)</f>
        <v/>
      </c>
      <c r="BS589" s="106">
        <f>VLOOKUP(BP589,[1]AGUA!$1:$1048576,7,FALSE)</f>
        <v/>
      </c>
      <c r="BT589" s="106" t="n"/>
      <c r="BU589" s="253" t="n"/>
      <c r="BV589" s="105" t="n"/>
      <c r="BW589" s="105" t="n"/>
      <c r="BX589" s="105" t="n"/>
      <c r="BY589" s="105" t="n"/>
      <c r="BZ589" s="105" t="n"/>
      <c r="CA589" s="105" t="n"/>
      <c r="CB589" s="105" t="n"/>
      <c r="CC589" s="105" t="n"/>
      <c r="CD589" s="142" t="n">
        <v>1</v>
      </c>
      <c r="CE589" s="105" t="n"/>
      <c r="CF589" s="105" t="n"/>
      <c r="CG589" s="105" t="n"/>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24">
        <f>+COUNTA(BW589:CY589)</f>
        <v/>
      </c>
      <c r="DA589" s="251" t="n"/>
      <c r="DB589" s="251" t="n"/>
      <c r="DC589" s="251" t="n"/>
      <c r="DD589" s="251" t="n"/>
      <c r="DE589" s="251" t="n"/>
      <c r="DF589" s="251" t="n"/>
      <c r="DG589" s="251" t="n"/>
      <c r="DH589" s="251" t="n"/>
      <c r="DI589" s="251" t="n"/>
      <c r="DJ589" s="251" t="inlineStr">
        <is>
          <t>M</t>
        </is>
      </c>
      <c r="DK589" s="251" t="n">
        <v>1</v>
      </c>
      <c r="DL589" s="95" t="n">
        <v>14</v>
      </c>
      <c r="DM589" s="251" t="n"/>
      <c r="DN589" s="95" t="n"/>
      <c r="DO589" s="95" t="n"/>
    </row>
    <row r="590" ht="12.5" customHeight="1">
      <c r="A590" s="203" t="inlineStr">
        <is>
          <t>MP-12A</t>
        </is>
      </c>
      <c r="B590" s="305" t="inlineStr">
        <is>
          <t>MP-12A</t>
        </is>
      </c>
      <c r="C590" s="376"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76" t="n"/>
      <c r="BL590" s="7" t="inlineStr">
        <is>
          <t>GMAP-SIGA</t>
        </is>
      </c>
      <c r="BM590" s="251" t="inlineStr">
        <is>
          <t>ASUB</t>
        </is>
      </c>
      <c r="BN590" s="337" t="inlineStr">
        <is>
          <t>Tranque</t>
        </is>
      </c>
      <c r="BO590" s="251" t="inlineStr">
        <is>
          <t>SI PAT TRANQUE</t>
        </is>
      </c>
      <c r="BP590" s="106" t="inlineStr">
        <is>
          <t>MP-12A/ASUB</t>
        </is>
      </c>
      <c r="BQ590" s="106">
        <f>VLOOKUP(BP590,[1]AGUA!$1:$1048576,2,FALSE)</f>
        <v/>
      </c>
      <c r="BR590" s="106">
        <f>VLOOKUP(BP590,[1]AGUA!$1:$1048576,6,FALSE)</f>
        <v/>
      </c>
      <c r="BS590" s="106">
        <f>VLOOKUP(BP590,[1]AGUA!$1:$1048576,7,FALSE)</f>
        <v/>
      </c>
      <c r="BT590" s="106" t="n"/>
      <c r="BU590" s="377" t="n"/>
      <c r="BV590" s="105" t="n"/>
      <c r="BW590" s="105" t="n"/>
      <c r="BX590" s="105" t="n"/>
      <c r="BY590" s="105" t="n"/>
      <c r="BZ590" s="105" t="n"/>
      <c r="CA590" s="105" t="n"/>
      <c r="CB590" s="105" t="n"/>
      <c r="CC590" s="105" t="n"/>
      <c r="CD590" s="107" t="n">
        <v>1</v>
      </c>
      <c r="CE590" s="105" t="n"/>
      <c r="CF590" s="105" t="n"/>
      <c r="CG590" s="105" t="n"/>
      <c r="CH590" s="105" t="n"/>
      <c r="CI590" s="105"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24">
        <f>+COUNTA(BW590:CY590)</f>
        <v/>
      </c>
      <c r="DA590" s="251" t="n"/>
      <c r="DB590" s="251" t="n"/>
      <c r="DC590" s="251" t="n"/>
      <c r="DD590" s="251" t="n"/>
      <c r="DE590" s="251" t="n"/>
      <c r="DF590" s="251" t="n"/>
      <c r="DG590" s="251" t="n"/>
      <c r="DH590" s="251" t="n"/>
      <c r="DI590" s="251" t="n"/>
      <c r="DJ590" s="251" t="n"/>
      <c r="DK590" s="251" t="n"/>
      <c r="DL590" s="95" t="n"/>
      <c r="DM590" s="251" t="inlineStr">
        <is>
          <t>M</t>
        </is>
      </c>
      <c r="DN590" s="251" t="n">
        <v>1</v>
      </c>
      <c r="DO590" s="95" t="n">
        <v>14</v>
      </c>
    </row>
    <row r="591" ht="12.5" customHeight="1">
      <c r="A591" s="203" t="inlineStr">
        <is>
          <t>MP-12B</t>
        </is>
      </c>
      <c r="B591" s="305" t="inlineStr">
        <is>
          <t>MP-12B</t>
        </is>
      </c>
      <c r="C591" s="251"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2" t="inlineStr">
        <is>
          <t>530WLMP12</t>
        </is>
      </c>
      <c r="BL591" s="7" t="inlineStr">
        <is>
          <t>GMAP-SIGA</t>
        </is>
      </c>
      <c r="BM591" s="251" t="inlineStr">
        <is>
          <t>NF</t>
        </is>
      </c>
      <c r="BN591" s="337" t="inlineStr">
        <is>
          <t>Tranque</t>
        </is>
      </c>
      <c r="BO591" s="251" t="inlineStr">
        <is>
          <t>SI PAT TRANQUE</t>
        </is>
      </c>
      <c r="BP591" s="106" t="inlineStr">
        <is>
          <t>MP-12B/NF</t>
        </is>
      </c>
      <c r="BQ591" s="106">
        <f>VLOOKUP(BP591,[1]AGUA!$1:$1048576,2,FALSE)</f>
        <v/>
      </c>
      <c r="BR591" s="106">
        <f>VLOOKUP(BP591,[1]AGUA!$1:$1048576,6,FALSE)</f>
        <v/>
      </c>
      <c r="BS591" s="106">
        <f>VLOOKUP(BP591,[1]AGUA!$1:$1048576,7,FALSE)</f>
        <v/>
      </c>
      <c r="BT591" s="106" t="n"/>
      <c r="BU591" s="253" t="n"/>
      <c r="BV591" s="105" t="n"/>
      <c r="BW591" s="105" t="n"/>
      <c r="BX591" s="105" t="n"/>
      <c r="BY591" s="105" t="n"/>
      <c r="BZ591" s="105" t="n"/>
      <c r="CA591" s="105" t="n"/>
      <c r="CB591" s="105" t="n"/>
      <c r="CC591" s="105" t="n"/>
      <c r="CD591" s="142" t="n">
        <v>1</v>
      </c>
      <c r="CE591" s="105" t="n"/>
      <c r="CF591" s="105" t="n"/>
      <c r="CG591" s="105" t="n"/>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24">
        <f>+COUNTA(BW591:CY591)</f>
        <v/>
      </c>
      <c r="DA591" s="251" t="n"/>
      <c r="DB591" s="251" t="n"/>
      <c r="DC591" s="251" t="n"/>
      <c r="DD591" s="251" t="n"/>
      <c r="DE591" s="251" t="n"/>
      <c r="DF591" s="251" t="n"/>
      <c r="DG591" s="251" t="n"/>
      <c r="DH591" s="251" t="n"/>
      <c r="DI591" s="251" t="n"/>
      <c r="DJ591" s="251" t="inlineStr">
        <is>
          <t>M</t>
        </is>
      </c>
      <c r="DK591" s="251" t="n">
        <v>1</v>
      </c>
      <c r="DL591" s="95" t="n">
        <v>14</v>
      </c>
      <c r="DM591" s="251" t="n"/>
      <c r="DN591" s="95" t="n"/>
      <c r="DO591" s="95" t="n"/>
    </row>
    <row r="592" ht="12.5" customHeight="1">
      <c r="A592" s="203" t="inlineStr">
        <is>
          <t>MP-12B</t>
        </is>
      </c>
      <c r="B592" s="305" t="inlineStr">
        <is>
          <t>MP-12B</t>
        </is>
      </c>
      <c r="C592" s="376"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76" t="n"/>
      <c r="BL592" s="7" t="inlineStr">
        <is>
          <t>GMAP-SIGA</t>
        </is>
      </c>
      <c r="BM592" s="251" t="inlineStr">
        <is>
          <t>ASUB</t>
        </is>
      </c>
      <c r="BN592" s="337" t="inlineStr">
        <is>
          <t>Tranque</t>
        </is>
      </c>
      <c r="BO592" s="251" t="inlineStr">
        <is>
          <t>SI PAT TRANQUE</t>
        </is>
      </c>
      <c r="BP592" s="106" t="inlineStr">
        <is>
          <t>MP-12B/ASUB</t>
        </is>
      </c>
      <c r="BQ592" s="106">
        <f>VLOOKUP(BP592,[1]AGUA!$1:$1048576,2,FALSE)</f>
        <v/>
      </c>
      <c r="BR592" s="106">
        <f>VLOOKUP(BP592,[1]AGUA!$1:$1048576,6,FALSE)</f>
        <v/>
      </c>
      <c r="BS592" s="106">
        <f>VLOOKUP(BP592,[1]AGUA!$1:$1048576,7,FALSE)</f>
        <v/>
      </c>
      <c r="BT592" s="106" t="n"/>
      <c r="BU592" s="377" t="n"/>
      <c r="BV592" s="105" t="n"/>
      <c r="BW592" s="105" t="n"/>
      <c r="BX592" s="105" t="n"/>
      <c r="BY592" s="105" t="n"/>
      <c r="BZ592" s="105" t="n"/>
      <c r="CA592" s="105" t="n"/>
      <c r="CB592" s="105" t="n"/>
      <c r="CC592" s="105" t="n"/>
      <c r="CD592" s="107" t="n">
        <v>1</v>
      </c>
      <c r="CE592" s="105" t="n"/>
      <c r="CF592" s="105" t="n"/>
      <c r="CG592" s="105" t="n"/>
      <c r="CH592" s="105" t="n"/>
      <c r="CI592" s="105"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24">
        <f>+COUNTA(BW592:CY592)</f>
        <v/>
      </c>
      <c r="DA592" s="251" t="n"/>
      <c r="DB592" s="251" t="n"/>
      <c r="DC592" s="251" t="n"/>
      <c r="DD592" s="251" t="n"/>
      <c r="DE592" s="251" t="n"/>
      <c r="DF592" s="251" t="n"/>
      <c r="DG592" s="251" t="n"/>
      <c r="DH592" s="251" t="n"/>
      <c r="DI592" s="251" t="n"/>
      <c r="DJ592" s="251" t="n"/>
      <c r="DK592" s="251" t="n"/>
      <c r="DL592" s="95" t="n"/>
      <c r="DM592" s="251" t="inlineStr">
        <is>
          <t>M</t>
        </is>
      </c>
      <c r="DN592" s="251" t="n">
        <v>1</v>
      </c>
      <c r="DO592" s="95" t="n">
        <v>14</v>
      </c>
    </row>
    <row r="593" ht="12.5" customHeight="1">
      <c r="A593" s="203" t="inlineStr">
        <is>
          <t>MP-12C</t>
        </is>
      </c>
      <c r="B593" s="305" t="inlineStr">
        <is>
          <t>MP-12C</t>
        </is>
      </c>
      <c r="C593" s="251"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2" t="inlineStr">
        <is>
          <t>530WLMP12</t>
        </is>
      </c>
      <c r="BL593" s="7" t="inlineStr">
        <is>
          <t>GMAP-SIGA</t>
        </is>
      </c>
      <c r="BM593" s="251" t="inlineStr">
        <is>
          <t>NF</t>
        </is>
      </c>
      <c r="BN593" s="337" t="inlineStr">
        <is>
          <t>Tranque</t>
        </is>
      </c>
      <c r="BO593" s="251" t="inlineStr">
        <is>
          <t>SI PAT TRANQUE</t>
        </is>
      </c>
      <c r="BP593" s="106" t="inlineStr">
        <is>
          <t>MP-12C/NF</t>
        </is>
      </c>
      <c r="BQ593" s="106">
        <f>VLOOKUP(BP593,[1]AGUA!$1:$1048576,2,FALSE)</f>
        <v/>
      </c>
      <c r="BR593" s="106">
        <f>VLOOKUP(BP593,[1]AGUA!$1:$1048576,6,FALSE)</f>
        <v/>
      </c>
      <c r="BS593" s="106">
        <f>VLOOKUP(BP593,[1]AGUA!$1:$1048576,7,FALSE)</f>
        <v/>
      </c>
      <c r="BT593" s="106" t="n"/>
      <c r="BU593" s="253" t="n"/>
      <c r="BV593" s="105" t="n"/>
      <c r="BW593" s="105" t="n"/>
      <c r="BX593" s="105" t="n"/>
      <c r="BY593" s="105" t="n"/>
      <c r="BZ593" s="105" t="n"/>
      <c r="CA593" s="105" t="n"/>
      <c r="CB593" s="105" t="n"/>
      <c r="CC593" s="105" t="n"/>
      <c r="CD593" s="142" t="n">
        <v>1</v>
      </c>
      <c r="CE593" s="105" t="n"/>
      <c r="CF593" s="105" t="n"/>
      <c r="CG593" s="105" t="n"/>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24">
        <f>+COUNTA(BW593:CY593)</f>
        <v/>
      </c>
      <c r="DA593" s="251" t="n"/>
      <c r="DB593" s="251" t="n"/>
      <c r="DC593" s="251" t="n"/>
      <c r="DD593" s="251" t="n"/>
      <c r="DE593" s="251" t="n"/>
      <c r="DF593" s="251" t="n"/>
      <c r="DG593" s="251" t="n"/>
      <c r="DH593" s="251" t="n"/>
      <c r="DI593" s="251" t="n"/>
      <c r="DJ593" s="251" t="inlineStr">
        <is>
          <t>M</t>
        </is>
      </c>
      <c r="DK593" s="251" t="n">
        <v>1</v>
      </c>
      <c r="DL593" s="95" t="n">
        <v>14</v>
      </c>
      <c r="DM593" s="251" t="n"/>
      <c r="DN593" s="95" t="n"/>
      <c r="DO593" s="95" t="n"/>
    </row>
    <row r="594" ht="12.5" customHeight="1">
      <c r="A594" s="203" t="inlineStr">
        <is>
          <t>MP-12C</t>
        </is>
      </c>
      <c r="B594" s="305" t="inlineStr">
        <is>
          <t>MP-12C</t>
        </is>
      </c>
      <c r="C594" s="376"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76" t="n"/>
      <c r="BL594" s="7" t="inlineStr">
        <is>
          <t>GMAP-SIGA</t>
        </is>
      </c>
      <c r="BM594" s="251" t="inlineStr">
        <is>
          <t>ASUB</t>
        </is>
      </c>
      <c r="BN594" s="337" t="inlineStr">
        <is>
          <t>Tranque</t>
        </is>
      </c>
      <c r="BO594" s="251" t="inlineStr">
        <is>
          <t>SI PAT TRANQUE</t>
        </is>
      </c>
      <c r="BP594" s="106" t="inlineStr">
        <is>
          <t>MP-12C/ASUB</t>
        </is>
      </c>
      <c r="BQ594" s="106">
        <f>VLOOKUP(BP594,[1]AGUA!$1:$1048576,2,FALSE)</f>
        <v/>
      </c>
      <c r="BR594" s="106">
        <f>VLOOKUP(BP594,[1]AGUA!$1:$1048576,6,FALSE)</f>
        <v/>
      </c>
      <c r="BS594" s="106">
        <f>VLOOKUP(BP594,[1]AGUA!$1:$1048576,7,FALSE)</f>
        <v/>
      </c>
      <c r="BT594" s="106" t="n"/>
      <c r="BU594" s="377" t="n"/>
      <c r="BV594" s="105" t="n"/>
      <c r="BW594" s="105" t="n"/>
      <c r="BX594" s="105" t="n"/>
      <c r="BY594" s="105" t="n"/>
      <c r="BZ594" s="105" t="n"/>
      <c r="CA594" s="105" t="n"/>
      <c r="CB594" s="105" t="n"/>
      <c r="CC594" s="105" t="n"/>
      <c r="CD594" s="107" t="n">
        <v>1</v>
      </c>
      <c r="CE594" s="105" t="n"/>
      <c r="CF594" s="105" t="n"/>
      <c r="CG594" s="105" t="n"/>
      <c r="CH594" s="105" t="n"/>
      <c r="CI594" s="105"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24">
        <f>+COUNTA(BW594:CY594)</f>
        <v/>
      </c>
      <c r="DA594" s="251" t="n"/>
      <c r="DB594" s="251" t="n"/>
      <c r="DC594" s="251" t="n"/>
      <c r="DD594" s="251" t="n"/>
      <c r="DE594" s="251" t="n"/>
      <c r="DF594" s="251" t="n"/>
      <c r="DG594" s="251" t="n"/>
      <c r="DH594" s="251" t="n"/>
      <c r="DI594" s="251" t="n"/>
      <c r="DJ594" s="251" t="n"/>
      <c r="DK594" s="251" t="n"/>
      <c r="DL594" s="95" t="n"/>
      <c r="DM594" s="251" t="inlineStr">
        <is>
          <t>M</t>
        </is>
      </c>
      <c r="DN594" s="251" t="n">
        <v>1</v>
      </c>
      <c r="DO594" s="95" t="n">
        <v>14</v>
      </c>
    </row>
    <row r="595" ht="12.5" customHeight="1">
      <c r="A595" s="203" t="inlineStr">
        <is>
          <t>MP-13A</t>
        </is>
      </c>
      <c r="B595" s="305" t="inlineStr">
        <is>
          <t>MP-13A</t>
        </is>
      </c>
      <c r="C595" s="251"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2" t="inlineStr">
        <is>
          <t>530WLMP13</t>
        </is>
      </c>
      <c r="BL595" s="7" t="inlineStr">
        <is>
          <t>GMAP-SIGA</t>
        </is>
      </c>
      <c r="BM595" s="251" t="inlineStr">
        <is>
          <t>NF</t>
        </is>
      </c>
      <c r="BN595" s="337" t="inlineStr">
        <is>
          <t>Tranque</t>
        </is>
      </c>
      <c r="BO595" s="251" t="inlineStr">
        <is>
          <t>SI PAT TRANQUE</t>
        </is>
      </c>
      <c r="BP595" s="106" t="inlineStr">
        <is>
          <t>MP-13A/NF</t>
        </is>
      </c>
      <c r="BQ595" s="106">
        <f>VLOOKUP(BP595,[1]AGUA!$1:$1048576,2,FALSE)</f>
        <v/>
      </c>
      <c r="BR595" s="106">
        <f>VLOOKUP(BP595,[1]AGUA!$1:$1048576,6,FALSE)</f>
        <v/>
      </c>
      <c r="BS595" s="106">
        <f>VLOOKUP(BP595,[1]AGUA!$1:$1048576,7,FALSE)</f>
        <v/>
      </c>
      <c r="BT595" s="106" t="n"/>
      <c r="BU595" s="253" t="n"/>
      <c r="BV595" s="105" t="n"/>
      <c r="BW595" s="105" t="n"/>
      <c r="BX595" s="105" t="n"/>
      <c r="BY595" s="105" t="n"/>
      <c r="BZ595" s="105" t="n"/>
      <c r="CA595" s="105" t="n"/>
      <c r="CB595" s="142" t="n">
        <v>1</v>
      </c>
      <c r="CC595" s="105" t="n"/>
      <c r="CD595" s="105" t="n"/>
      <c r="CE595" s="105" t="n"/>
      <c r="CF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24">
        <f>+COUNTA(BV595:CY595)</f>
        <v/>
      </c>
      <c r="DA595" s="251" t="n"/>
      <c r="DB595" s="251" t="n"/>
      <c r="DC595" s="251" t="n"/>
      <c r="DD595" s="251" t="n"/>
      <c r="DE595" s="251" t="n"/>
      <c r="DF595" s="251" t="n"/>
      <c r="DG595" s="251" t="n"/>
      <c r="DH595" s="251" t="n"/>
      <c r="DI595" s="251" t="n"/>
      <c r="DJ595" s="251" t="inlineStr">
        <is>
          <t>M</t>
        </is>
      </c>
      <c r="DK595" s="251" t="n">
        <v>1</v>
      </c>
      <c r="DL595" s="95" t="n">
        <v>14</v>
      </c>
      <c r="DM595" s="251" t="n"/>
      <c r="DN595" s="95" t="n"/>
      <c r="DO595" s="95" t="n"/>
    </row>
    <row r="596" ht="12.5" customHeight="1">
      <c r="A596" s="203" t="inlineStr">
        <is>
          <t>MP-13A</t>
        </is>
      </c>
      <c r="B596" s="305" t="inlineStr">
        <is>
          <t>MP-13A</t>
        </is>
      </c>
      <c r="C596" s="376"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76" t="n"/>
      <c r="BL596" s="7" t="inlineStr">
        <is>
          <t>GMAP-SIGA</t>
        </is>
      </c>
      <c r="BM596" s="251" t="inlineStr">
        <is>
          <t>ASUB</t>
        </is>
      </c>
      <c r="BN596" s="337" t="inlineStr">
        <is>
          <t>Tranque</t>
        </is>
      </c>
      <c r="BO596" s="251" t="inlineStr">
        <is>
          <t>SI PAT TRANQUE</t>
        </is>
      </c>
      <c r="BP596" s="106" t="inlineStr">
        <is>
          <t>MP-13A/ASUB</t>
        </is>
      </c>
      <c r="BQ596" s="106">
        <f>VLOOKUP(BP596,[1]AGUA!$1:$1048576,2,FALSE)</f>
        <v/>
      </c>
      <c r="BR596" s="106">
        <f>VLOOKUP(BP596,[1]AGUA!$1:$1048576,6,FALSE)</f>
        <v/>
      </c>
      <c r="BS596" s="106">
        <f>VLOOKUP(BP596,[1]AGUA!$1:$1048576,7,FALSE)</f>
        <v/>
      </c>
      <c r="BT596" s="106" t="n"/>
      <c r="BU596" s="377" t="n"/>
      <c r="BV596" s="105" t="n"/>
      <c r="BW596" s="105" t="n"/>
      <c r="BX596" s="105" t="n"/>
      <c r="BY596" s="105" t="n"/>
      <c r="BZ596" s="105" t="n"/>
      <c r="CA596" s="105" t="n"/>
      <c r="CB596" s="107" t="n">
        <v>1</v>
      </c>
      <c r="CC596" s="105" t="n"/>
      <c r="CD596" s="105" t="n"/>
      <c r="CE596" s="105" t="n"/>
      <c r="CF596" s="105" t="n"/>
      <c r="CH596" s="105" t="n"/>
      <c r="CI596" s="105"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24">
        <f>+COUNTA(BV596:CY596)</f>
        <v/>
      </c>
      <c r="DA596" s="251" t="n"/>
      <c r="DB596" s="251" t="n"/>
      <c r="DC596" s="251" t="n"/>
      <c r="DD596" s="251" t="n"/>
      <c r="DE596" s="251" t="n"/>
      <c r="DF596" s="251" t="n"/>
      <c r="DG596" s="251" t="n"/>
      <c r="DH596" s="251" t="n"/>
      <c r="DI596" s="251" t="n"/>
      <c r="DJ596" s="251" t="n"/>
      <c r="DK596" s="251" t="n"/>
      <c r="DL596" s="95" t="n"/>
      <c r="DM596" s="251" t="inlineStr">
        <is>
          <t>M</t>
        </is>
      </c>
      <c r="DN596" s="251" t="n">
        <v>1</v>
      </c>
      <c r="DO596" s="95" t="n">
        <v>14</v>
      </c>
    </row>
    <row r="597" ht="12.5" customHeight="1">
      <c r="A597" s="203" t="inlineStr">
        <is>
          <t>MP-13B</t>
        </is>
      </c>
      <c r="B597" s="305" t="inlineStr">
        <is>
          <t>MP-13B</t>
        </is>
      </c>
      <c r="C597" s="251"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2" t="inlineStr">
        <is>
          <t>530WLMP13</t>
        </is>
      </c>
      <c r="BL597" s="7" t="inlineStr">
        <is>
          <t>GMAP-SIGA</t>
        </is>
      </c>
      <c r="BM597" s="251" t="inlineStr">
        <is>
          <t>NF</t>
        </is>
      </c>
      <c r="BN597" s="337" t="inlineStr">
        <is>
          <t>Tranque</t>
        </is>
      </c>
      <c r="BO597" s="251" t="inlineStr">
        <is>
          <t>SI PAT TRANQUE</t>
        </is>
      </c>
      <c r="BP597" s="106" t="inlineStr">
        <is>
          <t>MP-13B/NF</t>
        </is>
      </c>
      <c r="BQ597" s="106">
        <f>VLOOKUP(BP597,[1]AGUA!$1:$1048576,2,FALSE)</f>
        <v/>
      </c>
      <c r="BR597" s="106">
        <f>VLOOKUP(BP597,[1]AGUA!$1:$1048576,6,FALSE)</f>
        <v/>
      </c>
      <c r="BS597" s="106">
        <f>VLOOKUP(BP597,[1]AGUA!$1:$1048576,7,FALSE)</f>
        <v/>
      </c>
      <c r="BT597" s="106" t="n"/>
      <c r="BU597" s="253" t="n"/>
      <c r="BV597" s="105" t="n"/>
      <c r="BW597" s="105" t="n"/>
      <c r="BX597" s="105" t="n"/>
      <c r="BY597" s="105" t="n"/>
      <c r="BZ597" s="105" t="n"/>
      <c r="CA597" s="105" t="n"/>
      <c r="CB597" s="142" t="n">
        <v>1</v>
      </c>
      <c r="CC597" s="105" t="n"/>
      <c r="CD597" s="105" t="n"/>
      <c r="CE597" s="105" t="n"/>
      <c r="CF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24">
        <f>+COUNTA(BV597:CY597)</f>
        <v/>
      </c>
      <c r="DA597" s="251" t="n"/>
      <c r="DB597" s="251" t="n"/>
      <c r="DC597" s="251" t="n"/>
      <c r="DD597" s="251" t="n"/>
      <c r="DE597" s="251" t="n"/>
      <c r="DF597" s="251" t="n"/>
      <c r="DG597" s="251" t="n"/>
      <c r="DH597" s="251" t="n"/>
      <c r="DI597" s="251" t="n"/>
      <c r="DJ597" s="251" t="inlineStr">
        <is>
          <t>M</t>
        </is>
      </c>
      <c r="DK597" s="251" t="n">
        <v>1</v>
      </c>
      <c r="DL597" s="95" t="n">
        <v>14</v>
      </c>
      <c r="DM597" s="251" t="n"/>
      <c r="DN597" s="95" t="n"/>
      <c r="DO597" s="95" t="n"/>
    </row>
    <row r="598" ht="12.5" customHeight="1">
      <c r="A598" s="203" t="inlineStr">
        <is>
          <t>MP-13B</t>
        </is>
      </c>
      <c r="B598" s="305" t="inlineStr">
        <is>
          <t>MP-13B</t>
        </is>
      </c>
      <c r="C598" s="376"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76" t="n"/>
      <c r="BL598" s="7" t="inlineStr">
        <is>
          <t>GMAP-SIGA</t>
        </is>
      </c>
      <c r="BM598" s="251" t="inlineStr">
        <is>
          <t>ASUB</t>
        </is>
      </c>
      <c r="BN598" s="337" t="inlineStr">
        <is>
          <t>Tranque</t>
        </is>
      </c>
      <c r="BO598" s="251" t="inlineStr">
        <is>
          <t>SI PAT TRANQUE</t>
        </is>
      </c>
      <c r="BP598" s="106" t="inlineStr">
        <is>
          <t>MP-13B/ASUB</t>
        </is>
      </c>
      <c r="BQ598" s="106">
        <f>VLOOKUP(BP598,[1]AGUA!$1:$1048576,2,FALSE)</f>
        <v/>
      </c>
      <c r="BR598" s="106">
        <f>VLOOKUP(BP598,[1]AGUA!$1:$1048576,6,FALSE)</f>
        <v/>
      </c>
      <c r="BS598" s="106">
        <f>VLOOKUP(BP598,[1]AGUA!$1:$1048576,7,FALSE)</f>
        <v/>
      </c>
      <c r="BT598" s="106" t="n"/>
      <c r="BU598" s="377" t="n"/>
      <c r="BV598" s="105" t="n"/>
      <c r="BW598" s="105" t="n"/>
      <c r="BX598" s="105" t="n"/>
      <c r="BY598" s="105" t="n"/>
      <c r="BZ598" s="105" t="n"/>
      <c r="CA598" s="105" t="n"/>
      <c r="CB598" s="107" t="n">
        <v>1</v>
      </c>
      <c r="CC598" s="105" t="n"/>
      <c r="CD598" s="105" t="n"/>
      <c r="CE598" s="105" t="n"/>
      <c r="CF598" s="105" t="n"/>
      <c r="CH598" s="105" t="n"/>
      <c r="CI598" s="105"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24">
        <f>+COUNTA(BV598:CY598)</f>
        <v/>
      </c>
      <c r="DA598" s="251" t="n"/>
      <c r="DB598" s="251" t="n"/>
      <c r="DC598" s="251" t="n"/>
      <c r="DD598" s="251" t="n"/>
      <c r="DE598" s="251" t="n"/>
      <c r="DF598" s="251" t="n"/>
      <c r="DG598" s="251" t="n"/>
      <c r="DH598" s="251" t="n"/>
      <c r="DI598" s="251" t="n"/>
      <c r="DJ598" s="251" t="n"/>
      <c r="DK598" s="251" t="n"/>
      <c r="DL598" s="95" t="n"/>
      <c r="DM598" s="251" t="inlineStr">
        <is>
          <t>M</t>
        </is>
      </c>
      <c r="DN598" s="251" t="n">
        <v>1</v>
      </c>
      <c r="DO598" s="95" t="n">
        <v>14</v>
      </c>
    </row>
    <row r="599" ht="12.5" customHeight="1">
      <c r="A599" s="203" t="inlineStr">
        <is>
          <t>MP-13C</t>
        </is>
      </c>
      <c r="B599" s="305" t="inlineStr">
        <is>
          <t>MP-13C</t>
        </is>
      </c>
      <c r="C599" s="251"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2" t="inlineStr">
        <is>
          <t>530WLMP13</t>
        </is>
      </c>
      <c r="BL599" s="7" t="inlineStr">
        <is>
          <t>GMAP-SIGA</t>
        </is>
      </c>
      <c r="BM599" s="251" t="inlineStr">
        <is>
          <t>NF</t>
        </is>
      </c>
      <c r="BN599" s="337" t="inlineStr">
        <is>
          <t>Tranque</t>
        </is>
      </c>
      <c r="BO599" s="251" t="inlineStr">
        <is>
          <t>SI PAT TRANQUE</t>
        </is>
      </c>
      <c r="BP599" s="106" t="inlineStr">
        <is>
          <t>MP-13C/NF</t>
        </is>
      </c>
      <c r="BQ599" s="106">
        <f>VLOOKUP(BP599,[1]AGUA!$1:$1048576,2,FALSE)</f>
        <v/>
      </c>
      <c r="BR599" s="106">
        <f>VLOOKUP(BP599,[1]AGUA!$1:$1048576,6,FALSE)</f>
        <v/>
      </c>
      <c r="BS599" s="106">
        <f>VLOOKUP(BP599,[1]AGUA!$1:$1048576,7,FALSE)</f>
        <v/>
      </c>
      <c r="BT599" s="106" t="n"/>
      <c r="BU599" s="253" t="n"/>
      <c r="BV599" s="105" t="n"/>
      <c r="BW599" s="105" t="n"/>
      <c r="BX599" s="105" t="n"/>
      <c r="BY599" s="105" t="n"/>
      <c r="BZ599" s="105" t="n"/>
      <c r="CA599" s="105" t="n"/>
      <c r="CB599" s="142" t="n">
        <v>1</v>
      </c>
      <c r="CC599" s="105" t="n"/>
      <c r="CD599" s="105" t="n"/>
      <c r="CE599" s="105" t="n"/>
      <c r="CF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24">
        <f>+COUNTA(BV599:CY599)</f>
        <v/>
      </c>
      <c r="DA599" s="251" t="n"/>
      <c r="DB599" s="251" t="n"/>
      <c r="DC599" s="251" t="n"/>
      <c r="DD599" s="251" t="n"/>
      <c r="DE599" s="251" t="n"/>
      <c r="DF599" s="251" t="n"/>
      <c r="DG599" s="251" t="n"/>
      <c r="DH599" s="251" t="n"/>
      <c r="DI599" s="251" t="n"/>
      <c r="DJ599" s="251" t="inlineStr">
        <is>
          <t>M</t>
        </is>
      </c>
      <c r="DK599" s="251" t="n">
        <v>1</v>
      </c>
      <c r="DL599" s="95" t="n">
        <v>14</v>
      </c>
      <c r="DM599" s="251" t="n"/>
      <c r="DN599" s="95" t="n"/>
      <c r="DO599" s="95" t="n"/>
    </row>
    <row r="600" ht="12.5" customHeight="1">
      <c r="A600" s="203" t="inlineStr">
        <is>
          <t>MP-13C</t>
        </is>
      </c>
      <c r="B600" s="305" t="inlineStr">
        <is>
          <t>MP-13C</t>
        </is>
      </c>
      <c r="C600" s="376"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76" t="n"/>
      <c r="BL600" s="7" t="inlineStr">
        <is>
          <t>GMAP-SIGA</t>
        </is>
      </c>
      <c r="BM600" s="251" t="inlineStr">
        <is>
          <t>ASUB</t>
        </is>
      </c>
      <c r="BN600" s="337" t="inlineStr">
        <is>
          <t>Tranque</t>
        </is>
      </c>
      <c r="BO600" s="251" t="inlineStr">
        <is>
          <t>SI PAT TRANQUE</t>
        </is>
      </c>
      <c r="BP600" s="106" t="inlineStr">
        <is>
          <t>MP-13C/ASUB</t>
        </is>
      </c>
      <c r="BQ600" s="106">
        <f>VLOOKUP(BP600,[1]AGUA!$1:$1048576,2,FALSE)</f>
        <v/>
      </c>
      <c r="BR600" s="106">
        <f>VLOOKUP(BP600,[1]AGUA!$1:$1048576,6,FALSE)</f>
        <v/>
      </c>
      <c r="BS600" s="106">
        <f>VLOOKUP(BP600,[1]AGUA!$1:$1048576,7,FALSE)</f>
        <v/>
      </c>
      <c r="BT600" s="106" t="n"/>
      <c r="BU600" s="377" t="n"/>
      <c r="BV600" s="105" t="n"/>
      <c r="BW600" s="105" t="n"/>
      <c r="BX600" s="105" t="n"/>
      <c r="BY600" s="105" t="n"/>
      <c r="BZ600" s="105" t="n"/>
      <c r="CA600" s="105" t="n"/>
      <c r="CB600" s="107" t="n">
        <v>1</v>
      </c>
      <c r="CC600" s="105" t="n"/>
      <c r="CD600" s="105" t="n"/>
      <c r="CE600" s="105" t="n"/>
      <c r="CF600" s="105" t="n"/>
      <c r="CH600" s="105" t="n"/>
      <c r="CI600" s="105"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24">
        <f>+COUNTA(BV600:CY600)</f>
        <v/>
      </c>
      <c r="DA600" s="251" t="n"/>
      <c r="DB600" s="251" t="n"/>
      <c r="DC600" s="251" t="n"/>
      <c r="DD600" s="251" t="n"/>
      <c r="DE600" s="251" t="n"/>
      <c r="DF600" s="251" t="n"/>
      <c r="DG600" s="251" t="n"/>
      <c r="DH600" s="251" t="n"/>
      <c r="DI600" s="251" t="n"/>
      <c r="DJ600" s="251" t="n"/>
      <c r="DK600" s="251" t="n"/>
      <c r="DL600" s="95" t="n"/>
      <c r="DM600" s="251" t="inlineStr">
        <is>
          <t>M</t>
        </is>
      </c>
      <c r="DN600" s="251" t="n">
        <v>1</v>
      </c>
      <c r="DO600" s="95" t="n">
        <v>14</v>
      </c>
    </row>
    <row r="601" ht="12.5" customHeight="1">
      <c r="A601" s="203" t="inlineStr">
        <is>
          <t>MP-14A</t>
        </is>
      </c>
      <c r="B601" s="305" t="inlineStr">
        <is>
          <t>MP-14A</t>
        </is>
      </c>
      <c r="C601" s="251"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2" t="inlineStr">
        <is>
          <t>530WLMP14</t>
        </is>
      </c>
      <c r="BL601" s="7" t="inlineStr">
        <is>
          <t>GMAP-SIGA</t>
        </is>
      </c>
      <c r="BM601" s="251" t="inlineStr">
        <is>
          <t>NF</t>
        </is>
      </c>
      <c r="BN601" s="337" t="inlineStr">
        <is>
          <t>Tranque</t>
        </is>
      </c>
      <c r="BO601" s="251" t="inlineStr">
        <is>
          <t>SI PAT TRANQUE</t>
        </is>
      </c>
      <c r="BP601" s="106" t="inlineStr">
        <is>
          <t>MP-14A/NF</t>
        </is>
      </c>
      <c r="BQ601" s="106">
        <f>VLOOKUP(BP601,[1]AGUA!$1:$1048576,2,FALSE)</f>
        <v/>
      </c>
      <c r="BR601" s="106">
        <f>VLOOKUP(BP601,[1]AGUA!$1:$1048576,6,FALSE)</f>
        <v/>
      </c>
      <c r="BS601" s="106">
        <f>VLOOKUP(BP601,[1]AGUA!$1:$1048576,7,FALSE)</f>
        <v/>
      </c>
      <c r="BT601" s="106" t="n"/>
      <c r="BU601" s="253" t="n"/>
      <c r="BV601" s="105" t="n"/>
      <c r="BW601" s="105" t="n"/>
      <c r="BX601" s="105" t="n"/>
      <c r="BY601" s="105" t="n"/>
      <c r="BZ601" s="105" t="n"/>
      <c r="CA601" s="105" t="n"/>
      <c r="CB601" s="142" t="n">
        <v>1</v>
      </c>
      <c r="CC601" s="105" t="n"/>
      <c r="CD601" s="105" t="n"/>
      <c r="CE601" s="105" t="n"/>
      <c r="CF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24">
        <f>+COUNTA(BW601:CY601)</f>
        <v/>
      </c>
      <c r="DA601" s="251" t="n"/>
      <c r="DB601" s="251" t="n"/>
      <c r="DC601" s="251" t="n"/>
      <c r="DD601" s="251" t="n"/>
      <c r="DE601" s="251" t="n"/>
      <c r="DF601" s="251" t="n"/>
      <c r="DG601" s="251" t="n"/>
      <c r="DH601" s="251" t="n"/>
      <c r="DI601" s="251" t="n"/>
      <c r="DJ601" s="110" t="inlineStr">
        <is>
          <t>M</t>
        </is>
      </c>
      <c r="DK601" s="251" t="n">
        <v>1</v>
      </c>
      <c r="DL601" s="95" t="n">
        <v>14</v>
      </c>
      <c r="DM601" s="251" t="n"/>
      <c r="DN601" s="95" t="n"/>
      <c r="DO601" s="95" t="n"/>
    </row>
    <row r="602" ht="12.5" customHeight="1">
      <c r="A602" s="203" t="inlineStr">
        <is>
          <t>MP-14A</t>
        </is>
      </c>
      <c r="B602" s="305" t="inlineStr">
        <is>
          <t>MP-14A</t>
        </is>
      </c>
      <c r="C602" s="376"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76" t="n"/>
      <c r="BL602" s="7" t="inlineStr">
        <is>
          <t>GMAP-SIGA</t>
        </is>
      </c>
      <c r="BM602" s="251" t="inlineStr">
        <is>
          <t>ASUB</t>
        </is>
      </c>
      <c r="BN602" s="337" t="inlineStr">
        <is>
          <t>Tranque</t>
        </is>
      </c>
      <c r="BO602" s="251" t="inlineStr">
        <is>
          <t>SI PAT TRANQUE</t>
        </is>
      </c>
      <c r="BP602" s="106" t="inlineStr">
        <is>
          <t>MP-14A/ASUB</t>
        </is>
      </c>
      <c r="BQ602" s="106">
        <f>VLOOKUP(BP602,[1]AGUA!$1:$1048576,2,FALSE)</f>
        <v/>
      </c>
      <c r="BR602" s="106">
        <f>VLOOKUP(BP602,[1]AGUA!$1:$1048576,6,FALSE)</f>
        <v/>
      </c>
      <c r="BS602" s="106">
        <f>VLOOKUP(BP602,[1]AGUA!$1:$1048576,7,FALSE)</f>
        <v/>
      </c>
      <c r="BT602" s="106" t="n"/>
      <c r="BU602" s="377" t="n"/>
      <c r="BV602" s="105" t="n"/>
      <c r="BW602" s="105" t="n"/>
      <c r="BX602" s="105" t="n"/>
      <c r="BY602" s="105" t="n"/>
      <c r="BZ602" s="105" t="n"/>
      <c r="CA602" s="105" t="n"/>
      <c r="CB602" s="107" t="n">
        <v>1</v>
      </c>
      <c r="CC602" s="105" t="n"/>
      <c r="CD602" s="105" t="n"/>
      <c r="CE602" s="105" t="n"/>
      <c r="CF602" s="105" t="n"/>
      <c r="CH602" s="105" t="n"/>
      <c r="CI602" s="105"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24">
        <f>+COUNTA(BW602:CY602)</f>
        <v/>
      </c>
      <c r="DA602" s="251" t="n"/>
      <c r="DB602" s="251" t="n"/>
      <c r="DC602" s="251" t="n"/>
      <c r="DD602" s="251" t="n"/>
      <c r="DE602" s="251" t="n"/>
      <c r="DF602" s="251" t="n"/>
      <c r="DG602" s="251" t="n"/>
      <c r="DH602" s="251" t="n"/>
      <c r="DI602" s="251" t="n"/>
      <c r="DJ602" s="110" t="n"/>
      <c r="DK602" s="251" t="n"/>
      <c r="DL602" s="95" t="n"/>
      <c r="DM602" s="251" t="inlineStr">
        <is>
          <t>M</t>
        </is>
      </c>
      <c r="DN602" s="251" t="n">
        <v>1</v>
      </c>
      <c r="DO602" s="95" t="n">
        <v>14</v>
      </c>
    </row>
    <row r="603" ht="12.5" customHeight="1">
      <c r="A603" s="203" t="inlineStr">
        <is>
          <t>MP-14B</t>
        </is>
      </c>
      <c r="B603" s="305" t="inlineStr">
        <is>
          <t>MP-14B</t>
        </is>
      </c>
      <c r="C603" s="251"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2" t="inlineStr">
        <is>
          <t>530WLMP14</t>
        </is>
      </c>
      <c r="BL603" s="7" t="inlineStr">
        <is>
          <t>GMAP-SIGA</t>
        </is>
      </c>
      <c r="BM603" s="251" t="inlineStr">
        <is>
          <t>NF</t>
        </is>
      </c>
      <c r="BN603" s="337" t="inlineStr">
        <is>
          <t>Tranque</t>
        </is>
      </c>
      <c r="BO603" s="251" t="inlineStr">
        <is>
          <t>SI PAT TRANQUE</t>
        </is>
      </c>
      <c r="BP603" s="106" t="inlineStr">
        <is>
          <t>MP-14B/NF</t>
        </is>
      </c>
      <c r="BQ603" s="106">
        <f>VLOOKUP(BP603,[1]AGUA!$1:$1048576,2,FALSE)</f>
        <v/>
      </c>
      <c r="BR603" s="106">
        <f>VLOOKUP(BP603,[1]AGUA!$1:$1048576,6,FALSE)</f>
        <v/>
      </c>
      <c r="BS603" s="106">
        <f>VLOOKUP(BP603,[1]AGUA!$1:$1048576,7,FALSE)</f>
        <v/>
      </c>
      <c r="BT603" s="106" t="n"/>
      <c r="BU603" s="253" t="n"/>
      <c r="BV603" s="105" t="n"/>
      <c r="BW603" s="105" t="n"/>
      <c r="BX603" s="105" t="n"/>
      <c r="BY603" s="105" t="n"/>
      <c r="BZ603" s="105" t="n"/>
      <c r="CA603" s="105" t="n"/>
      <c r="CB603" s="142" t="n">
        <v>1</v>
      </c>
      <c r="CC603" s="105" t="n"/>
      <c r="CD603" s="105" t="n"/>
      <c r="CE603" s="105" t="n"/>
      <c r="CF603" s="105" t="n"/>
      <c r="CH603" s="105" t="n"/>
      <c r="CI603" s="105" t="n"/>
      <c r="CJ603" s="105" t="n"/>
      <c r="CK603" s="105" t="n"/>
      <c r="CL603" s="105" t="n"/>
      <c r="CM603" s="105" t="n"/>
      <c r="CN603" s="105" t="n"/>
      <c r="CO603" s="105" t="n"/>
      <c r="CP603" s="105" t="n"/>
      <c r="CQ603" s="105" t="n"/>
      <c r="CR603" s="105" t="n"/>
      <c r="CS603" s="105" t="n"/>
      <c r="CT603" s="105" t="n"/>
      <c r="CU603" s="105" t="n"/>
      <c r="CV603" s="105" t="n"/>
      <c r="CW603" s="105" t="n"/>
      <c r="CX603" s="105" t="n"/>
      <c r="CY603" s="105" t="n"/>
      <c r="CZ603" s="124">
        <f>+COUNTA(BW603:CY603)</f>
        <v/>
      </c>
      <c r="DA603" s="251" t="n"/>
      <c r="DB603" s="251" t="n"/>
      <c r="DC603" s="251" t="n"/>
      <c r="DD603" s="251" t="n"/>
      <c r="DE603" s="251" t="n"/>
      <c r="DF603" s="251" t="n"/>
      <c r="DG603" s="251" t="n"/>
      <c r="DH603" s="251" t="n"/>
      <c r="DI603" s="251" t="n"/>
      <c r="DJ603" s="110" t="inlineStr">
        <is>
          <t>M</t>
        </is>
      </c>
      <c r="DK603" s="251" t="n">
        <v>1</v>
      </c>
      <c r="DL603" s="95" t="n">
        <v>14</v>
      </c>
      <c r="DM603" s="251" t="n"/>
      <c r="DN603" s="95" t="n"/>
      <c r="DO603" s="95" t="n"/>
    </row>
    <row r="604" ht="12.5" customHeight="1">
      <c r="A604" s="203" t="inlineStr">
        <is>
          <t>MP-14B</t>
        </is>
      </c>
      <c r="B604" s="305" t="inlineStr">
        <is>
          <t>MP-14B</t>
        </is>
      </c>
      <c r="C604" s="376"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76" t="n"/>
      <c r="BL604" s="7" t="inlineStr">
        <is>
          <t>GMAP-SIGA</t>
        </is>
      </c>
      <c r="BM604" s="251" t="inlineStr">
        <is>
          <t>ASUB</t>
        </is>
      </c>
      <c r="BN604" s="337" t="inlineStr">
        <is>
          <t>Tranque</t>
        </is>
      </c>
      <c r="BO604" s="251" t="inlineStr">
        <is>
          <t>SI PAT TRANQUE</t>
        </is>
      </c>
      <c r="BP604" s="106" t="inlineStr">
        <is>
          <t>MP-14B/ASUB</t>
        </is>
      </c>
      <c r="BQ604" s="106">
        <f>VLOOKUP(BP604,[1]AGUA!$1:$1048576,2,FALSE)</f>
        <v/>
      </c>
      <c r="BR604" s="106">
        <f>VLOOKUP(BP604,[1]AGUA!$1:$1048576,6,FALSE)</f>
        <v/>
      </c>
      <c r="BS604" s="106">
        <f>VLOOKUP(BP604,[1]AGUA!$1:$1048576,7,FALSE)</f>
        <v/>
      </c>
      <c r="BT604" s="106" t="n"/>
      <c r="BU604" s="377" t="n"/>
      <c r="BV604" s="105" t="n"/>
      <c r="BW604" s="105" t="n"/>
      <c r="BX604" s="105" t="n"/>
      <c r="BY604" s="105" t="n"/>
      <c r="BZ604" s="105" t="n"/>
      <c r="CA604" s="105" t="n"/>
      <c r="CB604" s="107" t="n">
        <v>1</v>
      </c>
      <c r="CC604" s="105" t="n"/>
      <c r="CD604" s="105" t="n"/>
      <c r="CE604" s="105" t="n"/>
      <c r="CF604" s="105" t="n"/>
      <c r="CH604" s="105" t="n"/>
      <c r="CI604" s="105"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24">
        <f>+COUNTA(BW604:CY604)</f>
        <v/>
      </c>
      <c r="DA604" s="251" t="n"/>
      <c r="DB604" s="251" t="n"/>
      <c r="DC604" s="251" t="n"/>
      <c r="DD604" s="251" t="n"/>
      <c r="DE604" s="251" t="n"/>
      <c r="DF604" s="251" t="n"/>
      <c r="DG604" s="251" t="n"/>
      <c r="DH604" s="251" t="n"/>
      <c r="DI604" s="251" t="n"/>
      <c r="DJ604" s="110" t="n"/>
      <c r="DK604" s="251" t="n"/>
      <c r="DL604" s="95" t="n"/>
      <c r="DM604" s="251" t="inlineStr">
        <is>
          <t>M</t>
        </is>
      </c>
      <c r="DN604" s="251" t="n">
        <v>1</v>
      </c>
      <c r="DO604" s="95" t="n">
        <v>14</v>
      </c>
    </row>
    <row r="605" ht="12.5" customHeight="1">
      <c r="A605" s="203" t="inlineStr">
        <is>
          <t>MP-14C_B</t>
        </is>
      </c>
      <c r="B605" s="305" t="inlineStr">
        <is>
          <t>MP-14C</t>
        </is>
      </c>
      <c r="C605" s="251"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2" t="inlineStr">
        <is>
          <t>530WLMP14</t>
        </is>
      </c>
      <c r="BL605" s="7" t="inlineStr">
        <is>
          <t>GMAP-SIGA</t>
        </is>
      </c>
      <c r="BM605" s="251" t="inlineStr">
        <is>
          <t>NF</t>
        </is>
      </c>
      <c r="BN605" s="337" t="inlineStr">
        <is>
          <t>Tranque</t>
        </is>
      </c>
      <c r="BO605" s="251" t="inlineStr">
        <is>
          <t>SI PAT TRANQUE</t>
        </is>
      </c>
      <c r="BP605" s="106" t="inlineStr">
        <is>
          <t>MP-14C_B/NF</t>
        </is>
      </c>
      <c r="BQ605" s="106">
        <f>VLOOKUP(BP605,[1]AGUA!$1:$1048576,2,FALSE)</f>
        <v/>
      </c>
      <c r="BR605" s="106">
        <f>VLOOKUP(BP605,[1]AGUA!$1:$1048576,6,FALSE)</f>
        <v/>
      </c>
      <c r="BS605" s="106">
        <f>VLOOKUP(BP605,[1]AGUA!$1:$1048576,7,FALSE)</f>
        <v/>
      </c>
      <c r="BT605" s="106" t="n"/>
      <c r="BU605" s="253" t="n"/>
      <c r="BV605" s="105" t="n"/>
      <c r="BW605" s="105" t="n"/>
      <c r="BX605" s="105" t="n"/>
      <c r="BY605" s="105" t="n"/>
      <c r="BZ605" s="105" t="n"/>
      <c r="CA605" s="105" t="n"/>
      <c r="CB605" s="142" t="n">
        <v>1</v>
      </c>
      <c r="CC605" s="105" t="n"/>
      <c r="CD605" s="105" t="n"/>
      <c r="CE605" s="105" t="n"/>
      <c r="CF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24">
        <f>+COUNTA(BW605:CY605)</f>
        <v/>
      </c>
      <c r="DA605" s="251" t="n"/>
      <c r="DB605" s="251" t="n"/>
      <c r="DC605" s="251" t="n"/>
      <c r="DD605" s="251" t="n"/>
      <c r="DE605" s="251" t="n"/>
      <c r="DF605" s="251" t="n"/>
      <c r="DG605" s="251" t="n"/>
      <c r="DH605" s="251" t="n"/>
      <c r="DI605" s="251" t="n"/>
      <c r="DJ605" s="110" t="inlineStr">
        <is>
          <t>M</t>
        </is>
      </c>
      <c r="DK605" s="251" t="n">
        <v>1</v>
      </c>
      <c r="DL605" s="95" t="n">
        <v>14</v>
      </c>
      <c r="DM605" s="251" t="n"/>
      <c r="DN605" s="95" t="n"/>
      <c r="DO605" s="95" t="n"/>
    </row>
    <row r="606" ht="12.5" customHeight="1">
      <c r="A606" s="203" t="inlineStr">
        <is>
          <t>MP-14C_B</t>
        </is>
      </c>
      <c r="B606" s="305" t="inlineStr">
        <is>
          <t>MP-14C</t>
        </is>
      </c>
      <c r="C606" s="376"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76" t="n"/>
      <c r="BL606" s="7" t="inlineStr">
        <is>
          <t>GMAP-SIGA</t>
        </is>
      </c>
      <c r="BM606" s="251" t="inlineStr">
        <is>
          <t>ASUB</t>
        </is>
      </c>
      <c r="BN606" s="337" t="inlineStr">
        <is>
          <t>Tranque</t>
        </is>
      </c>
      <c r="BO606" s="251" t="inlineStr">
        <is>
          <t>SI PAT TRANQUE</t>
        </is>
      </c>
      <c r="BP606" s="106" t="inlineStr">
        <is>
          <t>MP-14C_B/ASUB</t>
        </is>
      </c>
      <c r="BQ606" s="106">
        <f>VLOOKUP(BP606,[1]AGUA!$1:$1048576,2,FALSE)</f>
        <v/>
      </c>
      <c r="BR606" s="106">
        <f>VLOOKUP(BP606,[1]AGUA!$1:$1048576,6,FALSE)</f>
        <v/>
      </c>
      <c r="BS606" s="106">
        <f>VLOOKUP(BP606,[1]AGUA!$1:$1048576,7,FALSE)</f>
        <v/>
      </c>
      <c r="BT606" s="106" t="n"/>
      <c r="BU606" s="377" t="n"/>
      <c r="BV606" s="105" t="n"/>
      <c r="BW606" s="105" t="n"/>
      <c r="BX606" s="105" t="n"/>
      <c r="BY606" s="105" t="n"/>
      <c r="BZ606" s="105" t="n"/>
      <c r="CA606" s="105" t="n"/>
      <c r="CB606" s="107" t="n">
        <v>1</v>
      </c>
      <c r="CC606" s="105" t="n"/>
      <c r="CD606" s="105" t="n"/>
      <c r="CE606" s="105" t="n"/>
      <c r="CF606" s="105" t="n"/>
      <c r="CH606" s="105" t="n"/>
      <c r="CI606" s="105"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24">
        <f>+COUNTA(BW606:CY606)</f>
        <v/>
      </c>
      <c r="DA606" s="251" t="n"/>
      <c r="DB606" s="251" t="n"/>
      <c r="DC606" s="251" t="n"/>
      <c r="DD606" s="251" t="n"/>
      <c r="DE606" s="251" t="n"/>
      <c r="DF606" s="251" t="n"/>
      <c r="DG606" s="251" t="n"/>
      <c r="DH606" s="251" t="n"/>
      <c r="DI606" s="251" t="n"/>
      <c r="DJ606" s="110" t="n"/>
      <c r="DK606" s="251" t="n"/>
      <c r="DL606" s="95" t="n"/>
      <c r="DM606" s="251" t="inlineStr">
        <is>
          <t>M</t>
        </is>
      </c>
      <c r="DN606" s="251" t="n">
        <v>1</v>
      </c>
      <c r="DO606" s="95" t="n">
        <v>14</v>
      </c>
    </row>
    <row r="607" ht="12.5" customHeight="1">
      <c r="A607" s="203" t="inlineStr">
        <is>
          <t>MP-15A</t>
        </is>
      </c>
      <c r="B607" s="305" t="inlineStr">
        <is>
          <t>MP-15A</t>
        </is>
      </c>
      <c r="C607" s="251"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2" t="inlineStr">
        <is>
          <t>530WLMP15</t>
        </is>
      </c>
      <c r="BL607" s="7" t="inlineStr">
        <is>
          <t>GMAP-SIGA</t>
        </is>
      </c>
      <c r="BM607" s="251" t="inlineStr">
        <is>
          <t>NF</t>
        </is>
      </c>
      <c r="BN607" s="337" t="inlineStr">
        <is>
          <t>Tranque</t>
        </is>
      </c>
      <c r="BO607" s="251" t="inlineStr">
        <is>
          <t>SI PAT TRANQUE</t>
        </is>
      </c>
      <c r="BP607" s="106" t="inlineStr">
        <is>
          <t>MP-15A/NF</t>
        </is>
      </c>
      <c r="BQ607" s="106">
        <f>VLOOKUP(BP607,[1]AGUA!$1:$1048576,2,FALSE)</f>
        <v/>
      </c>
      <c r="BR607" s="106">
        <f>VLOOKUP(BP607,[1]AGUA!$1:$1048576,6,FALSE)</f>
        <v/>
      </c>
      <c r="BS607" s="106">
        <f>VLOOKUP(BP607,[1]AGUA!$1:$1048576,7,FALSE)</f>
        <v/>
      </c>
      <c r="BT607" s="106" t="n"/>
      <c r="BU607" s="253" t="n"/>
      <c r="BV607" s="105" t="n"/>
      <c r="BW607" s="105" t="n"/>
      <c r="BX607" s="105" t="n"/>
      <c r="BY607" s="105" t="n"/>
      <c r="BZ607" s="105" t="n"/>
      <c r="CA607" s="105" t="n"/>
      <c r="CB607" s="105" t="n"/>
      <c r="CC607" s="105" t="n"/>
      <c r="CD607" s="142" t="n">
        <v>1</v>
      </c>
      <c r="CE607" s="105" t="n"/>
      <c r="CF607" s="105" t="n"/>
      <c r="CG607" s="105" t="n"/>
      <c r="CH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24">
        <f>+COUNTA(BV607:CY607)</f>
        <v/>
      </c>
      <c r="DA607" s="251" t="n"/>
      <c r="DB607" s="251" t="n"/>
      <c r="DC607" s="251" t="n"/>
      <c r="DD607" s="251" t="n"/>
      <c r="DE607" s="251" t="n"/>
      <c r="DF607" s="251" t="n"/>
      <c r="DG607" s="251" t="n"/>
      <c r="DH607" s="251" t="n"/>
      <c r="DI607" s="251" t="n"/>
      <c r="DJ607" s="251" t="inlineStr">
        <is>
          <t>M</t>
        </is>
      </c>
      <c r="DK607" s="251" t="n">
        <v>1</v>
      </c>
      <c r="DL607" s="95" t="n">
        <v>14</v>
      </c>
      <c r="DM607" s="251" t="n"/>
      <c r="DN607" s="95" t="n"/>
      <c r="DO607" s="95" t="n"/>
    </row>
    <row r="608" ht="12.5" customHeight="1">
      <c r="A608" s="203" t="inlineStr">
        <is>
          <t>MP-15A</t>
        </is>
      </c>
      <c r="B608" s="305" t="inlineStr">
        <is>
          <t>MP-15A</t>
        </is>
      </c>
      <c r="C608" s="376"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76" t="n"/>
      <c r="BL608" s="7" t="inlineStr">
        <is>
          <t>GMAP-SIGA</t>
        </is>
      </c>
      <c r="BM608" s="251" t="inlineStr">
        <is>
          <t>ASUB</t>
        </is>
      </c>
      <c r="BN608" s="337" t="inlineStr">
        <is>
          <t>Tranque</t>
        </is>
      </c>
      <c r="BO608" s="251" t="inlineStr">
        <is>
          <t>SI PAT TRANQUE</t>
        </is>
      </c>
      <c r="BP608" s="106" t="inlineStr">
        <is>
          <t>MP-15A/ASUB</t>
        </is>
      </c>
      <c r="BQ608" s="106">
        <f>VLOOKUP(BP608,[1]AGUA!$1:$1048576,2,FALSE)</f>
        <v/>
      </c>
      <c r="BR608" s="106">
        <f>VLOOKUP(BP608,[1]AGUA!$1:$1048576,6,FALSE)</f>
        <v/>
      </c>
      <c r="BS608" s="106">
        <f>VLOOKUP(BP608,[1]AGUA!$1:$1048576,7,FALSE)</f>
        <v/>
      </c>
      <c r="BT608" s="106" t="n"/>
      <c r="BU608" s="377" t="n"/>
      <c r="BV608" s="105" t="n"/>
      <c r="BW608" s="105" t="n"/>
      <c r="BX608" s="105" t="n"/>
      <c r="BY608" s="105" t="n"/>
      <c r="BZ608" s="105" t="n"/>
      <c r="CA608" s="105" t="n"/>
      <c r="CB608" s="105" t="n"/>
      <c r="CC608" s="105" t="n"/>
      <c r="CD608" s="107" t="n">
        <v>1</v>
      </c>
      <c r="CE608" s="105" t="n"/>
      <c r="CF608" s="105" t="n"/>
      <c r="CG608" s="105" t="n"/>
      <c r="CH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24">
        <f>+COUNTA(BV608:CY608)</f>
        <v/>
      </c>
      <c r="DA608" s="251" t="n"/>
      <c r="DB608" s="251" t="n"/>
      <c r="DC608" s="251" t="n"/>
      <c r="DD608" s="251" t="n"/>
      <c r="DE608" s="251" t="n"/>
      <c r="DF608" s="251" t="n"/>
      <c r="DG608" s="251" t="n"/>
      <c r="DH608" s="251" t="n"/>
      <c r="DI608" s="251" t="n"/>
      <c r="DJ608" s="251" t="n"/>
      <c r="DK608" s="251" t="n"/>
      <c r="DL608" s="95" t="n"/>
      <c r="DM608" s="251" t="inlineStr">
        <is>
          <t>M</t>
        </is>
      </c>
      <c r="DN608" s="251" t="n">
        <v>1</v>
      </c>
      <c r="DO608" s="95" t="n">
        <v>14</v>
      </c>
    </row>
    <row r="609" ht="12.5" customHeight="1">
      <c r="A609" s="203" t="inlineStr">
        <is>
          <t>MP-15B</t>
        </is>
      </c>
      <c r="B609" s="305" t="inlineStr">
        <is>
          <t>MP-15B</t>
        </is>
      </c>
      <c r="C609" s="251"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2" t="inlineStr">
        <is>
          <t>530WLMP15</t>
        </is>
      </c>
      <c r="BL609" s="7" t="inlineStr">
        <is>
          <t>GMAP-SIGA</t>
        </is>
      </c>
      <c r="BM609" s="251" t="inlineStr">
        <is>
          <t>NF</t>
        </is>
      </c>
      <c r="BN609" s="337" t="inlineStr">
        <is>
          <t>Tranque</t>
        </is>
      </c>
      <c r="BO609" s="251" t="inlineStr">
        <is>
          <t>SI PAT TRANQUE</t>
        </is>
      </c>
      <c r="BP609" s="106" t="inlineStr">
        <is>
          <t>MP-15B/NF</t>
        </is>
      </c>
      <c r="BQ609" s="106">
        <f>VLOOKUP(BP609,[1]AGUA!$1:$1048576,2,FALSE)</f>
        <v/>
      </c>
      <c r="BR609" s="106">
        <f>VLOOKUP(BP609,[1]AGUA!$1:$1048576,6,FALSE)</f>
        <v/>
      </c>
      <c r="BS609" s="106">
        <f>VLOOKUP(BP609,[1]AGUA!$1:$1048576,7,FALSE)</f>
        <v/>
      </c>
      <c r="BT609" s="106" t="n"/>
      <c r="BU609" s="253" t="n"/>
      <c r="BV609" s="105" t="n"/>
      <c r="BW609" s="105" t="n"/>
      <c r="BX609" s="105" t="n"/>
      <c r="BY609" s="105" t="n"/>
      <c r="BZ609" s="105" t="n"/>
      <c r="CA609" s="105" t="n"/>
      <c r="CB609" s="105" t="n"/>
      <c r="CC609" s="105" t="n"/>
      <c r="CD609" s="142" t="n">
        <v>1</v>
      </c>
      <c r="CE609" s="105" t="n"/>
      <c r="CF609" s="105" t="n"/>
      <c r="CG609" s="105" t="n"/>
      <c r="CH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24">
        <f>+COUNTA(BV609:CY609)</f>
        <v/>
      </c>
      <c r="DA609" s="251" t="n"/>
      <c r="DB609" s="251" t="n"/>
      <c r="DC609" s="251" t="n"/>
      <c r="DD609" s="251" t="n"/>
      <c r="DE609" s="251" t="n"/>
      <c r="DF609" s="251" t="n"/>
      <c r="DG609" s="251" t="n"/>
      <c r="DH609" s="251" t="n"/>
      <c r="DI609" s="251" t="n"/>
      <c r="DJ609" s="251" t="inlineStr">
        <is>
          <t>M</t>
        </is>
      </c>
      <c r="DK609" s="251" t="n">
        <v>1</v>
      </c>
      <c r="DL609" s="95" t="n">
        <v>14</v>
      </c>
      <c r="DM609" s="251" t="n"/>
      <c r="DN609" s="95" t="n"/>
      <c r="DO609" s="95" t="n"/>
    </row>
    <row r="610" ht="12.5" customHeight="1">
      <c r="A610" s="203" t="inlineStr">
        <is>
          <t>MP-15B</t>
        </is>
      </c>
      <c r="B610" s="305" t="inlineStr">
        <is>
          <t>MP-15B</t>
        </is>
      </c>
      <c r="C610" s="376"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76" t="n"/>
      <c r="BL610" s="7" t="inlineStr">
        <is>
          <t>GMAP-SIGA</t>
        </is>
      </c>
      <c r="BM610" s="251" t="inlineStr">
        <is>
          <t>ASUB</t>
        </is>
      </c>
      <c r="BN610" s="337" t="inlineStr">
        <is>
          <t>Tranque</t>
        </is>
      </c>
      <c r="BO610" s="251" t="inlineStr">
        <is>
          <t>SI PAT TRANQUE</t>
        </is>
      </c>
      <c r="BP610" s="106" t="inlineStr">
        <is>
          <t>MP-15B/ASUB</t>
        </is>
      </c>
      <c r="BQ610" s="106">
        <f>VLOOKUP(BP610,[1]AGUA!$1:$1048576,2,FALSE)</f>
        <v/>
      </c>
      <c r="BR610" s="106">
        <f>VLOOKUP(BP610,[1]AGUA!$1:$1048576,6,FALSE)</f>
        <v/>
      </c>
      <c r="BS610" s="106">
        <f>VLOOKUP(BP610,[1]AGUA!$1:$1048576,7,FALSE)</f>
        <v/>
      </c>
      <c r="BT610" s="106" t="n"/>
      <c r="BU610" s="377" t="n"/>
      <c r="BV610" s="105" t="n"/>
      <c r="BW610" s="105" t="n"/>
      <c r="BX610" s="105" t="n"/>
      <c r="BY610" s="105" t="n"/>
      <c r="BZ610" s="105" t="n"/>
      <c r="CA610" s="105" t="n"/>
      <c r="CB610" s="105" t="n"/>
      <c r="CC610" s="105" t="n"/>
      <c r="CD610" s="107" t="n">
        <v>1</v>
      </c>
      <c r="CE610" s="105" t="n"/>
      <c r="CF610" s="105" t="n"/>
      <c r="CG610" s="105" t="n"/>
      <c r="CH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24">
        <f>+COUNTA(BV610:CY610)</f>
        <v/>
      </c>
      <c r="DA610" s="251" t="n"/>
      <c r="DB610" s="251" t="n"/>
      <c r="DC610" s="251" t="n"/>
      <c r="DD610" s="251" t="n"/>
      <c r="DE610" s="251" t="n"/>
      <c r="DF610" s="251" t="n"/>
      <c r="DG610" s="251" t="n"/>
      <c r="DH610" s="251" t="n"/>
      <c r="DI610" s="251" t="n"/>
      <c r="DJ610" s="251" t="n"/>
      <c r="DK610" s="251" t="n"/>
      <c r="DL610" s="95" t="n"/>
      <c r="DM610" s="251" t="inlineStr">
        <is>
          <t>M</t>
        </is>
      </c>
      <c r="DN610" s="251" t="n">
        <v>1</v>
      </c>
      <c r="DO610" s="95" t="n">
        <v>14</v>
      </c>
    </row>
    <row r="611" ht="12.5" customHeight="1">
      <c r="A611" s="203" t="inlineStr">
        <is>
          <t>MP-15C</t>
        </is>
      </c>
      <c r="B611" s="305" t="inlineStr">
        <is>
          <t>MP-15C</t>
        </is>
      </c>
      <c r="C611" s="251"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2" t="inlineStr">
        <is>
          <t>530WLMP15</t>
        </is>
      </c>
      <c r="BL611" s="7" t="inlineStr">
        <is>
          <t>GMAP-SIGA</t>
        </is>
      </c>
      <c r="BM611" s="251" t="inlineStr">
        <is>
          <t>NF</t>
        </is>
      </c>
      <c r="BN611" s="337" t="inlineStr">
        <is>
          <t>Tranque</t>
        </is>
      </c>
      <c r="BO611" s="251" t="inlineStr">
        <is>
          <t>SI PAT TRANQUE</t>
        </is>
      </c>
      <c r="BP611" s="106" t="inlineStr">
        <is>
          <t>MP-15C/NF</t>
        </is>
      </c>
      <c r="BQ611" s="106">
        <f>VLOOKUP(BP611,[1]AGUA!$1:$1048576,2,FALSE)</f>
        <v/>
      </c>
      <c r="BR611" s="106">
        <f>VLOOKUP(BP611,[1]AGUA!$1:$1048576,6,FALSE)</f>
        <v/>
      </c>
      <c r="BS611" s="106">
        <f>VLOOKUP(BP611,[1]AGUA!$1:$1048576,7,FALSE)</f>
        <v/>
      </c>
      <c r="BT611" s="106" t="n"/>
      <c r="BU611" s="253" t="n"/>
      <c r="BV611" s="105" t="n"/>
      <c r="BW611" s="105" t="n"/>
      <c r="BX611" s="105" t="n"/>
      <c r="BY611" s="105" t="n"/>
      <c r="BZ611" s="105" t="n"/>
      <c r="CA611" s="105" t="n"/>
      <c r="CB611" s="105" t="n"/>
      <c r="CC611" s="105" t="n"/>
      <c r="CD611" s="142" t="n">
        <v>1</v>
      </c>
      <c r="CE611" s="105" t="n"/>
      <c r="CF611" s="105" t="n"/>
      <c r="CG611" s="105" t="n"/>
      <c r="CH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24">
        <f>+COUNTA(BV611:CY611)</f>
        <v/>
      </c>
      <c r="DA611" s="251" t="n"/>
      <c r="DB611" s="251" t="n"/>
      <c r="DC611" s="251" t="n"/>
      <c r="DD611" s="251" t="n"/>
      <c r="DE611" s="251" t="n"/>
      <c r="DF611" s="251" t="n"/>
      <c r="DG611" s="251" t="n"/>
      <c r="DH611" s="251" t="n"/>
      <c r="DI611" s="251" t="n"/>
      <c r="DJ611" s="251" t="inlineStr">
        <is>
          <t>M</t>
        </is>
      </c>
      <c r="DK611" s="251" t="n">
        <v>1</v>
      </c>
      <c r="DL611" s="95" t="n">
        <v>14</v>
      </c>
      <c r="DM611" s="251" t="n"/>
      <c r="DN611" s="95" t="n"/>
      <c r="DO611" s="95" t="n"/>
    </row>
    <row r="612" ht="12.5" customHeight="1">
      <c r="A612" s="203" t="inlineStr">
        <is>
          <t>MP-15C</t>
        </is>
      </c>
      <c r="B612" s="305" t="inlineStr">
        <is>
          <t>MP-15C</t>
        </is>
      </c>
      <c r="C612" s="376"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76" t="n"/>
      <c r="BL612" s="7" t="inlineStr">
        <is>
          <t>GMAP-SIGA</t>
        </is>
      </c>
      <c r="BM612" s="251" t="inlineStr">
        <is>
          <t>ASUB</t>
        </is>
      </c>
      <c r="BN612" s="337" t="inlineStr">
        <is>
          <t>Tranque</t>
        </is>
      </c>
      <c r="BO612" s="251" t="inlineStr">
        <is>
          <t>SI PAT TRANQUE</t>
        </is>
      </c>
      <c r="BP612" s="106" t="inlineStr">
        <is>
          <t>MP-15C/NF</t>
        </is>
      </c>
      <c r="BQ612" s="106">
        <f>VLOOKUP(BP612,[1]AGUA!$1:$1048576,2,FALSE)</f>
        <v/>
      </c>
      <c r="BR612" s="106">
        <f>VLOOKUP(BP612,[1]AGUA!$1:$1048576,6,FALSE)</f>
        <v/>
      </c>
      <c r="BS612" s="106">
        <f>VLOOKUP(BP612,[1]AGUA!$1:$1048576,7,FALSE)</f>
        <v/>
      </c>
      <c r="BT612" s="106" t="n"/>
      <c r="BU612" s="377" t="n"/>
      <c r="BV612" s="105" t="n"/>
      <c r="BW612" s="105" t="n"/>
      <c r="BX612" s="105" t="n"/>
      <c r="BY612" s="105" t="n"/>
      <c r="BZ612" s="105" t="n"/>
      <c r="CA612" s="105" t="n"/>
      <c r="CB612" s="105" t="n"/>
      <c r="CC612" s="105" t="n"/>
      <c r="CD612" s="107" t="n">
        <v>1</v>
      </c>
      <c r="CE612" s="105" t="n"/>
      <c r="CF612" s="105" t="n"/>
      <c r="CG612" s="105" t="n"/>
      <c r="CH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24">
        <f>+COUNTA(BV612:CY612)</f>
        <v/>
      </c>
      <c r="DA612" s="251" t="n"/>
      <c r="DB612" s="251" t="n"/>
      <c r="DC612" s="251" t="n"/>
      <c r="DD612" s="251" t="n"/>
      <c r="DE612" s="251" t="n"/>
      <c r="DF612" s="251" t="n"/>
      <c r="DG612" s="251" t="n"/>
      <c r="DH612" s="251" t="n"/>
      <c r="DI612" s="251" t="n"/>
      <c r="DJ612" s="251" t="n"/>
      <c r="DK612" s="251" t="n"/>
      <c r="DL612" s="95" t="n"/>
      <c r="DM612" s="251" t="inlineStr">
        <is>
          <t>M</t>
        </is>
      </c>
      <c r="DN612" s="251" t="n">
        <v>1</v>
      </c>
      <c r="DO612" s="95" t="n">
        <v>14</v>
      </c>
    </row>
    <row r="613" ht="12.5" customHeight="1">
      <c r="A613" s="203" t="inlineStr">
        <is>
          <t>MP-17A</t>
        </is>
      </c>
      <c r="B613" s="305" t="n"/>
      <c r="C613" s="251"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2" t="inlineStr">
        <is>
          <t>530WLMP17</t>
        </is>
      </c>
      <c r="BL613" s="7" t="inlineStr">
        <is>
          <t>GMAP-SIGA</t>
        </is>
      </c>
      <c r="BM613" s="251" t="inlineStr">
        <is>
          <t>NF</t>
        </is>
      </c>
      <c r="BN613" s="337" t="inlineStr">
        <is>
          <t>Michincha (camino internacional)</t>
        </is>
      </c>
      <c r="BO613" s="251" t="inlineStr">
        <is>
          <t>SI PAT TRANQUE</t>
        </is>
      </c>
      <c r="BP613" s="106" t="inlineStr">
        <is>
          <t>MP-17A/NF</t>
        </is>
      </c>
      <c r="BQ613" s="106">
        <f>VLOOKUP(BP613,[1]AGUA!$1:$1048576,2,FALSE)</f>
        <v/>
      </c>
      <c r="BR613" s="106">
        <f>VLOOKUP(BP613,[1]AGUA!$1:$1048576,6,FALSE)</f>
        <v/>
      </c>
      <c r="BS613" s="106">
        <f>VLOOKUP(BP613,[1]AGUA!$1:$1048576,7,FALSE)</f>
        <v/>
      </c>
      <c r="BT613" s="106" t="n"/>
      <c r="BU613" s="253" t="n"/>
      <c r="BV613" s="105" t="n"/>
      <c r="BW613" s="105" t="n"/>
      <c r="BX613" s="105" t="n"/>
      <c r="BY613" s="105" t="n"/>
      <c r="BZ613" s="105" t="n"/>
      <c r="CA613" s="105" t="n"/>
      <c r="CB613" s="105" t="n"/>
      <c r="CC613" s="105" t="n"/>
      <c r="CD613" s="105" t="n"/>
      <c r="CF613" s="105" t="n"/>
      <c r="CG613" s="105" t="n"/>
      <c r="CH613" s="105" t="n"/>
      <c r="CI613" s="142" t="n">
        <v>1</v>
      </c>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24">
        <f>+COUNTA(BV613:CY613)</f>
        <v/>
      </c>
      <c r="DA613" s="251" t="n"/>
      <c r="DB613" s="251" t="n"/>
      <c r="DC613" s="251" t="n"/>
      <c r="DD613" s="251" t="n"/>
      <c r="DE613" s="251" t="n"/>
      <c r="DF613" s="251" t="n"/>
      <c r="DG613" s="251" t="n"/>
      <c r="DH613" s="251" t="n"/>
      <c r="DI613" s="251" t="n"/>
      <c r="DJ613" s="251" t="inlineStr">
        <is>
          <t>M</t>
        </is>
      </c>
      <c r="DK613" s="251" t="n">
        <v>1</v>
      </c>
      <c r="DL613" s="95" t="n">
        <v>14</v>
      </c>
      <c r="DM613" s="251" t="n"/>
      <c r="DN613" s="95" t="n"/>
      <c r="DO613" s="95" t="n"/>
    </row>
    <row r="614" ht="12.5" customHeight="1">
      <c r="A614" s="203" t="inlineStr">
        <is>
          <t>MP-17A</t>
        </is>
      </c>
      <c r="B614" s="305" t="n"/>
      <c r="C614" s="251"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2" t="inlineStr">
        <is>
          <t>530WLMP17</t>
        </is>
      </c>
      <c r="BL614" s="7" t="inlineStr">
        <is>
          <t>GMAP-SIGA</t>
        </is>
      </c>
      <c r="BM614" s="251" t="inlineStr">
        <is>
          <t>ASUB</t>
        </is>
      </c>
      <c r="BN614" s="337" t="inlineStr">
        <is>
          <t>Michincha (camino internacional)</t>
        </is>
      </c>
      <c r="BO614" s="251" t="inlineStr">
        <is>
          <t>SI PAT TRANQUE</t>
        </is>
      </c>
      <c r="BP614" s="106" t="inlineStr">
        <is>
          <t>MP-17A/ASUB</t>
        </is>
      </c>
      <c r="BQ614" s="106">
        <f>VLOOKUP(BP614,[1]AGUA!$1:$1048576,2,FALSE)</f>
        <v/>
      </c>
      <c r="BR614" s="106">
        <f>VLOOKUP(BP614,[1]AGUA!$1:$1048576,6,FALSE)</f>
        <v/>
      </c>
      <c r="BS614" s="106">
        <f>VLOOKUP(BP614,[1]AGUA!$1:$1048576,7,FALSE)</f>
        <v/>
      </c>
      <c r="BT614" s="106" t="n"/>
      <c r="BU614" s="253" t="n"/>
      <c r="BV614" s="105" t="n"/>
      <c r="BW614" s="105" t="n"/>
      <c r="BX614" s="105" t="n"/>
      <c r="BY614" s="105" t="n"/>
      <c r="BZ614" s="105" t="n"/>
      <c r="CA614" s="105" t="n"/>
      <c r="CB614" s="105" t="n"/>
      <c r="CC614" s="105" t="n"/>
      <c r="CD614" s="105" t="n"/>
      <c r="CF614" s="105" t="n"/>
      <c r="CG614" s="105" t="n"/>
      <c r="CH614" s="105" t="n"/>
      <c r="CI614" s="107" t="n">
        <v>1</v>
      </c>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24">
        <f>+COUNTA(BV614:CY614)</f>
        <v/>
      </c>
      <c r="DA614" s="251" t="n"/>
      <c r="DB614" s="251" t="n"/>
      <c r="DC614" s="251" t="n"/>
      <c r="DD614" s="251" t="n"/>
      <c r="DE614" s="251" t="n"/>
      <c r="DF614" s="251" t="n"/>
      <c r="DG614" s="251" t="n"/>
      <c r="DH614" s="251" t="n"/>
      <c r="DI614" s="251" t="n"/>
      <c r="DJ614" s="251" t="n"/>
      <c r="DK614" s="251" t="n"/>
      <c r="DL614" s="95" t="n"/>
      <c r="DM614" s="251" t="inlineStr">
        <is>
          <t>M</t>
        </is>
      </c>
      <c r="DN614" s="251" t="n">
        <v>1</v>
      </c>
      <c r="DO614" s="95" t="n">
        <v>14</v>
      </c>
    </row>
    <row r="615" ht="12.5" customHeight="1">
      <c r="A615" s="203" t="inlineStr">
        <is>
          <t>MP-17B</t>
        </is>
      </c>
      <c r="B615" s="305" t="n"/>
      <c r="C615" s="251"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2" t="n"/>
      <c r="BL615" s="7" t="inlineStr">
        <is>
          <t>GMAP-SIGA</t>
        </is>
      </c>
      <c r="BM615" s="251" t="inlineStr">
        <is>
          <t>NF</t>
        </is>
      </c>
      <c r="BN615" s="337" t="inlineStr">
        <is>
          <t>Michincha (camino internacional)</t>
        </is>
      </c>
      <c r="BO615" s="251" t="inlineStr">
        <is>
          <t>SI PAT TRANQUE</t>
        </is>
      </c>
      <c r="BP615" s="106" t="inlineStr">
        <is>
          <t>MP-17B/NF</t>
        </is>
      </c>
      <c r="BQ615" s="106">
        <f>VLOOKUP(BP615,[1]AGUA!$1:$1048576,2,FALSE)</f>
        <v/>
      </c>
      <c r="BR615" s="106">
        <f>VLOOKUP(BP615,[1]AGUA!$1:$1048576,6,FALSE)</f>
        <v/>
      </c>
      <c r="BS615" s="106">
        <f>VLOOKUP(BP615,[1]AGUA!$1:$1048576,7,FALSE)</f>
        <v/>
      </c>
      <c r="BT615" s="106" t="n"/>
      <c r="BU615" s="253" t="n"/>
      <c r="BV615" s="105" t="n"/>
      <c r="BW615" s="105" t="n"/>
      <c r="BX615" s="105" t="n"/>
      <c r="BY615" s="105" t="n"/>
      <c r="BZ615" s="105" t="n"/>
      <c r="CA615" s="105" t="n"/>
      <c r="CB615" s="105" t="n"/>
      <c r="CC615" s="105" t="n"/>
      <c r="CD615" s="105" t="n"/>
      <c r="CF615" s="105" t="n"/>
      <c r="CG615" s="105" t="n"/>
      <c r="CH615" s="105" t="n"/>
      <c r="CI615" s="142" t="n">
        <v>1</v>
      </c>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24">
        <f>+COUNTA(BV615:CY615)</f>
        <v/>
      </c>
      <c r="DA615" s="251" t="n"/>
      <c r="DB615" s="251" t="n"/>
      <c r="DC615" s="251" t="n"/>
      <c r="DD615" s="251" t="n"/>
      <c r="DE615" s="251" t="n"/>
      <c r="DF615" s="251" t="n"/>
      <c r="DG615" s="251" t="n"/>
      <c r="DH615" s="251" t="n"/>
      <c r="DI615" s="251" t="n"/>
      <c r="DJ615" s="251" t="inlineStr">
        <is>
          <t>M</t>
        </is>
      </c>
      <c r="DK615" s="251" t="n">
        <v>1</v>
      </c>
      <c r="DL615" s="95" t="n">
        <v>14</v>
      </c>
      <c r="DM615" s="251" t="n"/>
      <c r="DN615" s="95" t="n"/>
      <c r="DO615" s="95" t="n"/>
    </row>
    <row r="616" ht="12.5" customHeight="1">
      <c r="A616" s="203" t="inlineStr">
        <is>
          <t>MP-17B</t>
        </is>
      </c>
      <c r="B616" s="305" t="n"/>
      <c r="C616" s="251"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2" t="n"/>
      <c r="BL616" s="7" t="inlineStr">
        <is>
          <t>GMAP-SIGA</t>
        </is>
      </c>
      <c r="BM616" s="251" t="inlineStr">
        <is>
          <t>ASUB</t>
        </is>
      </c>
      <c r="BN616" s="337" t="inlineStr">
        <is>
          <t>Michincha (camino internacional)</t>
        </is>
      </c>
      <c r="BO616" s="251" t="inlineStr">
        <is>
          <t>SI PAT TRANQUE</t>
        </is>
      </c>
      <c r="BP616" s="106" t="inlineStr">
        <is>
          <t>MP-17B/ASUB</t>
        </is>
      </c>
      <c r="BQ616" s="106">
        <f>VLOOKUP(BP616,[1]AGUA!$1:$1048576,2,FALSE)</f>
        <v/>
      </c>
      <c r="BR616" s="106">
        <f>VLOOKUP(BP616,[1]AGUA!$1:$1048576,6,FALSE)</f>
        <v/>
      </c>
      <c r="BS616" s="106">
        <f>VLOOKUP(BP616,[1]AGUA!$1:$1048576,7,FALSE)</f>
        <v/>
      </c>
      <c r="BT616" s="106" t="n"/>
      <c r="BU616" s="253" t="n"/>
      <c r="BV616" s="105" t="n"/>
      <c r="BW616" s="105" t="n"/>
      <c r="BX616" s="105" t="n"/>
      <c r="BY616" s="105" t="n"/>
      <c r="BZ616" s="105" t="n"/>
      <c r="CA616" s="105" t="n"/>
      <c r="CB616" s="105" t="n"/>
      <c r="CC616" s="105" t="n"/>
      <c r="CD616" s="105" t="n"/>
      <c r="CF616" s="105" t="n"/>
      <c r="CG616" s="105" t="n"/>
      <c r="CH616" s="105" t="n"/>
      <c r="CI616" s="107" t="n">
        <v>1</v>
      </c>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24">
        <f>+COUNTA(BV616:CY616)</f>
        <v/>
      </c>
      <c r="DA616" s="251" t="n"/>
      <c r="DB616" s="251" t="n"/>
      <c r="DC616" s="251" t="n"/>
      <c r="DD616" s="251" t="n"/>
      <c r="DE616" s="251" t="n"/>
      <c r="DF616" s="251" t="n"/>
      <c r="DG616" s="251" t="n"/>
      <c r="DH616" s="251" t="n"/>
      <c r="DI616" s="251" t="n"/>
      <c r="DJ616" s="251" t="n"/>
      <c r="DK616" s="251" t="n"/>
      <c r="DL616" s="95" t="n"/>
      <c r="DM616" s="251" t="inlineStr">
        <is>
          <t>M</t>
        </is>
      </c>
      <c r="DN616" s="251" t="n">
        <v>1</v>
      </c>
      <c r="DO616" s="95" t="n">
        <v>14</v>
      </c>
    </row>
    <row r="617" ht="12.5" customHeight="1">
      <c r="A617" s="203" t="inlineStr">
        <is>
          <t>MP-17C</t>
        </is>
      </c>
      <c r="B617" s="305" t="n"/>
      <c r="C617" s="251"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2" t="n"/>
      <c r="BL617" s="7" t="inlineStr">
        <is>
          <t>GMAP-SIGA</t>
        </is>
      </c>
      <c r="BM617" s="251" t="inlineStr">
        <is>
          <t>NF</t>
        </is>
      </c>
      <c r="BN617" s="337" t="inlineStr">
        <is>
          <t>Michincha (camino internacional)</t>
        </is>
      </c>
      <c r="BO617" s="251" t="inlineStr">
        <is>
          <t>SI PAT TRANQUE</t>
        </is>
      </c>
      <c r="BP617" s="106" t="inlineStr">
        <is>
          <t>MP-17C/NF</t>
        </is>
      </c>
      <c r="BQ617" s="106">
        <f>VLOOKUP(BP617,[1]AGUA!$1:$1048576,2,FALSE)</f>
        <v/>
      </c>
      <c r="BR617" s="106">
        <f>VLOOKUP(BP617,[1]AGUA!$1:$1048576,6,FALSE)</f>
        <v/>
      </c>
      <c r="BS617" s="106">
        <f>VLOOKUP(BP617,[1]AGUA!$1:$1048576,7,FALSE)</f>
        <v/>
      </c>
      <c r="BT617" s="106" t="n"/>
      <c r="BU617" s="253" t="n"/>
      <c r="BV617" s="105" t="n"/>
      <c r="BW617" s="105" t="n"/>
      <c r="BX617" s="105" t="n"/>
      <c r="BY617" s="105" t="n"/>
      <c r="BZ617" s="105" t="n"/>
      <c r="CA617" s="105" t="n"/>
      <c r="CB617" s="105" t="n"/>
      <c r="CC617" s="105" t="n"/>
      <c r="CD617" s="105" t="n"/>
      <c r="CF617" s="105" t="n"/>
      <c r="CG617" s="105" t="n"/>
      <c r="CH617" s="105" t="n"/>
      <c r="CI617" s="142" t="n">
        <v>1</v>
      </c>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24">
        <f>+COUNTA(BV617:CY617)</f>
        <v/>
      </c>
      <c r="DA617" s="251" t="n"/>
      <c r="DB617" s="251" t="n"/>
      <c r="DC617" s="251" t="n"/>
      <c r="DD617" s="251" t="n"/>
      <c r="DE617" s="251" t="n"/>
      <c r="DF617" s="251" t="n"/>
      <c r="DG617" s="251" t="n"/>
      <c r="DH617" s="251" t="n"/>
      <c r="DI617" s="251" t="n"/>
      <c r="DJ617" s="251" t="inlineStr">
        <is>
          <t>M</t>
        </is>
      </c>
      <c r="DK617" s="251" t="n">
        <v>1</v>
      </c>
      <c r="DL617" s="95" t="n">
        <v>14</v>
      </c>
      <c r="DM617" s="251" t="n"/>
      <c r="DN617" s="95" t="n"/>
      <c r="DO617" s="95" t="n"/>
    </row>
    <row r="618" ht="12.5" customHeight="1">
      <c r="A618" s="203" t="inlineStr">
        <is>
          <t>MP-17C</t>
        </is>
      </c>
      <c r="B618" s="305" t="n"/>
      <c r="C618" s="251"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2" t="n"/>
      <c r="BL618" s="7" t="inlineStr">
        <is>
          <t>GMAP-SIGA</t>
        </is>
      </c>
      <c r="BM618" s="251" t="inlineStr">
        <is>
          <t>ASUB</t>
        </is>
      </c>
      <c r="BN618" s="337" t="inlineStr">
        <is>
          <t>Michincha (camino internacional)</t>
        </is>
      </c>
      <c r="BO618" s="251" t="inlineStr">
        <is>
          <t>SI PAT TRANQUE</t>
        </is>
      </c>
      <c r="BP618" s="106" t="inlineStr">
        <is>
          <t>MP-17C/ASUB</t>
        </is>
      </c>
      <c r="BQ618" s="106">
        <f>VLOOKUP(BP618,[1]AGUA!$1:$1048576,2,FALSE)</f>
        <v/>
      </c>
      <c r="BR618" s="106">
        <f>VLOOKUP(BP618,[1]AGUA!$1:$1048576,6,FALSE)</f>
        <v/>
      </c>
      <c r="BS618" s="106">
        <f>VLOOKUP(BP618,[1]AGUA!$1:$1048576,7,FALSE)</f>
        <v/>
      </c>
      <c r="BT618" s="106" t="n"/>
      <c r="BU618" s="253" t="n"/>
      <c r="BV618" s="105" t="n"/>
      <c r="BW618" s="105" t="n"/>
      <c r="BX618" s="105" t="n"/>
      <c r="BY618" s="105" t="n"/>
      <c r="BZ618" s="105" t="n"/>
      <c r="CA618" s="105" t="n"/>
      <c r="CB618" s="105" t="n"/>
      <c r="CC618" s="105" t="n"/>
      <c r="CD618" s="105" t="n"/>
      <c r="CF618" s="105" t="n"/>
      <c r="CG618" s="105" t="n"/>
      <c r="CH618" s="105" t="n"/>
      <c r="CI618" s="107" t="n">
        <v>1</v>
      </c>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24">
        <f>+COUNTA(BV618:CY618)</f>
        <v/>
      </c>
      <c r="DA618" s="251" t="n"/>
      <c r="DB618" s="251" t="n"/>
      <c r="DC618" s="251" t="n"/>
      <c r="DD618" s="251" t="n"/>
      <c r="DE618" s="251" t="n"/>
      <c r="DF618" s="251" t="n"/>
      <c r="DG618" s="251" t="n"/>
      <c r="DH618" s="251" t="n"/>
      <c r="DI618" s="251" t="n"/>
      <c r="DJ618" s="251" t="n"/>
      <c r="DK618" s="251" t="n"/>
      <c r="DL618" s="95" t="n"/>
      <c r="DM618" s="251" t="inlineStr">
        <is>
          <t>M</t>
        </is>
      </c>
      <c r="DN618" s="251" t="n">
        <v>1</v>
      </c>
      <c r="DO618" s="95" t="n">
        <v>14</v>
      </c>
    </row>
    <row r="619" ht="12.5" customHeight="1">
      <c r="A619" s="203" t="inlineStr">
        <is>
          <t>MP-18A</t>
        </is>
      </c>
      <c r="B619" s="305" t="inlineStr">
        <is>
          <t>MP-18C</t>
        </is>
      </c>
      <c r="C619" s="251"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2" t="inlineStr">
        <is>
          <t>530WLMP18</t>
        </is>
      </c>
      <c r="BL619" s="7" t="inlineStr">
        <is>
          <t>GMAP-SIGA</t>
        </is>
      </c>
      <c r="BM619" s="251" t="inlineStr">
        <is>
          <t>NF</t>
        </is>
      </c>
      <c r="BN619" s="337"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3" t="n"/>
      <c r="BV619" s="105" t="n"/>
      <c r="BW619" s="105" t="n"/>
      <c r="BX619" s="105" t="n"/>
      <c r="BY619" s="105" t="n"/>
      <c r="BZ619" s="105" t="n"/>
      <c r="CA619" s="105" t="n"/>
      <c r="CB619" s="105" t="n"/>
      <c r="CC619" s="105" t="n"/>
      <c r="CD619" s="142" t="n">
        <v>1</v>
      </c>
      <c r="CE619" s="105" t="n"/>
      <c r="CF619" s="105" t="n"/>
      <c r="CG619" s="105" t="n"/>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24">
        <f>+COUNTA(BV619:CY619)</f>
        <v/>
      </c>
      <c r="DA619" s="251" t="n"/>
      <c r="DB619" s="251" t="n"/>
      <c r="DC619" s="251" t="n"/>
      <c r="DD619" s="251" t="n"/>
      <c r="DE619" s="251" t="n"/>
      <c r="DF619" s="251" t="n"/>
      <c r="DG619" s="251" t="n"/>
      <c r="DH619" s="251" t="n"/>
      <c r="DI619" s="251" t="n"/>
      <c r="DJ619" s="251" t="inlineStr">
        <is>
          <t>M</t>
        </is>
      </c>
      <c r="DK619" s="251" t="n">
        <v>1</v>
      </c>
      <c r="DL619" s="95" t="n">
        <v>14</v>
      </c>
      <c r="DM619" s="251" t="n"/>
      <c r="DN619" s="95" t="n"/>
      <c r="DO619" s="95" t="n"/>
    </row>
    <row r="620" ht="12.5" customHeight="1">
      <c r="A620" s="203" t="inlineStr">
        <is>
          <t>MP-18A</t>
        </is>
      </c>
      <c r="B620" s="305" t="inlineStr">
        <is>
          <t>MP-18C</t>
        </is>
      </c>
      <c r="C620" s="376"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76" t="n"/>
      <c r="BL620" s="7" t="inlineStr">
        <is>
          <t>GMAP-SIGA</t>
        </is>
      </c>
      <c r="BM620" s="251" t="inlineStr">
        <is>
          <t>ASUB</t>
        </is>
      </c>
      <c r="BN620" s="337"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77" t="n"/>
      <c r="BV620" s="105" t="n"/>
      <c r="BW620" s="105" t="n"/>
      <c r="BX620" s="105" t="n"/>
      <c r="BY620" s="105" t="n"/>
      <c r="BZ620" s="105" t="n"/>
      <c r="CA620" s="105" t="n"/>
      <c r="CB620" s="105" t="n"/>
      <c r="CC620" s="105" t="n"/>
      <c r="CD620" s="107" t="n">
        <v>1</v>
      </c>
      <c r="CE620" s="105" t="n"/>
      <c r="CF620" s="105" t="n"/>
      <c r="CG620" s="105" t="n"/>
      <c r="CH620" s="105"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24">
        <f>+COUNTA(BV620:CY620)</f>
        <v/>
      </c>
      <c r="DA620" s="251" t="n"/>
      <c r="DB620" s="251" t="n"/>
      <c r="DC620" s="251" t="n"/>
      <c r="DD620" s="251" t="n"/>
      <c r="DE620" s="251" t="n"/>
      <c r="DF620" s="251" t="n"/>
      <c r="DG620" s="251" t="n"/>
      <c r="DH620" s="251" t="n"/>
      <c r="DI620" s="251" t="n"/>
      <c r="DJ620" s="251" t="n"/>
      <c r="DK620" s="251" t="n"/>
      <c r="DL620" s="95" t="n"/>
      <c r="DM620" s="251" t="inlineStr">
        <is>
          <t>M</t>
        </is>
      </c>
      <c r="DN620" s="251" t="n">
        <v>1</v>
      </c>
      <c r="DO620" s="95" t="n">
        <v>14</v>
      </c>
    </row>
    <row r="621" ht="12.5" customHeight="1">
      <c r="A621" s="203" t="inlineStr">
        <is>
          <t>MP-18B</t>
        </is>
      </c>
      <c r="B621" s="305" t="inlineStr">
        <is>
          <t>MP-18C</t>
        </is>
      </c>
      <c r="C621" s="251"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2" t="inlineStr">
        <is>
          <t>530WLMP18</t>
        </is>
      </c>
      <c r="BL621" s="7" t="inlineStr">
        <is>
          <t>GMAP-SIGA</t>
        </is>
      </c>
      <c r="BM621" s="251" t="inlineStr">
        <is>
          <t>NF</t>
        </is>
      </c>
      <c r="BN621" s="337"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3" t="n"/>
      <c r="BV621" s="105" t="n"/>
      <c r="BW621" s="105" t="n"/>
      <c r="BX621" s="105" t="n"/>
      <c r="BY621" s="105" t="n"/>
      <c r="BZ621" s="105" t="n"/>
      <c r="CA621" s="105" t="n"/>
      <c r="CB621" s="105" t="n"/>
      <c r="CC621" s="105" t="n"/>
      <c r="CD621" s="142" t="n">
        <v>1</v>
      </c>
      <c r="CE621" s="105" t="n"/>
      <c r="CF621" s="105" t="n"/>
      <c r="CG621" s="105" t="n"/>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24">
        <f>+COUNTA(BV621:CY621)</f>
        <v/>
      </c>
      <c r="DA621" s="251" t="n"/>
      <c r="DB621" s="251" t="n"/>
      <c r="DC621" s="251" t="n"/>
      <c r="DD621" s="251" t="n"/>
      <c r="DE621" s="251" t="n"/>
      <c r="DF621" s="251" t="n"/>
      <c r="DG621" s="251" t="n"/>
      <c r="DH621" s="251" t="n"/>
      <c r="DI621" s="251" t="n"/>
      <c r="DJ621" s="251" t="inlineStr">
        <is>
          <t>M</t>
        </is>
      </c>
      <c r="DK621" s="251" t="n">
        <v>1</v>
      </c>
      <c r="DL621" s="95" t="n">
        <v>14</v>
      </c>
      <c r="DM621" s="251" t="n"/>
      <c r="DN621" s="95" t="n"/>
      <c r="DO621" s="95" t="n"/>
    </row>
    <row r="622" ht="12.5" customHeight="1">
      <c r="A622" s="203" t="inlineStr">
        <is>
          <t>MP-18B</t>
        </is>
      </c>
      <c r="B622" s="305" t="inlineStr">
        <is>
          <t>MP-18C</t>
        </is>
      </c>
      <c r="C622" s="376"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76" t="n"/>
      <c r="BL622" s="7" t="inlineStr">
        <is>
          <t>GMAP-SIGA</t>
        </is>
      </c>
      <c r="BM622" s="251" t="inlineStr">
        <is>
          <t>ASUB</t>
        </is>
      </c>
      <c r="BN622" s="337"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77" t="n"/>
      <c r="BV622" s="105" t="n"/>
      <c r="BW622" s="105" t="n"/>
      <c r="BX622" s="105" t="n"/>
      <c r="BY622" s="105" t="n"/>
      <c r="BZ622" s="105" t="n"/>
      <c r="CA622" s="105" t="n"/>
      <c r="CB622" s="105" t="n"/>
      <c r="CC622" s="105" t="n"/>
      <c r="CD622" s="107" t="n">
        <v>1</v>
      </c>
      <c r="CE622" s="105" t="n"/>
      <c r="CF622" s="105" t="n"/>
      <c r="CG622" s="105" t="n"/>
      <c r="CH622" s="105"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24">
        <f>+COUNTA(BV622:CY622)</f>
        <v/>
      </c>
      <c r="DA622" s="251" t="n"/>
      <c r="DB622" s="251" t="n"/>
      <c r="DC622" s="251" t="n"/>
      <c r="DD622" s="251" t="n"/>
      <c r="DE622" s="251" t="n"/>
      <c r="DF622" s="251" t="n"/>
      <c r="DG622" s="251" t="n"/>
      <c r="DH622" s="251" t="n"/>
      <c r="DI622" s="251" t="n"/>
      <c r="DJ622" s="251" t="n"/>
      <c r="DK622" s="251" t="n"/>
      <c r="DL622" s="95" t="n"/>
      <c r="DM622" s="251" t="inlineStr">
        <is>
          <t>M</t>
        </is>
      </c>
      <c r="DN622" s="251" t="n">
        <v>1</v>
      </c>
      <c r="DO622" s="95" t="n">
        <v>14</v>
      </c>
    </row>
    <row r="623" ht="12.5" customHeight="1">
      <c r="A623" s="203" t="inlineStr">
        <is>
          <t>MP-18C</t>
        </is>
      </c>
      <c r="B623" s="305" t="inlineStr">
        <is>
          <t>MP-18C</t>
        </is>
      </c>
      <c r="C623" s="251"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2" t="inlineStr">
        <is>
          <t>530WLMP18</t>
        </is>
      </c>
      <c r="BL623" s="7" t="inlineStr">
        <is>
          <t>GMAP-SIGA</t>
        </is>
      </c>
      <c r="BM623" s="251" t="inlineStr">
        <is>
          <t>NF</t>
        </is>
      </c>
      <c r="BN623" s="337"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3" t="n"/>
      <c r="BV623" s="105" t="n"/>
      <c r="BW623" s="105" t="n"/>
      <c r="BX623" s="105" t="n"/>
      <c r="BY623" s="105" t="n"/>
      <c r="BZ623" s="105" t="n"/>
      <c r="CA623" s="105" t="n"/>
      <c r="CB623" s="105" t="n"/>
      <c r="CC623" s="105" t="n"/>
      <c r="CD623" s="142" t="n">
        <v>1</v>
      </c>
      <c r="CE623" s="105" t="n"/>
      <c r="CF623" s="105" t="n"/>
      <c r="CG623" s="105" t="n"/>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24">
        <f>+COUNTA(BV623:CY623)</f>
        <v/>
      </c>
      <c r="DA623" s="251" t="n"/>
      <c r="DB623" s="251" t="n"/>
      <c r="DC623" s="251" t="n"/>
      <c r="DD623" s="251" t="n"/>
      <c r="DE623" s="251" t="n"/>
      <c r="DF623" s="251" t="n"/>
      <c r="DG623" s="251" t="n"/>
      <c r="DH623" s="251" t="n"/>
      <c r="DI623" s="251" t="n"/>
      <c r="DJ623" s="251" t="inlineStr">
        <is>
          <t>M</t>
        </is>
      </c>
      <c r="DK623" s="251" t="n">
        <v>1</v>
      </c>
      <c r="DL623" s="95" t="n">
        <v>14</v>
      </c>
      <c r="DM623" s="251" t="n"/>
      <c r="DN623" s="95" t="n"/>
      <c r="DO623" s="95" t="n"/>
    </row>
    <row r="624" ht="12.5" customHeight="1">
      <c r="A624" s="203" t="inlineStr">
        <is>
          <t>MP-18C</t>
        </is>
      </c>
      <c r="B624" s="305" t="inlineStr">
        <is>
          <t>MP-18C</t>
        </is>
      </c>
      <c r="C624" s="376"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76" t="n"/>
      <c r="BL624" s="7" t="inlineStr">
        <is>
          <t>GMAP-SIGA</t>
        </is>
      </c>
      <c r="BM624" s="251" t="inlineStr">
        <is>
          <t>ASUB</t>
        </is>
      </c>
      <c r="BN624" s="337"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77" t="n"/>
      <c r="BV624" s="105" t="n"/>
      <c r="BW624" s="105" t="n"/>
      <c r="BX624" s="105" t="n"/>
      <c r="BY624" s="105" t="n"/>
      <c r="BZ624" s="105" t="n"/>
      <c r="CA624" s="105" t="n"/>
      <c r="CB624" s="105" t="n"/>
      <c r="CC624" s="105" t="n"/>
      <c r="CD624" s="107" t="n">
        <v>1</v>
      </c>
      <c r="CE624" s="105" t="n"/>
      <c r="CF624" s="105" t="n"/>
      <c r="CG624" s="105" t="n"/>
      <c r="CH624" s="105"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24">
        <f>+COUNTA(BV624:CY624)</f>
        <v/>
      </c>
      <c r="DA624" s="251" t="n"/>
      <c r="DB624" s="251" t="n"/>
      <c r="DC624" s="251" t="n"/>
      <c r="DD624" s="251" t="n"/>
      <c r="DE624" s="251" t="n"/>
      <c r="DF624" s="251" t="n"/>
      <c r="DG624" s="251" t="n"/>
      <c r="DH624" s="251" t="n"/>
      <c r="DI624" s="251" t="n"/>
      <c r="DJ624" s="251" t="n"/>
      <c r="DK624" s="251" t="n"/>
      <c r="DL624" s="95" t="n"/>
      <c r="DM624" s="251" t="inlineStr">
        <is>
          <t>M</t>
        </is>
      </c>
      <c r="DN624" s="251" t="n">
        <v>1</v>
      </c>
      <c r="DO624" s="95" t="n">
        <v>14</v>
      </c>
    </row>
    <row r="625" ht="13.5" customHeight="1">
      <c r="A625" s="203" t="inlineStr">
        <is>
          <t>MPZ-04</t>
        </is>
      </c>
      <c r="B625" s="305"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2" t="inlineStr">
        <is>
          <t>532MAMPZ</t>
        </is>
      </c>
      <c r="BL625" s="61" t="inlineStr">
        <is>
          <t>GMAP-SIGA</t>
        </is>
      </c>
      <c r="BM625" s="251" t="inlineStr">
        <is>
          <t>NF</t>
        </is>
      </c>
      <c r="BN625" s="337" t="inlineStr">
        <is>
          <t>Tranque</t>
        </is>
      </c>
      <c r="BO625" s="251" t="inlineStr">
        <is>
          <t>SI</t>
        </is>
      </c>
      <c r="BP625" s="106" t="inlineStr">
        <is>
          <t>MPZ-04 TRANQUE/NF</t>
        </is>
      </c>
      <c r="BQ625" s="106">
        <f>VLOOKUP(BP625,[1]AGUA!$1:$1048576,2,FALSE)</f>
        <v/>
      </c>
      <c r="BR625" s="106">
        <f>VLOOKUP(BP625,[1]AGUA!$1:$1048576,6,FALSE)</f>
        <v/>
      </c>
      <c r="BS625" s="106">
        <f>VLOOKUP(BP625,[1]AGUA!$1:$1048576,7,FALSE)</f>
        <v/>
      </c>
      <c r="BT625" s="106" t="n"/>
      <c r="BU625" s="101" t="n"/>
      <c r="BV625" s="105" t="n"/>
      <c r="BW625" s="105" t="n"/>
      <c r="BX625" s="105" t="n"/>
      <c r="BY625" s="105" t="n"/>
      <c r="BZ625" s="105" t="n"/>
      <c r="CA625" s="105" t="n"/>
      <c r="CB625" s="105" t="n"/>
      <c r="CC625" s="105" t="n"/>
      <c r="CD625" s="105" t="n"/>
      <c r="CE625" s="105" t="n"/>
      <c r="CF625" s="105" t="n"/>
      <c r="CG625" s="105" t="n"/>
      <c r="CH625" s="105" t="n"/>
      <c r="CI625" s="105" t="n"/>
      <c r="CJ625" s="105" t="n"/>
      <c r="CK625" s="105" t="n"/>
      <c r="CL625" s="105" t="n"/>
      <c r="CM625" s="105" t="n"/>
      <c r="CN625" s="105" t="n"/>
      <c r="CO625" s="105" t="n"/>
      <c r="CP625" s="105" t="n"/>
      <c r="CQ625" s="105" t="n"/>
      <c r="CR625" s="142" t="n">
        <v>1</v>
      </c>
      <c r="CS625" s="105" t="n"/>
      <c r="CT625" s="105" t="n"/>
      <c r="CU625" s="105" t="n"/>
      <c r="CV625" s="105" t="n"/>
      <c r="CW625" s="105" t="n"/>
      <c r="CX625" s="105" t="n"/>
      <c r="CY625" s="105" t="n"/>
      <c r="CZ625" s="124">
        <f>+COUNTA(BV625:CY625)</f>
        <v/>
      </c>
      <c r="DA625" s="251" t="n"/>
      <c r="DB625" s="251" t="n"/>
      <c r="DC625" s="251" t="n"/>
      <c r="DD625" s="251" t="n"/>
      <c r="DE625" s="251" t="n"/>
      <c r="DF625" s="251" t="n"/>
      <c r="DG625" s="251" t="n"/>
      <c r="DH625" s="251" t="n"/>
      <c r="DI625" s="251" t="n"/>
      <c r="DJ625" s="251" t="inlineStr">
        <is>
          <t>M</t>
        </is>
      </c>
      <c r="DK625" s="251" t="n">
        <v>22</v>
      </c>
      <c r="DL625" s="95" t="n">
        <v>28</v>
      </c>
      <c r="DM625" s="251" t="n"/>
      <c r="DN625" s="95" t="n"/>
      <c r="DO625" s="95" t="n"/>
    </row>
    <row r="626" ht="13" customHeight="1">
      <c r="A626" s="203" t="inlineStr">
        <is>
          <t>MPZ-10A</t>
        </is>
      </c>
      <c r="B626" s="305"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5" t="inlineStr">
        <is>
          <t>532MAMPZ</t>
        </is>
      </c>
      <c r="BL626" s="7" t="inlineStr">
        <is>
          <t>LIXIVIACIÓN</t>
        </is>
      </c>
      <c r="BM626" s="251" t="inlineStr">
        <is>
          <t>NF</t>
        </is>
      </c>
      <c r="BN626" s="337" t="inlineStr">
        <is>
          <t>Lixiviación</t>
        </is>
      </c>
      <c r="BO626" s="251"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05" t="n"/>
      <c r="BX626" s="105" t="n"/>
      <c r="BY626" s="105" t="n"/>
      <c r="BZ626" s="142" t="n">
        <v>1</v>
      </c>
      <c r="CA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5" t="n"/>
      <c r="CU626" s="105" t="n"/>
      <c r="CV626" s="105" t="n"/>
      <c r="CW626" s="105" t="n"/>
      <c r="CX626" s="105" t="n"/>
      <c r="CY626" s="105" t="n"/>
      <c r="CZ626" s="124">
        <f>+COUNTA(BV626:CY626)</f>
        <v/>
      </c>
      <c r="DA626" s="251" t="n"/>
      <c r="DB626" s="251" t="n"/>
      <c r="DC626" s="251" t="n"/>
      <c r="DD626" s="251" t="n"/>
      <c r="DE626" s="251" t="n"/>
      <c r="DF626" s="251" t="n"/>
      <c r="DG626" s="251" t="n"/>
      <c r="DH626" s="251" t="n"/>
      <c r="DI626" s="251" t="n"/>
      <c r="DJ626" s="251" t="inlineStr">
        <is>
          <t>M</t>
        </is>
      </c>
      <c r="DK626" s="251" t="n">
        <v>1</v>
      </c>
      <c r="DL626" s="95" t="n">
        <v>7</v>
      </c>
      <c r="DM626" s="251" t="n"/>
      <c r="DN626" s="95" t="n"/>
      <c r="DO626" s="95" t="n"/>
    </row>
    <row r="627" ht="13" customHeight="1">
      <c r="A627" s="203" t="inlineStr">
        <is>
          <t>MPZ-10A</t>
        </is>
      </c>
      <c r="B627" s="305"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5" t="n"/>
      <c r="BL627" s="7" t="inlineStr">
        <is>
          <t>LIXIVIACIÓN</t>
        </is>
      </c>
      <c r="BM627" s="251" t="inlineStr">
        <is>
          <t>ASUB</t>
        </is>
      </c>
      <c r="BN627" s="337" t="inlineStr">
        <is>
          <t>Lixiviación</t>
        </is>
      </c>
      <c r="BO627" s="251"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5" t="n"/>
      <c r="BW627" s="105" t="n"/>
      <c r="BX627" s="105" t="n"/>
      <c r="BY627" s="105" t="n"/>
      <c r="BZ627" s="107" t="n">
        <v>1</v>
      </c>
      <c r="CA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24">
        <f>+COUNTA(BV627:CY627)</f>
        <v/>
      </c>
      <c r="DA627" s="251" t="n"/>
      <c r="DB627" s="251" t="n"/>
      <c r="DC627" s="251" t="n"/>
      <c r="DD627" s="251" t="n"/>
      <c r="DE627" s="251" t="n"/>
      <c r="DF627" s="251" t="n"/>
      <c r="DG627" s="251" t="n"/>
      <c r="DH627" s="251" t="n"/>
      <c r="DI627" s="251" t="n"/>
      <c r="DJ627" s="251" t="n"/>
      <c r="DK627" s="251" t="n"/>
      <c r="DL627" s="95" t="n"/>
      <c r="DM627" s="251" t="inlineStr">
        <is>
          <t>M</t>
        </is>
      </c>
      <c r="DN627" s="95" t="n">
        <v>1</v>
      </c>
      <c r="DO627" s="95" t="n">
        <v>7</v>
      </c>
    </row>
    <row r="628" ht="13" customHeight="1">
      <c r="A628" s="203" t="inlineStr">
        <is>
          <t>MPZ-10B</t>
        </is>
      </c>
      <c r="B628" s="305"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5" t="inlineStr">
        <is>
          <t>532MAMPZ</t>
        </is>
      </c>
      <c r="BL628" s="7" t="inlineStr">
        <is>
          <t>LIXIVIACIÓN</t>
        </is>
      </c>
      <c r="BM628" s="251" t="inlineStr">
        <is>
          <t>NF</t>
        </is>
      </c>
      <c r="BN628" s="337" t="inlineStr">
        <is>
          <t>Lixiviación</t>
        </is>
      </c>
      <c r="BO628" s="251"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05" t="n"/>
      <c r="BX628" s="105" t="n"/>
      <c r="BY628" s="105" t="n"/>
      <c r="BZ628" s="142" t="n">
        <v>1</v>
      </c>
      <c r="CA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24">
        <f>+COUNTA(BV628:CY628)</f>
        <v/>
      </c>
      <c r="DA628" s="251" t="n"/>
      <c r="DB628" s="251" t="n"/>
      <c r="DC628" s="251" t="n"/>
      <c r="DD628" s="251" t="n"/>
      <c r="DE628" s="251" t="n"/>
      <c r="DF628" s="251" t="n"/>
      <c r="DG628" s="251" t="n"/>
      <c r="DH628" s="251" t="n"/>
      <c r="DI628" s="251" t="n"/>
      <c r="DJ628" s="251" t="inlineStr">
        <is>
          <t>M</t>
        </is>
      </c>
      <c r="DK628" s="251" t="n">
        <v>1</v>
      </c>
      <c r="DL628" s="95" t="n">
        <v>7</v>
      </c>
      <c r="DM628" s="251" t="n"/>
      <c r="DN628" s="95" t="n"/>
      <c r="DO628" s="95" t="n"/>
    </row>
    <row r="629" ht="14.5" customHeight="1">
      <c r="A629" s="203" t="inlineStr">
        <is>
          <t>MPZ-10B</t>
        </is>
      </c>
      <c r="B629" s="305"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5" t="n"/>
      <c r="BL629" s="7" t="inlineStr">
        <is>
          <t>LIXIVIACIÓN</t>
        </is>
      </c>
      <c r="BM629" s="251" t="inlineStr">
        <is>
          <t>ASUB</t>
        </is>
      </c>
      <c r="BN629" s="337" t="inlineStr">
        <is>
          <t>Lixiviación</t>
        </is>
      </c>
      <c r="BO629" s="251"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5" t="n"/>
      <c r="BW629" s="105" t="n"/>
      <c r="BX629" s="105" t="n"/>
      <c r="BY629" s="105" t="n"/>
      <c r="BZ629" s="107" t="n">
        <v>1</v>
      </c>
      <c r="CA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24">
        <f>+COUNTA(BV629:CY629)</f>
        <v/>
      </c>
      <c r="DA629" s="251" t="n"/>
      <c r="DB629" s="251" t="n"/>
      <c r="DC629" s="251" t="n"/>
      <c r="DD629" s="251" t="n"/>
      <c r="DE629" s="251" t="n"/>
      <c r="DF629" s="251" t="n"/>
      <c r="DG629" s="251" t="n"/>
      <c r="DH629" s="251" t="n"/>
      <c r="DI629" s="251" t="n"/>
      <c r="DJ629" s="251" t="n"/>
      <c r="DK629" s="251" t="n"/>
      <c r="DL629" s="95" t="n"/>
      <c r="DM629" s="251" t="inlineStr">
        <is>
          <t>M</t>
        </is>
      </c>
      <c r="DN629" s="95" t="n">
        <v>1</v>
      </c>
      <c r="DO629" s="95" t="n">
        <v>7</v>
      </c>
    </row>
    <row r="630" ht="14.5" customHeight="1">
      <c r="A630" s="203" t="inlineStr">
        <is>
          <t>MPZ-11A</t>
        </is>
      </c>
      <c r="B630" s="305"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5" t="n"/>
      <c r="BL630" s="7" t="inlineStr">
        <is>
          <t>GMAP-SIGA</t>
        </is>
      </c>
      <c r="BM630" s="251" t="inlineStr">
        <is>
          <t>NF</t>
        </is>
      </c>
      <c r="BN630" s="337" t="inlineStr">
        <is>
          <t>Michincha</t>
        </is>
      </c>
      <c r="BO630" s="251" t="n"/>
      <c r="BP630" s="106" t="n"/>
      <c r="BQ630" s="106">
        <f>VLOOKUP(BP630,[1]AGUA!$1:$1048576,2,FALSE)</f>
        <v/>
      </c>
      <c r="BR630" s="106">
        <f>VLOOKUP(BP630,[1]AGUA!$1:$1048576,6,FALSE)</f>
        <v/>
      </c>
      <c r="BS630" s="106">
        <f>VLOOKUP(BP630,[1]AGUA!$1:$1048576,7,FALSE)</f>
        <v/>
      </c>
      <c r="BT630" s="106" t="n"/>
      <c r="BU630" s="101" t="n"/>
      <c r="BV630" s="105" t="n"/>
      <c r="BW630" s="105" t="n"/>
      <c r="BX630" s="105" t="n"/>
      <c r="BY630" s="105" t="n"/>
      <c r="BZ630" s="105" t="n"/>
      <c r="CA630" s="105" t="n"/>
      <c r="CB630" s="105" t="n"/>
      <c r="CC630" s="105" t="n"/>
      <c r="CD630" s="105" t="n"/>
      <c r="CE630" s="105" t="n"/>
      <c r="CF630" s="10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24">
        <f>+COUNTA(BV630:CY630)</f>
        <v/>
      </c>
      <c r="DA630" s="251" t="n"/>
      <c r="DB630" s="251" t="n"/>
      <c r="DC630" s="251" t="n"/>
      <c r="DD630" s="251" t="n"/>
      <c r="DE630" s="251" t="n"/>
      <c r="DF630" s="251" t="n"/>
      <c r="DG630" s="251" t="n"/>
      <c r="DH630" s="251" t="n"/>
      <c r="DI630" s="251" t="n"/>
      <c r="DJ630" s="251" t="n"/>
      <c r="DK630" s="251" t="n"/>
      <c r="DL630" s="95" t="n"/>
      <c r="DM630" s="251" t="n"/>
      <c r="DN630" s="95" t="n"/>
      <c r="DO630" s="95" t="n"/>
    </row>
    <row r="631" ht="13" customHeight="1">
      <c r="A631" s="203" t="inlineStr">
        <is>
          <t>MPZ-11B</t>
        </is>
      </c>
      <c r="B631" s="305" t="inlineStr">
        <is>
          <t>MPZ-11B MICHINCHA</t>
        </is>
      </c>
      <c r="C631" s="251"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1" t="inlineStr">
        <is>
          <t>532MAMPZ</t>
        </is>
      </c>
      <c r="BL631" s="7" t="inlineStr">
        <is>
          <t>GMAP-SIGA</t>
        </is>
      </c>
      <c r="BM631" s="251" t="inlineStr">
        <is>
          <t>NF</t>
        </is>
      </c>
      <c r="BN631" s="337" t="inlineStr">
        <is>
          <t>Michincha</t>
        </is>
      </c>
      <c r="BO631" s="251"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42" t="n">
        <v>1</v>
      </c>
      <c r="BY631" s="105" t="n"/>
      <c r="BZ631" s="105" t="n"/>
      <c r="CA631" s="105" t="n"/>
      <c r="CB631" s="105" t="n"/>
      <c r="CC631" s="105" t="n"/>
      <c r="CD631" s="105" t="n"/>
      <c r="CE631" s="105" t="n"/>
      <c r="CF631" s="105" t="n"/>
      <c r="CG631" s="105" t="n"/>
      <c r="CH631" s="105" t="n"/>
      <c r="CI631" s="105" t="n"/>
      <c r="CJ631" s="105" t="n"/>
      <c r="CK631" s="105" t="n"/>
      <c r="CL631" s="105" t="n"/>
      <c r="CM631" s="105" t="n"/>
      <c r="CN631" s="105" t="n"/>
      <c r="CO631" s="105" t="n"/>
      <c r="CP631" s="105" t="n"/>
      <c r="CQ631" s="105" t="n"/>
      <c r="CR631" s="105" t="n"/>
      <c r="CS631" s="105" t="n"/>
      <c r="CT631" s="105" t="n"/>
      <c r="CU631" s="105" t="n"/>
      <c r="CV631" s="105" t="n"/>
      <c r="CW631" s="105" t="n"/>
      <c r="CX631" s="105" t="n"/>
      <c r="CY631" s="105" t="n"/>
      <c r="CZ631" s="124">
        <f>+COUNTA(BV631:CY631)</f>
        <v/>
      </c>
      <c r="DA631" s="251" t="n"/>
      <c r="DB631" s="251" t="n"/>
      <c r="DC631" s="251" t="n"/>
      <c r="DD631" s="251" t="n"/>
      <c r="DE631" s="251" t="n"/>
      <c r="DF631" s="251" t="n"/>
      <c r="DG631" s="251" t="n"/>
      <c r="DH631" s="251" t="n"/>
      <c r="DI631" s="251" t="n"/>
      <c r="DJ631" s="251" t="inlineStr">
        <is>
          <t>M</t>
        </is>
      </c>
      <c r="DK631" s="251" t="n">
        <v>1</v>
      </c>
      <c r="DL631" s="95" t="n">
        <v>7</v>
      </c>
      <c r="DM631" s="251" t="n"/>
      <c r="DN631" s="95" t="n"/>
      <c r="DO631" s="95" t="n"/>
    </row>
    <row r="632" ht="13" customHeight="1">
      <c r="A632" s="203" t="inlineStr">
        <is>
          <t>MPZ-11B</t>
        </is>
      </c>
      <c r="B632" s="376" t="n"/>
      <c r="C632" s="376"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76" t="n"/>
      <c r="BL632" s="7" t="inlineStr">
        <is>
          <t>GMAP-SIGA</t>
        </is>
      </c>
      <c r="BM632" s="251" t="inlineStr">
        <is>
          <t>ASUB</t>
        </is>
      </c>
      <c r="BN632" s="337" t="inlineStr">
        <is>
          <t>Michincha</t>
        </is>
      </c>
      <c r="BO632" s="251"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7" t="n">
        <v>1</v>
      </c>
      <c r="BY632" s="105" t="n"/>
      <c r="BZ632" s="105" t="n"/>
      <c r="CA632" s="105" t="n"/>
      <c r="CB632" s="105"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24">
        <f>+COUNTA(BV632:CY632)</f>
        <v/>
      </c>
      <c r="DA632" s="251" t="n"/>
      <c r="DB632" s="251" t="n"/>
      <c r="DC632" s="251" t="n"/>
      <c r="DD632" s="251" t="n"/>
      <c r="DE632" s="251" t="n"/>
      <c r="DF632" s="251" t="n"/>
      <c r="DG632" s="251" t="n"/>
      <c r="DH632" s="251" t="n"/>
      <c r="DI632" s="251" t="n"/>
      <c r="DJ632" s="251" t="n"/>
      <c r="DK632" s="251" t="n"/>
      <c r="DL632" s="95" t="n"/>
      <c r="DM632" s="251" t="inlineStr">
        <is>
          <t>T</t>
        </is>
      </c>
      <c r="DN632" s="95" t="n">
        <v>1</v>
      </c>
      <c r="DO632" s="95" t="n">
        <v>7</v>
      </c>
    </row>
    <row r="633" ht="14.5" customHeight="1">
      <c r="A633" s="203" t="inlineStr">
        <is>
          <t>MPZ-12</t>
        </is>
      </c>
      <c r="B633" s="305"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2" t="inlineStr">
        <is>
          <t>532MAMPZ</t>
        </is>
      </c>
      <c r="BL633" s="61" t="inlineStr">
        <is>
          <t>GMAP-SIGA</t>
        </is>
      </c>
      <c r="BM633" s="251" t="inlineStr">
        <is>
          <t>NF</t>
        </is>
      </c>
      <c r="BN633" s="337" t="inlineStr">
        <is>
          <t>Tranque</t>
        </is>
      </c>
      <c r="BO633" s="251"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42" t="n">
        <v>1</v>
      </c>
      <c r="CS633" s="105" t="n"/>
      <c r="CT633" s="105" t="n"/>
      <c r="CU633" s="105" t="n"/>
      <c r="CV633" s="105" t="n"/>
      <c r="CW633" s="105" t="n"/>
      <c r="CX633" s="105" t="n"/>
      <c r="CY633" s="105" t="n"/>
      <c r="CZ633" s="124">
        <f>+COUNTA(BV633:CY633)</f>
        <v/>
      </c>
      <c r="DA633" s="251" t="n"/>
      <c r="DB633" s="251" t="n"/>
      <c r="DC633" s="251" t="n"/>
      <c r="DD633" s="251" t="n"/>
      <c r="DE633" s="251" t="n"/>
      <c r="DF633" s="251" t="n"/>
      <c r="DG633" s="251" t="n"/>
      <c r="DH633" s="251" t="n"/>
      <c r="DI633" s="251" t="n"/>
      <c r="DJ633" s="251" t="inlineStr">
        <is>
          <t>M</t>
        </is>
      </c>
      <c r="DK633" s="251" t="n">
        <v>22</v>
      </c>
      <c r="DL633" s="95" t="n">
        <v>28</v>
      </c>
      <c r="DM633" s="251" t="n"/>
      <c r="DN633" s="95" t="n"/>
      <c r="DO633" s="95" t="n"/>
    </row>
    <row r="634" ht="13" customHeight="1">
      <c r="A634" s="203" t="inlineStr">
        <is>
          <t>MPZ-12A</t>
        </is>
      </c>
      <c r="B634" s="305" t="inlineStr">
        <is>
          <t>MPZ-12A TRANQUE</t>
        </is>
      </c>
      <c r="C634" s="251"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2" t="inlineStr">
        <is>
          <t>532MAMPZ</t>
        </is>
      </c>
      <c r="BL634" s="7" t="inlineStr">
        <is>
          <t>GMAP-SIGA</t>
        </is>
      </c>
      <c r="BM634" s="251" t="inlineStr">
        <is>
          <t>NF</t>
        </is>
      </c>
      <c r="BN634" s="337" t="inlineStr">
        <is>
          <t>Tranque</t>
        </is>
      </c>
      <c r="BO634" s="251" t="inlineStr">
        <is>
          <t>SI PAT TRANQUE</t>
        </is>
      </c>
      <c r="BP634" s="106" t="inlineStr">
        <is>
          <t>MPZ-12A TRANQUE/NF</t>
        </is>
      </c>
      <c r="BQ634" s="106">
        <f>VLOOKUP(BP634,[1]AGUA!$1:$1048576,2,FALSE)</f>
        <v/>
      </c>
      <c r="BR634" s="106">
        <f>VLOOKUP(BP634,[1]AGUA!$1:$1048576,6,FALSE)</f>
        <v/>
      </c>
      <c r="BS634" s="106">
        <f>VLOOKUP(BP634,[1]AGUA!$1:$1048576,7,FALSE)</f>
        <v/>
      </c>
      <c r="BT634" s="106" t="n"/>
      <c r="BU634" s="253" t="n"/>
      <c r="BV634" s="105" t="n"/>
      <c r="BW634" s="105" t="n"/>
      <c r="BX634" s="105" t="n"/>
      <c r="BY634" s="105" t="n"/>
      <c r="BZ634" s="142" t="n">
        <v>1</v>
      </c>
      <c r="CA634" s="105" t="n"/>
      <c r="CB634" s="105" t="n"/>
      <c r="CC634" s="105" t="n"/>
      <c r="CD634" s="105" t="n"/>
      <c r="CE634" s="105" t="n"/>
      <c r="CF634" s="105" t="n"/>
      <c r="CG634" s="105" t="n"/>
      <c r="CH634" s="105" t="n"/>
      <c r="CI634" s="105" t="n"/>
      <c r="CJ634" s="105" t="n"/>
      <c r="CK634" s="105" t="n"/>
      <c r="CL634" s="105" t="n"/>
      <c r="CM634" s="105" t="n"/>
      <c r="CN634" s="105" t="n"/>
      <c r="CO634" s="105" t="n"/>
      <c r="CP634" s="105" t="n"/>
      <c r="CQ634" s="105" t="n"/>
      <c r="CR634" s="105" t="n"/>
      <c r="CS634" s="105" t="n"/>
      <c r="CT634" s="105" t="n"/>
      <c r="CU634" s="105" t="n"/>
      <c r="CV634" s="105" t="n"/>
      <c r="CW634" s="105" t="n"/>
      <c r="CX634" s="105" t="n"/>
      <c r="CY634" s="105" t="n"/>
      <c r="CZ634" s="124">
        <f>+COUNTA(BV634:CY634)</f>
        <v/>
      </c>
      <c r="DA634" s="251" t="n"/>
      <c r="DB634" s="251" t="n"/>
      <c r="DC634" s="251" t="n"/>
      <c r="DD634" s="251" t="n"/>
      <c r="DE634" s="251" t="n"/>
      <c r="DF634" s="251" t="n"/>
      <c r="DG634" s="251" t="n"/>
      <c r="DH634" s="251" t="n"/>
      <c r="DI634" s="251" t="n"/>
      <c r="DJ634" s="251" t="inlineStr">
        <is>
          <t>M</t>
        </is>
      </c>
      <c r="DK634" s="251" t="n">
        <v>8</v>
      </c>
      <c r="DL634" s="95" t="n">
        <v>14</v>
      </c>
      <c r="DM634" s="251" t="n"/>
      <c r="DN634" s="95" t="n"/>
      <c r="DO634" s="95" t="n"/>
    </row>
    <row r="635" ht="13" customHeight="1">
      <c r="A635" s="203" t="inlineStr">
        <is>
          <t>MPZ-12A</t>
        </is>
      </c>
      <c r="B635" s="305" t="inlineStr">
        <is>
          <t>MPZ-12A TRANQUE</t>
        </is>
      </c>
      <c r="C635" s="376"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76" t="n"/>
      <c r="BL635" s="7" t="inlineStr">
        <is>
          <t>GMAP-SIGA</t>
        </is>
      </c>
      <c r="BM635" s="251" t="inlineStr">
        <is>
          <t>ASUB</t>
        </is>
      </c>
      <c r="BN635" s="337" t="inlineStr">
        <is>
          <t>Tranque</t>
        </is>
      </c>
      <c r="BO635" s="251" t="inlineStr">
        <is>
          <t>SI PAT TRANQUE</t>
        </is>
      </c>
      <c r="BP635" s="106" t="inlineStr">
        <is>
          <t>MPZ-12A TRANQUE/ASUB</t>
        </is>
      </c>
      <c r="BQ635" s="106">
        <f>VLOOKUP(BP635,[1]AGUA!$1:$1048576,2,FALSE)</f>
        <v/>
      </c>
      <c r="BR635" s="106">
        <f>VLOOKUP(BP635,[1]AGUA!$1:$1048576,6,FALSE)</f>
        <v/>
      </c>
      <c r="BS635" s="106">
        <f>VLOOKUP(BP635,[1]AGUA!$1:$1048576,7,FALSE)</f>
        <v/>
      </c>
      <c r="BT635" s="106" t="n"/>
      <c r="BU635" s="377" t="n"/>
      <c r="BV635" s="105" t="n"/>
      <c r="BW635" s="105" t="n"/>
      <c r="BX635" s="105" t="n"/>
      <c r="BY635" s="105" t="n"/>
      <c r="BZ635" s="107" t="n">
        <v>1</v>
      </c>
      <c r="CA635" s="105" t="n"/>
      <c r="CB635" s="105" t="n"/>
      <c r="CC635" s="105" t="n"/>
      <c r="CD635" s="105" t="n"/>
      <c r="CE635" s="105" t="n"/>
      <c r="CF635" s="105" t="n"/>
      <c r="CG635" s="105" t="n"/>
      <c r="CH635" s="105" t="n"/>
      <c r="CI635" s="105"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24">
        <f>+COUNTA(BV635:CY635)</f>
        <v/>
      </c>
      <c r="DA635" s="251" t="n"/>
      <c r="DB635" s="251" t="n"/>
      <c r="DC635" s="251" t="n"/>
      <c r="DD635" s="251" t="n"/>
      <c r="DE635" s="251" t="n"/>
      <c r="DF635" s="251" t="n"/>
      <c r="DG635" s="251" t="n"/>
      <c r="DH635" s="251" t="n"/>
      <c r="DI635" s="251" t="n"/>
      <c r="DJ635" s="251" t="n"/>
      <c r="DK635" s="251" t="n"/>
      <c r="DL635" s="95" t="n"/>
      <c r="DM635" s="251" t="inlineStr">
        <is>
          <t>M</t>
        </is>
      </c>
      <c r="DN635" s="95" t="n">
        <v>8</v>
      </c>
      <c r="DO635" s="95" t="n">
        <v>14</v>
      </c>
    </row>
    <row r="636" ht="13" customHeight="1">
      <c r="A636" s="203" t="inlineStr">
        <is>
          <t>MPZ-12AL2</t>
        </is>
      </c>
      <c r="B636" s="305"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2" t="inlineStr">
        <is>
          <t>532MAMPZ</t>
        </is>
      </c>
      <c r="BL636" s="61" t="inlineStr">
        <is>
          <t>GMAP-SIGA</t>
        </is>
      </c>
      <c r="BM636" s="251" t="inlineStr">
        <is>
          <t>NF</t>
        </is>
      </c>
      <c r="BN636" s="337" t="inlineStr">
        <is>
          <t>Tranque</t>
        </is>
      </c>
      <c r="BO636" s="251"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42" t="n">
        <v>1</v>
      </c>
      <c r="CS636" s="105" t="n"/>
      <c r="CT636" s="105" t="n"/>
      <c r="CU636" s="105" t="n"/>
      <c r="CV636" s="105" t="n"/>
      <c r="CW636" s="105" t="n"/>
      <c r="CX636" s="105" t="n"/>
      <c r="CY636" s="105" t="n"/>
      <c r="CZ636" s="124">
        <f>+COUNTA(BV636:CY636)</f>
        <v/>
      </c>
      <c r="DA636" s="251" t="n"/>
      <c r="DB636" s="251" t="n"/>
      <c r="DC636" s="251" t="n"/>
      <c r="DD636" s="251" t="n"/>
      <c r="DE636" s="251" t="n"/>
      <c r="DF636" s="251" t="n"/>
      <c r="DG636" s="251" t="n"/>
      <c r="DH636" s="251" t="n"/>
      <c r="DI636" s="251" t="n"/>
      <c r="DJ636" s="251" t="inlineStr">
        <is>
          <t>M</t>
        </is>
      </c>
      <c r="DK636" s="251" t="n">
        <v>22</v>
      </c>
      <c r="DL636" s="95" t="n">
        <v>28</v>
      </c>
      <c r="DM636" s="251" t="n"/>
      <c r="DN636" s="95" t="n"/>
      <c r="DO636" s="95" t="n"/>
    </row>
    <row r="637" ht="13" customHeight="1">
      <c r="A637" s="203" t="inlineStr">
        <is>
          <t>MPZ-12L2</t>
        </is>
      </c>
      <c r="B637" s="305"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2" t="inlineStr">
        <is>
          <t>532MAMPZ</t>
        </is>
      </c>
      <c r="BL637" s="61" t="inlineStr">
        <is>
          <t>GMAP-SIGA</t>
        </is>
      </c>
      <c r="BM637" s="251" t="inlineStr">
        <is>
          <t>NF</t>
        </is>
      </c>
      <c r="BN637" s="337" t="inlineStr">
        <is>
          <t>Tranque</t>
        </is>
      </c>
      <c r="BO637" s="251" t="inlineStr">
        <is>
          <t>SI</t>
        </is>
      </c>
      <c r="BP637" s="106" t="inlineStr">
        <is>
          <t>MPZ-12L2 TRANQUE/NF</t>
        </is>
      </c>
      <c r="BQ637" s="106">
        <f>VLOOKUP(BP637,[1]AGUA!$1:$1048576,2,FALSE)</f>
        <v/>
      </c>
      <c r="BR637" s="106">
        <f>VLOOKUP(BP637,[1]AGUA!$1:$1048576,6,FALSE)</f>
        <v/>
      </c>
      <c r="BS637" s="106">
        <f>VLOOKUP(BP637,[1]AGUA!$1:$1048576,7,FALSE)</f>
        <v/>
      </c>
      <c r="BT637" s="106" t="n"/>
      <c r="BU637" s="101" t="n"/>
      <c r="BV637" s="105" t="n"/>
      <c r="BW637" s="105" t="n"/>
      <c r="BX637" s="105" t="n"/>
      <c r="BY637" s="105" t="n"/>
      <c r="BZ637" s="105" t="n"/>
      <c r="CA637" s="105" t="n"/>
      <c r="CB637" s="105" t="n"/>
      <c r="CC637" s="105" t="n"/>
      <c r="CD637" s="105" t="n"/>
      <c r="CE637" s="105" t="n"/>
      <c r="CF637" s="105" t="n"/>
      <c r="CG637" s="105" t="n"/>
      <c r="CH637" s="105" t="n"/>
      <c r="CI637" s="105" t="n"/>
      <c r="CJ637" s="105" t="n"/>
      <c r="CK637" s="105" t="n"/>
      <c r="CL637" s="105" t="n"/>
      <c r="CM637" s="105" t="n"/>
      <c r="CN637" s="105" t="n"/>
      <c r="CO637" s="105" t="n"/>
      <c r="CP637" s="105" t="n"/>
      <c r="CQ637" s="105" t="n"/>
      <c r="CR637" s="142" t="n">
        <v>1</v>
      </c>
      <c r="CS637" s="105" t="n"/>
      <c r="CT637" s="105" t="n"/>
      <c r="CU637" s="105" t="n"/>
      <c r="CV637" s="105" t="n"/>
      <c r="CW637" s="105" t="n"/>
      <c r="CX637" s="105" t="n"/>
      <c r="CY637" s="105" t="n"/>
      <c r="CZ637" s="124">
        <f>+COUNTA(BV637:CY637)</f>
        <v/>
      </c>
      <c r="DA637" s="251" t="n"/>
      <c r="DB637" s="251" t="n"/>
      <c r="DC637" s="251" t="n"/>
      <c r="DD637" s="251" t="n"/>
      <c r="DE637" s="251" t="n"/>
      <c r="DF637" s="251" t="n"/>
      <c r="DG637" s="251" t="n"/>
      <c r="DH637" s="251" t="n"/>
      <c r="DI637" s="251" t="n"/>
      <c r="DJ637" s="251" t="inlineStr">
        <is>
          <t>M</t>
        </is>
      </c>
      <c r="DK637" s="251" t="n">
        <v>22</v>
      </c>
      <c r="DL637" s="95" t="n">
        <v>28</v>
      </c>
      <c r="DM637" s="251" t="n"/>
      <c r="DN637" s="95" t="n"/>
      <c r="DO637" s="95" t="n"/>
    </row>
    <row r="638" ht="13" customHeight="1">
      <c r="A638" s="203" t="inlineStr">
        <is>
          <t>MTP-09</t>
        </is>
      </c>
      <c r="B638" s="305" t="inlineStr">
        <is>
          <t>MTP-09 TRANQUE</t>
        </is>
      </c>
      <c r="C638" s="251"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1" t="inlineStr">
        <is>
          <t>532MAMTP</t>
        </is>
      </c>
      <c r="BL638" s="7" t="inlineStr">
        <is>
          <t>GTAM/GGAYC</t>
        </is>
      </c>
      <c r="BM638" s="251" t="inlineStr">
        <is>
          <t>NF</t>
        </is>
      </c>
      <c r="BN638" s="337" t="inlineStr">
        <is>
          <t>Tranque</t>
        </is>
      </c>
      <c r="BO638" s="251"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05" t="n"/>
      <c r="BW638" s="142" t="n">
        <v>1</v>
      </c>
      <c r="BX638" s="105" t="n"/>
      <c r="BY638" s="105"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24">
        <f>+COUNTA(BV638:CY638)</f>
        <v/>
      </c>
      <c r="DA638" s="251" t="n"/>
      <c r="DB638" s="251" t="n"/>
      <c r="DC638" s="251" t="n"/>
      <c r="DD638" s="251" t="n"/>
      <c r="DE638" s="251" t="n"/>
      <c r="DF638" s="251" t="n"/>
      <c r="DG638" s="251" t="n"/>
      <c r="DH638" s="251" t="n"/>
      <c r="DI638" s="251" t="n"/>
      <c r="DJ638" s="251" t="inlineStr">
        <is>
          <t>M</t>
        </is>
      </c>
      <c r="DK638" s="251" t="n">
        <v>1</v>
      </c>
      <c r="DL638" s="95" t="n">
        <v>7</v>
      </c>
      <c r="DM638" s="251" t="n"/>
      <c r="DN638" s="95" t="n"/>
      <c r="DO638" s="95" t="n"/>
    </row>
    <row r="639" ht="13" customHeight="1">
      <c r="A639" s="203" t="inlineStr">
        <is>
          <t>MTP-09</t>
        </is>
      </c>
      <c r="B639" s="376" t="n"/>
      <c r="C639" s="376"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76" t="n"/>
      <c r="BL639" s="7" t="inlineStr">
        <is>
          <t>GTAM</t>
        </is>
      </c>
      <c r="BM639" s="251" t="inlineStr">
        <is>
          <t>ASUB</t>
        </is>
      </c>
      <c r="BN639" s="337" t="inlineStr">
        <is>
          <t>Tranque</t>
        </is>
      </c>
      <c r="BO639" s="251"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5" t="n"/>
      <c r="BW639" s="107" t="n">
        <v>1</v>
      </c>
      <c r="BX639" s="105"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24">
        <f>+COUNTA(BV639:CY639)</f>
        <v/>
      </c>
      <c r="DA639" s="251" t="n"/>
      <c r="DB639" s="251" t="n"/>
      <c r="DC639" s="251" t="n"/>
      <c r="DD639" s="251" t="n"/>
      <c r="DE639" s="251" t="n"/>
      <c r="DF639" s="251" t="n"/>
      <c r="DG639" s="251" t="n"/>
      <c r="DH639" s="251" t="n"/>
      <c r="DI639" s="251" t="n"/>
      <c r="DJ639" s="251" t="n"/>
      <c r="DK639" s="251" t="n"/>
      <c r="DL639" s="95" t="n"/>
      <c r="DM639" s="251" t="inlineStr">
        <is>
          <t>T</t>
        </is>
      </c>
      <c r="DN639" s="95" t="n">
        <v>1</v>
      </c>
      <c r="DO639" s="95" t="n">
        <v>7</v>
      </c>
    </row>
    <row r="640" ht="13" customHeight="1">
      <c r="A640" s="203" t="inlineStr">
        <is>
          <t>MTP-11</t>
        </is>
      </c>
      <c r="B640" s="305" t="inlineStr">
        <is>
          <t>MTP-11 LIXIVIACIÓN</t>
        </is>
      </c>
      <c r="C640" s="251"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1" t="inlineStr">
        <is>
          <t>532MAMTP</t>
        </is>
      </c>
      <c r="BL640" s="7" t="inlineStr">
        <is>
          <t>LIXIVIACIÓN</t>
        </is>
      </c>
      <c r="BM640" s="251" t="inlineStr">
        <is>
          <t>NF</t>
        </is>
      </c>
      <c r="BN640" s="337" t="inlineStr">
        <is>
          <t>Lixiviación</t>
        </is>
      </c>
      <c r="BO640" s="251" t="inlineStr">
        <is>
          <t>SI</t>
        </is>
      </c>
      <c r="BP640" s="106" t="inlineStr">
        <is>
          <t>MTP-11 LIXIVIACIÓN/NF</t>
        </is>
      </c>
      <c r="BQ640" s="106">
        <f>VLOOKUP(BP640,[1]AGUA!$1:$1048576,2,FALSE)</f>
        <v/>
      </c>
      <c r="BR640" s="106">
        <f>VLOOKUP(BP640,[1]AGUA!$1:$1048576,6,FALSE)</f>
        <v/>
      </c>
      <c r="BS640" s="106">
        <f>VLOOKUP(BP640,[1]AGUA!$1:$1048576,7,FALSE)</f>
        <v/>
      </c>
      <c r="BT640" s="106" t="n"/>
      <c r="BU640" s="253"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2" t="n">
        <v>1</v>
      </c>
      <c r="CP640" s="105" t="n"/>
      <c r="CQ640" s="105" t="n"/>
      <c r="CR640" s="105" t="n"/>
      <c r="CS640" s="105" t="n"/>
      <c r="CT640" s="105" t="n"/>
      <c r="CU640" s="105" t="n"/>
      <c r="CV640" s="105" t="n"/>
      <c r="CW640" s="105" t="n"/>
      <c r="CX640" s="105" t="n"/>
      <c r="CY640" s="105" t="n"/>
      <c r="CZ640" s="124">
        <f>+COUNTA(BV640:CY640)</f>
        <v/>
      </c>
      <c r="DA640" s="251" t="n"/>
      <c r="DB640" s="251" t="n"/>
      <c r="DC640" s="251" t="n"/>
      <c r="DD640" s="251" t="n"/>
      <c r="DE640" s="251" t="n"/>
      <c r="DF640" s="251" t="n"/>
      <c r="DG640" s="251" t="n"/>
      <c r="DH640" s="251" t="n"/>
      <c r="DI640" s="251" t="n"/>
      <c r="DJ640" s="251" t="inlineStr">
        <is>
          <t>M</t>
        </is>
      </c>
      <c r="DK640" s="251" t="n">
        <v>15</v>
      </c>
      <c r="DL640" s="95" t="n">
        <v>21</v>
      </c>
      <c r="DM640" s="251" t="n"/>
      <c r="DN640" s="95" t="n"/>
      <c r="DO640" s="95" t="n"/>
    </row>
    <row r="641" ht="13" customHeight="1">
      <c r="A641" s="203" t="inlineStr">
        <is>
          <t>MTP-11</t>
        </is>
      </c>
      <c r="B641" s="376" t="n"/>
      <c r="C641" s="376"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76" t="n"/>
      <c r="BL641" s="7" t="inlineStr">
        <is>
          <t>LIXIVIACIÓN</t>
        </is>
      </c>
      <c r="BM641" s="168" t="inlineStr">
        <is>
          <t>ASUB</t>
        </is>
      </c>
      <c r="BN641" s="337" t="inlineStr">
        <is>
          <t>Lixiviación</t>
        </is>
      </c>
      <c r="BO641" s="251" t="inlineStr">
        <is>
          <t>SI</t>
        </is>
      </c>
      <c r="BP641" s="106" t="inlineStr">
        <is>
          <t>MTP-11 LIXIVIACIÓN/ASUB</t>
        </is>
      </c>
      <c r="BQ641" s="106">
        <f>VLOOKUP(BP641,[1]AGUA!$1:$1048576,2,FALSE)</f>
        <v/>
      </c>
      <c r="BR641" s="106">
        <f>VLOOKUP(BP641,[1]AGUA!$1:$1048576,6,FALSE)</f>
        <v/>
      </c>
      <c r="BS641" s="106">
        <f>VLOOKUP(BP641,[1]AGUA!$1:$1048576,7,FALSE)</f>
        <v/>
      </c>
      <c r="BT641" s="106" t="n"/>
      <c r="BU641" s="377" t="n"/>
      <c r="BV641" s="105" t="n"/>
      <c r="BW641" s="105" t="n"/>
      <c r="BX641" s="105" t="n"/>
      <c r="BY641" s="105" t="n"/>
      <c r="BZ641" s="105" t="n"/>
      <c r="CA641" s="105" t="n"/>
      <c r="CB641" s="105" t="n"/>
      <c r="CC641" s="105" t="n"/>
      <c r="CD641" s="105" t="n"/>
      <c r="CE641" s="105" t="n"/>
      <c r="CF641" s="105" t="n"/>
      <c r="CG641" s="105" t="n"/>
      <c r="CH641" s="105" t="n"/>
      <c r="CI641" s="105" t="n"/>
      <c r="CJ641" s="105" t="n"/>
      <c r="CK641" s="105" t="n"/>
      <c r="CL641" s="105" t="n"/>
      <c r="CM641" s="105" t="n"/>
      <c r="CN641" s="105" t="n"/>
      <c r="CO641" s="107" t="n">
        <v>1</v>
      </c>
      <c r="CP641" s="105" t="n"/>
      <c r="CQ641" s="105" t="n"/>
      <c r="CR641" s="105" t="n"/>
      <c r="CS641" s="105" t="n"/>
      <c r="CT641" s="105" t="n"/>
      <c r="CU641" s="105" t="n"/>
      <c r="CV641" s="105" t="n"/>
      <c r="CW641" s="105" t="n"/>
      <c r="CX641" s="105" t="n"/>
      <c r="CY641" s="105" t="n"/>
      <c r="CZ641" s="124">
        <f>+COUNTA(BV641:CY641)</f>
        <v/>
      </c>
      <c r="DA641" s="251" t="n"/>
      <c r="DB641" s="251" t="n"/>
      <c r="DC641" s="251" t="n"/>
      <c r="DD641" s="251" t="n"/>
      <c r="DE641" s="251" t="n"/>
      <c r="DF641" s="251" t="n"/>
      <c r="DG641" s="251" t="n"/>
      <c r="DH641" s="251" t="n"/>
      <c r="DI641" s="251" t="n"/>
      <c r="DJ641" s="251" t="n"/>
      <c r="DK641" s="251" t="n"/>
      <c r="DL641" s="95" t="n"/>
      <c r="DM641" s="251" t="inlineStr">
        <is>
          <t>T</t>
        </is>
      </c>
      <c r="DN641" s="95" t="n">
        <v>15</v>
      </c>
      <c r="DO641" s="95" t="n">
        <v>21</v>
      </c>
    </row>
    <row r="642" ht="13" customHeight="1">
      <c r="A642" s="203" t="inlineStr">
        <is>
          <t>MTP-12</t>
        </is>
      </c>
      <c r="B642" s="305" t="inlineStr">
        <is>
          <t>MTP-12 TRANQUE</t>
        </is>
      </c>
      <c r="C642" s="251"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1" t="inlineStr">
        <is>
          <t>532MAMTP</t>
        </is>
      </c>
      <c r="BL642" s="7" t="inlineStr">
        <is>
          <t>GTAM/GGAYC</t>
        </is>
      </c>
      <c r="BM642" s="251" t="inlineStr">
        <is>
          <t>NF</t>
        </is>
      </c>
      <c r="BN642" s="337" t="inlineStr">
        <is>
          <t>Tranque</t>
        </is>
      </c>
      <c r="BO642" s="251"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05" t="n"/>
      <c r="BW642" s="105" t="n"/>
      <c r="BX642" s="105" t="n"/>
      <c r="BY642" s="105"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24">
        <f>+COUNTA(BW642:CY642)</f>
        <v/>
      </c>
      <c r="DA642" s="251" t="n"/>
      <c r="DB642" s="251" t="n"/>
      <c r="DC642" s="251" t="n"/>
      <c r="DD642" s="251" t="n"/>
      <c r="DE642" s="251" t="n"/>
      <c r="DF642" s="251" t="n"/>
      <c r="DG642" s="251" t="n"/>
      <c r="DH642" s="251" t="n"/>
      <c r="DI642" s="251" t="n"/>
      <c r="DJ642" s="251" t="inlineStr">
        <is>
          <t>M</t>
        </is>
      </c>
      <c r="DK642" s="251" t="n">
        <v>1</v>
      </c>
      <c r="DL642" s="95" t="n">
        <v>7</v>
      </c>
      <c r="DM642" s="251" t="n"/>
      <c r="DN642" s="95" t="n"/>
      <c r="DO642" s="95" t="n"/>
    </row>
    <row r="643" ht="13" customHeight="1">
      <c r="A643" s="203" t="inlineStr">
        <is>
          <t>MTP-12</t>
        </is>
      </c>
      <c r="B643" s="376" t="n"/>
      <c r="C643" s="376"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76" t="n"/>
      <c r="BL643" s="7" t="inlineStr">
        <is>
          <t>GTAM</t>
        </is>
      </c>
      <c r="BM643" s="251" t="inlineStr">
        <is>
          <t>ASUB</t>
        </is>
      </c>
      <c r="BN643" s="337" t="inlineStr">
        <is>
          <t>Tranque</t>
        </is>
      </c>
      <c r="BO643" s="251"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105" t="n"/>
      <c r="BW643" s="105" t="n"/>
      <c r="BX643" s="105" t="n"/>
      <c r="BY643" s="105" t="n"/>
      <c r="BZ643" s="105" t="n"/>
      <c r="CA643" s="105" t="n"/>
      <c r="CB643" s="105" t="n"/>
      <c r="CC643" s="105" t="n"/>
      <c r="CD643" s="105" t="n"/>
      <c r="CE643" s="105" t="n"/>
      <c r="CF643" s="10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24">
        <f>+COUNTA(BV643:CY643)</f>
        <v/>
      </c>
      <c r="DA643" s="251" t="n"/>
      <c r="DB643" s="251" t="n"/>
      <c r="DC643" s="251" t="n"/>
      <c r="DD643" s="251" t="n"/>
      <c r="DE643" s="251" t="n"/>
      <c r="DF643" s="251" t="n"/>
      <c r="DG643" s="251" t="n"/>
      <c r="DH643" s="251" t="n"/>
      <c r="DI643" s="251" t="n"/>
      <c r="DJ643" s="251" t="n"/>
      <c r="DK643" s="251" t="n"/>
      <c r="DL643" s="95" t="n"/>
      <c r="DM643" s="251" t="inlineStr">
        <is>
          <t>T</t>
        </is>
      </c>
      <c r="DN643" s="95" t="n">
        <v>1</v>
      </c>
      <c r="DO643" s="95" t="n">
        <v>7</v>
      </c>
    </row>
    <row r="644" ht="13" customHeight="1">
      <c r="A644" s="203" t="inlineStr">
        <is>
          <t>MTP-13</t>
        </is>
      </c>
      <c r="B644" s="305" t="inlineStr">
        <is>
          <t>MTP-13 MICHINCHA</t>
        </is>
      </c>
      <c r="C644" s="251"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1" t="inlineStr">
        <is>
          <t>532MAMTP</t>
        </is>
      </c>
      <c r="BL644" s="7" t="inlineStr">
        <is>
          <t>GTAM/GGAYC</t>
        </is>
      </c>
      <c r="BM644" s="251" t="inlineStr">
        <is>
          <t>NF</t>
        </is>
      </c>
      <c r="BN644" s="337" t="inlineStr">
        <is>
          <t>Tranque (Canal del este)</t>
        </is>
      </c>
      <c r="BO644" s="251"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05" t="n"/>
      <c r="BW644" s="142" t="n">
        <v>1</v>
      </c>
      <c r="BX644" s="105"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05" t="n"/>
      <c r="CZ644" s="124">
        <f>+COUNTA(BV644:CY644)</f>
        <v/>
      </c>
      <c r="DA644" s="251" t="n"/>
      <c r="DB644" s="251" t="n"/>
      <c r="DC644" s="251" t="n"/>
      <c r="DD644" s="251" t="n"/>
      <c r="DE644" s="251" t="n"/>
      <c r="DF644" s="251" t="n"/>
      <c r="DG644" s="251" t="n"/>
      <c r="DH644" s="251" t="n"/>
      <c r="DI644" s="251" t="n"/>
      <c r="DJ644" s="251" t="inlineStr">
        <is>
          <t>M</t>
        </is>
      </c>
      <c r="DK644" s="251" t="n">
        <v>1</v>
      </c>
      <c r="DL644" s="95" t="n">
        <v>7</v>
      </c>
      <c r="DM644" s="251" t="n"/>
      <c r="DN644" s="95" t="n"/>
      <c r="DO644" s="95" t="n"/>
    </row>
    <row r="645" ht="13" customHeight="1">
      <c r="A645" s="203" t="inlineStr">
        <is>
          <t>MTP-13</t>
        </is>
      </c>
      <c r="B645" s="376" t="n"/>
      <c r="C645" s="376"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76" t="n"/>
      <c r="BL645" s="7" t="inlineStr">
        <is>
          <t>GTAM</t>
        </is>
      </c>
      <c r="BM645" s="251" t="inlineStr">
        <is>
          <t>ASUB</t>
        </is>
      </c>
      <c r="BN645" s="337" t="inlineStr">
        <is>
          <t>Tranque (Canal del este)</t>
        </is>
      </c>
      <c r="BO645" s="251"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105" t="n"/>
      <c r="BW645" s="107" t="n">
        <v>1</v>
      </c>
      <c r="BX645" s="105" t="n"/>
      <c r="BY645" s="105" t="n"/>
      <c r="BZ645" s="105" t="n"/>
      <c r="CA645" s="105" t="n"/>
      <c r="CB645" s="105" t="n"/>
      <c r="CC645" s="105" t="n"/>
      <c r="CD645" s="105" t="n"/>
      <c r="CE645" s="105" t="n"/>
      <c r="CF645" s="10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24">
        <f>+COUNTA(BV645:CY645)</f>
        <v/>
      </c>
      <c r="DA645" s="251" t="n"/>
      <c r="DB645" s="251" t="n"/>
      <c r="DC645" s="251" t="n"/>
      <c r="DD645" s="251" t="n"/>
      <c r="DE645" s="251" t="n"/>
      <c r="DF645" s="251" t="n"/>
      <c r="DG645" s="251" t="n"/>
      <c r="DH645" s="251" t="n"/>
      <c r="DI645" s="251" t="n"/>
      <c r="DJ645" s="251" t="n"/>
      <c r="DK645" s="251" t="n"/>
      <c r="DL645" s="95" t="n"/>
      <c r="DM645" s="251" t="inlineStr">
        <is>
          <t>T</t>
        </is>
      </c>
      <c r="DN645" s="95" t="n">
        <v>1</v>
      </c>
      <c r="DO645" s="95" t="n">
        <v>7</v>
      </c>
    </row>
    <row r="646" ht="13" customHeight="1">
      <c r="A646" s="203" t="inlineStr">
        <is>
          <t>MTP-14</t>
        </is>
      </c>
      <c r="B646" s="305" t="inlineStr">
        <is>
          <t>MTP-14 TRANQUE</t>
        </is>
      </c>
      <c r="C646" s="251"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2" t="inlineStr">
        <is>
          <t>532MAMTP</t>
        </is>
      </c>
      <c r="BL646" s="7" t="inlineStr">
        <is>
          <t>GTAM/GGAYC</t>
        </is>
      </c>
      <c r="BM646" s="251" t="inlineStr">
        <is>
          <t>NF</t>
        </is>
      </c>
      <c r="BN646" s="337" t="inlineStr">
        <is>
          <t>Tranque</t>
        </is>
      </c>
      <c r="BO646" s="251"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05" t="n"/>
      <c r="BW646" s="142" t="n">
        <v>1</v>
      </c>
      <c r="BX646" s="105" t="n"/>
      <c r="BY646" s="105"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24">
        <f>+COUNTA(BV646:CY646)</f>
        <v/>
      </c>
      <c r="DA646" s="251" t="n"/>
      <c r="DB646" s="251" t="n"/>
      <c r="DC646" s="251" t="n"/>
      <c r="DD646" s="251" t="n"/>
      <c r="DE646" s="251" t="n"/>
      <c r="DF646" s="251" t="n"/>
      <c r="DG646" s="251" t="n"/>
      <c r="DH646" s="251" t="n"/>
      <c r="DI646" s="251" t="n"/>
      <c r="DJ646" s="251" t="inlineStr">
        <is>
          <t>M</t>
        </is>
      </c>
      <c r="DK646" s="251" t="n">
        <v>1</v>
      </c>
      <c r="DL646" s="95" t="n">
        <v>7</v>
      </c>
      <c r="DM646" s="251" t="n"/>
      <c r="DN646" s="95" t="n"/>
      <c r="DO646" s="95" t="n"/>
    </row>
    <row r="647" ht="13" customHeight="1">
      <c r="A647" s="203" t="inlineStr">
        <is>
          <t>MTP-14</t>
        </is>
      </c>
      <c r="B647" s="376" t="n"/>
      <c r="C647" s="376"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76" t="n"/>
      <c r="BL647" s="7" t="inlineStr">
        <is>
          <t>GTAM</t>
        </is>
      </c>
      <c r="BM647" s="251" t="inlineStr">
        <is>
          <t>ASUB</t>
        </is>
      </c>
      <c r="BN647" s="337" t="inlineStr">
        <is>
          <t>Tranque</t>
        </is>
      </c>
      <c r="BO647" s="251"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105" t="n"/>
      <c r="BW647" s="107" t="n">
        <v>1</v>
      </c>
      <c r="BX647" s="105"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24">
        <f>+COUNTA(BV647:CY647)</f>
        <v/>
      </c>
      <c r="DA647" s="251" t="n"/>
      <c r="DB647" s="251" t="n"/>
      <c r="DC647" s="251" t="n"/>
      <c r="DD647" s="251" t="n"/>
      <c r="DE647" s="251" t="n"/>
      <c r="DF647" s="251" t="n"/>
      <c r="DG647" s="251" t="n"/>
      <c r="DH647" s="251" t="n"/>
      <c r="DI647" s="251" t="n"/>
      <c r="DJ647" s="251" t="n"/>
      <c r="DK647" s="251" t="n"/>
      <c r="DL647" s="95" t="n"/>
      <c r="DM647" s="251" t="inlineStr">
        <is>
          <t>T</t>
        </is>
      </c>
      <c r="DN647" s="95" t="n">
        <v>1</v>
      </c>
      <c r="DO647" s="95" t="n">
        <v>7</v>
      </c>
    </row>
    <row r="648" ht="16.5" customHeight="1">
      <c r="A648" s="203" t="inlineStr">
        <is>
          <t>MTP-15</t>
        </is>
      </c>
      <c r="B648" s="305"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1" t="inlineStr">
        <is>
          <t>532MAMTP</t>
        </is>
      </c>
      <c r="BL648" s="7" t="inlineStr">
        <is>
          <t>GTAM</t>
        </is>
      </c>
      <c r="BM648" s="251" t="inlineStr">
        <is>
          <t>NF</t>
        </is>
      </c>
      <c r="BN648" s="337" t="inlineStr">
        <is>
          <t>Tranque</t>
        </is>
      </c>
      <c r="BO648" s="251"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42" t="n">
        <v>1</v>
      </c>
      <c r="CL648" s="105" t="n"/>
      <c r="CM648" s="105" t="n"/>
      <c r="CN648" s="105" t="n"/>
      <c r="CO648" s="105" t="n"/>
      <c r="CP648" s="105" t="n"/>
      <c r="CQ648" s="105" t="n"/>
      <c r="CR648" s="105" t="n"/>
      <c r="CS648" s="105" t="n"/>
      <c r="CT648" s="105" t="n"/>
      <c r="CU648" s="105" t="n"/>
      <c r="CV648" s="105" t="n"/>
      <c r="CW648" s="105" t="n"/>
      <c r="CX648" s="105" t="n"/>
      <c r="CY648" s="105" t="n"/>
      <c r="CZ648" s="124">
        <f>+COUNTA(BV648:CY648)</f>
        <v/>
      </c>
      <c r="DA648" s="251" t="n"/>
      <c r="DB648" s="251" t="n"/>
      <c r="DC648" s="251" t="n"/>
      <c r="DD648" s="251" t="n"/>
      <c r="DE648" s="251" t="n"/>
      <c r="DF648" s="251" t="n"/>
      <c r="DG648" s="251" t="n"/>
      <c r="DH648" s="251" t="n"/>
      <c r="DI648" s="251" t="n"/>
      <c r="DJ648" s="251" t="inlineStr">
        <is>
          <t>M</t>
        </is>
      </c>
      <c r="DK648" s="251" t="n">
        <v>15</v>
      </c>
      <c r="DL648" s="95" t="n">
        <v>21</v>
      </c>
      <c r="DM648" s="251" t="n"/>
      <c r="DN648" s="95" t="n"/>
      <c r="DO648" s="95" t="n"/>
    </row>
    <row r="649" ht="13" customHeight="1">
      <c r="A649" s="203" t="inlineStr">
        <is>
          <t>MTP-16</t>
        </is>
      </c>
      <c r="B649" s="305" t="inlineStr">
        <is>
          <t>MTP-16 TRANQUE</t>
        </is>
      </c>
      <c r="C649" s="251"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1" t="inlineStr">
        <is>
          <t>532MAMTP</t>
        </is>
      </c>
      <c r="BL649" s="7" t="inlineStr">
        <is>
          <t>GTAM</t>
        </is>
      </c>
      <c r="BM649" s="251" t="inlineStr">
        <is>
          <t>NF</t>
        </is>
      </c>
      <c r="BN649" s="337" t="inlineStr">
        <is>
          <t>Tranque</t>
        </is>
      </c>
      <c r="BO649" s="251" t="inlineStr">
        <is>
          <t>SI</t>
        </is>
      </c>
      <c r="BP649" s="106" t="inlineStr">
        <is>
          <t>MTP-16 TRANQUE/NF</t>
        </is>
      </c>
      <c r="BQ649" s="106">
        <f>VLOOKUP(BP649,[1]AGUA!$1:$1048576,2,FALSE)</f>
        <v/>
      </c>
      <c r="BR649" s="106">
        <f>VLOOKUP(BP649,[1]AGUA!$1:$1048576,6,FALSE)</f>
        <v/>
      </c>
      <c r="BS649" s="106">
        <f>VLOOKUP(BP649,[1]AGUA!$1:$1048576,7,FALSE)</f>
        <v/>
      </c>
      <c r="BT649" s="106" t="n"/>
      <c r="BU649" s="253" t="n"/>
      <c r="BV649" s="105" t="n"/>
      <c r="BW649" s="105" t="n"/>
      <c r="BX649" s="105" t="n"/>
      <c r="BY649" s="105" t="n"/>
      <c r="BZ649" s="105" t="n"/>
      <c r="CA649" s="105" t="n"/>
      <c r="CB649" s="105" t="n"/>
      <c r="CC649" s="105" t="n"/>
      <c r="CD649" s="105" t="n"/>
      <c r="CE649" s="105" t="n"/>
      <c r="CF649" s="105" t="n"/>
      <c r="CG649" s="105" t="n"/>
      <c r="CH649" s="105" t="n"/>
      <c r="CI649" s="105" t="n"/>
      <c r="CJ649" s="105" t="n"/>
      <c r="CK649" s="142" t="n">
        <v>1</v>
      </c>
      <c r="CL649" s="105" t="n"/>
      <c r="CM649" s="105" t="n"/>
      <c r="CN649" s="105" t="n"/>
      <c r="CO649" s="105" t="n"/>
      <c r="CP649" s="105" t="n"/>
      <c r="CQ649" s="105" t="n"/>
      <c r="CR649" s="105" t="n"/>
      <c r="CS649" s="105" t="n"/>
      <c r="CT649" s="105" t="n"/>
      <c r="CU649" s="105" t="n"/>
      <c r="CV649" s="105" t="n"/>
      <c r="CW649" s="105" t="n"/>
      <c r="CX649" s="105" t="n"/>
      <c r="CY649" s="105" t="n"/>
      <c r="CZ649" s="124">
        <f>+COUNTA(BV649:CY649)</f>
        <v/>
      </c>
      <c r="DA649" s="251" t="n"/>
      <c r="DB649" s="251" t="n"/>
      <c r="DC649" s="251" t="n"/>
      <c r="DD649" s="251" t="n"/>
      <c r="DE649" s="251" t="n"/>
      <c r="DF649" s="251" t="n"/>
      <c r="DG649" s="251" t="n"/>
      <c r="DH649" s="251" t="n"/>
      <c r="DI649" s="251" t="n"/>
      <c r="DJ649" s="251" t="inlineStr">
        <is>
          <t>M</t>
        </is>
      </c>
      <c r="DK649" s="251" t="n">
        <v>15</v>
      </c>
      <c r="DL649" s="95" t="n">
        <v>21</v>
      </c>
      <c r="DM649" s="251" t="n"/>
      <c r="DN649" s="95" t="n"/>
      <c r="DO649" s="95" t="n"/>
    </row>
    <row r="650" ht="13" customHeight="1">
      <c r="A650" s="203" t="inlineStr">
        <is>
          <t>MTP-16</t>
        </is>
      </c>
      <c r="B650" s="376" t="n"/>
      <c r="C650" s="376"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76" t="n"/>
      <c r="BL650" s="7" t="inlineStr">
        <is>
          <t>GTAM</t>
        </is>
      </c>
      <c r="BM650" s="168" t="inlineStr">
        <is>
          <t>ASUB</t>
        </is>
      </c>
      <c r="BN650" s="337" t="inlineStr">
        <is>
          <t>Tranque</t>
        </is>
      </c>
      <c r="BO650" s="251" t="inlineStr">
        <is>
          <t>SI</t>
        </is>
      </c>
      <c r="BP650" s="106" t="inlineStr">
        <is>
          <t>MTP-16 TRANQUE/ASUB</t>
        </is>
      </c>
      <c r="BQ650" s="106">
        <f>VLOOKUP(BP650,[1]AGUA!$1:$1048576,2,FALSE)</f>
        <v/>
      </c>
      <c r="BR650" s="106">
        <f>VLOOKUP(BP650,[1]AGUA!$1:$1048576,6,FALSE)</f>
        <v/>
      </c>
      <c r="BS650" s="106">
        <f>VLOOKUP(BP650,[1]AGUA!$1:$1048576,7,FALSE)</f>
        <v/>
      </c>
      <c r="BT650" s="106" t="n"/>
      <c r="BU650" s="377" t="n"/>
      <c r="BV650" s="105" t="n"/>
      <c r="BW650" s="105" t="n"/>
      <c r="BX650" s="105" t="n"/>
      <c r="BY650" s="105" t="n"/>
      <c r="BZ650" s="105" t="n"/>
      <c r="CA650" s="105" t="n"/>
      <c r="CB650" s="105" t="n"/>
      <c r="CC650" s="105" t="n"/>
      <c r="CD650" s="105" t="n"/>
      <c r="CE650" s="105" t="n"/>
      <c r="CF650" s="105" t="n"/>
      <c r="CG650" s="105" t="n"/>
      <c r="CH650" s="105" t="n"/>
      <c r="CI650" s="105" t="n"/>
      <c r="CJ650" s="105" t="n"/>
      <c r="CK650" s="107" t="n">
        <v>1</v>
      </c>
      <c r="CL650" s="105" t="n"/>
      <c r="CM650" s="105" t="n"/>
      <c r="CN650" s="105" t="n"/>
      <c r="CO650" s="105" t="n"/>
      <c r="CP650" s="105" t="n"/>
      <c r="CQ650" s="105" t="n"/>
      <c r="CR650" s="105" t="n"/>
      <c r="CS650" s="105" t="n"/>
      <c r="CT650" s="105" t="n"/>
      <c r="CU650" s="105" t="n"/>
      <c r="CV650" s="105" t="n"/>
      <c r="CW650" s="105" t="n"/>
      <c r="CX650" s="105" t="n"/>
      <c r="CY650" s="105" t="n"/>
      <c r="CZ650" s="124">
        <f>+COUNTA(BV650:CY650)</f>
        <v/>
      </c>
      <c r="DA650" s="251" t="n"/>
      <c r="DB650" s="251" t="n"/>
      <c r="DC650" s="251" t="n"/>
      <c r="DD650" s="251" t="n"/>
      <c r="DE650" s="251" t="n"/>
      <c r="DF650" s="251" t="n"/>
      <c r="DG650" s="251" t="n"/>
      <c r="DH650" s="251" t="n"/>
      <c r="DI650" s="251" t="n"/>
      <c r="DJ650" s="251" t="n"/>
      <c r="DK650" s="251" t="n"/>
      <c r="DL650" s="95" t="n"/>
      <c r="DM650" s="251" t="inlineStr">
        <is>
          <t>T</t>
        </is>
      </c>
      <c r="DN650" s="95" t="n">
        <v>15</v>
      </c>
      <c r="DO650" s="95" t="n">
        <v>21</v>
      </c>
    </row>
    <row r="651" ht="13" customFormat="1" customHeight="1" s="128">
      <c r="A651" s="203" t="inlineStr">
        <is>
          <t>MTP-17</t>
        </is>
      </c>
      <c r="B651" s="305" t="inlineStr">
        <is>
          <t>MTP-17 TRANQUE</t>
        </is>
      </c>
      <c r="C651" s="251" t="n"/>
      <c r="D651" s="129" t="inlineStr">
        <is>
          <t>SI</t>
        </is>
      </c>
      <c r="E651" s="129" t="inlineStr">
        <is>
          <t>SI</t>
        </is>
      </c>
      <c r="F651" s="111" t="inlineStr">
        <is>
          <t>NO</t>
        </is>
      </c>
      <c r="G651" s="129" t="inlineStr">
        <is>
          <t>NO</t>
        </is>
      </c>
      <c r="H651" s="129" t="n"/>
      <c r="I651" s="129" t="n"/>
      <c r="J651" s="129" t="inlineStr">
        <is>
          <t>Construido</t>
        </is>
      </c>
      <c r="K651" s="129" t="inlineStr">
        <is>
          <t>-</t>
        </is>
      </c>
      <c r="L651" s="129" t="inlineStr">
        <is>
          <t>Agua Subterránea</t>
        </is>
      </c>
      <c r="M651" s="129" t="inlineStr">
        <is>
          <t>Cordillera</t>
        </is>
      </c>
      <c r="N651" s="129" t="inlineStr">
        <is>
          <t>Pozo</t>
        </is>
      </c>
      <c r="O651" s="129"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1" t="inlineStr">
        <is>
          <t>184WW017</t>
        </is>
      </c>
      <c r="BL651" s="7" t="inlineStr">
        <is>
          <t>GTAM/GGAYC</t>
        </is>
      </c>
      <c r="BM651" s="251" t="inlineStr">
        <is>
          <t>NF</t>
        </is>
      </c>
      <c r="BN651" s="337" t="inlineStr">
        <is>
          <t>Tranque</t>
        </is>
      </c>
      <c r="BO651" s="251" t="inlineStr">
        <is>
          <t>SI</t>
        </is>
      </c>
      <c r="BP651" s="106" t="inlineStr">
        <is>
          <t>MTP-17/NF</t>
        </is>
      </c>
      <c r="BQ651" s="106">
        <f>VLOOKUP(BP651,[1]AGUA!$1:$1048576,2,FALSE)</f>
        <v/>
      </c>
      <c r="BR651" s="106">
        <f>VLOOKUP(BP651,[1]AGUA!$1:$1048576,6,FALSE)</f>
        <v/>
      </c>
      <c r="BS651" s="106">
        <f>VLOOKUP(BP651,[1]AGUA!$1:$1048576,7,FALSE)</f>
        <v/>
      </c>
      <c r="BT651" s="106" t="n"/>
      <c r="BU651" s="184" t="inlineStr">
        <is>
          <t>FLUJOMETRO trimestral + nivel mensual apartir de abril</t>
        </is>
      </c>
      <c r="BV651" s="105" t="n"/>
      <c r="BW651" s="142" t="n">
        <v>1</v>
      </c>
      <c r="BX651" s="105" t="n"/>
      <c r="BY651" s="105"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24">
        <f>+COUNTA(BV651:CY651)</f>
        <v/>
      </c>
      <c r="DA651" s="251" t="n"/>
      <c r="DB651" s="251" t="n"/>
      <c r="DC651" s="251" t="n"/>
      <c r="DD651" s="251" t="n"/>
      <c r="DE651" s="251" t="n"/>
      <c r="DF651" s="251" t="n"/>
      <c r="DG651" s="251" t="n"/>
      <c r="DH651" s="251" t="n"/>
      <c r="DI651" s="251" t="n"/>
      <c r="DJ651" s="251" t="inlineStr">
        <is>
          <t>M</t>
        </is>
      </c>
      <c r="DK651" s="251" t="n">
        <v>1</v>
      </c>
      <c r="DL651" s="95" t="n">
        <v>7</v>
      </c>
      <c r="DM651" s="251" t="n"/>
      <c r="DN651" s="95" t="n"/>
      <c r="DO651" s="95" t="n"/>
    </row>
    <row r="652" ht="13" customFormat="1" customHeight="1" s="128">
      <c r="A652" s="203" t="inlineStr">
        <is>
          <t>MTP-17</t>
        </is>
      </c>
      <c r="B652" s="376" t="n"/>
      <c r="C652" s="376" t="n"/>
      <c r="D652" s="129" t="n"/>
      <c r="E652" s="129" t="n"/>
      <c r="F652" s="111" t="n"/>
      <c r="G652" s="129" t="n"/>
      <c r="H652" s="129" t="n"/>
      <c r="I652" s="129" t="n"/>
      <c r="J652" s="129" t="n"/>
      <c r="K652" s="129" t="n"/>
      <c r="L652" s="129" t="n"/>
      <c r="M652" s="129" t="n"/>
      <c r="N652" s="129" t="n"/>
      <c r="O652" s="129"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76" t="n"/>
      <c r="BL652" s="7" t="inlineStr">
        <is>
          <t>GTAM</t>
        </is>
      </c>
      <c r="BM652" s="251" t="inlineStr">
        <is>
          <t>ASUB</t>
        </is>
      </c>
      <c r="BN652" s="337" t="inlineStr">
        <is>
          <t>Tranque</t>
        </is>
      </c>
      <c r="BO652" s="251"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5" t="n"/>
      <c r="BW652" s="107" t="n">
        <v>1</v>
      </c>
      <c r="BX652" s="105"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24">
        <f>+COUNTA(BV652:CY652)</f>
        <v/>
      </c>
      <c r="DA652" s="251" t="n"/>
      <c r="DB652" s="251" t="n"/>
      <c r="DC652" s="251" t="n"/>
      <c r="DD652" s="251" t="n"/>
      <c r="DE652" s="251" t="n"/>
      <c r="DF652" s="251" t="n"/>
      <c r="DG652" s="251" t="n"/>
      <c r="DH652" s="251" t="n"/>
      <c r="DI652" s="251" t="n"/>
      <c r="DJ652" s="251" t="n"/>
      <c r="DK652" s="251" t="n"/>
      <c r="DL652" s="95" t="n"/>
      <c r="DM652" s="251" t="inlineStr">
        <is>
          <t>T-A</t>
        </is>
      </c>
      <c r="DN652" s="95" t="n">
        <v>1</v>
      </c>
      <c r="DO652" s="95" t="n">
        <v>7</v>
      </c>
    </row>
    <row r="653" ht="13" customHeight="1">
      <c r="A653" s="203" t="inlineStr">
        <is>
          <t>MTP-20</t>
        </is>
      </c>
      <c r="B653" s="305"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2" t="inlineStr">
        <is>
          <t>532MAMTP</t>
        </is>
      </c>
      <c r="BL653" s="61" t="inlineStr">
        <is>
          <t>GMAP-SIGA</t>
        </is>
      </c>
      <c r="BM653" s="251" t="inlineStr">
        <is>
          <t>NF</t>
        </is>
      </c>
      <c r="BN653" s="337" t="inlineStr">
        <is>
          <t>Tranque</t>
        </is>
      </c>
      <c r="BO653" s="251"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42" t="n">
        <v>1</v>
      </c>
      <c r="CL653" s="105" t="n"/>
      <c r="CM653" s="105" t="n"/>
      <c r="CN653" s="105" t="n"/>
      <c r="CO653" s="105" t="n"/>
      <c r="CP653" s="105" t="n"/>
      <c r="CQ653" s="105" t="n"/>
      <c r="CR653" s="105" t="n"/>
      <c r="CS653" s="105" t="n"/>
      <c r="CT653" s="105" t="n"/>
      <c r="CU653" s="105" t="n"/>
      <c r="CV653" s="105" t="n"/>
      <c r="CW653" s="105" t="n"/>
      <c r="CX653" s="105" t="n"/>
      <c r="CY653" s="105" t="n"/>
      <c r="CZ653" s="124">
        <f>+COUNTA(BV653:CY653)</f>
        <v/>
      </c>
      <c r="DA653" s="251" t="n"/>
      <c r="DB653" s="251" t="n"/>
      <c r="DC653" s="251" t="n"/>
      <c r="DD653" s="251" t="n"/>
      <c r="DE653" s="251" t="n"/>
      <c r="DF653" s="251" t="n"/>
      <c r="DG653" s="251" t="n"/>
      <c r="DH653" s="251" t="n"/>
      <c r="DI653" s="251" t="n"/>
      <c r="DJ653" s="251" t="inlineStr">
        <is>
          <t>M</t>
        </is>
      </c>
      <c r="DK653" s="251" t="n">
        <v>15</v>
      </c>
      <c r="DL653" s="95" t="n">
        <v>21</v>
      </c>
      <c r="DM653" s="251" t="n"/>
      <c r="DN653" s="95" t="n"/>
      <c r="DO653" s="95" t="n"/>
    </row>
    <row r="654" ht="13" customHeight="1">
      <c r="A654" s="203" t="inlineStr">
        <is>
          <t>NS</t>
        </is>
      </c>
      <c r="B654" s="305"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1" t="n"/>
      <c r="BL654" s="61" t="inlineStr">
        <is>
          <t>GMAP-SIGA</t>
        </is>
      </c>
      <c r="BM654" s="251" t="inlineStr">
        <is>
          <t>NF</t>
        </is>
      </c>
      <c r="BN654" s="337" t="inlineStr">
        <is>
          <t>Michincha (camino internacional)</t>
        </is>
      </c>
      <c r="BO654" s="251" t="inlineStr">
        <is>
          <t>SI PAT TRANQUE</t>
        </is>
      </c>
      <c r="BP654" s="251"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F654" s="105" t="n"/>
      <c r="CG654" s="105" t="n"/>
      <c r="CH654" s="105" t="n"/>
      <c r="CI654" s="142" t="n">
        <v>1</v>
      </c>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24">
        <f>+COUNTA(BV654:CY654)</f>
        <v/>
      </c>
      <c r="DA654" s="251" t="n"/>
      <c r="DB654" s="251" t="n"/>
      <c r="DC654" s="251" t="n"/>
      <c r="DD654" s="251" t="n"/>
      <c r="DE654" s="251" t="n"/>
      <c r="DF654" s="251" t="n"/>
      <c r="DG654" s="251" t="n"/>
      <c r="DH654" s="251" t="n"/>
      <c r="DI654" s="251" t="n"/>
      <c r="DJ654" s="251" t="inlineStr">
        <is>
          <t>M</t>
        </is>
      </c>
      <c r="DK654" s="251" t="n">
        <v>1</v>
      </c>
      <c r="DL654" s="95" t="n">
        <v>14</v>
      </c>
      <c r="DM654" s="251" t="n"/>
      <c r="DN654" s="95" t="n"/>
      <c r="DO654" s="95" t="n"/>
    </row>
    <row r="655" ht="13" customHeight="1">
      <c r="A655" s="203" t="inlineStr">
        <is>
          <t>NS</t>
        </is>
      </c>
      <c r="B655" s="305"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1" t="n"/>
      <c r="BL655" s="61" t="inlineStr">
        <is>
          <t>GMAP-SIGA</t>
        </is>
      </c>
      <c r="BM655" s="251" t="inlineStr">
        <is>
          <t>ASUB</t>
        </is>
      </c>
      <c r="BN655" s="337" t="inlineStr">
        <is>
          <t>Michincha (camino internacional)</t>
        </is>
      </c>
      <c r="BO655" s="251" t="inlineStr">
        <is>
          <t>SI PAT TRANQUE</t>
        </is>
      </c>
      <c r="BP655" s="251" t="inlineStr">
        <is>
          <t>POZO NS/ASUB</t>
        </is>
      </c>
      <c r="BQ655" s="106">
        <f>VLOOKUP(BP655,[1]AGUA!$1:$1048576,2,FALSE)</f>
        <v/>
      </c>
      <c r="BR655" s="106">
        <f>VLOOKUP(BP655,[1]AGUA!$1:$1048576,6,FALSE)</f>
        <v/>
      </c>
      <c r="BS655" s="106">
        <f>VLOOKUP(BP655,[1]AGUA!$1:$1048576,7,FALSE)</f>
        <v/>
      </c>
      <c r="BT655" s="106" t="n"/>
      <c r="BU655" s="101" t="n"/>
      <c r="BV655" s="105" t="n"/>
      <c r="BW655" s="105" t="n"/>
      <c r="BX655" s="105" t="n"/>
      <c r="BY655" s="105" t="n"/>
      <c r="BZ655" s="105" t="n"/>
      <c r="CA655" s="105" t="n"/>
      <c r="CB655" s="105" t="n"/>
      <c r="CC655" s="105" t="n"/>
      <c r="CD655" s="105" t="n"/>
      <c r="CF655" s="105" t="n"/>
      <c r="CG655" s="105" t="n"/>
      <c r="CH655" s="105" t="n"/>
      <c r="CI655" s="107" t="n">
        <v>1</v>
      </c>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24">
        <f>+COUNTA(BV655:CY655)</f>
        <v/>
      </c>
      <c r="DA655" s="251" t="n"/>
      <c r="DB655" s="251" t="n"/>
      <c r="DC655" s="251" t="n"/>
      <c r="DD655" s="251" t="n"/>
      <c r="DE655" s="251" t="n"/>
      <c r="DF655" s="251" t="n"/>
      <c r="DG655" s="251" t="n"/>
      <c r="DH655" s="251" t="n"/>
      <c r="DI655" s="251" t="n"/>
      <c r="DJ655" s="251" t="n"/>
      <c r="DK655" s="251" t="n"/>
      <c r="DL655" s="95" t="n"/>
      <c r="DM655" s="251" t="inlineStr">
        <is>
          <t>M</t>
        </is>
      </c>
      <c r="DN655" s="95" t="n">
        <v>1</v>
      </c>
      <c r="DO655" s="95" t="n">
        <v>14</v>
      </c>
    </row>
    <row r="656" ht="13" customHeight="1">
      <c r="A656" s="203" t="inlineStr">
        <is>
          <t>P-4B</t>
        </is>
      </c>
      <c r="B656" s="305" t="inlineStr">
        <is>
          <t>P-4B MICHINCHA</t>
        </is>
      </c>
      <c r="C656" s="251"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2" t="inlineStr">
        <is>
          <t>531WW001</t>
        </is>
      </c>
      <c r="BL656" s="7" t="inlineStr">
        <is>
          <t>GTAM/GGAYC</t>
        </is>
      </c>
      <c r="BM656" s="251" t="inlineStr">
        <is>
          <t>NF</t>
        </is>
      </c>
      <c r="BN656" s="337" t="inlineStr">
        <is>
          <t>Michincha</t>
        </is>
      </c>
      <c r="BO656" s="251"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V656" s="105" t="n"/>
      <c r="BW656" s="105" t="n"/>
      <c r="BX656" s="142" t="n">
        <v>1</v>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24">
        <f>+COUNTA(BW656:CY657)</f>
        <v/>
      </c>
      <c r="DA656" s="251" t="n"/>
      <c r="DB656" s="251" t="n"/>
      <c r="DC656" s="251" t="n"/>
      <c r="DD656" s="251" t="n"/>
      <c r="DE656" s="251" t="n"/>
      <c r="DF656" s="251" t="n"/>
      <c r="DG656" s="251" t="n"/>
      <c r="DH656" s="251" t="n"/>
      <c r="DI656" s="251" t="n"/>
      <c r="DJ656" s="251" t="inlineStr">
        <is>
          <t>M</t>
        </is>
      </c>
      <c r="DK656" s="251" t="n">
        <v>1</v>
      </c>
      <c r="DL656" s="95" t="n">
        <v>7</v>
      </c>
      <c r="DM656" s="251" t="n"/>
      <c r="DN656" s="95" t="n"/>
      <c r="DO656" s="95" t="n"/>
    </row>
    <row r="657" ht="13" customHeight="1">
      <c r="A657" s="203" t="inlineStr">
        <is>
          <t>P-4B</t>
        </is>
      </c>
      <c r="B657" s="376" t="n"/>
      <c r="C657" s="376"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76" t="n"/>
      <c r="BL657" s="7" t="inlineStr">
        <is>
          <t>GTAM</t>
        </is>
      </c>
      <c r="BM657" s="251" t="inlineStr">
        <is>
          <t>ASUB</t>
        </is>
      </c>
      <c r="BN657" s="337" t="inlineStr">
        <is>
          <t>Michincha</t>
        </is>
      </c>
      <c r="BO657" s="251"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V657" s="105" t="n"/>
      <c r="BW657" s="105" t="n"/>
      <c r="BX657" s="107" t="n">
        <v>1</v>
      </c>
      <c r="BY657" s="105" t="n"/>
      <c r="BZ657" s="105" t="n"/>
      <c r="CA657" s="105" t="n"/>
      <c r="CB657" s="105" t="n"/>
      <c r="CC657" s="105" t="n"/>
      <c r="CD657" s="105" t="n"/>
      <c r="CE657" s="105" t="n"/>
      <c r="CF657" s="10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24">
        <f>+COUNTA(BW657:CY657)</f>
        <v/>
      </c>
      <c r="DA657" s="251" t="n"/>
      <c r="DB657" s="251" t="n"/>
      <c r="DC657" s="251" t="n"/>
      <c r="DD657" s="251" t="n"/>
      <c r="DE657" s="251" t="n"/>
      <c r="DF657" s="251" t="n"/>
      <c r="DG657" s="251" t="n"/>
      <c r="DH657" s="251" t="n"/>
      <c r="DI657" s="251" t="n"/>
      <c r="DJ657" s="251" t="n"/>
      <c r="DK657" s="251" t="n"/>
      <c r="DL657" s="95" t="n"/>
      <c r="DM657" s="251" t="inlineStr">
        <is>
          <t>T</t>
        </is>
      </c>
      <c r="DN657" s="95" t="n">
        <v>1</v>
      </c>
      <c r="DO657" s="95" t="n">
        <v>7</v>
      </c>
    </row>
    <row r="658" ht="13" customHeight="1">
      <c r="A658" s="203" t="inlineStr">
        <is>
          <t>P-6</t>
        </is>
      </c>
      <c r="B658" s="305" t="inlineStr">
        <is>
          <t>P-6 MICHINCHA</t>
        </is>
      </c>
      <c r="C658" s="251"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2" t="inlineStr">
        <is>
          <t>531WW006</t>
        </is>
      </c>
      <c r="BL658" s="7" t="inlineStr">
        <is>
          <t>GTAM/GGAYC</t>
        </is>
      </c>
      <c r="BM658" s="251" t="inlineStr">
        <is>
          <t>NF</t>
        </is>
      </c>
      <c r="BN658" s="337" t="inlineStr">
        <is>
          <t>Michincha</t>
        </is>
      </c>
      <c r="BO658" s="251"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V658" s="105" t="n"/>
      <c r="BW658" s="105" t="n"/>
      <c r="BX658" s="142" t="n">
        <v>1</v>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24">
        <f>+COUNTA(BW658:CY658)</f>
        <v/>
      </c>
      <c r="DA658" s="251" t="n"/>
      <c r="DB658" s="251" t="n"/>
      <c r="DC658" s="251" t="n"/>
      <c r="DD658" s="251" t="n"/>
      <c r="DE658" s="251" t="n"/>
      <c r="DF658" s="251" t="n"/>
      <c r="DG658" s="251" t="n"/>
      <c r="DH658" s="251" t="n"/>
      <c r="DI658" s="251" t="n"/>
      <c r="DJ658" s="251" t="inlineStr">
        <is>
          <t>M</t>
        </is>
      </c>
      <c r="DK658" s="251" t="n">
        <v>1</v>
      </c>
      <c r="DL658" s="95" t="n">
        <v>7</v>
      </c>
      <c r="DM658" s="251" t="n"/>
      <c r="DN658" s="95" t="n"/>
      <c r="DO658" s="95" t="n"/>
    </row>
    <row r="659" ht="13" customHeight="1">
      <c r="A659" s="203" t="inlineStr">
        <is>
          <t>P-6</t>
        </is>
      </c>
      <c r="B659" s="376" t="n"/>
      <c r="C659" s="376"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76" t="n"/>
      <c r="BL659" s="7" t="inlineStr">
        <is>
          <t>GTAM</t>
        </is>
      </c>
      <c r="BM659" s="251" t="inlineStr">
        <is>
          <t>ASUB</t>
        </is>
      </c>
      <c r="BN659" s="337" t="inlineStr">
        <is>
          <t>Michincha</t>
        </is>
      </c>
      <c r="BO659" s="251"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5" t="n"/>
      <c r="BX659" s="107" t="n">
        <v>1</v>
      </c>
      <c r="BY659" s="105"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24">
        <f>+COUNTA(BV659:CY659)</f>
        <v/>
      </c>
      <c r="DA659" s="251" t="n"/>
      <c r="DB659" s="251" t="n"/>
      <c r="DC659" s="251" t="n"/>
      <c r="DD659" s="251" t="n"/>
      <c r="DE659" s="251" t="n"/>
      <c r="DF659" s="251" t="n"/>
      <c r="DG659" s="251" t="n"/>
      <c r="DH659" s="251" t="n"/>
      <c r="DI659" s="251" t="n"/>
      <c r="DJ659" s="251" t="n"/>
      <c r="DK659" s="251" t="n"/>
      <c r="DL659" s="95" t="n"/>
      <c r="DM659" s="251" t="inlineStr">
        <is>
          <t>T</t>
        </is>
      </c>
      <c r="DN659" s="95" t="n">
        <v>1</v>
      </c>
      <c r="DO659" s="95" t="n">
        <v>7</v>
      </c>
    </row>
    <row r="660" ht="13.5" customHeight="1">
      <c r="A660" s="203" t="inlineStr">
        <is>
          <t>PC-01</t>
        </is>
      </c>
      <c r="B660" s="305"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1" t="inlineStr">
        <is>
          <t>532MAPC</t>
        </is>
      </c>
      <c r="BL660" s="61" t="inlineStr">
        <is>
          <t>GMAP-SIGA</t>
        </is>
      </c>
      <c r="BM660" s="251" t="inlineStr">
        <is>
          <t>NF</t>
        </is>
      </c>
      <c r="BN660" s="337" t="inlineStr">
        <is>
          <t>Coposa Centro</t>
        </is>
      </c>
      <c r="BO660" s="251"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42" t="n">
        <v>1</v>
      </c>
      <c r="CU660" s="105" t="n"/>
      <c r="CV660" s="105" t="n"/>
      <c r="CW660" s="105" t="n"/>
      <c r="CX660" s="105" t="n"/>
      <c r="CY660" s="105" t="n"/>
      <c r="CZ660" s="124">
        <f>+COUNTA(BV660:CY660)</f>
        <v/>
      </c>
      <c r="DA660" s="251" t="n"/>
      <c r="DB660" s="251" t="n"/>
      <c r="DC660" s="251" t="n"/>
      <c r="DD660" s="251" t="n"/>
      <c r="DE660" s="251" t="n"/>
      <c r="DF660" s="251" t="n"/>
      <c r="DG660" s="251" t="n"/>
      <c r="DH660" s="251" t="n"/>
      <c r="DI660" s="251" t="n"/>
      <c r="DJ660" s="251" t="inlineStr">
        <is>
          <t>M</t>
        </is>
      </c>
      <c r="DK660" s="251" t="n">
        <v>22</v>
      </c>
      <c r="DL660" s="95" t="n">
        <v>28</v>
      </c>
      <c r="DM660" s="251" t="n"/>
      <c r="DN660" s="95" t="n"/>
      <c r="DO660" s="95" t="n"/>
    </row>
    <row r="661" ht="13.5" customHeight="1">
      <c r="A661" s="205" t="inlineStr">
        <is>
          <t>PC-04</t>
        </is>
      </c>
      <c r="B661" s="305"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2" t="inlineStr">
        <is>
          <t>532MAPC</t>
        </is>
      </c>
      <c r="BL661" s="61" t="inlineStr">
        <is>
          <t>GMAP-SIGA</t>
        </is>
      </c>
      <c r="BM661" s="251" t="inlineStr">
        <is>
          <t>NF</t>
        </is>
      </c>
      <c r="BN661" s="337" t="inlineStr">
        <is>
          <t>Coposa Centro</t>
        </is>
      </c>
      <c r="BO661" s="251" t="inlineStr">
        <is>
          <t>SI / PMAP</t>
        </is>
      </c>
      <c r="BP661" s="106" t="inlineStr">
        <is>
          <t>PC-04 COPOSA CENTRO/NF</t>
        </is>
      </c>
      <c r="BQ661" s="106">
        <f>VLOOKUP(BP661,[1]AGUA!$1:$1048576,2,FALSE)</f>
        <v/>
      </c>
      <c r="BR661" s="106">
        <f>VLOOKUP(BP661,[1]AGUA!$1:$1048576,6,FALSE)</f>
        <v/>
      </c>
      <c r="BS661" s="106">
        <f>VLOOKUP(BP661,[1]AGUA!$1:$1048576,7,FALSE)</f>
        <v/>
      </c>
      <c r="BT661" s="106" t="n"/>
      <c r="BU661" s="185" t="n"/>
      <c r="BV661" s="105" t="n"/>
      <c r="BW661" s="105" t="n"/>
      <c r="BX661" s="105" t="n"/>
      <c r="BY661" s="105" t="n"/>
      <c r="BZ661" s="105" t="n"/>
      <c r="CA661" s="105" t="n"/>
      <c r="CB661" s="105" t="n"/>
      <c r="CC661" s="105" t="n"/>
      <c r="CD661" s="105" t="n"/>
      <c r="CE661" s="105" t="n"/>
      <c r="CF661" s="105" t="n"/>
      <c r="CG661" s="105" t="n"/>
      <c r="CH661" s="105" t="n"/>
      <c r="CI661" s="105" t="n"/>
      <c r="CJ661" s="105" t="n"/>
      <c r="CK661" s="105" t="n"/>
      <c r="CL661" s="105" t="n"/>
      <c r="CM661" s="105" t="n"/>
      <c r="CN661" s="105" t="n"/>
      <c r="CO661" s="105" t="n"/>
      <c r="CP661" s="105" t="n"/>
      <c r="CQ661" s="105" t="n"/>
      <c r="CR661" s="105" t="n"/>
      <c r="CS661" s="242" t="n">
        <v>1</v>
      </c>
      <c r="CT661" s="105" t="n"/>
      <c r="CU661" s="105" t="n"/>
      <c r="CV661" s="105" t="n"/>
      <c r="CW661" s="105" t="n"/>
      <c r="CX661" s="105" t="n"/>
      <c r="CY661" s="105" t="n"/>
      <c r="CZ661" s="124">
        <f>+COUNTA(BV661:CY661)</f>
        <v/>
      </c>
      <c r="DA661" s="206" t="n"/>
      <c r="DB661" s="251" t="n"/>
      <c r="DC661" s="251" t="n"/>
      <c r="DD661" s="251" t="n"/>
      <c r="DE661" s="251" t="n"/>
      <c r="DF661" s="251" t="n"/>
      <c r="DG661" s="251" t="n"/>
      <c r="DH661" s="251" t="n"/>
      <c r="DI661" s="251" t="n"/>
      <c r="DJ661" s="251" t="inlineStr">
        <is>
          <t>M</t>
        </is>
      </c>
      <c r="DK661" s="251" t="n">
        <v>15</v>
      </c>
      <c r="DL661" s="95" t="n">
        <v>28</v>
      </c>
      <c r="DM661" s="251" t="n"/>
      <c r="DN661" s="95" t="n"/>
      <c r="DO661" s="95" t="n"/>
    </row>
    <row r="662" ht="13" customHeight="1">
      <c r="A662" s="205" t="inlineStr">
        <is>
          <t>PC-05</t>
        </is>
      </c>
      <c r="B662" s="305"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2" t="inlineStr">
        <is>
          <t>532MAPC</t>
        </is>
      </c>
      <c r="BL662" s="61" t="inlineStr">
        <is>
          <t>GMAP-SIGA</t>
        </is>
      </c>
      <c r="BM662" s="251" t="inlineStr">
        <is>
          <t>NF</t>
        </is>
      </c>
      <c r="BN662" s="337" t="inlineStr">
        <is>
          <t>Jachucoposa</t>
        </is>
      </c>
      <c r="BO662" s="251" t="inlineStr">
        <is>
          <t>SI / PMAP</t>
        </is>
      </c>
      <c r="BP662" s="106" t="inlineStr">
        <is>
          <t>PC-05 JACHUCOPOSA/NF</t>
        </is>
      </c>
      <c r="BQ662" s="106">
        <f>VLOOKUP(BP662,[1]AGUA!$1:$1048576,2,FALSE)</f>
        <v/>
      </c>
      <c r="BR662" s="106">
        <f>VLOOKUP(BP662,[1]AGUA!$1:$1048576,6,FALSE)</f>
        <v/>
      </c>
      <c r="BS662" s="106">
        <f>VLOOKUP(BP662,[1]AGUA!$1:$1048576,7,FALSE)</f>
        <v/>
      </c>
      <c r="BT662" s="106" t="n"/>
      <c r="BU662" s="185"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105" t="n"/>
      <c r="CN662" s="105" t="n"/>
      <c r="CO662" s="105" t="n"/>
      <c r="CP662" s="105" t="n"/>
      <c r="CQ662" s="105" t="n"/>
      <c r="CR662" s="105" t="n"/>
      <c r="CS662" s="242" t="n">
        <v>1</v>
      </c>
      <c r="CT662" s="105" t="n"/>
      <c r="CU662" s="105" t="n"/>
      <c r="CV662" s="105" t="n"/>
      <c r="CW662" s="105" t="n"/>
      <c r="CX662" s="105" t="n"/>
      <c r="CY662" s="105" t="n"/>
      <c r="CZ662" s="124">
        <f>+COUNTA(BV662:CY662)</f>
        <v/>
      </c>
      <c r="DA662" s="206" t="n"/>
      <c r="DB662" s="251" t="n"/>
      <c r="DC662" s="251" t="n"/>
      <c r="DD662" s="251" t="n"/>
      <c r="DE662" s="251" t="n"/>
      <c r="DF662" s="251" t="n"/>
      <c r="DG662" s="251" t="n"/>
      <c r="DH662" s="251" t="n"/>
      <c r="DI662" s="251" t="n"/>
      <c r="DJ662" s="251" t="inlineStr">
        <is>
          <t>M</t>
        </is>
      </c>
      <c r="DK662" s="251" t="n">
        <v>15</v>
      </c>
      <c r="DL662" s="95" t="n">
        <v>28</v>
      </c>
      <c r="DM662" s="251" t="n"/>
      <c r="DN662" s="95" t="n"/>
      <c r="DO662" s="95" t="n"/>
    </row>
    <row r="663" ht="13" customHeight="1">
      <c r="A663" s="203" t="inlineStr">
        <is>
          <t>PC-06</t>
        </is>
      </c>
      <c r="B663" s="305"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2" t="inlineStr">
        <is>
          <t>532MAPC</t>
        </is>
      </c>
      <c r="BL663" s="61" t="inlineStr">
        <is>
          <t>GMAP-SIGA</t>
        </is>
      </c>
      <c r="BM663" s="251" t="inlineStr">
        <is>
          <t>NF</t>
        </is>
      </c>
      <c r="BN663" s="337" t="inlineStr">
        <is>
          <t>Jachucoposa</t>
        </is>
      </c>
      <c r="BO663" s="251"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B663" s="105" t="n"/>
      <c r="CC663" s="105" t="n"/>
      <c r="CD663" s="105" t="n"/>
      <c r="CE663" s="105" t="n"/>
      <c r="CF663" s="142" t="n">
        <v>1</v>
      </c>
      <c r="CG663" s="105" t="n"/>
      <c r="CH663" s="105" t="n"/>
      <c r="CI663" s="105" t="n"/>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24">
        <f>+COUNTA(BV663:CY663)</f>
        <v/>
      </c>
      <c r="DA663" s="251" t="n"/>
      <c r="DB663" s="251" t="n"/>
      <c r="DC663" s="251" t="n"/>
      <c r="DD663" s="251" t="n"/>
      <c r="DE663" s="251" t="n"/>
      <c r="DF663" s="251" t="n"/>
      <c r="DG663" s="251" t="n"/>
      <c r="DH663" s="251" t="n"/>
      <c r="DI663" s="251" t="n"/>
      <c r="DJ663" s="251" t="inlineStr">
        <is>
          <t>M</t>
        </is>
      </c>
      <c r="DK663" s="251" t="n">
        <v>8</v>
      </c>
      <c r="DL663" s="95" t="n">
        <v>14</v>
      </c>
      <c r="DM663" s="251" t="n"/>
      <c r="DN663" s="95" t="n"/>
      <c r="DO663" s="95" t="n"/>
    </row>
    <row r="664" ht="13" customHeight="1">
      <c r="A664" s="203" t="inlineStr">
        <is>
          <t>PC-2</t>
        </is>
      </c>
      <c r="B664" s="305"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2" t="inlineStr">
        <is>
          <t>532MAQCY</t>
        </is>
      </c>
      <c r="BL664" s="61" t="inlineStr">
        <is>
          <t>GMAP-SIGA</t>
        </is>
      </c>
      <c r="BM664" s="251" t="inlineStr">
        <is>
          <t>NF</t>
        </is>
      </c>
      <c r="BN664" s="337" t="inlineStr">
        <is>
          <t>Quebrada Caya</t>
        </is>
      </c>
      <c r="BO664" s="251"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24">
        <f>+COUNTA(BV664:CY664)</f>
        <v/>
      </c>
      <c r="DA664" s="251" t="n"/>
      <c r="DB664" s="251" t="n"/>
      <c r="DC664" s="251" t="n"/>
      <c r="DD664" s="251" t="n"/>
      <c r="DE664" s="251" t="n"/>
      <c r="DF664" s="251" t="n"/>
      <c r="DG664" s="251" t="n"/>
      <c r="DH664" s="251" t="n"/>
      <c r="DI664" s="251" t="n"/>
      <c r="DJ664" s="251" t="inlineStr">
        <is>
          <t>STRAL</t>
        </is>
      </c>
      <c r="DK664" s="251" t="n">
        <v>15</v>
      </c>
      <c r="DL664" s="95" t="n">
        <v>28</v>
      </c>
      <c r="DM664" s="251" t="n"/>
      <c r="DN664" s="95" t="n"/>
      <c r="DO664" s="95" t="n"/>
    </row>
    <row r="665" ht="13" customHeight="1">
      <c r="A665" s="203" t="inlineStr">
        <is>
          <t>PC-3</t>
        </is>
      </c>
      <c r="B665" s="305"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2" t="inlineStr">
        <is>
          <t>532MAQCY</t>
        </is>
      </c>
      <c r="BL665" s="61" t="inlineStr">
        <is>
          <t>GMAP-SIGA</t>
        </is>
      </c>
      <c r="BM665" s="251" t="inlineStr">
        <is>
          <t>NF</t>
        </is>
      </c>
      <c r="BN665" s="337" t="inlineStr">
        <is>
          <t>Quebrada Caya</t>
        </is>
      </c>
      <c r="BO665" s="251"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24">
        <f>+COUNTA(BV665:CY665)</f>
        <v/>
      </c>
      <c r="DA665" s="251" t="n"/>
      <c r="DB665" s="251" t="n"/>
      <c r="DC665" s="251" t="n"/>
      <c r="DD665" s="251" t="n"/>
      <c r="DE665" s="251" t="n"/>
      <c r="DF665" s="251" t="n"/>
      <c r="DG665" s="251" t="n"/>
      <c r="DH665" s="251" t="n"/>
      <c r="DI665" s="251" t="n"/>
      <c r="DJ665" s="251" t="inlineStr">
        <is>
          <t>STRAL</t>
        </is>
      </c>
      <c r="DK665" s="251" t="n">
        <v>15</v>
      </c>
      <c r="DL665" s="95" t="n">
        <v>28</v>
      </c>
      <c r="DM665" s="251" t="n"/>
      <c r="DN665" s="95" t="n"/>
      <c r="DO665" s="95" t="n"/>
    </row>
    <row r="666" ht="13" customHeight="1">
      <c r="A666" s="203" t="inlineStr">
        <is>
          <t>PCA-01</t>
        </is>
      </c>
      <c r="B666" s="305"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2" t="inlineStr">
        <is>
          <t>532MAPCA01</t>
        </is>
      </c>
      <c r="BL666" s="61" t="inlineStr">
        <is>
          <t>GMAP-SIGA</t>
        </is>
      </c>
      <c r="BM666" s="251" t="inlineStr">
        <is>
          <t>NF</t>
        </is>
      </c>
      <c r="BN666" s="337" t="inlineStr">
        <is>
          <t>Huinquintipa</t>
        </is>
      </c>
      <c r="BO666" s="251"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42" t="n">
        <v>1</v>
      </c>
      <c r="CT666" s="105" t="n"/>
      <c r="CU666" s="105" t="n"/>
      <c r="CV666" s="105" t="n"/>
      <c r="CW666" s="105" t="n"/>
      <c r="CX666" s="105" t="n"/>
      <c r="CY666" s="105" t="n"/>
      <c r="CZ666" s="124">
        <f>+COUNTA(BV666:CY666)</f>
        <v/>
      </c>
      <c r="DA666" s="251" t="n"/>
      <c r="DB666" s="251" t="n"/>
      <c r="DC666" s="251" t="n"/>
      <c r="DD666" s="251" t="n"/>
      <c r="DE666" s="251" t="n"/>
      <c r="DF666" s="251" t="n"/>
      <c r="DG666" s="251" t="n"/>
      <c r="DH666" s="251" t="n"/>
      <c r="DI666" s="251" t="n"/>
      <c r="DJ666" s="251" t="inlineStr">
        <is>
          <t>B</t>
        </is>
      </c>
      <c r="DK666" s="251" t="n">
        <v>22</v>
      </c>
      <c r="DL666" s="95" t="n">
        <v>28</v>
      </c>
      <c r="DM666" s="251" t="n"/>
      <c r="DN666" s="95" t="n"/>
      <c r="DO666" s="95" t="n"/>
    </row>
    <row r="667" ht="13.5" customHeight="1">
      <c r="A667" s="203" t="inlineStr">
        <is>
          <t>PCA-02</t>
        </is>
      </c>
      <c r="B667" s="305"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1" t="inlineStr">
        <is>
          <t>532MAPCA</t>
        </is>
      </c>
      <c r="BL667" s="61" t="inlineStr">
        <is>
          <t>GMAP-SIGA</t>
        </is>
      </c>
      <c r="BM667" s="251" t="inlineStr">
        <is>
          <t>NF</t>
        </is>
      </c>
      <c r="BN667" s="180" t="inlineStr">
        <is>
          <t>San Nicolás</t>
        </is>
      </c>
      <c r="BO667" s="251"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42" t="n">
        <v>1</v>
      </c>
      <c r="CT667" s="105" t="n"/>
      <c r="CU667" s="105" t="n"/>
      <c r="CV667" s="105" t="n"/>
      <c r="CW667" s="105" t="n"/>
      <c r="CX667" s="105" t="n"/>
      <c r="CY667" s="105" t="n"/>
      <c r="CZ667" s="124">
        <f>+COUNTA(BV667:CY667)</f>
        <v/>
      </c>
      <c r="DA667" s="251" t="n"/>
      <c r="DB667" s="251" t="n"/>
      <c r="DC667" s="251" t="n"/>
      <c r="DD667" s="251" t="n"/>
      <c r="DE667" s="251" t="n"/>
      <c r="DF667" s="251" t="n"/>
      <c r="DG667" s="251" t="n"/>
      <c r="DH667" s="251" t="n"/>
      <c r="DI667" s="251" t="n"/>
      <c r="DJ667" s="251" t="inlineStr">
        <is>
          <t>M</t>
        </is>
      </c>
      <c r="DK667" s="251" t="n">
        <v>22</v>
      </c>
      <c r="DL667" s="95" t="n">
        <v>28</v>
      </c>
      <c r="DM667" s="251" t="n"/>
      <c r="DN667" s="95" t="n"/>
      <c r="DO667" s="95" t="n"/>
    </row>
    <row r="668" ht="13" customHeight="1">
      <c r="A668" s="203" t="inlineStr">
        <is>
          <t>PCA-03</t>
        </is>
      </c>
      <c r="B668" s="305"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2" t="inlineStr">
        <is>
          <t>532MAPCA03</t>
        </is>
      </c>
      <c r="BL668" s="61" t="inlineStr">
        <is>
          <t>GMAP-SIGA</t>
        </is>
      </c>
      <c r="BM668" s="251" t="inlineStr">
        <is>
          <t>NF</t>
        </is>
      </c>
      <c r="BN668" s="337" t="inlineStr">
        <is>
          <t>Huinquintipa</t>
        </is>
      </c>
      <c r="BO668" s="251"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42" t="n">
        <v>1</v>
      </c>
      <c r="CT668" s="105" t="n"/>
      <c r="CU668" s="105" t="n"/>
      <c r="CV668" s="105" t="n"/>
      <c r="CW668" s="105" t="n"/>
      <c r="CX668" s="105" t="n"/>
      <c r="CY668" s="105" t="n"/>
      <c r="CZ668" s="124">
        <f>+COUNTA(BV668:CY668)</f>
        <v/>
      </c>
      <c r="DA668" s="251" t="n"/>
      <c r="DB668" s="251" t="n"/>
      <c r="DC668" s="251" t="n"/>
      <c r="DD668" s="251" t="n"/>
      <c r="DE668" s="251" t="n"/>
      <c r="DF668" s="251" t="n"/>
      <c r="DG668" s="251" t="n"/>
      <c r="DH668" s="251" t="n"/>
      <c r="DI668" s="251" t="n"/>
      <c r="DJ668" s="251" t="inlineStr">
        <is>
          <t>M</t>
        </is>
      </c>
      <c r="DK668" s="251" t="n">
        <v>22</v>
      </c>
      <c r="DL668" s="95" t="n">
        <v>28</v>
      </c>
      <c r="DM668" s="251" t="n"/>
      <c r="DN668" s="95" t="n"/>
      <c r="DO668" s="95" t="n"/>
    </row>
    <row r="669" ht="13" customHeight="1">
      <c r="A669" s="203" t="inlineStr">
        <is>
          <t>PCA-07</t>
        </is>
      </c>
      <c r="B669" s="305" t="inlineStr">
        <is>
          <t>PCA-07 CHICLLA</t>
        </is>
      </c>
      <c r="C669" s="251"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1" t="inlineStr">
        <is>
          <t>532MAPCA</t>
        </is>
      </c>
      <c r="BL669" s="7" t="inlineStr">
        <is>
          <t>GMAP-SIGA</t>
        </is>
      </c>
      <c r="BM669" s="251" t="inlineStr">
        <is>
          <t>NF</t>
        </is>
      </c>
      <c r="BN669" s="337" t="inlineStr">
        <is>
          <t>Chiclla</t>
        </is>
      </c>
      <c r="BO669" s="251" t="inlineStr">
        <is>
          <t>SI</t>
        </is>
      </c>
      <c r="BP669" s="106" t="inlineStr">
        <is>
          <t>PCA-07 CHICLLA/NF</t>
        </is>
      </c>
      <c r="BQ669" s="106">
        <f>VLOOKUP(BP669,[1]AGUA!$1:$1048576,2,FALSE)</f>
        <v/>
      </c>
      <c r="BR669" s="106">
        <f>VLOOKUP(BP669,[1]AGUA!$1:$1048576,6,FALSE)</f>
        <v/>
      </c>
      <c r="BS669" s="106">
        <f>VLOOKUP(BP669,[1]AGUA!$1:$1048576,7,FALSE)</f>
        <v/>
      </c>
      <c r="BT669" s="106" t="n"/>
      <c r="BU669" s="253" t="n"/>
      <c r="BV669" s="105" t="n"/>
      <c r="BW669" s="105" t="n"/>
      <c r="BX669" s="105" t="n"/>
      <c r="BY669" s="105" t="n"/>
      <c r="BZ669" s="105" t="n"/>
      <c r="CA669" s="105" t="n"/>
      <c r="CB669" s="105" t="n"/>
      <c r="CC669" s="105" t="n"/>
      <c r="CD669" s="105" t="n"/>
      <c r="CE669" s="105" t="n"/>
      <c r="CF669" s="105" t="n"/>
      <c r="CG669" s="105" t="n"/>
      <c r="CH669" s="209" t="n">
        <v>1</v>
      </c>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24">
        <f>+COUNTA(BV669:CY669)</f>
        <v/>
      </c>
      <c r="DA669" s="251" t="n"/>
      <c r="DB669" s="208" t="n"/>
      <c r="DC669" s="251" t="n"/>
      <c r="DD669" s="251" t="n"/>
      <c r="DE669" s="251" t="n"/>
      <c r="DF669" s="251" t="n"/>
      <c r="DG669" s="209" t="n"/>
      <c r="DH669" s="209" t="n"/>
      <c r="DI669" s="251" t="n"/>
      <c r="DJ669" s="251" t="inlineStr">
        <is>
          <t>T</t>
        </is>
      </c>
      <c r="DK669" s="251" t="n">
        <v>15</v>
      </c>
      <c r="DL669" s="95" t="n">
        <v>28</v>
      </c>
      <c r="DM669" s="251" t="n"/>
      <c r="DN669" s="95" t="n"/>
      <c r="DO669" s="95" t="n"/>
    </row>
    <row r="670" ht="13" customHeight="1">
      <c r="A670" s="203" t="inlineStr">
        <is>
          <t>PCA-07</t>
        </is>
      </c>
      <c r="B670" s="376" t="n"/>
      <c r="C670" s="376"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76" t="n"/>
      <c r="BL670" s="7" t="inlineStr">
        <is>
          <t>GMAP-SIGA</t>
        </is>
      </c>
      <c r="BM670" s="251" t="inlineStr">
        <is>
          <t>ASUB</t>
        </is>
      </c>
      <c r="BN670" s="337" t="inlineStr">
        <is>
          <t>Chiclla</t>
        </is>
      </c>
      <c r="BO670" s="251" t="inlineStr">
        <is>
          <t>SI</t>
        </is>
      </c>
      <c r="BP670" s="106" t="inlineStr">
        <is>
          <t>PCA-07 CHICLLA/ASUB</t>
        </is>
      </c>
      <c r="BQ670" s="106">
        <f>VLOOKUP(BP670,[1]AGUA!$1:$1048576,2,FALSE)</f>
        <v/>
      </c>
      <c r="BR670" s="106">
        <f>VLOOKUP(BP670,[1]AGUA!$1:$1048576,6,FALSE)</f>
        <v/>
      </c>
      <c r="BS670" s="106">
        <f>VLOOKUP(BP670,[1]AGUA!$1:$1048576,7,FALSE)</f>
        <v/>
      </c>
      <c r="BT670" s="106" t="n"/>
      <c r="BU670" s="377" t="n"/>
      <c r="BV670" s="105" t="n"/>
      <c r="BW670" s="105" t="n"/>
      <c r="BX670" s="105" t="n"/>
      <c r="BY670" s="105" t="n"/>
      <c r="BZ670" s="105" t="n"/>
      <c r="CA670" s="105" t="n"/>
      <c r="CB670" s="105" t="n"/>
      <c r="CC670" s="105" t="n"/>
      <c r="CD670" s="105" t="n"/>
      <c r="CE670" s="105" t="n"/>
      <c r="CF670" s="105" t="n"/>
      <c r="CG670" s="105" t="n"/>
      <c r="CH670" s="209" t="n">
        <v>1</v>
      </c>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24">
        <f>+COUNTA(BV670:CY670)</f>
        <v/>
      </c>
      <c r="DA670" s="251" t="n"/>
      <c r="DB670" s="208" t="n"/>
      <c r="DC670" s="251" t="n"/>
      <c r="DD670" s="251" t="n"/>
      <c r="DE670" s="251" t="n"/>
      <c r="DF670" s="251" t="n"/>
      <c r="DG670" s="209" t="n"/>
      <c r="DH670" s="209" t="n"/>
      <c r="DI670" s="251" t="n"/>
      <c r="DJ670" s="251" t="n"/>
      <c r="DK670" s="251" t="n"/>
      <c r="DL670" s="95" t="n"/>
      <c r="DM670" s="251" t="inlineStr">
        <is>
          <t>T</t>
        </is>
      </c>
      <c r="DN670" s="95" t="n">
        <v>15</v>
      </c>
      <c r="DO670" s="95" t="n">
        <v>28</v>
      </c>
    </row>
    <row r="671" ht="13" customHeight="1">
      <c r="A671" s="203" t="inlineStr">
        <is>
          <t>PCA-08</t>
        </is>
      </c>
      <c r="B671" s="305" t="inlineStr">
        <is>
          <t>PCA-08 CHICLLA</t>
        </is>
      </c>
      <c r="C671" s="251"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2" t="inlineStr">
        <is>
          <t>532WLPCA-08</t>
        </is>
      </c>
      <c r="BL671" s="7" t="inlineStr">
        <is>
          <t>GMAP-SIGA</t>
        </is>
      </c>
      <c r="BM671" s="251" t="inlineStr">
        <is>
          <t>NF</t>
        </is>
      </c>
      <c r="BN671" s="337" t="inlineStr">
        <is>
          <t>Chiclla</t>
        </is>
      </c>
      <c r="BO671" s="251" t="inlineStr">
        <is>
          <t>SI</t>
        </is>
      </c>
      <c r="BP671" s="106" t="inlineStr">
        <is>
          <t>PCA-08 CHICLLA/NF</t>
        </is>
      </c>
      <c r="BQ671" s="106">
        <f>VLOOKUP(BP671,[1]AGUA!$1:$1048576,2,FALSE)</f>
        <v/>
      </c>
      <c r="BR671" s="106">
        <f>VLOOKUP(BP671,[1]AGUA!$1:$1048576,6,FALSE)</f>
        <v/>
      </c>
      <c r="BS671" s="106">
        <f>VLOOKUP(BP671,[1]AGUA!$1:$1048576,7,FALSE)</f>
        <v/>
      </c>
      <c r="BT671" s="106" t="n"/>
      <c r="BU671" s="253" t="n"/>
      <c r="BV671" s="105" t="n"/>
      <c r="BW671" s="105" t="n"/>
      <c r="BX671" s="105" t="n"/>
      <c r="BY671" s="105" t="n"/>
      <c r="BZ671" s="105" t="n"/>
      <c r="CA671" s="105" t="n"/>
      <c r="CB671" s="105" t="n"/>
      <c r="CC671" s="105" t="n"/>
      <c r="CD671" s="105" t="n"/>
      <c r="CE671" s="105" t="n"/>
      <c r="CF671" s="105" t="n"/>
      <c r="CG671" s="105" t="n"/>
      <c r="CH671" s="209" t="n">
        <v>1</v>
      </c>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24">
        <f>+COUNTA(BV671:CY671)</f>
        <v/>
      </c>
      <c r="DA671" s="251" t="n"/>
      <c r="DB671" s="208" t="n"/>
      <c r="DC671" s="251" t="n"/>
      <c r="DD671" s="251" t="n"/>
      <c r="DE671" s="251" t="n"/>
      <c r="DF671" s="251" t="n"/>
      <c r="DG671" s="209" t="n"/>
      <c r="DH671" s="209" t="n"/>
      <c r="DI671" s="251" t="n"/>
      <c r="DJ671" s="251" t="inlineStr">
        <is>
          <t>T</t>
        </is>
      </c>
      <c r="DK671" s="251" t="n">
        <v>15</v>
      </c>
      <c r="DL671" s="95" t="n">
        <v>28</v>
      </c>
      <c r="DM671" s="251" t="n"/>
      <c r="DN671" s="95" t="n"/>
      <c r="DO671" s="95" t="n"/>
    </row>
    <row r="672" ht="13.5" customHeight="1">
      <c r="A672" s="203" t="inlineStr">
        <is>
          <t>PCA-08</t>
        </is>
      </c>
      <c r="B672" s="376" t="n"/>
      <c r="C672" s="376"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76" t="n"/>
      <c r="BL672" s="7" t="inlineStr">
        <is>
          <t>GMAP-SIGA</t>
        </is>
      </c>
      <c r="BM672" s="251" t="inlineStr">
        <is>
          <t>ASUB</t>
        </is>
      </c>
      <c r="BN672" s="337" t="inlineStr">
        <is>
          <t>Chiclla</t>
        </is>
      </c>
      <c r="BO672" s="251" t="inlineStr">
        <is>
          <t>SI</t>
        </is>
      </c>
      <c r="BP672" s="106" t="inlineStr">
        <is>
          <t>PCA-08 CHICLLA/ASUB</t>
        </is>
      </c>
      <c r="BQ672" s="106">
        <f>VLOOKUP(BP672,[1]AGUA!$1:$1048576,2,FALSE)</f>
        <v/>
      </c>
      <c r="BR672" s="106">
        <f>VLOOKUP(BP672,[1]AGUA!$1:$1048576,6,FALSE)</f>
        <v/>
      </c>
      <c r="BS672" s="106">
        <f>VLOOKUP(BP672,[1]AGUA!$1:$1048576,7,FALSE)</f>
        <v/>
      </c>
      <c r="BT672" s="106" t="n"/>
      <c r="BU672" s="377" t="n"/>
      <c r="BV672" s="105" t="n"/>
      <c r="BW672" s="105" t="n"/>
      <c r="BX672" s="105" t="n"/>
      <c r="BY672" s="105" t="n"/>
      <c r="BZ672" s="105" t="n"/>
      <c r="CA672" s="105" t="n"/>
      <c r="CB672" s="105" t="n"/>
      <c r="CC672" s="105" t="n"/>
      <c r="CD672" s="105" t="n"/>
      <c r="CE672" s="105" t="n"/>
      <c r="CF672" s="105" t="n"/>
      <c r="CG672" s="105" t="n"/>
      <c r="CH672" s="209" t="n">
        <v>1</v>
      </c>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24">
        <f>+COUNTA(BV672:CY672)</f>
        <v/>
      </c>
      <c r="DA672" s="251" t="n"/>
      <c r="DB672" s="208" t="n"/>
      <c r="DC672" s="251" t="n"/>
      <c r="DD672" s="251" t="n"/>
      <c r="DE672" s="251" t="n"/>
      <c r="DF672" s="251" t="n"/>
      <c r="DG672" s="209" t="n"/>
      <c r="DH672" s="209" t="n"/>
      <c r="DI672" s="251" t="n"/>
      <c r="DJ672" s="251" t="n"/>
      <c r="DK672" s="251" t="n"/>
      <c r="DL672" s="95" t="n"/>
      <c r="DM672" s="251" t="inlineStr">
        <is>
          <t>T</t>
        </is>
      </c>
      <c r="DN672" s="95" t="n">
        <v>15</v>
      </c>
      <c r="DO672" s="95" t="n">
        <v>28</v>
      </c>
    </row>
    <row r="673" ht="12.65" customHeight="1">
      <c r="A673" s="203" t="inlineStr">
        <is>
          <t>PCA-09</t>
        </is>
      </c>
      <c r="B673" s="305"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2" t="inlineStr">
        <is>
          <t>532WLPCA-09</t>
        </is>
      </c>
      <c r="BL673" s="61" t="inlineStr">
        <is>
          <t>GMAP-SIGA</t>
        </is>
      </c>
      <c r="BM673" s="251" t="inlineStr">
        <is>
          <t>NF</t>
        </is>
      </c>
      <c r="BN673" s="337" t="inlineStr">
        <is>
          <t>Rosario</t>
        </is>
      </c>
      <c r="BO673" s="251"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05" t="n"/>
      <c r="CR673" s="105" t="n"/>
      <c r="CS673" s="105" t="n"/>
      <c r="CT673" s="105" t="n"/>
      <c r="CU673" s="142" t="n">
        <v>1</v>
      </c>
      <c r="CV673" s="105" t="n"/>
      <c r="CW673" s="105" t="n"/>
      <c r="CX673" s="105" t="n"/>
      <c r="CY673" s="105" t="n"/>
      <c r="CZ673" s="124">
        <f>+COUNTA(BV673:CY673)</f>
        <v/>
      </c>
      <c r="DA673" s="251" t="n"/>
      <c r="DB673" s="251" t="n"/>
      <c r="DC673" s="251" t="n"/>
      <c r="DD673" s="251" t="n"/>
      <c r="DE673" s="251" t="n"/>
      <c r="DF673" s="251" t="n"/>
      <c r="DG673" s="251" t="n"/>
      <c r="DH673" s="251" t="n"/>
      <c r="DI673" s="251" t="n"/>
      <c r="DJ673" s="251" t="inlineStr">
        <is>
          <t>M</t>
        </is>
      </c>
      <c r="DK673" s="251" t="n">
        <v>22</v>
      </c>
      <c r="DL673" s="95" t="n">
        <v>28</v>
      </c>
      <c r="DM673" s="251" t="n"/>
      <c r="DN673" s="95" t="n"/>
      <c r="DO673" s="95" t="n"/>
    </row>
    <row r="674" ht="13" customHeight="1">
      <c r="A674" s="203" t="inlineStr">
        <is>
          <t>PCH-01</t>
        </is>
      </c>
      <c r="B674" s="305"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2" t="inlineStr">
        <is>
          <t>532MASALLI</t>
        </is>
      </c>
      <c r="BL674" s="61" t="inlineStr">
        <is>
          <t>GMAP-SIGA</t>
        </is>
      </c>
      <c r="BM674" s="251" t="inlineStr">
        <is>
          <t>NF</t>
        </is>
      </c>
      <c r="BN674" s="337" t="inlineStr">
        <is>
          <t>Sallihuinca</t>
        </is>
      </c>
      <c r="BO674" s="251"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42" t="n">
        <v>1</v>
      </c>
      <c r="CV674" s="105" t="n"/>
      <c r="CW674" s="105" t="n"/>
      <c r="CX674" s="105" t="n"/>
      <c r="CY674" s="105" t="n"/>
      <c r="CZ674" s="124">
        <f>+COUNTA(BV674:CY674)</f>
        <v/>
      </c>
      <c r="DA674" s="251" t="n"/>
      <c r="DB674" s="251" t="n"/>
      <c r="DC674" s="251" t="n"/>
      <c r="DD674" s="251" t="n"/>
      <c r="DE674" s="251" t="n"/>
      <c r="DF674" s="251" t="n"/>
      <c r="DG674" s="251" t="n"/>
      <c r="DH674" s="251" t="n"/>
      <c r="DI674" s="251" t="n"/>
      <c r="DJ674" s="251" t="inlineStr">
        <is>
          <t>B</t>
        </is>
      </c>
      <c r="DK674" s="251" t="n">
        <v>22</v>
      </c>
      <c r="DL674" s="95" t="n">
        <v>28</v>
      </c>
      <c r="DM674" s="251" t="n"/>
      <c r="DN674" s="95" t="n"/>
      <c r="DO674" s="95" t="n"/>
    </row>
    <row r="675" ht="13" customHeight="1">
      <c r="A675" s="203" t="inlineStr">
        <is>
          <t>PCH-02</t>
        </is>
      </c>
      <c r="B675" s="305"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2" t="inlineStr">
        <is>
          <t>532MACEU</t>
        </is>
      </c>
      <c r="BL675" s="61" t="inlineStr">
        <is>
          <t>GMAP-SIGA</t>
        </is>
      </c>
      <c r="BM675" s="251" t="inlineStr">
        <is>
          <t>NF</t>
        </is>
      </c>
      <c r="BN675" s="337" t="inlineStr">
        <is>
          <t>Chiclla</t>
        </is>
      </c>
      <c r="BO675" s="251"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42" t="n">
        <v>1</v>
      </c>
      <c r="CT675" s="105" t="n"/>
      <c r="CU675" s="105" t="n"/>
      <c r="CV675" s="105" t="n"/>
      <c r="CW675" s="105" t="n"/>
      <c r="CX675" s="105" t="n"/>
      <c r="CY675" s="105" t="n"/>
      <c r="CZ675" s="124">
        <f>+COUNTA(BV675:CY675)</f>
        <v/>
      </c>
      <c r="DA675" s="251" t="n"/>
      <c r="DB675" s="251" t="n"/>
      <c r="DC675" s="251" t="n"/>
      <c r="DD675" s="251" t="n"/>
      <c r="DE675" s="251" t="n"/>
      <c r="DF675" s="251" t="n"/>
      <c r="DG675" s="251" t="n"/>
      <c r="DH675" s="251" t="n"/>
      <c r="DI675" s="251" t="n"/>
      <c r="DJ675" s="251" t="inlineStr">
        <is>
          <t>B</t>
        </is>
      </c>
      <c r="DK675" s="251" t="n">
        <v>22</v>
      </c>
      <c r="DL675" s="95" t="n">
        <v>28</v>
      </c>
      <c r="DM675" s="251" t="n"/>
      <c r="DN675" s="95" t="n"/>
      <c r="DO675" s="95" t="n"/>
    </row>
    <row r="676" ht="12.5" customHeight="1">
      <c r="A676" s="203" t="inlineStr">
        <is>
          <t>PCH-03</t>
        </is>
      </c>
      <c r="B676" s="305"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2" t="inlineStr">
        <is>
          <t>532MAMALP</t>
        </is>
      </c>
      <c r="BL676" s="61" t="inlineStr">
        <is>
          <t>GMAP-SIGA</t>
        </is>
      </c>
      <c r="BM676" s="251" t="inlineStr">
        <is>
          <t>NF</t>
        </is>
      </c>
      <c r="BN676" s="337" t="inlineStr">
        <is>
          <t>Ceusis</t>
        </is>
      </c>
      <c r="BO676" s="251"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42" t="n">
        <v>1</v>
      </c>
      <c r="CV676" s="105" t="n"/>
      <c r="CW676" s="105" t="n"/>
      <c r="CX676" s="105" t="n"/>
      <c r="CY676" s="105" t="n"/>
      <c r="CZ676" s="124">
        <f>+COUNTA(BV676:CY676)</f>
        <v/>
      </c>
      <c r="DA676" s="251" t="n"/>
      <c r="DB676" s="251" t="n"/>
      <c r="DC676" s="251" t="n"/>
      <c r="DD676" s="251" t="n"/>
      <c r="DE676" s="251" t="n"/>
      <c r="DF676" s="251" t="n"/>
      <c r="DG676" s="251" t="n"/>
      <c r="DH676" s="251" t="n"/>
      <c r="DI676" s="251" t="n"/>
      <c r="DJ676" s="251" t="inlineStr">
        <is>
          <t>B</t>
        </is>
      </c>
      <c r="DK676" s="251" t="n">
        <v>22</v>
      </c>
      <c r="DL676" s="95" t="n">
        <v>28</v>
      </c>
      <c r="DM676" s="251" t="n"/>
      <c r="DN676" s="95" t="n"/>
      <c r="DO676" s="95" t="n"/>
    </row>
    <row r="677" ht="13" customHeight="1">
      <c r="A677" s="203" t="inlineStr">
        <is>
          <t>PCH-04</t>
        </is>
      </c>
      <c r="B677" s="305"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2" t="inlineStr">
        <is>
          <t>532WLPCH-04</t>
        </is>
      </c>
      <c r="BL677" s="61" t="inlineStr">
        <is>
          <t>GMAP-SIGA</t>
        </is>
      </c>
      <c r="BM677" s="251" t="inlineStr">
        <is>
          <t>NF</t>
        </is>
      </c>
      <c r="BN677" s="337" t="inlineStr">
        <is>
          <t>Chiclla</t>
        </is>
      </c>
      <c r="BO677" s="251"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24">
        <f>+COUNTA(BV677:CY677)</f>
        <v/>
      </c>
      <c r="DA677" s="251" t="n"/>
      <c r="DB677" s="251" t="n"/>
      <c r="DC677" s="251" t="n"/>
      <c r="DD677" s="251" t="n"/>
      <c r="DE677" s="251" t="n"/>
      <c r="DF677" s="251" t="n"/>
      <c r="DG677" s="251" t="n"/>
      <c r="DH677" s="251" t="n"/>
      <c r="DI677" s="251" t="n"/>
      <c r="DJ677" s="251" t="inlineStr">
        <is>
          <t>B</t>
        </is>
      </c>
      <c r="DK677" s="251" t="n">
        <v>22</v>
      </c>
      <c r="DL677" s="95" t="n">
        <v>28</v>
      </c>
      <c r="DM677" s="251" t="n"/>
      <c r="DN677" s="95" t="n"/>
      <c r="DO677" s="95" t="n"/>
    </row>
    <row r="678" ht="13" customHeight="1">
      <c r="A678" s="203" t="inlineStr">
        <is>
          <t>PCH-05</t>
        </is>
      </c>
      <c r="B678" s="305"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2" t="inlineStr">
        <is>
          <t>532MASALLI</t>
        </is>
      </c>
      <c r="BL678" s="61" t="inlineStr">
        <is>
          <t>GMAP-SIGA</t>
        </is>
      </c>
      <c r="BM678" s="251" t="inlineStr">
        <is>
          <t>NF</t>
        </is>
      </c>
      <c r="BN678" s="337" t="inlineStr">
        <is>
          <t>Sallihuinca</t>
        </is>
      </c>
      <c r="BO678" s="251"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42" t="n">
        <v>1</v>
      </c>
      <c r="CV678" s="105" t="n"/>
      <c r="CW678" s="105" t="n"/>
      <c r="CX678" s="105" t="n"/>
      <c r="CY678" s="105" t="n"/>
      <c r="CZ678" s="124">
        <f>+COUNTA(BV678:CY678)</f>
        <v/>
      </c>
      <c r="DA678" s="251" t="n"/>
      <c r="DB678" s="251" t="n"/>
      <c r="DC678" s="251" t="n"/>
      <c r="DD678" s="251" t="n"/>
      <c r="DE678" s="251" t="n"/>
      <c r="DF678" s="251" t="n"/>
      <c r="DG678" s="251" t="n"/>
      <c r="DH678" s="251" t="n"/>
      <c r="DI678" s="251" t="n"/>
      <c r="DJ678" s="251" t="inlineStr">
        <is>
          <t>B</t>
        </is>
      </c>
      <c r="DK678" s="251" t="n">
        <v>22</v>
      </c>
      <c r="DL678" s="95" t="n">
        <v>28</v>
      </c>
      <c r="DM678" s="251" t="n"/>
      <c r="DN678" s="95" t="n"/>
      <c r="DO678" s="95" t="n"/>
    </row>
    <row r="679" ht="13.5" customHeight="1">
      <c r="A679" s="203" t="inlineStr">
        <is>
          <t>PCH-06</t>
        </is>
      </c>
      <c r="B679" s="305"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2" t="inlineStr">
        <is>
          <t>532WLPCH-06</t>
        </is>
      </c>
      <c r="BL679" s="61" t="inlineStr">
        <is>
          <t>GMAP-SIGA</t>
        </is>
      </c>
      <c r="BM679" s="251" t="inlineStr">
        <is>
          <t>NF</t>
        </is>
      </c>
      <c r="BN679" s="337" t="inlineStr">
        <is>
          <t>Mal paso</t>
        </is>
      </c>
      <c r="BO679" s="251"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42" t="n">
        <v>1</v>
      </c>
      <c r="CU679" s="105" t="n"/>
      <c r="CV679" s="105" t="n"/>
      <c r="CW679" s="105" t="n"/>
      <c r="CX679" s="105" t="n"/>
      <c r="CY679" s="105" t="n"/>
      <c r="CZ679" s="124">
        <f>+COUNTA(BV679:CY679)</f>
        <v/>
      </c>
      <c r="DA679" s="251" t="n"/>
      <c r="DB679" s="251" t="n"/>
      <c r="DC679" s="251" t="n"/>
      <c r="DD679" s="251" t="n"/>
      <c r="DE679" s="251" t="n"/>
      <c r="DF679" s="251" t="n"/>
      <c r="DG679" s="251" t="n"/>
      <c r="DH679" s="251" t="n"/>
      <c r="DI679" s="251" t="n"/>
      <c r="DJ679" s="251" t="inlineStr">
        <is>
          <t>B</t>
        </is>
      </c>
      <c r="DK679" s="251" t="n">
        <v>22</v>
      </c>
      <c r="DL679" s="95" t="n">
        <v>28</v>
      </c>
      <c r="DM679" s="251" t="n"/>
      <c r="DN679" s="95" t="n"/>
      <c r="DO679" s="95" t="n"/>
    </row>
    <row r="680" ht="13" customHeight="1">
      <c r="A680" s="203" t="inlineStr">
        <is>
          <t>PCN-02</t>
        </is>
      </c>
      <c r="B680" s="305"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2" t="inlineStr">
        <is>
          <t>532MAPCN02</t>
        </is>
      </c>
      <c r="BL680" s="61" t="inlineStr">
        <is>
          <t>GMAP-SIGA</t>
        </is>
      </c>
      <c r="BM680" s="251" t="inlineStr">
        <is>
          <t>NF</t>
        </is>
      </c>
      <c r="BN680" s="337" t="inlineStr">
        <is>
          <t>Coposa Centro</t>
        </is>
      </c>
      <c r="BO680" s="251"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42" t="n">
        <v>1</v>
      </c>
      <c r="CU680" s="105" t="n"/>
      <c r="CV680" s="105" t="n"/>
      <c r="CW680" s="105" t="n"/>
      <c r="CX680" s="105" t="n"/>
      <c r="CY680" s="105" t="n"/>
      <c r="CZ680" s="124">
        <f>+COUNTA(BV680:CY680)</f>
        <v/>
      </c>
      <c r="DA680" s="251" t="n"/>
      <c r="DB680" s="251" t="n"/>
      <c r="DC680" s="251" t="n"/>
      <c r="DD680" s="251" t="n"/>
      <c r="DE680" s="251" t="n"/>
      <c r="DF680" s="251" t="n"/>
      <c r="DG680" s="251" t="n"/>
      <c r="DH680" s="251" t="n"/>
      <c r="DI680" s="251" t="n"/>
      <c r="DJ680" s="251" t="inlineStr">
        <is>
          <t>T</t>
        </is>
      </c>
      <c r="DK680" s="251" t="n">
        <v>22</v>
      </c>
      <c r="DL680" s="95" t="n">
        <v>28</v>
      </c>
      <c r="DM680" s="251" t="n"/>
      <c r="DN680" s="95" t="n"/>
      <c r="DO680" s="95" t="n"/>
    </row>
    <row r="681" ht="13" customHeight="1">
      <c r="A681" s="205" t="inlineStr">
        <is>
          <t>PDC-01</t>
        </is>
      </c>
      <c r="B681" s="305"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2" t="inlineStr">
        <is>
          <t>532MAPDCS</t>
        </is>
      </c>
      <c r="BL681" s="61" t="inlineStr">
        <is>
          <t>GMAP-SIGA</t>
        </is>
      </c>
      <c r="BM681" s="251" t="inlineStr">
        <is>
          <t>NF</t>
        </is>
      </c>
      <c r="BN681" s="337" t="inlineStr">
        <is>
          <t>Coposa Norte</t>
        </is>
      </c>
      <c r="BO681" s="251"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42" t="n">
        <v>1</v>
      </c>
      <c r="CP681" s="105" t="n"/>
      <c r="CQ681" s="105" t="n"/>
      <c r="CR681" s="105" t="n"/>
      <c r="CS681" s="105" t="n"/>
      <c r="CT681" s="105" t="n"/>
      <c r="CU681" s="105" t="n"/>
      <c r="CV681" s="105" t="n"/>
      <c r="CW681" s="105" t="n"/>
      <c r="CX681" s="105" t="n"/>
      <c r="CY681" s="105" t="n"/>
      <c r="CZ681" s="124">
        <f>+COUNTA(BV681:CY681)</f>
        <v/>
      </c>
      <c r="DA681" s="206" t="n"/>
      <c r="DB681" s="251" t="n"/>
      <c r="DC681" s="251" t="n"/>
      <c r="DD681" s="251" t="n"/>
      <c r="DE681" s="251" t="n"/>
      <c r="DF681" s="251" t="n"/>
      <c r="DG681" s="251" t="n"/>
      <c r="DH681" s="251" t="n"/>
      <c r="DI681" s="251" t="n"/>
      <c r="DJ681" s="251" t="inlineStr">
        <is>
          <t>M</t>
        </is>
      </c>
      <c r="DK681" s="251" t="n">
        <v>15</v>
      </c>
      <c r="DL681" s="95" t="n">
        <v>28</v>
      </c>
      <c r="DM681" s="251" t="n"/>
      <c r="DN681" s="95" t="n"/>
      <c r="DO681" s="95" t="n"/>
    </row>
    <row r="682" ht="13" customHeight="1">
      <c r="A682" s="205" t="inlineStr">
        <is>
          <t>PDS-01</t>
        </is>
      </c>
      <c r="B682" s="305"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2" t="inlineStr">
        <is>
          <t>532MAPDCS</t>
        </is>
      </c>
      <c r="BL682" s="61" t="inlineStr">
        <is>
          <t>GMAP-SIGA</t>
        </is>
      </c>
      <c r="BM682" s="251" t="inlineStr">
        <is>
          <t>NF</t>
        </is>
      </c>
      <c r="BN682" s="337" t="inlineStr">
        <is>
          <t>Coposa Centro</t>
        </is>
      </c>
      <c r="BO682" s="251"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242" t="n">
        <v>1</v>
      </c>
      <c r="BY682" s="105" t="n"/>
      <c r="BZ682" s="105" t="n"/>
      <c r="CA682" s="105" t="n"/>
      <c r="CB682" s="105" t="n"/>
      <c r="CC682" s="105" t="n"/>
      <c r="CD682" s="105" t="n"/>
      <c r="CE682" s="105" t="n"/>
      <c r="CF682" s="105" t="n"/>
      <c r="CG682" s="105" t="n"/>
      <c r="CH682" s="105" t="n"/>
      <c r="CI682" s="105" t="n"/>
      <c r="CJ682" s="105" t="n"/>
      <c r="CK682" s="105" t="n"/>
      <c r="CL682" s="105" t="n"/>
      <c r="CM682" s="105" t="n"/>
      <c r="CN682" s="105" t="n"/>
      <c r="CO682" s="105" t="n"/>
      <c r="CP682" s="242" t="n">
        <v>1</v>
      </c>
      <c r="CQ682" s="105" t="n"/>
      <c r="CR682" s="105" t="n"/>
      <c r="CS682" s="105" t="n"/>
      <c r="CT682" s="105" t="n"/>
      <c r="CU682" s="105" t="n"/>
      <c r="CV682" s="105" t="n"/>
      <c r="CW682" s="105" t="n"/>
      <c r="CX682" s="105" t="n"/>
      <c r="CY682" s="105" t="n"/>
      <c r="CZ682" s="124">
        <f>+COUNTA(BV682:CY682)</f>
        <v/>
      </c>
      <c r="DA682" s="206" t="n"/>
      <c r="DB682" s="251" t="n"/>
      <c r="DC682" s="251" t="n"/>
      <c r="DD682" s="251" t="n"/>
      <c r="DE682" s="251" t="n"/>
      <c r="DF682" s="251" t="n"/>
      <c r="DG682" s="251" t="n"/>
      <c r="DH682" s="251" t="n"/>
      <c r="DI682" s="251" t="n"/>
      <c r="DJ682" s="251" t="inlineStr">
        <is>
          <t>M</t>
        </is>
      </c>
      <c r="DK682" s="251" t="n">
        <v>15</v>
      </c>
      <c r="DL682" s="95" t="n">
        <v>28</v>
      </c>
      <c r="DM682" s="251" t="n"/>
      <c r="DN682" s="95" t="n"/>
      <c r="DO682" s="95" t="n"/>
    </row>
    <row r="683" ht="13" customHeight="1">
      <c r="A683" s="205" t="inlineStr">
        <is>
          <t>PEC-01</t>
        </is>
      </c>
      <c r="B683" s="305"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2" t="inlineStr">
        <is>
          <t>532MAPEC</t>
        </is>
      </c>
      <c r="BL683" s="61" t="inlineStr">
        <is>
          <t>GMAP-SIGA</t>
        </is>
      </c>
      <c r="BM683" s="251" t="inlineStr">
        <is>
          <t>NF</t>
        </is>
      </c>
      <c r="BN683" s="337" t="inlineStr">
        <is>
          <t>Portezuelo</t>
        </is>
      </c>
      <c r="BO683" s="168"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105" t="n"/>
      <c r="CM683" s="105" t="n"/>
      <c r="CN683" s="105" t="n"/>
      <c r="CO683" s="105" t="n"/>
      <c r="CP683" s="105" t="n"/>
      <c r="CQ683" s="105" t="n"/>
      <c r="CR683" s="242" t="n">
        <v>1</v>
      </c>
      <c r="CS683" s="105" t="n"/>
      <c r="CT683" s="105" t="n"/>
      <c r="CU683" s="105" t="n"/>
      <c r="CV683" s="105" t="n"/>
      <c r="CW683" s="105" t="n"/>
      <c r="CX683" s="105" t="n"/>
      <c r="CY683" s="105" t="n"/>
      <c r="CZ683" s="124">
        <f>+COUNTA(BV683:CY683)</f>
        <v/>
      </c>
      <c r="DA683" s="206" t="n"/>
      <c r="DB683" s="251" t="n"/>
      <c r="DC683" s="251" t="n"/>
      <c r="DD683" s="251" t="n"/>
      <c r="DE683" s="251" t="n"/>
      <c r="DF683" s="251" t="n"/>
      <c r="DG683" s="251" t="n"/>
      <c r="DH683" s="251" t="n"/>
      <c r="DI683" s="251" t="n"/>
      <c r="DJ683" s="251" t="inlineStr">
        <is>
          <t>M</t>
        </is>
      </c>
      <c r="DK683" s="251" t="n">
        <v>15</v>
      </c>
      <c r="DL683" s="95" t="n">
        <v>28</v>
      </c>
      <c r="DM683" s="251" t="n"/>
      <c r="DN683" s="95" t="n"/>
      <c r="DO683" s="95" t="n"/>
    </row>
    <row r="684" ht="13" customHeight="1">
      <c r="A684" s="203" t="inlineStr">
        <is>
          <t>PEC-02</t>
        </is>
      </c>
      <c r="B684" s="305"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2" t="inlineStr">
        <is>
          <t>532MAPEC</t>
        </is>
      </c>
      <c r="BL684" s="61" t="inlineStr">
        <is>
          <t>GMAP-SIGA</t>
        </is>
      </c>
      <c r="BM684" s="251" t="inlineStr">
        <is>
          <t>NF</t>
        </is>
      </c>
      <c r="BN684" s="337" t="inlineStr">
        <is>
          <t>Portezuelo</t>
        </is>
      </c>
      <c r="BO684" s="168"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05" t="n"/>
      <c r="CH684" s="105" t="n"/>
      <c r="CI684" s="105" t="n"/>
      <c r="CJ684" s="105" t="n"/>
      <c r="CK684" s="105" t="n"/>
      <c r="CL684" s="142" t="n">
        <v>1</v>
      </c>
      <c r="CM684" s="105" t="n"/>
      <c r="CN684" s="105" t="n"/>
      <c r="CO684" s="105" t="n"/>
      <c r="CP684" s="105" t="n"/>
      <c r="CQ684" s="105" t="n"/>
      <c r="CR684" s="105" t="n"/>
      <c r="CS684" s="105" t="n"/>
      <c r="CT684" s="105" t="n"/>
      <c r="CU684" s="105" t="n"/>
      <c r="CV684" s="105" t="n"/>
      <c r="CW684" s="105" t="n"/>
      <c r="CX684" s="105" t="n"/>
      <c r="CY684" s="105" t="n"/>
      <c r="CZ684" s="124">
        <f>+COUNTA(BV684:CY684)</f>
        <v/>
      </c>
      <c r="DA684" s="251" t="n"/>
      <c r="DB684" s="251" t="n"/>
      <c r="DC684" s="251" t="n"/>
      <c r="DD684" s="251" t="n"/>
      <c r="DE684" s="251" t="n"/>
      <c r="DF684" s="251" t="n"/>
      <c r="DG684" s="251" t="n"/>
      <c r="DH684" s="251" t="n"/>
      <c r="DI684" s="251" t="n"/>
      <c r="DJ684" s="251" t="inlineStr">
        <is>
          <t>Q</t>
        </is>
      </c>
      <c r="DK684" s="198" t="inlineStr">
        <is>
          <t>1 y 15</t>
        </is>
      </c>
      <c r="DL684" s="95" t="inlineStr">
        <is>
          <t>14 y 28</t>
        </is>
      </c>
      <c r="DM684" s="251" t="n"/>
      <c r="DN684" s="95" t="n"/>
      <c r="DO684" s="95" t="n"/>
    </row>
    <row r="685" ht="12.5" customHeight="1">
      <c r="A685" s="215" t="inlineStr">
        <is>
          <t>PEC-06</t>
        </is>
      </c>
      <c r="B685" s="305"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2" t="inlineStr">
        <is>
          <t>532MAPEC</t>
        </is>
      </c>
      <c r="BL685" s="61" t="inlineStr">
        <is>
          <t>GMAP-SIGA</t>
        </is>
      </c>
      <c r="BM685" s="251" t="inlineStr">
        <is>
          <t>NF</t>
        </is>
      </c>
      <c r="BN685" s="337" t="inlineStr">
        <is>
          <t>Jachucoposa</t>
        </is>
      </c>
      <c r="BO685" s="251"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05"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24">
        <f>+COUNTA(BV685:CY685)</f>
        <v/>
      </c>
      <c r="DA685" s="251" t="n"/>
      <c r="DB685" s="251" t="n"/>
      <c r="DC685" s="251" t="n"/>
      <c r="DD685" s="251" t="n"/>
      <c r="DE685" s="251" t="n"/>
      <c r="DF685" s="251" t="n"/>
      <c r="DG685" s="251" t="n"/>
      <c r="DH685" s="251" t="n"/>
      <c r="DI685" s="251" t="n"/>
      <c r="DJ685" s="251" t="inlineStr">
        <is>
          <t>T</t>
        </is>
      </c>
      <c r="DK685" s="251" t="n">
        <v>15</v>
      </c>
      <c r="DL685" s="95" t="n">
        <v>21</v>
      </c>
      <c r="DM685" s="251" t="n"/>
      <c r="DN685" s="95" t="n"/>
      <c r="DO685" s="95" t="n"/>
    </row>
    <row r="686" ht="12.65" customHeight="1">
      <c r="A686" s="203" t="inlineStr">
        <is>
          <t>PEC-06</t>
        </is>
      </c>
      <c r="B686" s="305"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2" t="inlineStr">
        <is>
          <t>532MAPEC</t>
        </is>
      </c>
      <c r="BL686" s="61" t="inlineStr">
        <is>
          <t>GMAP-SIGA</t>
        </is>
      </c>
      <c r="BM686" s="251" t="inlineStr">
        <is>
          <t>ASUB</t>
        </is>
      </c>
      <c r="BN686" s="337" t="inlineStr">
        <is>
          <t>Jachucoposa</t>
        </is>
      </c>
      <c r="BO686" s="251"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24">
        <f>+COUNTA(BV686:CY686)</f>
        <v/>
      </c>
      <c r="DA686" s="251" t="n"/>
      <c r="DB686" s="251" t="n"/>
      <c r="DC686" s="251" t="n"/>
      <c r="DD686" s="251" t="n"/>
      <c r="DE686" s="251" t="n"/>
      <c r="DF686" s="251" t="n"/>
      <c r="DG686" s="251" t="n"/>
      <c r="DH686" s="251" t="n"/>
      <c r="DI686" s="251" t="n"/>
      <c r="DJ686" s="251" t="n"/>
      <c r="DK686" s="251" t="n"/>
      <c r="DL686" s="95" t="n"/>
      <c r="DM686" s="251" t="n"/>
      <c r="DN686" s="95" t="n"/>
      <c r="DO686" s="95" t="n"/>
    </row>
    <row r="687" ht="13" customHeight="1">
      <c r="A687" s="203" t="inlineStr">
        <is>
          <t>PEM-01</t>
        </is>
      </c>
      <c r="B687" s="305"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2" t="inlineStr">
        <is>
          <t>532MAPEM01</t>
        </is>
      </c>
      <c r="BL687" s="61" t="inlineStr">
        <is>
          <t>LIXIVIACIÓN</t>
        </is>
      </c>
      <c r="BM687" s="251" t="inlineStr">
        <is>
          <t>NF</t>
        </is>
      </c>
      <c r="BN687" s="337" t="inlineStr">
        <is>
          <t>Lixiviación</t>
        </is>
      </c>
      <c r="BO687" s="251"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05" t="n"/>
      <c r="CT687" s="105" t="n"/>
      <c r="CU687" s="105" t="n"/>
      <c r="CV687" s="142" t="n">
        <v>1</v>
      </c>
      <c r="CW687" s="105" t="n"/>
      <c r="CX687" s="105" t="n"/>
      <c r="CY687" s="105" t="n"/>
      <c r="CZ687" s="124">
        <f>+COUNTA(BV687:CY687)</f>
        <v/>
      </c>
      <c r="DA687" s="251" t="n"/>
      <c r="DB687" s="251" t="n"/>
      <c r="DC687" s="251" t="n"/>
      <c r="DD687" s="251" t="n"/>
      <c r="DE687" s="251" t="n"/>
      <c r="DF687" s="251" t="n"/>
      <c r="DG687" s="251" t="n"/>
      <c r="DH687" s="251" t="n"/>
      <c r="DI687" s="251" t="n"/>
      <c r="DJ687" s="251" t="inlineStr">
        <is>
          <t>M</t>
        </is>
      </c>
      <c r="DK687" s="251" t="n">
        <v>22</v>
      </c>
      <c r="DL687" s="95" t="n">
        <v>28</v>
      </c>
      <c r="DM687" s="251" t="n"/>
      <c r="DN687" s="95" t="n"/>
      <c r="DO687" s="95" t="n"/>
    </row>
    <row r="688" ht="13" customHeight="1">
      <c r="A688" s="203" t="inlineStr">
        <is>
          <t>PEM-02</t>
        </is>
      </c>
      <c r="B688" s="305" t="inlineStr">
        <is>
          <t>PEM-02 MICHINCHA</t>
        </is>
      </c>
      <c r="C688" s="251"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1" t="inlineStr">
        <is>
          <t>532MAPEM02</t>
        </is>
      </c>
      <c r="BL688" s="7" t="inlineStr">
        <is>
          <t>GMAP-SIGA</t>
        </is>
      </c>
      <c r="BM688" s="251" t="inlineStr">
        <is>
          <t>NF</t>
        </is>
      </c>
      <c r="BN688" s="337" t="inlineStr">
        <is>
          <t>Michincha</t>
        </is>
      </c>
      <c r="BO688" s="251" t="inlineStr">
        <is>
          <t>NO</t>
        </is>
      </c>
      <c r="BP688" s="106" t="inlineStr">
        <is>
          <t>PEM-02 MICHINCHA/NF</t>
        </is>
      </c>
      <c r="BQ688" s="106">
        <f>VLOOKUP(BP688,[1]AGUA!$1:$1048576,2,FALSE)</f>
        <v/>
      </c>
      <c r="BR688" s="106">
        <f>VLOOKUP(BP688,[1]AGUA!$1:$1048576,6,FALSE)</f>
        <v/>
      </c>
      <c r="BS688" s="106">
        <f>VLOOKUP(BP688,[1]AGUA!$1:$1048576,7,FALSE)</f>
        <v/>
      </c>
      <c r="BT688" s="106" t="n"/>
      <c r="BU688" s="253"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05" t="n"/>
      <c r="CR688" s="105" t="n"/>
      <c r="CS688" s="105" t="n"/>
      <c r="CT688" s="105" t="n"/>
      <c r="CU688" s="105" t="n"/>
      <c r="CV688" s="105" t="n"/>
      <c r="CW688" s="142" t="n">
        <v>1</v>
      </c>
      <c r="CX688" s="105" t="n"/>
      <c r="CY688" s="105" t="n"/>
      <c r="CZ688" s="124">
        <f>+COUNTA(BV688:CY688)</f>
        <v/>
      </c>
      <c r="DA688" s="251" t="n"/>
      <c r="DB688" s="251" t="n"/>
      <c r="DC688" s="251" t="n"/>
      <c r="DD688" s="251" t="n"/>
      <c r="DE688" s="251" t="n"/>
      <c r="DF688" s="251" t="n"/>
      <c r="DG688" s="251" t="n"/>
      <c r="DH688" s="251" t="n"/>
      <c r="DI688" s="251" t="n"/>
      <c r="DJ688" s="251" t="inlineStr">
        <is>
          <t>M</t>
        </is>
      </c>
      <c r="DK688" s="251" t="n">
        <v>22</v>
      </c>
      <c r="DL688" s="95" t="n">
        <v>28</v>
      </c>
      <c r="DM688" s="251" t="n"/>
      <c r="DN688" s="95" t="n"/>
      <c r="DO688" s="95" t="n"/>
    </row>
    <row r="689" ht="13" customHeight="1">
      <c r="A689" s="203" t="inlineStr">
        <is>
          <t>PEM-02</t>
        </is>
      </c>
      <c r="B689" s="376" t="n"/>
      <c r="C689" s="376"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76" t="n"/>
      <c r="BL689" s="7" t="inlineStr">
        <is>
          <t>GMAP-SIGA</t>
        </is>
      </c>
      <c r="BM689" s="251" t="inlineStr">
        <is>
          <t>ASUB</t>
        </is>
      </c>
      <c r="BN689" s="337" t="inlineStr">
        <is>
          <t>Michincha</t>
        </is>
      </c>
      <c r="BO689" s="251" t="inlineStr">
        <is>
          <t>NO</t>
        </is>
      </c>
      <c r="BP689" s="106" t="inlineStr">
        <is>
          <t>PEM-02 MICHINCHA/ASUB</t>
        </is>
      </c>
      <c r="BQ689" s="106">
        <f>VLOOKUP(BP689,[1]AGUA!$1:$1048576,2,FALSE)</f>
        <v/>
      </c>
      <c r="BR689" s="106">
        <f>VLOOKUP(BP689,[1]AGUA!$1:$1048576,6,FALSE)</f>
        <v/>
      </c>
      <c r="BS689" s="106">
        <f>VLOOKUP(BP689,[1]AGUA!$1:$1048576,7,FALSE)</f>
        <v/>
      </c>
      <c r="BT689" s="106" t="n"/>
      <c r="BU689" s="377"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05" t="n"/>
      <c r="CR689" s="105" t="n"/>
      <c r="CS689" s="105" t="n"/>
      <c r="CT689" s="105" t="n"/>
      <c r="CU689" s="105" t="n"/>
      <c r="CV689" s="105" t="n"/>
      <c r="CW689" s="107" t="n">
        <v>1</v>
      </c>
      <c r="CX689" s="105" t="n"/>
      <c r="CY689" s="105" t="n"/>
      <c r="CZ689" s="124">
        <f>+COUNTA(BV689:CY689)</f>
        <v/>
      </c>
      <c r="DA689" s="251" t="n"/>
      <c r="DB689" s="251" t="n"/>
      <c r="DC689" s="251" t="n"/>
      <c r="DD689" s="251" t="n"/>
      <c r="DE689" s="251" t="n"/>
      <c r="DF689" s="251" t="n"/>
      <c r="DG689" s="251" t="n"/>
      <c r="DH689" s="251" t="n"/>
      <c r="DI689" s="251" t="n"/>
      <c r="DJ689" s="251" t="n"/>
      <c r="DK689" s="251" t="n"/>
      <c r="DL689" s="95" t="n"/>
      <c r="DM689" s="251" t="inlineStr">
        <is>
          <t>M</t>
        </is>
      </c>
      <c r="DN689" s="95" t="n">
        <v>22</v>
      </c>
      <c r="DO689" s="95" t="n">
        <v>28</v>
      </c>
    </row>
    <row r="690" ht="13" customHeight="1">
      <c r="A690" s="203" t="inlineStr">
        <is>
          <t>PEM-05</t>
        </is>
      </c>
      <c r="B690" s="305" t="inlineStr">
        <is>
          <t>PEM-05 TRANQUE</t>
        </is>
      </c>
      <c r="C690" s="251"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1" t="inlineStr">
        <is>
          <t>532MAPEM05</t>
        </is>
      </c>
      <c r="BL690" s="7" t="inlineStr">
        <is>
          <t>GMAP-SIGA</t>
        </is>
      </c>
      <c r="BM690" s="251" t="inlineStr">
        <is>
          <t>NF</t>
        </is>
      </c>
      <c r="BN690" s="337" t="inlineStr">
        <is>
          <t>Tranque</t>
        </is>
      </c>
      <c r="BO690" s="251" t="inlineStr">
        <is>
          <t>SI PAT TRANQUE</t>
        </is>
      </c>
      <c r="BP690" s="106" t="inlineStr">
        <is>
          <t>PEM-05 TRANQUE/NF</t>
        </is>
      </c>
      <c r="BQ690" s="106">
        <f>VLOOKUP(BP690,[1]AGUA!$1:$1048576,2,FALSE)</f>
        <v/>
      </c>
      <c r="BR690" s="106">
        <f>VLOOKUP(BP690,[1]AGUA!$1:$1048576,6,FALSE)</f>
        <v/>
      </c>
      <c r="BS690" s="106">
        <f>VLOOKUP(BP690,[1]AGUA!$1:$1048576,7,FALSE)</f>
        <v/>
      </c>
      <c r="BT690" s="106" t="n"/>
      <c r="BU690" s="253" t="n"/>
      <c r="BV690" s="105" t="n"/>
      <c r="BW690" s="105" t="n"/>
      <c r="BX690" s="105" t="n"/>
      <c r="BY690" s="105" t="n"/>
      <c r="BZ690" s="142" t="n">
        <v>1</v>
      </c>
      <c r="CA690" s="105" t="n"/>
      <c r="CB690" s="105" t="n"/>
      <c r="CC690" s="105" t="n"/>
      <c r="CD690" s="105" t="n"/>
      <c r="CE690" s="105" t="n"/>
      <c r="CF690" s="105" t="n"/>
      <c r="CG690" s="105" t="n"/>
      <c r="CH690" s="105" t="n"/>
      <c r="CI690" s="105" t="n"/>
      <c r="CJ690" s="105" t="n"/>
      <c r="CK690" s="105" t="n"/>
      <c r="CL690" s="105" t="n"/>
      <c r="CM690" s="105" t="n"/>
      <c r="CN690" s="105" t="n"/>
      <c r="CO690" s="105" t="n"/>
      <c r="CP690" s="105" t="n"/>
      <c r="CQ690" s="105" t="n"/>
      <c r="CR690" s="105" t="n"/>
      <c r="CS690" s="105" t="n"/>
      <c r="CT690" s="105" t="n"/>
      <c r="CU690" s="105" t="n"/>
      <c r="CV690" s="105" t="n"/>
      <c r="CX690" s="105" t="n"/>
      <c r="CY690" s="105" t="n"/>
      <c r="CZ690" s="124">
        <f>+COUNTA(BV690:CY690)</f>
        <v/>
      </c>
      <c r="DA690" s="251" t="n"/>
      <c r="DB690" s="251" t="n"/>
      <c r="DC690" s="251" t="n"/>
      <c r="DD690" s="251" t="n"/>
      <c r="DE690" s="251" t="n"/>
      <c r="DF690" s="251" t="n"/>
      <c r="DG690" s="251" t="n"/>
      <c r="DH690" s="251" t="n"/>
      <c r="DI690" s="251" t="n"/>
      <c r="DJ690" s="251" t="inlineStr">
        <is>
          <t>M</t>
        </is>
      </c>
      <c r="DK690" s="251" t="n">
        <v>8</v>
      </c>
      <c r="DL690" s="95" t="n">
        <v>14</v>
      </c>
      <c r="DM690" s="251" t="n"/>
      <c r="DN690" s="95" t="n"/>
      <c r="DO690" s="95" t="n"/>
    </row>
    <row r="691" ht="13" customHeight="1">
      <c r="A691" s="203" t="inlineStr">
        <is>
          <t>PEM-05</t>
        </is>
      </c>
      <c r="B691" s="376" t="n"/>
      <c r="C691" s="376"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76" t="n"/>
      <c r="BL691" s="7" t="inlineStr">
        <is>
          <t>GMAP-SIGA</t>
        </is>
      </c>
      <c r="BM691" s="251" t="inlineStr">
        <is>
          <t>ASUB</t>
        </is>
      </c>
      <c r="BN691" s="337" t="inlineStr">
        <is>
          <t>Tranque</t>
        </is>
      </c>
      <c r="BO691" s="251" t="inlineStr">
        <is>
          <t>SI PAT TRANQUE</t>
        </is>
      </c>
      <c r="BP691" s="106" t="inlineStr">
        <is>
          <t>PEM-05 TRANQUE/ASUB</t>
        </is>
      </c>
      <c r="BQ691" s="106">
        <f>VLOOKUP(BP691,[1]AGUA!$1:$1048576,2,FALSE)</f>
        <v/>
      </c>
      <c r="BR691" s="106">
        <f>VLOOKUP(BP691,[1]AGUA!$1:$1048576,6,FALSE)</f>
        <v/>
      </c>
      <c r="BS691" s="106">
        <f>VLOOKUP(BP691,[1]AGUA!$1:$1048576,7,FALSE)</f>
        <v/>
      </c>
      <c r="BT691" s="106" t="n"/>
      <c r="BU691" s="377" t="n"/>
      <c r="BV691" s="105" t="n"/>
      <c r="BW691" s="105" t="n"/>
      <c r="BX691" s="105" t="n"/>
      <c r="BY691" s="105" t="n"/>
      <c r="BZ691" s="107" t="n">
        <v>1</v>
      </c>
      <c r="CA691" s="105" t="n"/>
      <c r="CB691" s="105" t="n"/>
      <c r="CC691" s="105" t="n"/>
      <c r="CD691" s="105" t="n"/>
      <c r="CE691" s="105" t="n"/>
      <c r="CF691" s="105" t="n"/>
      <c r="CG691" s="105" t="n"/>
      <c r="CH691" s="105" t="n"/>
      <c r="CI691" s="105"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24">
        <f>+COUNTA(BV691:CY691)</f>
        <v/>
      </c>
      <c r="DA691" s="251" t="n"/>
      <c r="DB691" s="251" t="n"/>
      <c r="DC691" s="251" t="n"/>
      <c r="DD691" s="251" t="n"/>
      <c r="DE691" s="251" t="n"/>
      <c r="DF691" s="251" t="n"/>
      <c r="DG691" s="251" t="n"/>
      <c r="DH691" s="251" t="n"/>
      <c r="DI691" s="251" t="n"/>
      <c r="DJ691" s="251" t="n"/>
      <c r="DK691" s="251" t="n"/>
      <c r="DL691" s="95" t="n"/>
      <c r="DM691" s="251" t="inlineStr">
        <is>
          <t>M</t>
        </is>
      </c>
      <c r="DN691" s="95" t="n">
        <v>8</v>
      </c>
      <c r="DO691" s="95" t="n">
        <v>14</v>
      </c>
    </row>
    <row r="692" ht="13" customHeight="1">
      <c r="A692" s="203" t="inlineStr">
        <is>
          <t>PEM-06</t>
        </is>
      </c>
      <c r="B692" s="305" t="inlineStr">
        <is>
          <t>PEM-06 TRANQUE</t>
        </is>
      </c>
      <c r="C692" s="251"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1" t="inlineStr">
        <is>
          <t>532MAPEM06</t>
        </is>
      </c>
      <c r="BL692" s="7" t="inlineStr">
        <is>
          <t>GMAP-SIGA</t>
        </is>
      </c>
      <c r="BM692" s="251" t="inlineStr">
        <is>
          <t>NF</t>
        </is>
      </c>
      <c r="BN692" s="337" t="inlineStr">
        <is>
          <t>Tranque</t>
        </is>
      </c>
      <c r="BO692" s="251" t="inlineStr">
        <is>
          <t>SI PAT TRANQUE</t>
        </is>
      </c>
      <c r="BP692" s="106" t="inlineStr">
        <is>
          <t>PEM-06 TRANQUE/NF</t>
        </is>
      </c>
      <c r="BQ692" s="106">
        <f>VLOOKUP(BP692,[1]AGUA!$1:$1048576,2,FALSE)</f>
        <v/>
      </c>
      <c r="BR692" s="106">
        <f>VLOOKUP(BP692,[1]AGUA!$1:$1048576,6,FALSE)</f>
        <v/>
      </c>
      <c r="BS692" s="106">
        <f>VLOOKUP(BP692,[1]AGUA!$1:$1048576,7,FALSE)</f>
        <v/>
      </c>
      <c r="BT692" s="106" t="n"/>
      <c r="BU692" s="253" t="n"/>
      <c r="BV692" s="105" t="n"/>
      <c r="BW692" s="105" t="n"/>
      <c r="BX692" s="105" t="n"/>
      <c r="BY692" s="105" t="n"/>
      <c r="BZ692" s="142" t="n">
        <v>1</v>
      </c>
      <c r="CA692" s="105" t="n"/>
      <c r="CB692" s="105" t="n"/>
      <c r="CC692" s="105" t="n"/>
      <c r="CD692" s="105" t="n"/>
      <c r="CE692" s="105" t="n"/>
      <c r="CF692" s="105" t="n"/>
      <c r="CG692" s="105" t="n"/>
      <c r="CH692" s="105" t="n"/>
      <c r="CI692" s="105"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24">
        <f>+COUNTA(BV692:CY692)</f>
        <v/>
      </c>
      <c r="DA692" s="251" t="n"/>
      <c r="DB692" s="251" t="n"/>
      <c r="DC692" s="251" t="n"/>
      <c r="DD692" s="251" t="n"/>
      <c r="DE692" s="251" t="n"/>
      <c r="DF692" s="251" t="n"/>
      <c r="DG692" s="251" t="n"/>
      <c r="DH692" s="251" t="n"/>
      <c r="DI692" s="251" t="n"/>
      <c r="DJ692" s="251" t="inlineStr">
        <is>
          <t>M</t>
        </is>
      </c>
      <c r="DK692" s="251" t="n">
        <v>8</v>
      </c>
      <c r="DL692" s="95" t="n">
        <v>14</v>
      </c>
      <c r="DM692" s="251" t="n"/>
      <c r="DN692" s="95" t="n"/>
      <c r="DO692" s="95" t="n"/>
    </row>
    <row r="693" ht="13" customHeight="1">
      <c r="A693" s="203" t="inlineStr">
        <is>
          <t>PEM-06</t>
        </is>
      </c>
      <c r="B693" s="376" t="n"/>
      <c r="C693" s="376"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76" t="n"/>
      <c r="BL693" s="7" t="inlineStr">
        <is>
          <t>GMAP-SIGA</t>
        </is>
      </c>
      <c r="BM693" s="251" t="inlineStr">
        <is>
          <t>ASUB</t>
        </is>
      </c>
      <c r="BN693" s="337" t="inlineStr">
        <is>
          <t>Tranque</t>
        </is>
      </c>
      <c r="BO693" s="251" t="inlineStr">
        <is>
          <t>SI PAT TRANQUE</t>
        </is>
      </c>
      <c r="BP693" s="106" t="inlineStr">
        <is>
          <t>PEM-06 TRANQUE/ASUB</t>
        </is>
      </c>
      <c r="BQ693" s="106">
        <f>VLOOKUP(BP693,[1]AGUA!$1:$1048576,2,FALSE)</f>
        <v/>
      </c>
      <c r="BR693" s="106">
        <f>VLOOKUP(BP693,[1]AGUA!$1:$1048576,6,FALSE)</f>
        <v/>
      </c>
      <c r="BS693" s="106">
        <f>VLOOKUP(BP693,[1]AGUA!$1:$1048576,7,FALSE)</f>
        <v/>
      </c>
      <c r="BT693" s="106" t="n"/>
      <c r="BU693" s="377" t="n"/>
      <c r="BV693" s="105" t="n"/>
      <c r="BW693" s="105" t="n"/>
      <c r="BX693" s="105" t="n"/>
      <c r="BY693" s="105" t="n"/>
      <c r="BZ693" s="107" t="n">
        <v>1</v>
      </c>
      <c r="CA693" s="105" t="n"/>
      <c r="CB693" s="105" t="n"/>
      <c r="CC693" s="105" t="n"/>
      <c r="CD693" s="105" t="n"/>
      <c r="CE693" s="105" t="n"/>
      <c r="CF693" s="105" t="n"/>
      <c r="CG693" s="105" t="n"/>
      <c r="CH693" s="105" t="n"/>
      <c r="CI693" s="105"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24">
        <f>+COUNTA(BV693:CY693)</f>
        <v/>
      </c>
      <c r="DA693" s="251" t="n"/>
      <c r="DB693" s="251" t="n"/>
      <c r="DC693" s="251" t="n"/>
      <c r="DD693" s="251" t="n"/>
      <c r="DE693" s="251" t="n"/>
      <c r="DF693" s="251" t="n"/>
      <c r="DG693" s="251" t="n"/>
      <c r="DH693" s="251" t="n"/>
      <c r="DI693" s="251" t="n"/>
      <c r="DJ693" s="251" t="n"/>
      <c r="DK693" s="251" t="n"/>
      <c r="DL693" s="95" t="n"/>
      <c r="DM693" s="251" t="inlineStr">
        <is>
          <t>M</t>
        </is>
      </c>
      <c r="DN693" s="95" t="n">
        <v>8</v>
      </c>
      <c r="DO693" s="95" t="n">
        <v>14</v>
      </c>
    </row>
    <row r="694" ht="13" customHeight="1">
      <c r="A694" s="203" t="inlineStr">
        <is>
          <t>PEM-07</t>
        </is>
      </c>
      <c r="B694" s="305"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1" t="inlineStr">
        <is>
          <t>532MAPEM07</t>
        </is>
      </c>
      <c r="BL694" s="61" t="inlineStr">
        <is>
          <t>GMAP-SIGA</t>
        </is>
      </c>
      <c r="BM694" s="251" t="inlineStr">
        <is>
          <t>NF</t>
        </is>
      </c>
      <c r="BN694" s="337" t="inlineStr">
        <is>
          <t>Michincha</t>
        </is>
      </c>
      <c r="BO694" s="251"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05" t="n"/>
      <c r="CT694" s="105" t="n"/>
      <c r="CU694" s="105" t="n"/>
      <c r="CV694" s="105" t="n"/>
      <c r="CW694" s="142" t="n">
        <v>1</v>
      </c>
      <c r="CX694" s="105" t="n"/>
      <c r="CY694" s="105" t="n"/>
      <c r="CZ694" s="124">
        <f>+COUNTA(BV694:CY694)</f>
        <v/>
      </c>
      <c r="DA694" s="251" t="n"/>
      <c r="DB694" s="251" t="n"/>
      <c r="DC694" s="251" t="n"/>
      <c r="DD694" s="251" t="n"/>
      <c r="DE694" s="251" t="n"/>
      <c r="DF694" s="251" t="n"/>
      <c r="DG694" s="251" t="n"/>
      <c r="DH694" s="251" t="n"/>
      <c r="DI694" s="251" t="n"/>
      <c r="DJ694" s="251" t="inlineStr">
        <is>
          <t>B</t>
        </is>
      </c>
      <c r="DK694" s="251" t="n">
        <v>22</v>
      </c>
      <c r="DL694" s="95" t="n">
        <v>28</v>
      </c>
      <c r="DM694" s="251" t="n"/>
      <c r="DN694" s="95" t="n"/>
      <c r="DO694" s="95" t="n"/>
    </row>
    <row r="695" ht="13" customHeight="1">
      <c r="A695" s="203" t="inlineStr">
        <is>
          <t>PEM-07B</t>
        </is>
      </c>
      <c r="B695" s="305"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1" t="inlineStr">
        <is>
          <t>532MPEM07B</t>
        </is>
      </c>
      <c r="BL695" s="61" t="inlineStr">
        <is>
          <t>GMAP-SIGA</t>
        </is>
      </c>
      <c r="BM695" s="251" t="inlineStr">
        <is>
          <t>NF</t>
        </is>
      </c>
      <c r="BN695" s="337" t="inlineStr">
        <is>
          <t>Michincha</t>
        </is>
      </c>
      <c r="BO695" s="251"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42" t="n">
        <v>1</v>
      </c>
      <c r="CX695" s="105" t="n"/>
      <c r="CY695" s="105" t="n"/>
      <c r="CZ695" s="124">
        <f>+COUNTA(BV695:CY695)</f>
        <v/>
      </c>
      <c r="DA695" s="251" t="n"/>
      <c r="DB695" s="251" t="n"/>
      <c r="DC695" s="251" t="n"/>
      <c r="DD695" s="251" t="n"/>
      <c r="DE695" s="251" t="n"/>
      <c r="DF695" s="251" t="n"/>
      <c r="DG695" s="251" t="n"/>
      <c r="DH695" s="251" t="n"/>
      <c r="DI695" s="251" t="n"/>
      <c r="DJ695" s="251" t="inlineStr">
        <is>
          <t>B</t>
        </is>
      </c>
      <c r="DK695" s="251" t="n">
        <v>22</v>
      </c>
      <c r="DL695" s="95" t="n">
        <v>28</v>
      </c>
      <c r="DM695" s="251" t="n"/>
      <c r="DN695" s="95" t="n"/>
      <c r="DO695" s="95" t="n"/>
    </row>
    <row r="696" ht="13" customHeight="1">
      <c r="A696" s="203" t="inlineStr">
        <is>
          <t>PEM-09</t>
        </is>
      </c>
      <c r="B696" s="305"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2" t="inlineStr">
        <is>
          <t>532MAPEM09</t>
        </is>
      </c>
      <c r="BL696" s="61" t="inlineStr">
        <is>
          <t>LIXIVIACIÓN</t>
        </is>
      </c>
      <c r="BM696" s="251" t="inlineStr">
        <is>
          <t>NF</t>
        </is>
      </c>
      <c r="BN696" s="337" t="inlineStr">
        <is>
          <t>Lixiviación</t>
        </is>
      </c>
      <c r="BO696" s="251"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05" t="n"/>
      <c r="CT696" s="105" t="n"/>
      <c r="CU696" s="105" t="n"/>
      <c r="CV696" s="142" t="n">
        <v>1</v>
      </c>
      <c r="CW696" s="105" t="n"/>
      <c r="CX696" s="105" t="n"/>
      <c r="CY696" s="105" t="n"/>
      <c r="CZ696" s="124">
        <f>+COUNTA(BV696:CY696)</f>
        <v/>
      </c>
      <c r="DA696" s="251" t="n"/>
      <c r="DB696" s="251" t="n"/>
      <c r="DC696" s="251" t="n"/>
      <c r="DD696" s="251" t="n"/>
      <c r="DE696" s="251" t="n"/>
      <c r="DF696" s="251" t="n"/>
      <c r="DG696" s="251" t="n"/>
      <c r="DH696" s="251" t="n"/>
      <c r="DI696" s="251" t="n"/>
      <c r="DJ696" s="251" t="inlineStr">
        <is>
          <t>M</t>
        </is>
      </c>
      <c r="DK696" s="251" t="n">
        <v>22</v>
      </c>
      <c r="DL696" s="95" t="n">
        <v>28</v>
      </c>
      <c r="DM696" s="251" t="n"/>
      <c r="DN696" s="95" t="n"/>
      <c r="DO696" s="95" t="n"/>
    </row>
    <row r="697" ht="13" customHeight="1">
      <c r="A697" s="203" t="inlineStr">
        <is>
          <t>PEM-10</t>
        </is>
      </c>
      <c r="B697" s="305"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1" t="inlineStr">
        <is>
          <t>532MAPEM10</t>
        </is>
      </c>
      <c r="BL697" s="61" t="inlineStr">
        <is>
          <t>GMAP-SIGA</t>
        </is>
      </c>
      <c r="BM697" s="251" t="inlineStr">
        <is>
          <t>NF</t>
        </is>
      </c>
      <c r="BN697" s="337" t="inlineStr">
        <is>
          <t>Michincha</t>
        </is>
      </c>
      <c r="BO697" s="251"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W697" s="142" t="n">
        <v>1</v>
      </c>
      <c r="CX697" s="105" t="n"/>
      <c r="CY697" s="105" t="n"/>
      <c r="CZ697" s="124">
        <f>+COUNTA(BV697:CY697)</f>
        <v/>
      </c>
      <c r="DA697" s="251" t="n"/>
      <c r="DB697" s="251" t="n"/>
      <c r="DC697" s="251" t="n"/>
      <c r="DD697" s="251" t="n"/>
      <c r="DE697" s="251" t="n"/>
      <c r="DF697" s="251" t="n"/>
      <c r="DG697" s="251" t="n"/>
      <c r="DH697" s="251" t="n"/>
      <c r="DI697" s="251" t="n"/>
      <c r="DJ697" s="251" t="inlineStr">
        <is>
          <t>B</t>
        </is>
      </c>
      <c r="DK697" s="251" t="n">
        <v>22</v>
      </c>
      <c r="DL697" s="95" t="n">
        <v>28</v>
      </c>
      <c r="DM697" s="251" t="n"/>
      <c r="DN697" s="95" t="n"/>
      <c r="DO697" s="95" t="n"/>
    </row>
    <row r="698" ht="13" customHeight="1">
      <c r="A698" s="203" t="inlineStr">
        <is>
          <t>PEP-01</t>
        </is>
      </c>
      <c r="B698" s="305" t="inlineStr">
        <is>
          <t>PEP-01 PORTEZUELO</t>
        </is>
      </c>
      <c r="C698" s="251"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1" t="inlineStr">
        <is>
          <t>530PP014</t>
        </is>
      </c>
      <c r="BL698" s="7" t="inlineStr">
        <is>
          <t>GTAM</t>
        </is>
      </c>
      <c r="BM698" s="251" t="inlineStr">
        <is>
          <t>NF</t>
        </is>
      </c>
      <c r="BN698" s="337" t="inlineStr">
        <is>
          <t>Portezuelo</t>
        </is>
      </c>
      <c r="BO698" s="168" t="inlineStr">
        <is>
          <t>SI / PAT FRONTERA</t>
        </is>
      </c>
      <c r="BP698" s="106" t="inlineStr">
        <is>
          <t>PEP-01 PORTEZUELO/NF</t>
        </is>
      </c>
      <c r="BQ698" s="106">
        <f>VLOOKUP(BP698,[1]AGUA!$1:$1048576,2,FALSE)</f>
        <v/>
      </c>
      <c r="BR698" s="106">
        <f>VLOOKUP(BP698,[1]AGUA!$1:$1048576,6,FALSE)</f>
        <v/>
      </c>
      <c r="BS698" s="106">
        <f>VLOOKUP(BP698,[1]AGUA!$1:$1048576,7,FALSE)</f>
        <v/>
      </c>
      <c r="BT698" s="106" t="n"/>
      <c r="BU698" s="253"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05" t="n"/>
      <c r="CK698" s="105" t="n"/>
      <c r="CL698" s="105" t="n"/>
      <c r="CM698" s="105" t="n"/>
      <c r="CN698" s="142" t="n">
        <v>1</v>
      </c>
      <c r="CO698" s="105" t="n"/>
      <c r="CP698" s="105" t="n"/>
      <c r="CQ698" s="105" t="n"/>
      <c r="CR698" s="105" t="n"/>
      <c r="CS698" s="105" t="n"/>
      <c r="CT698" s="105" t="n"/>
      <c r="CU698" s="105" t="n"/>
      <c r="CV698" s="105" t="n"/>
      <c r="CW698" s="105" t="n"/>
      <c r="CX698" s="105" t="n"/>
      <c r="CY698" s="105" t="n"/>
      <c r="CZ698" s="124">
        <f>+COUNTA(BV698:CY698)</f>
        <v/>
      </c>
      <c r="DA698" s="251" t="n"/>
      <c r="DB698" s="251" t="n"/>
      <c r="DC698" s="251" t="n"/>
      <c r="DD698" s="251" t="n"/>
      <c r="DE698" s="251" t="n"/>
      <c r="DF698" s="251" t="n"/>
      <c r="DG698" s="251" t="n"/>
      <c r="DH698" s="251" t="n"/>
      <c r="DI698" s="251" t="n"/>
      <c r="DJ698" s="251" t="inlineStr">
        <is>
          <t>M</t>
        </is>
      </c>
      <c r="DK698" s="251" t="n">
        <v>8</v>
      </c>
      <c r="DL698" s="95" t="n">
        <v>21</v>
      </c>
      <c r="DM698" s="251" t="n"/>
      <c r="DN698" s="95" t="n"/>
      <c r="DO698" s="95" t="n"/>
    </row>
    <row r="699" ht="13" customHeight="1">
      <c r="A699" s="203" t="inlineStr">
        <is>
          <t>PEP-01</t>
        </is>
      </c>
      <c r="B699" s="376" t="n"/>
      <c r="C699" s="376"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76" t="n"/>
      <c r="BL699" s="7" t="inlineStr">
        <is>
          <t>GTAM</t>
        </is>
      </c>
      <c r="BM699" s="251" t="inlineStr">
        <is>
          <t>ASUB</t>
        </is>
      </c>
      <c r="BN699" s="337" t="inlineStr">
        <is>
          <t>Portezuelo</t>
        </is>
      </c>
      <c r="BO699" s="251" t="inlineStr">
        <is>
          <t>SI / PAT FRONTERA</t>
        </is>
      </c>
      <c r="BP699" s="106" t="inlineStr">
        <is>
          <t>PEP-01 PORTEZUELO/ASUB</t>
        </is>
      </c>
      <c r="BQ699" s="106">
        <f>VLOOKUP(BP699,[1]AGUA!$1:$1048576,2,FALSE)</f>
        <v/>
      </c>
      <c r="BR699" s="106">
        <f>VLOOKUP(BP699,[1]AGUA!$1:$1048576,6,FALSE)</f>
        <v/>
      </c>
      <c r="BS699" s="106">
        <f>VLOOKUP(BP699,[1]AGUA!$1:$1048576,7,FALSE)</f>
        <v/>
      </c>
      <c r="BT699" s="106" t="n"/>
      <c r="BU699" s="377" t="n"/>
      <c r="BV699" s="105" t="n"/>
      <c r="BW699" s="105" t="n"/>
      <c r="BX699" s="105" t="n"/>
      <c r="BY699" s="105" t="n"/>
      <c r="BZ699" s="105" t="n"/>
      <c r="CA699" s="105" t="n"/>
      <c r="CB699" s="105" t="n"/>
      <c r="CC699" s="105" t="n"/>
      <c r="CD699" s="105" t="n"/>
      <c r="CE699" s="105" t="n"/>
      <c r="CF699" s="105" t="n"/>
      <c r="CG699" s="105" t="n"/>
      <c r="CH699" s="105" t="n"/>
      <c r="CI699" s="105" t="n"/>
      <c r="CJ699" s="105" t="n"/>
      <c r="CK699" s="105" t="n"/>
      <c r="CL699" s="105" t="n"/>
      <c r="CM699" s="105" t="n"/>
      <c r="CN699" s="107" t="n">
        <v>1</v>
      </c>
      <c r="CO699" s="105" t="n"/>
      <c r="CP699" s="105" t="n"/>
      <c r="CQ699" s="105" t="n"/>
      <c r="CR699" s="105" t="n"/>
      <c r="CS699" s="105" t="n"/>
      <c r="CT699" s="105" t="n"/>
      <c r="CU699" s="105" t="n"/>
      <c r="CV699" s="105" t="n"/>
      <c r="CW699" s="105" t="n"/>
      <c r="CX699" s="105" t="n"/>
      <c r="CY699" s="105" t="n"/>
      <c r="CZ699" s="124">
        <f>+COUNTA(BV699:CY699)</f>
        <v/>
      </c>
      <c r="DA699" s="251" t="n"/>
      <c r="DB699" s="251" t="n"/>
      <c r="DC699" s="251" t="n"/>
      <c r="DD699" s="251" t="n"/>
      <c r="DE699" s="251" t="n"/>
      <c r="DF699" s="251" t="n"/>
      <c r="DG699" s="251" t="n"/>
      <c r="DH699" s="251" t="n"/>
      <c r="DI699" s="251" t="n"/>
      <c r="DJ699" s="251" t="n"/>
      <c r="DK699" s="251" t="n"/>
      <c r="DL699" s="95" t="n"/>
      <c r="DM699" s="251" t="inlineStr">
        <is>
          <t>M</t>
        </is>
      </c>
      <c r="DN699" s="95" t="n">
        <v>8</v>
      </c>
      <c r="DO699" s="95" t="n">
        <v>21</v>
      </c>
    </row>
    <row r="700" ht="13" customHeight="1">
      <c r="A700" s="203" t="inlineStr">
        <is>
          <t>PEP-02</t>
        </is>
      </c>
      <c r="B700" s="305"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2" t="inlineStr">
        <is>
          <t>532MAPEP02</t>
        </is>
      </c>
      <c r="BL700" s="61" t="inlineStr">
        <is>
          <t>GTAM</t>
        </is>
      </c>
      <c r="BM700" s="251" t="inlineStr">
        <is>
          <t>NF</t>
        </is>
      </c>
      <c r="BN700" s="337" t="inlineStr">
        <is>
          <t>Portezuelo</t>
        </is>
      </c>
      <c r="BO700" s="168"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05" t="n"/>
      <c r="CK700" s="105" t="n"/>
      <c r="CL700" s="105" t="n"/>
      <c r="CM700" s="105" t="n"/>
      <c r="CN700" s="142" t="n">
        <v>1</v>
      </c>
      <c r="CO700" s="105" t="n"/>
      <c r="CP700" s="105" t="n"/>
      <c r="CQ700" s="105" t="n"/>
      <c r="CR700" s="105" t="n"/>
      <c r="CS700" s="105" t="n"/>
      <c r="CT700" s="105" t="n"/>
      <c r="CU700" s="105" t="n"/>
      <c r="CV700" s="105" t="n"/>
      <c r="CW700" s="105" t="n"/>
      <c r="CX700" s="105" t="n"/>
      <c r="CY700" s="105" t="n"/>
      <c r="CZ700" s="124">
        <f>+COUNTA(BV700:CY700)</f>
        <v/>
      </c>
      <c r="DA700" s="251" t="n"/>
      <c r="DB700" s="251" t="n"/>
      <c r="DC700" s="251" t="n"/>
      <c r="DD700" s="251" t="n"/>
      <c r="DE700" s="251" t="n"/>
      <c r="DF700" s="251" t="n"/>
      <c r="DG700" s="251" t="n"/>
      <c r="DH700" s="251" t="n"/>
      <c r="DI700" s="251" t="n"/>
      <c r="DJ700" s="251" t="inlineStr">
        <is>
          <t>M</t>
        </is>
      </c>
      <c r="DK700" s="251" t="n">
        <v>8</v>
      </c>
      <c r="DL700" s="95" t="n">
        <v>21</v>
      </c>
      <c r="DM700" s="251" t="n"/>
      <c r="DN700" s="95" t="n"/>
      <c r="DO700" s="95" t="n"/>
    </row>
    <row r="701" ht="12.5" customHeight="1">
      <c r="A701" s="203" t="inlineStr">
        <is>
          <t>PEP-02</t>
        </is>
      </c>
      <c r="B701" s="305"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2" t="n"/>
      <c r="BL701" s="61" t="n"/>
      <c r="BM701" s="251" t="inlineStr">
        <is>
          <t>ASUB</t>
        </is>
      </c>
      <c r="BN701" s="337" t="inlineStr">
        <is>
          <t>Portezuelo</t>
        </is>
      </c>
      <c r="BO701" s="251"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N701" s="105" t="n"/>
      <c r="CO701" s="105" t="n"/>
      <c r="CP701" s="105" t="n"/>
      <c r="CQ701" s="105" t="n"/>
      <c r="CR701" s="105" t="n"/>
      <c r="CS701" s="105" t="n"/>
      <c r="CT701" s="105" t="n"/>
      <c r="CU701" s="105" t="n"/>
      <c r="CV701" s="105" t="n"/>
      <c r="CW701" s="105" t="n"/>
      <c r="CX701" s="105" t="n"/>
      <c r="CY701" s="105" t="n"/>
      <c r="CZ701" s="124">
        <f>+COUNTA(BV701:CY701)</f>
        <v/>
      </c>
      <c r="DA701" s="251" t="n"/>
      <c r="DB701" s="251" t="n"/>
      <c r="DC701" s="251" t="n"/>
      <c r="DD701" s="251" t="n"/>
      <c r="DE701" s="251" t="n"/>
      <c r="DF701" s="251" t="n"/>
      <c r="DG701" s="251" t="n"/>
      <c r="DH701" s="251" t="n"/>
      <c r="DI701" s="251" t="n"/>
      <c r="DJ701" s="251" t="n"/>
      <c r="DK701" s="251" t="n"/>
      <c r="DL701" s="95" t="n"/>
      <c r="DM701" s="251" t="n"/>
      <c r="DN701" s="95" t="n"/>
      <c r="DO701" s="95" t="n"/>
    </row>
    <row r="702" ht="13" customHeight="1">
      <c r="A702" s="203" t="inlineStr">
        <is>
          <t>PEP-03</t>
        </is>
      </c>
      <c r="B702" s="305" t="inlineStr">
        <is>
          <t>PEP-03 PORTEZUELO</t>
        </is>
      </c>
      <c r="C702" s="251"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1" t="inlineStr">
        <is>
          <t>530PP053</t>
        </is>
      </c>
      <c r="BL702" s="7" t="inlineStr">
        <is>
          <t>GTAM</t>
        </is>
      </c>
      <c r="BM702" s="251" t="inlineStr">
        <is>
          <t>NF</t>
        </is>
      </c>
      <c r="BN702" s="337" t="inlineStr">
        <is>
          <t>Portezuelo</t>
        </is>
      </c>
      <c r="BO702" s="168" t="inlineStr">
        <is>
          <t>SI / PAT FRONTERA</t>
        </is>
      </c>
      <c r="BP702" s="106" t="inlineStr">
        <is>
          <t>PEP-03 PORTEZUELO/NF</t>
        </is>
      </c>
      <c r="BQ702" s="106">
        <f>VLOOKUP(BP702,[1]AGUA!$1:$1048576,2,FALSE)</f>
        <v/>
      </c>
      <c r="BR702" s="106">
        <f>VLOOKUP(BP702,[1]AGUA!$1:$1048576,6,FALSE)</f>
        <v/>
      </c>
      <c r="BS702" s="106">
        <f>VLOOKUP(BP702,[1]AGUA!$1:$1048576,7,FALSE)</f>
        <v/>
      </c>
      <c r="BT702" s="106" t="n"/>
      <c r="BU702" s="253"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05" t="n"/>
      <c r="CK702" s="105" t="n"/>
      <c r="CL702" s="105" t="n"/>
      <c r="CM702" s="105" t="n"/>
      <c r="CN702" s="142" t="n">
        <v>1</v>
      </c>
      <c r="CO702" s="105" t="n"/>
      <c r="CP702" s="105" t="n"/>
      <c r="CQ702" s="105" t="n"/>
      <c r="CR702" s="105" t="n"/>
      <c r="CS702" s="105" t="n"/>
      <c r="CT702" s="105" t="n"/>
      <c r="CU702" s="105" t="n"/>
      <c r="CV702" s="105" t="n"/>
      <c r="CW702" s="105" t="n"/>
      <c r="CX702" s="105" t="n"/>
      <c r="CY702" s="105" t="n"/>
      <c r="CZ702" s="124">
        <f>+COUNTA(BV702:CY702)</f>
        <v/>
      </c>
      <c r="DA702" s="251" t="n"/>
      <c r="DB702" s="251" t="n"/>
      <c r="DC702" s="251" t="n"/>
      <c r="DD702" s="251" t="n"/>
      <c r="DE702" s="251" t="n"/>
      <c r="DF702" s="251" t="n"/>
      <c r="DG702" s="251" t="n"/>
      <c r="DH702" s="251" t="n"/>
      <c r="DI702" s="251" t="n"/>
      <c r="DJ702" s="251" t="inlineStr">
        <is>
          <t>M</t>
        </is>
      </c>
      <c r="DK702" s="251" t="n">
        <v>8</v>
      </c>
      <c r="DL702" s="95" t="n">
        <v>21</v>
      </c>
      <c r="DM702" s="251" t="n"/>
      <c r="DN702" s="95" t="n"/>
      <c r="DO702" s="95" t="n"/>
    </row>
    <row r="703" ht="12.5" customHeight="1">
      <c r="A703" s="203" t="inlineStr">
        <is>
          <t>PEP-03</t>
        </is>
      </c>
      <c r="B703" s="376" t="n"/>
      <c r="C703" s="376"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76" t="n"/>
      <c r="BL703" s="7" t="inlineStr">
        <is>
          <t>GTAM</t>
        </is>
      </c>
      <c r="BM703" s="251" t="inlineStr">
        <is>
          <t>ASUB</t>
        </is>
      </c>
      <c r="BN703" s="337" t="inlineStr">
        <is>
          <t>Portezuelo</t>
        </is>
      </c>
      <c r="BO703" s="251"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77" t="n"/>
      <c r="BV703" s="105" t="n"/>
      <c r="BW703" s="105" t="n"/>
      <c r="BX703" s="105" t="n"/>
      <c r="BY703" s="105" t="n"/>
      <c r="BZ703" s="105" t="n"/>
      <c r="CA703" s="105" t="n"/>
      <c r="CB703" s="105" t="n"/>
      <c r="CC703" s="105" t="n"/>
      <c r="CD703" s="105" t="n"/>
      <c r="CE703" s="105" t="n"/>
      <c r="CF703" s="105" t="n"/>
      <c r="CG703" s="105" t="n"/>
      <c r="CH703" s="105" t="n"/>
      <c r="CI703" s="105" t="n"/>
      <c r="CJ703" s="105" t="n"/>
      <c r="CK703" s="105" t="n"/>
      <c r="CL703" s="105" t="n"/>
      <c r="CM703" s="105" t="n"/>
      <c r="CN703" s="107" t="n">
        <v>1</v>
      </c>
      <c r="CO703" s="105" t="n"/>
      <c r="CP703" s="105" t="n"/>
      <c r="CQ703" s="105" t="n"/>
      <c r="CR703" s="105" t="n"/>
      <c r="CS703" s="105" t="n"/>
      <c r="CT703" s="105" t="n"/>
      <c r="CU703" s="105" t="n"/>
      <c r="CV703" s="105" t="n"/>
      <c r="CW703" s="105" t="n"/>
      <c r="CX703" s="105" t="n"/>
      <c r="CY703" s="105" t="n"/>
      <c r="CZ703" s="124">
        <f>+COUNTA(BV703:CY703)</f>
        <v/>
      </c>
      <c r="DA703" s="251" t="n"/>
      <c r="DB703" s="251" t="n"/>
      <c r="DC703" s="251" t="n"/>
      <c r="DD703" s="251" t="n"/>
      <c r="DE703" s="251" t="n"/>
      <c r="DF703" s="251" t="n"/>
      <c r="DG703" s="251" t="n"/>
      <c r="DH703" s="251" t="n"/>
      <c r="DI703" s="251" t="n"/>
      <c r="DJ703" s="251" t="n"/>
      <c r="DK703" s="251" t="n"/>
      <c r="DL703" s="95" t="n"/>
      <c r="DM703" s="251" t="inlineStr">
        <is>
          <t>M</t>
        </is>
      </c>
      <c r="DN703" s="95" t="n">
        <v>8</v>
      </c>
      <c r="DO703" s="95" t="n">
        <v>21</v>
      </c>
    </row>
    <row r="704" ht="13" customHeight="1">
      <c r="A704" s="203" t="inlineStr">
        <is>
          <t>PEP-04</t>
        </is>
      </c>
      <c r="B704" s="305" t="inlineStr">
        <is>
          <t>PEP-04C PORTEZUELO</t>
        </is>
      </c>
      <c r="C704" s="251"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1" t="inlineStr">
        <is>
          <t>530PP034</t>
        </is>
      </c>
      <c r="BL704" s="7" t="inlineStr">
        <is>
          <t>GTAM</t>
        </is>
      </c>
      <c r="BM704" s="251" t="inlineStr">
        <is>
          <t>NF</t>
        </is>
      </c>
      <c r="BN704" s="337" t="inlineStr">
        <is>
          <t>Portezuelo</t>
        </is>
      </c>
      <c r="BO704" s="168" t="inlineStr">
        <is>
          <t>SI / PAT FRONTERA</t>
        </is>
      </c>
      <c r="BP704" s="106" t="inlineStr">
        <is>
          <t>PEP-04C PORTEZUELO/NF</t>
        </is>
      </c>
      <c r="BQ704" s="106">
        <f>VLOOKUP(BP704,[1]AGUA!$1:$1048576,2,FALSE)</f>
        <v/>
      </c>
      <c r="BR704" s="106">
        <f>VLOOKUP(BP704,[1]AGUA!$1:$1048576,6,FALSE)</f>
        <v/>
      </c>
      <c r="BS704" s="106">
        <f>VLOOKUP(BP704,[1]AGUA!$1:$1048576,7,FALSE)</f>
        <v/>
      </c>
      <c r="BT704" s="106" t="n"/>
      <c r="BU704" s="253"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05" t="n"/>
      <c r="CK704" s="105" t="n"/>
      <c r="CL704" s="105" t="n"/>
      <c r="CM704" s="105" t="n"/>
      <c r="CN704" s="142" t="n">
        <v>1</v>
      </c>
      <c r="CO704" s="105" t="n"/>
      <c r="CP704" s="105" t="n"/>
      <c r="CQ704" s="105" t="n"/>
      <c r="CR704" s="105" t="n"/>
      <c r="CS704" s="105" t="n"/>
      <c r="CT704" s="105" t="n"/>
      <c r="CU704" s="105" t="n"/>
      <c r="CV704" s="105" t="n"/>
      <c r="CW704" s="105" t="n"/>
      <c r="CX704" s="105" t="n"/>
      <c r="CY704" s="105" t="n"/>
      <c r="CZ704" s="124">
        <f>+COUNTA(BV704:CY704)</f>
        <v/>
      </c>
      <c r="DA704" s="251" t="n"/>
      <c r="DB704" s="251" t="n"/>
      <c r="DC704" s="251" t="n"/>
      <c r="DD704" s="251" t="n"/>
      <c r="DE704" s="251" t="n"/>
      <c r="DF704" s="251" t="n"/>
      <c r="DG704" s="251" t="n"/>
      <c r="DH704" s="251" t="n"/>
      <c r="DI704" s="251" t="n"/>
      <c r="DJ704" s="251" t="inlineStr">
        <is>
          <t>M</t>
        </is>
      </c>
      <c r="DK704" s="251" t="n">
        <v>8</v>
      </c>
      <c r="DL704" s="95" t="n">
        <v>21</v>
      </c>
      <c r="DM704" s="251" t="n"/>
      <c r="DN704" s="95" t="n"/>
      <c r="DO704" s="95" t="n"/>
    </row>
    <row r="705" ht="13" customHeight="1">
      <c r="A705" s="203" t="inlineStr">
        <is>
          <t>PEP-04</t>
        </is>
      </c>
      <c r="B705" s="376" t="n"/>
      <c r="C705" s="376"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76" t="n"/>
      <c r="BL705" s="7" t="inlineStr">
        <is>
          <t>GTAM</t>
        </is>
      </c>
      <c r="BM705" s="251" t="inlineStr">
        <is>
          <t>ASUB</t>
        </is>
      </c>
      <c r="BN705" s="337" t="inlineStr">
        <is>
          <t>Portezuelo</t>
        </is>
      </c>
      <c r="BO705" s="251"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77" t="n"/>
      <c r="BV705" s="105" t="n"/>
      <c r="BW705" s="105" t="n"/>
      <c r="BX705" s="105" t="n"/>
      <c r="BY705" s="105" t="n"/>
      <c r="BZ705" s="105" t="n"/>
      <c r="CA705" s="105" t="n"/>
      <c r="CB705" s="105" t="n"/>
      <c r="CC705" s="105" t="n"/>
      <c r="CD705" s="105" t="n"/>
      <c r="CE705" s="105" t="n"/>
      <c r="CF705" s="105" t="n"/>
      <c r="CG705" s="105" t="n"/>
      <c r="CH705" s="105" t="n"/>
      <c r="CI705" s="105" t="n"/>
      <c r="CJ705" s="105" t="n"/>
      <c r="CK705" s="105" t="n"/>
      <c r="CL705" s="105" t="n"/>
      <c r="CM705" s="105" t="n"/>
      <c r="CN705" s="107" t="n">
        <v>1</v>
      </c>
      <c r="CO705" s="105" t="n"/>
      <c r="CP705" s="105" t="n"/>
      <c r="CQ705" s="105" t="n"/>
      <c r="CR705" s="105" t="n"/>
      <c r="CS705" s="105" t="n"/>
      <c r="CT705" s="105" t="n"/>
      <c r="CU705" s="105" t="n"/>
      <c r="CV705" s="105" t="n"/>
      <c r="CW705" s="105" t="n"/>
      <c r="CX705" s="105" t="n"/>
      <c r="CY705" s="105" t="n"/>
      <c r="CZ705" s="124">
        <f>+COUNTA(BV705:CY705)</f>
        <v/>
      </c>
      <c r="DA705" s="251" t="n"/>
      <c r="DB705" s="251" t="n"/>
      <c r="DC705" s="251" t="n"/>
      <c r="DD705" s="251" t="n"/>
      <c r="DE705" s="251" t="n"/>
      <c r="DF705" s="251" t="n"/>
      <c r="DG705" s="251" t="n"/>
      <c r="DH705" s="251" t="n"/>
      <c r="DI705" s="251" t="n"/>
      <c r="DJ705" s="251" t="n"/>
      <c r="DK705" s="251" t="n"/>
      <c r="DL705" s="95" t="n"/>
      <c r="DM705" s="251" t="inlineStr">
        <is>
          <t>M</t>
        </is>
      </c>
      <c r="DN705" s="95" t="n">
        <v>8</v>
      </c>
      <c r="DO705" s="95" t="n">
        <v>21</v>
      </c>
    </row>
    <row r="706" ht="13" customHeight="1">
      <c r="A706" s="203" t="inlineStr">
        <is>
          <t>PER-12</t>
        </is>
      </c>
      <c r="B706" s="305"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2" t="inlineStr">
        <is>
          <t>532MAPER12</t>
        </is>
      </c>
      <c r="BL706" s="61" t="inlineStr">
        <is>
          <t>GMAP-SIGA</t>
        </is>
      </c>
      <c r="BM706" s="251" t="inlineStr">
        <is>
          <t>NF</t>
        </is>
      </c>
      <c r="BN706" s="337" t="inlineStr">
        <is>
          <t>Yabricollita (FUERA)</t>
        </is>
      </c>
      <c r="BO706" s="251"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42" t="n">
        <v>1</v>
      </c>
      <c r="CV706" s="105" t="n"/>
      <c r="CW706" s="105" t="n"/>
      <c r="CX706" s="105" t="n"/>
      <c r="CY706" s="105" t="n"/>
      <c r="CZ706" s="124">
        <f>+COUNTA(BV706:CY706)</f>
        <v/>
      </c>
      <c r="DA706" s="251" t="n"/>
      <c r="DB706" s="251" t="n"/>
      <c r="DC706" s="251" t="n"/>
      <c r="DD706" s="251" t="n"/>
      <c r="DE706" s="251" t="n"/>
      <c r="DF706" s="251" t="n"/>
      <c r="DG706" s="251" t="n"/>
      <c r="DH706" s="251" t="n"/>
      <c r="DI706" s="251" t="n"/>
      <c r="DJ706" s="251" t="inlineStr">
        <is>
          <t>B</t>
        </is>
      </c>
      <c r="DK706" s="251" t="n">
        <v>22</v>
      </c>
      <c r="DL706" s="95" t="n">
        <v>28</v>
      </c>
      <c r="DM706" s="251" t="n"/>
      <c r="DN706" s="95" t="n"/>
      <c r="DO706" s="95" t="n"/>
    </row>
    <row r="707" ht="13" customHeight="1">
      <c r="A707" s="203" t="inlineStr">
        <is>
          <t>PEU-2B</t>
        </is>
      </c>
      <c r="B707" s="305"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1" t="inlineStr">
        <is>
          <t>532MPEU02B</t>
        </is>
      </c>
      <c r="BL707" s="61" t="inlineStr">
        <is>
          <t>GMAP-SIGA</t>
        </is>
      </c>
      <c r="BM707" s="251" t="inlineStr">
        <is>
          <t>NF</t>
        </is>
      </c>
      <c r="BN707" s="337" t="inlineStr">
        <is>
          <t>Michincha</t>
        </is>
      </c>
      <c r="BO707" s="251"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U707" s="105" t="n"/>
      <c r="CV707" s="105" t="n"/>
      <c r="CW707" s="142" t="n">
        <v>1</v>
      </c>
      <c r="CX707" s="105" t="n"/>
      <c r="CY707" s="105" t="n"/>
      <c r="CZ707" s="124">
        <f>+COUNTA(BV707:CY707)</f>
        <v/>
      </c>
      <c r="DA707" s="251" t="n"/>
      <c r="DB707" s="251" t="n"/>
      <c r="DC707" s="251" t="n"/>
      <c r="DD707" s="251" t="n"/>
      <c r="DE707" s="251" t="n"/>
      <c r="DF707" s="251" t="n"/>
      <c r="DG707" s="251" t="n"/>
      <c r="DH707" s="251" t="n"/>
      <c r="DI707" s="251" t="n"/>
      <c r="DJ707" s="251" t="inlineStr">
        <is>
          <t>M</t>
        </is>
      </c>
      <c r="DK707" s="251" t="n">
        <v>22</v>
      </c>
      <c r="DL707" s="95" t="n">
        <v>28</v>
      </c>
      <c r="DM707" s="251" t="n"/>
      <c r="DN707" s="95" t="n"/>
      <c r="DO707" s="95" t="n"/>
    </row>
    <row r="708" ht="13" customHeight="1">
      <c r="A708" s="203" t="inlineStr">
        <is>
          <t>PIEZ-11</t>
        </is>
      </c>
      <c r="B708" s="305"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1" t="inlineStr">
        <is>
          <t>532MPIEZ19</t>
        </is>
      </c>
      <c r="BL708" s="61" t="inlineStr">
        <is>
          <t>MINA</t>
        </is>
      </c>
      <c r="BM708" s="251" t="inlineStr">
        <is>
          <t>NF</t>
        </is>
      </c>
      <c r="BN708" s="337" t="inlineStr">
        <is>
          <t>Ujina</t>
        </is>
      </c>
      <c r="BO708" s="251"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105" t="n"/>
      <c r="BW708" s="105" t="n"/>
      <c r="BX708" s="105" t="n"/>
      <c r="BY708" s="105" t="n"/>
      <c r="BZ708" s="105" t="n"/>
      <c r="CA708" s="105" t="n"/>
      <c r="CB708" s="105" t="n"/>
      <c r="CC708" s="105" t="n"/>
      <c r="CD708" s="105" t="n"/>
      <c r="CE708" s="142" t="n">
        <v>1</v>
      </c>
      <c r="CG708" s="142" t="n">
        <v>1</v>
      </c>
      <c r="CH708" s="105" t="n"/>
      <c r="CI708" s="105" t="n"/>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24">
        <f>+COUNTA(BV708:CY708)</f>
        <v/>
      </c>
      <c r="DA708" s="251" t="n"/>
      <c r="DB708" s="251" t="n"/>
      <c r="DC708" s="251" t="n"/>
      <c r="DD708" s="251" t="n"/>
      <c r="DE708" s="251" t="n"/>
      <c r="DF708" s="251" t="n"/>
      <c r="DG708" s="251" t="n"/>
      <c r="DH708" s="251" t="n"/>
      <c r="DI708" s="251" t="n"/>
      <c r="DJ708" s="251" t="inlineStr">
        <is>
          <t>M</t>
        </is>
      </c>
      <c r="DK708" s="251" t="n">
        <v>8</v>
      </c>
      <c r="DL708" s="95" t="n">
        <v>14</v>
      </c>
      <c r="DM708" s="251" t="n"/>
      <c r="DN708" s="95" t="n"/>
      <c r="DO708" s="95" t="n"/>
    </row>
    <row r="709" ht="13" customHeight="1">
      <c r="A709" s="203" t="inlineStr">
        <is>
          <t>PLIX-01A</t>
        </is>
      </c>
      <c r="B709" s="305" t="inlineStr">
        <is>
          <t>PLIX-01A LIXIVIACIÓN</t>
        </is>
      </c>
      <c r="C709" s="251"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1" t="inlineStr">
        <is>
          <t>532MAPLIX</t>
        </is>
      </c>
      <c r="BL709" s="7" t="inlineStr">
        <is>
          <t>LIXIVIACIÓN</t>
        </is>
      </c>
      <c r="BM709" s="251" t="inlineStr">
        <is>
          <t>NF</t>
        </is>
      </c>
      <c r="BN709" s="337" t="inlineStr">
        <is>
          <t>Lixiviación</t>
        </is>
      </c>
      <c r="BO709" s="251" t="inlineStr">
        <is>
          <t>SI</t>
        </is>
      </c>
      <c r="BP709" s="106" t="inlineStr">
        <is>
          <t>PLIX-01A LIXIVIACIÓN/NF</t>
        </is>
      </c>
      <c r="BQ709" s="106">
        <f>VLOOKUP(BP709,[1]AGUA!$1:$1048576,2,FALSE)</f>
        <v/>
      </c>
      <c r="BR709" s="106">
        <f>VLOOKUP(BP709,[1]AGUA!$1:$1048576,6,FALSE)</f>
        <v/>
      </c>
      <c r="BS709" s="106">
        <f>VLOOKUP(BP709,[1]AGUA!$1:$1048576,7,FALSE)</f>
        <v/>
      </c>
      <c r="BT709" s="106" t="n"/>
      <c r="BU709" s="186" t="inlineStr">
        <is>
          <t>Programar a principio de mes, ya que se reportan hasta el 10 de cada mes.</t>
        </is>
      </c>
      <c r="BV709" s="105" t="n"/>
      <c r="BW709" s="105" t="n"/>
      <c r="BX709" s="105" t="n"/>
      <c r="BY709" s="142" t="n">
        <v>1</v>
      </c>
      <c r="BZ709" s="125" t="n"/>
      <c r="CA709" s="125"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24">
        <f>+COUNTA(BV709:CY709)</f>
        <v/>
      </c>
      <c r="DA709" s="251" t="n"/>
      <c r="DB709" s="251" t="n"/>
      <c r="DC709" s="251" t="n"/>
      <c r="DD709" s="251" t="n"/>
      <c r="DE709" s="251" t="n"/>
      <c r="DF709" s="251" t="n"/>
      <c r="DG709" s="251" t="n"/>
      <c r="DH709" s="251" t="n"/>
      <c r="DI709" s="251" t="n"/>
      <c r="DJ709" s="251" t="inlineStr">
        <is>
          <t>M</t>
        </is>
      </c>
      <c r="DK709" s="251" t="n">
        <v>1</v>
      </c>
      <c r="DL709" s="95" t="n">
        <v>7</v>
      </c>
      <c r="DM709" s="251" t="n"/>
      <c r="DN709" s="95" t="n"/>
      <c r="DO709" s="95" t="n"/>
    </row>
    <row r="710" ht="13" customHeight="1">
      <c r="A710" s="203" t="inlineStr">
        <is>
          <t>PLIX-01A</t>
        </is>
      </c>
      <c r="B710" s="376" t="n"/>
      <c r="C710" s="376"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76" t="n"/>
      <c r="BL710" s="7" t="inlineStr">
        <is>
          <t>LIXIVIACIÓN</t>
        </is>
      </c>
      <c r="BM710" s="251" t="inlineStr">
        <is>
          <t>ASUB</t>
        </is>
      </c>
      <c r="BN710" s="337" t="inlineStr">
        <is>
          <t>Lixiviación</t>
        </is>
      </c>
      <c r="BO710" s="251" t="inlineStr">
        <is>
          <t>SI</t>
        </is>
      </c>
      <c r="BP710" s="106" t="inlineStr">
        <is>
          <t>PLIX-01A LIXIVIACIÓN/ASUB</t>
        </is>
      </c>
      <c r="BQ710" s="106">
        <f>VLOOKUP(BP710,[1]AGUA!$1:$1048576,2,FALSE)</f>
        <v/>
      </c>
      <c r="BR710" s="106">
        <f>VLOOKUP(BP710,[1]AGUA!$1:$1048576,6,FALSE)</f>
        <v/>
      </c>
      <c r="BS710" s="106">
        <f>VLOOKUP(BP710,[1]AGUA!$1:$1048576,7,FALSE)</f>
        <v/>
      </c>
      <c r="BT710" s="106" t="n"/>
      <c r="BU710" s="186" t="inlineStr">
        <is>
          <t>Programar a principio de mes, ya que se reportan hasta el 10 de cada mes.</t>
        </is>
      </c>
      <c r="BV710" s="105" t="n"/>
      <c r="BW710" s="105" t="n"/>
      <c r="BX710" s="105" t="n"/>
      <c r="BY710" s="107" t="n">
        <v>1</v>
      </c>
      <c r="BZ710" s="125" t="n"/>
      <c r="CA710" s="125"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24">
        <f>+COUNTA(BV710:CY710)</f>
        <v/>
      </c>
      <c r="DA710" s="251" t="n"/>
      <c r="DB710" s="251" t="n"/>
      <c r="DC710" s="251" t="n"/>
      <c r="DD710" s="251" t="n"/>
      <c r="DE710" s="251" t="n"/>
      <c r="DF710" s="251" t="n"/>
      <c r="DG710" s="251" t="n"/>
      <c r="DH710" s="251" t="n"/>
      <c r="DI710" s="251" t="n"/>
      <c r="DJ710" s="251" t="n"/>
      <c r="DK710" s="251" t="n"/>
      <c r="DL710" s="95" t="n"/>
      <c r="DM710" s="251" t="inlineStr">
        <is>
          <t>M</t>
        </is>
      </c>
      <c r="DN710" s="95" t="n">
        <v>1</v>
      </c>
      <c r="DO710" s="95" t="n">
        <v>7</v>
      </c>
    </row>
    <row r="711" ht="13" customHeight="1">
      <c r="A711" s="203" t="inlineStr">
        <is>
          <t>PLIX-01B</t>
        </is>
      </c>
      <c r="B711" s="305" t="inlineStr">
        <is>
          <t>PLIX-01B LIXIVIACIÓN</t>
        </is>
      </c>
      <c r="C711" s="251"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1" t="inlineStr">
        <is>
          <t>532MAPLIX</t>
        </is>
      </c>
      <c r="BL711" s="7" t="inlineStr">
        <is>
          <t>LIXIVIACIÓN</t>
        </is>
      </c>
      <c r="BM711" s="251" t="inlineStr">
        <is>
          <t>NF</t>
        </is>
      </c>
      <c r="BN711" s="337" t="inlineStr">
        <is>
          <t>Lixiviación</t>
        </is>
      </c>
      <c r="BO711" s="251" t="inlineStr">
        <is>
          <t>SI</t>
        </is>
      </c>
      <c r="BP711" s="106" t="inlineStr">
        <is>
          <t>PLIX-01B LIXIVIACIÓN/NF</t>
        </is>
      </c>
      <c r="BQ711" s="106">
        <f>VLOOKUP(BP711,[1]AGUA!$1:$1048576,2,FALSE)</f>
        <v/>
      </c>
      <c r="BR711" s="106">
        <f>VLOOKUP(BP711,[1]AGUA!$1:$1048576,6,FALSE)</f>
        <v/>
      </c>
      <c r="BS711" s="106">
        <f>VLOOKUP(BP711,[1]AGUA!$1:$1048576,7,FALSE)</f>
        <v/>
      </c>
      <c r="BT711" s="106" t="n"/>
      <c r="BU711" s="186" t="inlineStr">
        <is>
          <t>Programar a principio de mes, ya que se reportan hasta el 10 de cada mes.</t>
        </is>
      </c>
      <c r="BV711" s="105" t="n"/>
      <c r="BW711" s="105" t="n"/>
      <c r="BX711" s="105" t="n"/>
      <c r="BY711" s="142" t="n">
        <v>1</v>
      </c>
      <c r="BZ711" s="125" t="n"/>
      <c r="CA711" s="125"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24">
        <f>+COUNTA(BV711:CY711)</f>
        <v/>
      </c>
      <c r="DA711" s="251" t="n"/>
      <c r="DB711" s="251" t="n"/>
      <c r="DC711" s="251" t="n"/>
      <c r="DD711" s="251" t="n"/>
      <c r="DE711" s="251" t="n"/>
      <c r="DF711" s="251" t="n"/>
      <c r="DG711" s="251" t="n"/>
      <c r="DH711" s="251" t="n"/>
      <c r="DI711" s="251" t="n"/>
      <c r="DJ711" s="251" t="inlineStr">
        <is>
          <t>M</t>
        </is>
      </c>
      <c r="DK711" s="251" t="n">
        <v>1</v>
      </c>
      <c r="DL711" s="95" t="n">
        <v>7</v>
      </c>
      <c r="DM711" s="251" t="n"/>
      <c r="DN711" s="95" t="n"/>
      <c r="DO711" s="95" t="n"/>
    </row>
    <row r="712" ht="13" customHeight="1">
      <c r="A712" s="203" t="inlineStr">
        <is>
          <t>PLIX-01B</t>
        </is>
      </c>
      <c r="B712" s="376" t="n"/>
      <c r="C712" s="376"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76" t="n"/>
      <c r="BL712" s="7" t="inlineStr">
        <is>
          <t>LIXIVIACIÓN</t>
        </is>
      </c>
      <c r="BM712" s="251" t="inlineStr">
        <is>
          <t>ASUB</t>
        </is>
      </c>
      <c r="BN712" s="337" t="inlineStr">
        <is>
          <t>Lixiviación</t>
        </is>
      </c>
      <c r="BO712" s="251" t="inlineStr">
        <is>
          <t>SI</t>
        </is>
      </c>
      <c r="BP712" s="106" t="inlineStr">
        <is>
          <t>PLIX-01B LIXIVIACIÓN/ASUB</t>
        </is>
      </c>
      <c r="BQ712" s="106">
        <f>VLOOKUP(BP712,[1]AGUA!$1:$1048576,2,FALSE)</f>
        <v/>
      </c>
      <c r="BR712" s="106">
        <f>VLOOKUP(BP712,[1]AGUA!$1:$1048576,6,FALSE)</f>
        <v/>
      </c>
      <c r="BS712" s="106">
        <f>VLOOKUP(BP712,[1]AGUA!$1:$1048576,7,FALSE)</f>
        <v/>
      </c>
      <c r="BT712" s="106" t="n"/>
      <c r="BU712" s="186" t="inlineStr">
        <is>
          <t>Programar a principio de mes, ya que se reportan hasta el 10 de cada mes.</t>
        </is>
      </c>
      <c r="BV712" s="105" t="n"/>
      <c r="BW712" s="105" t="n"/>
      <c r="BX712" s="105" t="n"/>
      <c r="BY712" s="107" t="n">
        <v>1</v>
      </c>
      <c r="BZ712" s="125" t="n"/>
      <c r="CA712" s="125"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24">
        <f>+COUNTA(BV712:CY712)</f>
        <v/>
      </c>
      <c r="DA712" s="251" t="n"/>
      <c r="DB712" s="251" t="n"/>
      <c r="DC712" s="251" t="n"/>
      <c r="DD712" s="251" t="n"/>
      <c r="DE712" s="251" t="n"/>
      <c r="DF712" s="251" t="n"/>
      <c r="DG712" s="251" t="n"/>
      <c r="DH712" s="251" t="n"/>
      <c r="DI712" s="251" t="n"/>
      <c r="DJ712" s="251" t="n"/>
      <c r="DK712" s="251" t="n"/>
      <c r="DL712" s="95" t="n"/>
      <c r="DM712" s="251" t="inlineStr">
        <is>
          <t>M</t>
        </is>
      </c>
      <c r="DN712" s="95" t="n">
        <v>1</v>
      </c>
      <c r="DO712" s="95" t="n">
        <v>7</v>
      </c>
    </row>
    <row r="713" ht="13" customHeight="1">
      <c r="A713" s="203" t="inlineStr">
        <is>
          <t>PLIX-02A</t>
        </is>
      </c>
      <c r="B713" s="305" t="inlineStr">
        <is>
          <t>PLIX-02A LIXIVIACIÓN</t>
        </is>
      </c>
      <c r="C713" s="251"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1" t="inlineStr">
        <is>
          <t>532MAPLIX</t>
        </is>
      </c>
      <c r="BL713" s="7" t="inlineStr">
        <is>
          <t>LIXIVIACIÓN</t>
        </is>
      </c>
      <c r="BM713" s="251" t="inlineStr">
        <is>
          <t>NF</t>
        </is>
      </c>
      <c r="BN713" s="337" t="inlineStr">
        <is>
          <t>Lixiviación</t>
        </is>
      </c>
      <c r="BO713" s="251" t="inlineStr">
        <is>
          <t>SI</t>
        </is>
      </c>
      <c r="BP713" s="106" t="inlineStr">
        <is>
          <t>PLIX-02A LIXIVIACIÓN/NF</t>
        </is>
      </c>
      <c r="BQ713" s="106">
        <f>VLOOKUP(BP713,[1]AGUA!$1:$1048576,2,FALSE)</f>
        <v/>
      </c>
      <c r="BR713" s="106">
        <f>VLOOKUP(BP713,[1]AGUA!$1:$1048576,6,FALSE)</f>
        <v/>
      </c>
      <c r="BS713" s="106">
        <f>VLOOKUP(BP713,[1]AGUA!$1:$1048576,7,FALSE)</f>
        <v/>
      </c>
      <c r="BT713" s="106" t="n"/>
      <c r="BU713" s="186" t="inlineStr">
        <is>
          <t>Programar a principio de mes, ya que se reportan hasta el 10 de cada mes.</t>
        </is>
      </c>
      <c r="BV713" s="105" t="n"/>
      <c r="BW713" s="105" t="n"/>
      <c r="BX713" s="105" t="n"/>
      <c r="BY713" s="105" t="n"/>
      <c r="BZ713" s="105" t="n"/>
      <c r="CA713" s="142" t="n">
        <v>1</v>
      </c>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24">
        <f>+COUNTA(BV713:CY713)</f>
        <v/>
      </c>
      <c r="DA713" s="251" t="n"/>
      <c r="DB713" s="251" t="n"/>
      <c r="DC713" s="251" t="n"/>
      <c r="DD713" s="251" t="n"/>
      <c r="DE713" s="251" t="n"/>
      <c r="DF713" s="251" t="n"/>
      <c r="DG713" s="251" t="n"/>
      <c r="DH713" s="251" t="n"/>
      <c r="DI713" s="251" t="n"/>
      <c r="DJ713" s="251" t="inlineStr">
        <is>
          <t>M</t>
        </is>
      </c>
      <c r="DK713" s="251" t="n">
        <v>1</v>
      </c>
      <c r="DL713" s="95" t="n">
        <v>7</v>
      </c>
      <c r="DM713" s="251" t="n"/>
      <c r="DN713" s="95" t="n"/>
      <c r="DO713" s="95" t="n"/>
    </row>
    <row r="714" ht="13" customHeight="1">
      <c r="A714" s="203" t="inlineStr">
        <is>
          <t>PLIX-02A</t>
        </is>
      </c>
      <c r="B714" s="376" t="n"/>
      <c r="C714" s="376"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76" t="n"/>
      <c r="BL714" s="7" t="inlineStr">
        <is>
          <t>LIXIVIACIÓN</t>
        </is>
      </c>
      <c r="BM714" s="251" t="inlineStr">
        <is>
          <t>ASUB</t>
        </is>
      </c>
      <c r="BN714" s="337" t="inlineStr">
        <is>
          <t>Lixiviación</t>
        </is>
      </c>
      <c r="BO714" s="251" t="inlineStr">
        <is>
          <t>SI</t>
        </is>
      </c>
      <c r="BP714" s="106" t="inlineStr">
        <is>
          <t>PLIX-02A LIXIVIACIÓN/ASUB</t>
        </is>
      </c>
      <c r="BQ714" s="106">
        <f>VLOOKUP(BP714,[1]AGUA!$1:$1048576,2,FALSE)</f>
        <v/>
      </c>
      <c r="BR714" s="106">
        <f>VLOOKUP(BP714,[1]AGUA!$1:$1048576,6,FALSE)</f>
        <v/>
      </c>
      <c r="BS714" s="106">
        <f>VLOOKUP(BP714,[1]AGUA!$1:$1048576,7,FALSE)</f>
        <v/>
      </c>
      <c r="BT714" s="106" t="n"/>
      <c r="BU714" s="186" t="inlineStr">
        <is>
          <t>Programar a principio de mes, ya que se reportan hasta el 10 de cada mes.</t>
        </is>
      </c>
      <c r="BV714" s="105" t="n"/>
      <c r="BW714" s="105" t="n"/>
      <c r="BX714" s="105" t="n"/>
      <c r="BY714" s="106" t="n"/>
      <c r="BZ714" s="105" t="n"/>
      <c r="CA714" s="107" t="n">
        <v>1</v>
      </c>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24">
        <f>+COUNTA(BV714:CY714)</f>
        <v/>
      </c>
      <c r="DA714" s="251" t="n"/>
      <c r="DB714" s="251" t="n"/>
      <c r="DC714" s="251" t="n"/>
      <c r="DD714" s="251" t="n"/>
      <c r="DE714" s="251" t="n"/>
      <c r="DF714" s="251" t="n"/>
      <c r="DG714" s="251" t="n"/>
      <c r="DH714" s="251" t="n"/>
      <c r="DI714" s="251" t="n"/>
      <c r="DJ714" s="251" t="n"/>
      <c r="DK714" s="251" t="n"/>
      <c r="DL714" s="95" t="n"/>
      <c r="DM714" s="251" t="inlineStr">
        <is>
          <t>M</t>
        </is>
      </c>
      <c r="DN714" s="95" t="n">
        <v>1</v>
      </c>
      <c r="DO714" s="95" t="n">
        <v>7</v>
      </c>
    </row>
    <row r="715" ht="13" customHeight="1">
      <c r="A715" s="203" t="inlineStr">
        <is>
          <t>PLIX-02B</t>
        </is>
      </c>
      <c r="B715" s="305" t="inlineStr">
        <is>
          <t>PLIX-02B LIXIVIACIÓN</t>
        </is>
      </c>
      <c r="C715" s="251"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1" t="inlineStr">
        <is>
          <t>532MAPLIX</t>
        </is>
      </c>
      <c r="BL715" s="7" t="inlineStr">
        <is>
          <t>LIXIVIACIÓN</t>
        </is>
      </c>
      <c r="BM715" s="251" t="inlineStr">
        <is>
          <t>NF</t>
        </is>
      </c>
      <c r="BN715" s="337" t="inlineStr">
        <is>
          <t>Lixiviación</t>
        </is>
      </c>
      <c r="BO715" s="251" t="inlineStr">
        <is>
          <t>SI</t>
        </is>
      </c>
      <c r="BP715" s="106" t="inlineStr">
        <is>
          <t>PLIX-02B LIXIVIACIÓN/NF</t>
        </is>
      </c>
      <c r="BQ715" s="106">
        <f>VLOOKUP(BP715,[1]AGUA!$1:$1048576,2,FALSE)</f>
        <v/>
      </c>
      <c r="BR715" s="106">
        <f>VLOOKUP(BP715,[1]AGUA!$1:$1048576,6,FALSE)</f>
        <v/>
      </c>
      <c r="BS715" s="106">
        <f>VLOOKUP(BP715,[1]AGUA!$1:$1048576,7,FALSE)</f>
        <v/>
      </c>
      <c r="BT715" s="106" t="n"/>
      <c r="BU715" s="186" t="inlineStr">
        <is>
          <t>Programar a principio de mes, ya que se reportan hasta el 10 de cada mes.</t>
        </is>
      </c>
      <c r="BV715" s="105" t="n"/>
      <c r="BW715" s="105" t="n"/>
      <c r="BX715" s="105" t="n"/>
      <c r="BY715" s="105" t="n"/>
      <c r="BZ715" s="125" t="n"/>
      <c r="CA715" s="142" t="n">
        <v>1</v>
      </c>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24">
        <f>+COUNTA(BV715:CY715)</f>
        <v/>
      </c>
      <c r="DA715" s="251" t="n"/>
      <c r="DB715" s="251" t="n"/>
      <c r="DC715" s="251" t="n"/>
      <c r="DD715" s="251" t="n"/>
      <c r="DE715" s="251" t="n"/>
      <c r="DF715" s="251" t="n"/>
      <c r="DG715" s="251" t="n"/>
      <c r="DH715" s="251" t="n"/>
      <c r="DI715" s="251" t="n"/>
      <c r="DJ715" s="251" t="inlineStr">
        <is>
          <t>M</t>
        </is>
      </c>
      <c r="DK715" s="251" t="n">
        <v>1</v>
      </c>
      <c r="DL715" s="95" t="n">
        <v>7</v>
      </c>
      <c r="DM715" s="251" t="n"/>
      <c r="DN715" s="95" t="n"/>
      <c r="DO715" s="95" t="n"/>
    </row>
    <row r="716" ht="13" customHeight="1">
      <c r="A716" s="203" t="inlineStr">
        <is>
          <t>PLIX-02B</t>
        </is>
      </c>
      <c r="B716" s="376" t="n"/>
      <c r="C716" s="376"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76" t="n"/>
      <c r="BL716" s="7" t="inlineStr">
        <is>
          <t>LIXIVIACIÓN</t>
        </is>
      </c>
      <c r="BM716" s="251" t="inlineStr">
        <is>
          <t>ASUB</t>
        </is>
      </c>
      <c r="BN716" s="337" t="inlineStr">
        <is>
          <t>Lixiviación</t>
        </is>
      </c>
      <c r="BO716" s="251" t="inlineStr">
        <is>
          <t>SI</t>
        </is>
      </c>
      <c r="BP716" s="106" t="inlineStr">
        <is>
          <t>PLIX-02B LIXIVIACIÓN/ASUB</t>
        </is>
      </c>
      <c r="BQ716" s="106">
        <f>VLOOKUP(BP716,[1]AGUA!$1:$1048576,2,FALSE)</f>
        <v/>
      </c>
      <c r="BR716" s="106">
        <f>VLOOKUP(BP716,[1]AGUA!$1:$1048576,6,FALSE)</f>
        <v/>
      </c>
      <c r="BS716" s="106">
        <f>VLOOKUP(BP716,[1]AGUA!$1:$1048576,7,FALSE)</f>
        <v/>
      </c>
      <c r="BT716" s="106" t="n"/>
      <c r="BU716" s="186" t="inlineStr">
        <is>
          <t>Programar a principio de mes, ya que se reportan hasta el 10 de cada mes.</t>
        </is>
      </c>
      <c r="BV716" s="105" t="n"/>
      <c r="BW716" s="105" t="n"/>
      <c r="BX716" s="105" t="n"/>
      <c r="BY716" s="106" t="n"/>
      <c r="BZ716" s="125" t="n"/>
      <c r="CA716" s="107" t="n">
        <v>1</v>
      </c>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24">
        <f>+COUNTA(BV716:CY716)</f>
        <v/>
      </c>
      <c r="DA716" s="251" t="n"/>
      <c r="DB716" s="251" t="n"/>
      <c r="DC716" s="251" t="n"/>
      <c r="DD716" s="251" t="n"/>
      <c r="DE716" s="251" t="n"/>
      <c r="DF716" s="251" t="n"/>
      <c r="DG716" s="251" t="n"/>
      <c r="DH716" s="251" t="n"/>
      <c r="DI716" s="251" t="n"/>
      <c r="DJ716" s="251" t="n"/>
      <c r="DK716" s="251" t="n"/>
      <c r="DL716" s="95" t="n"/>
      <c r="DM716" s="251" t="inlineStr">
        <is>
          <t>M</t>
        </is>
      </c>
      <c r="DN716" s="95" t="n">
        <v>1</v>
      </c>
      <c r="DO716" s="95" t="n">
        <v>7</v>
      </c>
    </row>
    <row r="717" ht="13" customHeight="1">
      <c r="A717" s="203" t="inlineStr">
        <is>
          <t>PLIX-03A</t>
        </is>
      </c>
      <c r="B717" s="305" t="inlineStr">
        <is>
          <t>PLIX-03A LIXIVIACIÓN</t>
        </is>
      </c>
      <c r="C717" s="251"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1" t="inlineStr">
        <is>
          <t>532MAPLIX</t>
        </is>
      </c>
      <c r="BL717" s="7" t="inlineStr">
        <is>
          <t>LIXIVIACIÓN</t>
        </is>
      </c>
      <c r="BM717" s="251" t="inlineStr">
        <is>
          <t>NF</t>
        </is>
      </c>
      <c r="BN717" s="337" t="inlineStr">
        <is>
          <t>Lixiviación</t>
        </is>
      </c>
      <c r="BO717" s="251" t="inlineStr">
        <is>
          <t>SI</t>
        </is>
      </c>
      <c r="BP717" s="106" t="inlineStr">
        <is>
          <t>PLIX-03A LIXIVIACIÓN/NF</t>
        </is>
      </c>
      <c r="BQ717" s="106">
        <f>VLOOKUP(BP717,[1]AGUA!$1:$1048576,2,FALSE)</f>
        <v/>
      </c>
      <c r="BR717" s="106">
        <f>VLOOKUP(BP717,[1]AGUA!$1:$1048576,6,FALSE)</f>
        <v/>
      </c>
      <c r="BS717" s="106">
        <f>VLOOKUP(BP717,[1]AGUA!$1:$1048576,7,FALSE)</f>
        <v/>
      </c>
      <c r="BT717" s="106" t="n"/>
      <c r="BU717" s="186" t="inlineStr">
        <is>
          <t>Programar a principio de mes, ya que se reportan hasta el 10 de cada mes.</t>
        </is>
      </c>
      <c r="BV717" s="105" t="n"/>
      <c r="BW717" s="105" t="n"/>
      <c r="BX717" s="105" t="n"/>
      <c r="BY717" s="142" t="n">
        <v>1</v>
      </c>
      <c r="BZ717" s="125" t="n"/>
      <c r="CA717" s="125"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24">
        <f>+COUNTA(BV717:CY717)</f>
        <v/>
      </c>
      <c r="DA717" s="251" t="n"/>
      <c r="DB717" s="251" t="n"/>
      <c r="DC717" s="251" t="n"/>
      <c r="DD717" s="251" t="n"/>
      <c r="DE717" s="251" t="n"/>
      <c r="DF717" s="251" t="n"/>
      <c r="DG717" s="251" t="n"/>
      <c r="DH717" s="251" t="n"/>
      <c r="DI717" s="251" t="n"/>
      <c r="DJ717" s="251" t="inlineStr">
        <is>
          <t>M</t>
        </is>
      </c>
      <c r="DK717" s="251" t="n">
        <v>1</v>
      </c>
      <c r="DL717" s="95" t="n">
        <v>7</v>
      </c>
      <c r="DM717" s="251" t="n"/>
      <c r="DN717" s="95" t="n"/>
      <c r="DO717" s="95" t="n"/>
    </row>
    <row r="718" ht="13" customHeight="1">
      <c r="A718" s="203" t="inlineStr">
        <is>
          <t>PLIX-03A</t>
        </is>
      </c>
      <c r="B718" s="376" t="n"/>
      <c r="C718" s="376"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76" t="n"/>
      <c r="BL718" s="7" t="inlineStr">
        <is>
          <t>LIXIVIACIÓN</t>
        </is>
      </c>
      <c r="BM718" s="251" t="inlineStr">
        <is>
          <t>ASUB</t>
        </is>
      </c>
      <c r="BN718" s="337" t="inlineStr">
        <is>
          <t>Lixiviación</t>
        </is>
      </c>
      <c r="BO718" s="251" t="inlineStr">
        <is>
          <t>SI</t>
        </is>
      </c>
      <c r="BP718" s="106" t="inlineStr">
        <is>
          <t>PLIX-03A LIXIVIACIÓN/ASUB</t>
        </is>
      </c>
      <c r="BQ718" s="106">
        <f>VLOOKUP(BP718,[1]AGUA!$1:$1048576,2,FALSE)</f>
        <v/>
      </c>
      <c r="BR718" s="106">
        <f>VLOOKUP(BP718,[1]AGUA!$1:$1048576,6,FALSE)</f>
        <v/>
      </c>
      <c r="BS718" s="106">
        <f>VLOOKUP(BP718,[1]AGUA!$1:$1048576,7,FALSE)</f>
        <v/>
      </c>
      <c r="BT718" s="106" t="n"/>
      <c r="BU718" s="186" t="inlineStr">
        <is>
          <t>Programar a principio de mes, ya que se reportan hasta el 10 de cada mes.</t>
        </is>
      </c>
      <c r="BV718" s="105" t="n"/>
      <c r="BW718" s="105" t="n"/>
      <c r="BX718" s="105" t="n"/>
      <c r="BY718" s="107" t="n">
        <v>1</v>
      </c>
      <c r="BZ718" s="125" t="n"/>
      <c r="CA718" s="125"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24">
        <f>+COUNTA(BV718:CY718)</f>
        <v/>
      </c>
      <c r="DA718" s="251" t="n"/>
      <c r="DB718" s="251" t="n"/>
      <c r="DC718" s="251" t="n"/>
      <c r="DD718" s="251" t="n"/>
      <c r="DE718" s="251" t="n"/>
      <c r="DF718" s="251" t="n"/>
      <c r="DG718" s="251" t="n"/>
      <c r="DH718" s="251" t="n"/>
      <c r="DI718" s="251" t="n"/>
      <c r="DJ718" s="251" t="n"/>
      <c r="DK718" s="251" t="n"/>
      <c r="DL718" s="95" t="n"/>
      <c r="DM718" s="251" t="inlineStr">
        <is>
          <t>M</t>
        </is>
      </c>
      <c r="DN718" s="95" t="n">
        <v>1</v>
      </c>
      <c r="DO718" s="95" t="n">
        <v>7</v>
      </c>
    </row>
    <row r="719" ht="13" customHeight="1">
      <c r="A719" s="203" t="inlineStr">
        <is>
          <t>PLIX-03B</t>
        </is>
      </c>
      <c r="B719" s="305" t="inlineStr">
        <is>
          <t>PLIX-03B LIXIVIACIÓN</t>
        </is>
      </c>
      <c r="C719" s="251"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1" t="inlineStr">
        <is>
          <t>532MAPLIX</t>
        </is>
      </c>
      <c r="BL719" s="7" t="inlineStr">
        <is>
          <t>LIXIVIACIÓN</t>
        </is>
      </c>
      <c r="BM719" s="251" t="inlineStr">
        <is>
          <t>NF</t>
        </is>
      </c>
      <c r="BN719" s="337" t="inlineStr">
        <is>
          <t>Lixiviación</t>
        </is>
      </c>
      <c r="BO719" s="251" t="inlineStr">
        <is>
          <t>SI</t>
        </is>
      </c>
      <c r="BP719" s="106" t="inlineStr">
        <is>
          <t>PLIX-03B LIXIVIACIÓN/NF</t>
        </is>
      </c>
      <c r="BQ719" s="106">
        <f>VLOOKUP(BP719,[1]AGUA!$1:$1048576,2,FALSE)</f>
        <v/>
      </c>
      <c r="BR719" s="106">
        <f>VLOOKUP(BP719,[1]AGUA!$1:$1048576,6,FALSE)</f>
        <v/>
      </c>
      <c r="BS719" s="106">
        <f>VLOOKUP(BP719,[1]AGUA!$1:$1048576,7,FALSE)</f>
        <v/>
      </c>
      <c r="BT719" s="106" t="n"/>
      <c r="BU719" s="186" t="inlineStr">
        <is>
          <t>Programar a principio de mes, ya que se reportan hasta el 10 de cada mes.</t>
        </is>
      </c>
      <c r="BV719" s="105" t="n"/>
      <c r="BW719" s="105" t="n"/>
      <c r="BX719" s="105" t="n"/>
      <c r="BY719" s="142" t="n">
        <v>1</v>
      </c>
      <c r="BZ719" s="125" t="n"/>
      <c r="CA719" s="125"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24">
        <f>+COUNTA(BV719:CY719)</f>
        <v/>
      </c>
      <c r="DA719" s="251" t="n"/>
      <c r="DB719" s="251" t="n"/>
      <c r="DC719" s="251" t="n"/>
      <c r="DD719" s="251" t="n"/>
      <c r="DE719" s="251" t="n"/>
      <c r="DF719" s="251" t="n"/>
      <c r="DG719" s="251" t="n"/>
      <c r="DH719" s="251" t="n"/>
      <c r="DI719" s="251" t="n"/>
      <c r="DJ719" s="251" t="inlineStr">
        <is>
          <t>M</t>
        </is>
      </c>
      <c r="DK719" s="251" t="n">
        <v>1</v>
      </c>
      <c r="DL719" s="95" t="n">
        <v>7</v>
      </c>
      <c r="DM719" s="251" t="n"/>
      <c r="DN719" s="95" t="n"/>
      <c r="DO719" s="95" t="n"/>
    </row>
    <row r="720" ht="13" customHeight="1">
      <c r="A720" s="203" t="inlineStr">
        <is>
          <t>PLIX-03B</t>
        </is>
      </c>
      <c r="B720" s="376" t="n"/>
      <c r="C720" s="376"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76" t="n"/>
      <c r="BL720" s="7" t="inlineStr">
        <is>
          <t>LIXIVIACIÓN</t>
        </is>
      </c>
      <c r="BM720" s="251" t="inlineStr">
        <is>
          <t>ASUB</t>
        </is>
      </c>
      <c r="BN720" s="337" t="inlineStr">
        <is>
          <t>Lixiviación</t>
        </is>
      </c>
      <c r="BO720" s="251" t="inlineStr">
        <is>
          <t>SI</t>
        </is>
      </c>
      <c r="BP720" s="106" t="inlineStr">
        <is>
          <t>PLIX-03B LIXIVIACIÓN/ASUB</t>
        </is>
      </c>
      <c r="BQ720" s="106">
        <f>VLOOKUP(BP720,[1]AGUA!$1:$1048576,2,FALSE)</f>
        <v/>
      </c>
      <c r="BR720" s="106">
        <f>VLOOKUP(BP720,[1]AGUA!$1:$1048576,6,FALSE)</f>
        <v/>
      </c>
      <c r="BS720" s="106">
        <f>VLOOKUP(BP720,[1]AGUA!$1:$1048576,7,FALSE)</f>
        <v/>
      </c>
      <c r="BT720" s="106" t="n"/>
      <c r="BU720" s="186" t="inlineStr">
        <is>
          <t>Programar a principio de mes, ya que se reportan hasta el 10 de cada mes.</t>
        </is>
      </c>
      <c r="BV720" s="105" t="n"/>
      <c r="BW720" s="105" t="n"/>
      <c r="BX720" s="105" t="n"/>
      <c r="BY720" s="107" t="n">
        <v>1</v>
      </c>
      <c r="BZ720" s="125" t="n"/>
      <c r="CA720" s="125"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24">
        <f>+COUNTA(BV720:CY720)</f>
        <v/>
      </c>
      <c r="DA720" s="251" t="n"/>
      <c r="DB720" s="251" t="n"/>
      <c r="DC720" s="251" t="n"/>
      <c r="DD720" s="251" t="n"/>
      <c r="DE720" s="251" t="n"/>
      <c r="DF720" s="251" t="n"/>
      <c r="DG720" s="251" t="n"/>
      <c r="DH720" s="251" t="n"/>
      <c r="DI720" s="251" t="n"/>
      <c r="DJ720" s="251" t="n"/>
      <c r="DK720" s="251" t="n"/>
      <c r="DL720" s="95" t="n"/>
      <c r="DM720" s="251" t="inlineStr">
        <is>
          <t>M</t>
        </is>
      </c>
      <c r="DN720" s="95" t="n">
        <v>1</v>
      </c>
      <c r="DO720" s="95" t="n">
        <v>7</v>
      </c>
    </row>
    <row r="721" ht="13" customHeight="1">
      <c r="A721" s="203" t="inlineStr">
        <is>
          <t>PLIX-04</t>
        </is>
      </c>
      <c r="B721" s="305" t="inlineStr">
        <is>
          <t>PLIX-04 LIXIVIACIÓN</t>
        </is>
      </c>
      <c r="C721" s="251"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1" t="inlineStr">
        <is>
          <t>532MAPLIX</t>
        </is>
      </c>
      <c r="BL721" s="7" t="inlineStr">
        <is>
          <t>LIXIVIACIÓN</t>
        </is>
      </c>
      <c r="BM721" s="251" t="inlineStr">
        <is>
          <t>NF</t>
        </is>
      </c>
      <c r="BN721" s="337" t="inlineStr">
        <is>
          <t>Lixiviación</t>
        </is>
      </c>
      <c r="BO721" s="251" t="inlineStr">
        <is>
          <t>SI</t>
        </is>
      </c>
      <c r="BP721" s="106" t="inlineStr">
        <is>
          <t>PLIX-04 LIXIVIACIÓN/NF</t>
        </is>
      </c>
      <c r="BQ721" s="106">
        <f>VLOOKUP(BP721,[1]AGUA!$1:$1048576,2,FALSE)</f>
        <v/>
      </c>
      <c r="BR721" s="106">
        <f>VLOOKUP(BP721,[1]AGUA!$1:$1048576,6,FALSE)</f>
        <v/>
      </c>
      <c r="BS721" s="106">
        <f>VLOOKUP(BP721,[1]AGUA!$1:$1048576,7,FALSE)</f>
        <v/>
      </c>
      <c r="BT721" s="106" t="n"/>
      <c r="BU721" s="186" t="inlineStr">
        <is>
          <t>MUESTRA</t>
        </is>
      </c>
      <c r="BV721" s="105" t="n"/>
      <c r="BW721" s="105" t="n"/>
      <c r="BX721" s="105" t="n"/>
      <c r="BY721" s="125" t="n"/>
      <c r="BZ721" s="105" t="n"/>
      <c r="CA721" s="142" t="n">
        <v>1</v>
      </c>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24">
        <f>+COUNTA(BV721:CY721)</f>
        <v/>
      </c>
      <c r="DA721" s="251" t="n"/>
      <c r="DB721" s="251" t="n"/>
      <c r="DC721" s="251" t="n"/>
      <c r="DD721" s="251" t="n"/>
      <c r="DE721" s="251" t="n"/>
      <c r="DF721" s="251" t="n"/>
      <c r="DG721" s="251" t="n"/>
      <c r="DH721" s="251" t="n"/>
      <c r="DI721" s="251" t="n"/>
      <c r="DJ721" s="251" t="inlineStr">
        <is>
          <t>M</t>
        </is>
      </c>
      <c r="DK721" s="251" t="n">
        <v>1</v>
      </c>
      <c r="DL721" s="95" t="n">
        <v>7</v>
      </c>
      <c r="DM721" s="251" t="n"/>
      <c r="DN721" s="95" t="n"/>
      <c r="DO721" s="95" t="n"/>
    </row>
    <row r="722" ht="13" customHeight="1">
      <c r="A722" s="203" t="inlineStr">
        <is>
          <t>PLIX-04</t>
        </is>
      </c>
      <c r="B722" s="376" t="n"/>
      <c r="C722" s="376"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76" t="n"/>
      <c r="BL722" s="7" t="inlineStr">
        <is>
          <t>LIXIVIACIÓN</t>
        </is>
      </c>
      <c r="BM722" s="251" t="inlineStr">
        <is>
          <t>ASUB</t>
        </is>
      </c>
      <c r="BN722" s="337" t="inlineStr">
        <is>
          <t>Lixiviación</t>
        </is>
      </c>
      <c r="BO722" s="251" t="inlineStr">
        <is>
          <t>SI</t>
        </is>
      </c>
      <c r="BP722" s="106" t="inlineStr">
        <is>
          <t>PLIX-04 LIXIVIACIÓN/ASUB</t>
        </is>
      </c>
      <c r="BQ722" s="106">
        <f>VLOOKUP(BP722,[1]AGUA!$1:$1048576,2,FALSE)</f>
        <v/>
      </c>
      <c r="BR722" s="106">
        <f>VLOOKUP(BP722,[1]AGUA!$1:$1048576,6,FALSE)</f>
        <v/>
      </c>
      <c r="BS722" s="106">
        <f>VLOOKUP(BP722,[1]AGUA!$1:$1048576,7,FALSE)</f>
        <v/>
      </c>
      <c r="BT722" s="106" t="n"/>
      <c r="BU722" s="186" t="inlineStr">
        <is>
          <t>MUESTRA</t>
        </is>
      </c>
      <c r="BV722" s="105" t="n"/>
      <c r="BW722" s="105" t="n"/>
      <c r="BX722" s="105" t="n"/>
      <c r="BY722" s="125" t="n"/>
      <c r="BZ722" s="105" t="n"/>
      <c r="CA722" s="107" t="n">
        <v>1</v>
      </c>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24">
        <f>+COUNTA(BV722:CY722)</f>
        <v/>
      </c>
      <c r="DA722" s="251" t="n"/>
      <c r="DB722" s="251" t="n"/>
      <c r="DC722" s="251" t="n"/>
      <c r="DD722" s="251" t="n"/>
      <c r="DE722" s="251" t="n"/>
      <c r="DF722" s="251" t="n"/>
      <c r="DG722" s="251" t="n"/>
      <c r="DH722" s="251" t="n"/>
      <c r="DI722" s="251" t="n"/>
      <c r="DJ722" s="251" t="n"/>
      <c r="DK722" s="251" t="n"/>
      <c r="DL722" s="95" t="n"/>
      <c r="DM722" s="251" t="inlineStr">
        <is>
          <t>M</t>
        </is>
      </c>
      <c r="DN722" s="95" t="n">
        <v>1</v>
      </c>
      <c r="DO722" s="95" t="n">
        <v>7</v>
      </c>
    </row>
    <row r="723" ht="13" customHeight="1">
      <c r="A723" s="203" t="inlineStr">
        <is>
          <t>PLIX-05A</t>
        </is>
      </c>
      <c r="B723" s="305" t="inlineStr">
        <is>
          <t>PLIX-05A LIXIVIACIÓN</t>
        </is>
      </c>
      <c r="C723" s="251"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1" t="inlineStr">
        <is>
          <t>532MAPLIX</t>
        </is>
      </c>
      <c r="BL723" s="7" t="inlineStr">
        <is>
          <t>LIXIVIACIÓN</t>
        </is>
      </c>
      <c r="BM723" s="251" t="inlineStr">
        <is>
          <t>NF</t>
        </is>
      </c>
      <c r="BN723" s="337" t="inlineStr">
        <is>
          <t>Lixiviación</t>
        </is>
      </c>
      <c r="BO723" s="251" t="inlineStr">
        <is>
          <t>SI</t>
        </is>
      </c>
      <c r="BP723" s="106" t="inlineStr">
        <is>
          <t>PLIX-05A LIXIVIACIÓN/NF</t>
        </is>
      </c>
      <c r="BQ723" s="106">
        <f>VLOOKUP(BP723,[1]AGUA!$1:$1048576,2,FALSE)</f>
        <v/>
      </c>
      <c r="BR723" s="106">
        <f>VLOOKUP(BP723,[1]AGUA!$1:$1048576,6,FALSE)</f>
        <v/>
      </c>
      <c r="BS723" s="106">
        <f>VLOOKUP(BP723,[1]AGUA!$1:$1048576,7,FALSE)</f>
        <v/>
      </c>
      <c r="BT723" s="106" t="n"/>
      <c r="BU723" s="186" t="inlineStr">
        <is>
          <t>Programar a principio de mes, ya que se reportan hasta el 10 de cada mes.</t>
        </is>
      </c>
      <c r="BV723" s="105" t="n"/>
      <c r="BW723" s="105" t="n"/>
      <c r="BX723" s="105" t="n"/>
      <c r="BY723" s="142" t="n">
        <v>1</v>
      </c>
      <c r="BZ723" s="125" t="n"/>
      <c r="CA723" s="125"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24">
        <f>+COUNTA(BV723:CY723)</f>
        <v/>
      </c>
      <c r="DA723" s="251" t="n"/>
      <c r="DB723" s="251" t="n"/>
      <c r="DC723" s="251" t="n"/>
      <c r="DD723" s="251" t="n"/>
      <c r="DE723" s="251" t="n"/>
      <c r="DF723" s="251" t="n"/>
      <c r="DG723" s="251" t="n"/>
      <c r="DH723" s="251" t="n"/>
      <c r="DI723" s="251" t="n"/>
      <c r="DJ723" s="251" t="inlineStr">
        <is>
          <t>M</t>
        </is>
      </c>
      <c r="DK723" s="251" t="n">
        <v>1</v>
      </c>
      <c r="DL723" s="95" t="n">
        <v>7</v>
      </c>
      <c r="DM723" s="251" t="n"/>
      <c r="DN723" s="95" t="n"/>
      <c r="DO723" s="95" t="n"/>
    </row>
    <row r="724" ht="13" customHeight="1">
      <c r="A724" s="203" t="inlineStr">
        <is>
          <t>PLIX-05A</t>
        </is>
      </c>
      <c r="B724" s="376" t="n"/>
      <c r="C724" s="376"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76" t="n"/>
      <c r="BL724" s="7" t="inlineStr">
        <is>
          <t>LIXIVIACIÓN</t>
        </is>
      </c>
      <c r="BM724" s="251" t="inlineStr">
        <is>
          <t>ASUB</t>
        </is>
      </c>
      <c r="BN724" s="337" t="inlineStr">
        <is>
          <t>Lixiviación</t>
        </is>
      </c>
      <c r="BO724" s="251" t="inlineStr">
        <is>
          <t>SI</t>
        </is>
      </c>
      <c r="BP724" s="106" t="inlineStr">
        <is>
          <t>PLIX-05A LIXIVIACIÓN/ASUB</t>
        </is>
      </c>
      <c r="BQ724" s="106">
        <f>VLOOKUP(BP724,[1]AGUA!$1:$1048576,2,FALSE)</f>
        <v/>
      </c>
      <c r="BR724" s="106">
        <f>VLOOKUP(BP724,[1]AGUA!$1:$1048576,6,FALSE)</f>
        <v/>
      </c>
      <c r="BS724" s="106">
        <f>VLOOKUP(BP724,[1]AGUA!$1:$1048576,7,FALSE)</f>
        <v/>
      </c>
      <c r="BT724" s="106" t="n"/>
      <c r="BU724" s="186" t="inlineStr">
        <is>
          <t>Programar a principio de mes, ya que se reportan hasta el 10 de cada mes.</t>
        </is>
      </c>
      <c r="BV724" s="105" t="n"/>
      <c r="BW724" s="105" t="n"/>
      <c r="BX724" s="105" t="n"/>
      <c r="BY724" s="107" t="n">
        <v>1</v>
      </c>
      <c r="BZ724" s="125" t="n"/>
      <c r="CA724" s="125"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24">
        <f>+COUNTA(BV724:CY724)</f>
        <v/>
      </c>
      <c r="DA724" s="251" t="n"/>
      <c r="DB724" s="251" t="n"/>
      <c r="DC724" s="251" t="n"/>
      <c r="DD724" s="251" t="n"/>
      <c r="DE724" s="251" t="n"/>
      <c r="DF724" s="251" t="n"/>
      <c r="DG724" s="251" t="n"/>
      <c r="DH724" s="251" t="n"/>
      <c r="DI724" s="251" t="n"/>
      <c r="DJ724" s="251" t="n"/>
      <c r="DK724" s="251" t="n"/>
      <c r="DL724" s="95" t="n"/>
      <c r="DM724" s="251" t="inlineStr">
        <is>
          <t>M</t>
        </is>
      </c>
      <c r="DN724" s="95" t="n">
        <v>1</v>
      </c>
      <c r="DO724" s="95" t="n">
        <v>7</v>
      </c>
    </row>
    <row r="725" ht="13" customHeight="1">
      <c r="A725" s="203" t="inlineStr">
        <is>
          <t>PLIX-05B</t>
        </is>
      </c>
      <c r="B725" s="305" t="inlineStr">
        <is>
          <t>PLIX-05B LIXIVIACIÓN</t>
        </is>
      </c>
      <c r="C725" s="251"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1" t="inlineStr">
        <is>
          <t>532MAPLIX</t>
        </is>
      </c>
      <c r="BL725" s="7" t="inlineStr">
        <is>
          <t>LIXIVIACIÓN</t>
        </is>
      </c>
      <c r="BM725" s="251" t="inlineStr">
        <is>
          <t>NF</t>
        </is>
      </c>
      <c r="BN725" s="337" t="inlineStr">
        <is>
          <t>Lixiviación</t>
        </is>
      </c>
      <c r="BO725" s="251" t="inlineStr">
        <is>
          <t>SI</t>
        </is>
      </c>
      <c r="BP725" s="106" t="inlineStr">
        <is>
          <t>PLIX-05B LIXIVIACIÓN/NF</t>
        </is>
      </c>
      <c r="BQ725" s="106">
        <f>VLOOKUP(BP725,[1]AGUA!$1:$1048576,2,FALSE)</f>
        <v/>
      </c>
      <c r="BR725" s="106">
        <f>VLOOKUP(BP725,[1]AGUA!$1:$1048576,6,FALSE)</f>
        <v/>
      </c>
      <c r="BS725" s="106">
        <f>VLOOKUP(BP725,[1]AGUA!$1:$1048576,7,FALSE)</f>
        <v/>
      </c>
      <c r="BT725" s="106" t="n"/>
      <c r="BU725" s="186" t="inlineStr">
        <is>
          <t>Programar a principio de mes, ya que se reportan hasta el 10 de cada mes.</t>
        </is>
      </c>
      <c r="BV725" s="105" t="n"/>
      <c r="BW725" s="105" t="n"/>
      <c r="BX725" s="105" t="n"/>
      <c r="BY725" s="142" t="n">
        <v>1</v>
      </c>
      <c r="BZ725" s="125" t="n"/>
      <c r="CA725" s="125"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24">
        <f>+COUNTA(BV725:CY725)</f>
        <v/>
      </c>
      <c r="DA725" s="251" t="n"/>
      <c r="DB725" s="251" t="n"/>
      <c r="DC725" s="251" t="n"/>
      <c r="DD725" s="251" t="n"/>
      <c r="DE725" s="251" t="n"/>
      <c r="DF725" s="251" t="n"/>
      <c r="DG725" s="251" t="n"/>
      <c r="DH725" s="251" t="n"/>
      <c r="DI725" s="251" t="n"/>
      <c r="DJ725" s="251" t="inlineStr">
        <is>
          <t>M</t>
        </is>
      </c>
      <c r="DK725" s="251" t="n">
        <v>1</v>
      </c>
      <c r="DL725" s="95" t="n">
        <v>7</v>
      </c>
      <c r="DM725" s="251" t="n"/>
      <c r="DN725" s="95" t="n"/>
      <c r="DO725" s="95" t="n"/>
    </row>
    <row r="726" ht="13" customHeight="1">
      <c r="A726" s="203" t="inlineStr">
        <is>
          <t>PLIX-05B</t>
        </is>
      </c>
      <c r="B726" s="376" t="n"/>
      <c r="C726" s="376"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76" t="n"/>
      <c r="BL726" s="7" t="inlineStr">
        <is>
          <t>LIXIVIACIÓN</t>
        </is>
      </c>
      <c r="BM726" s="251" t="inlineStr">
        <is>
          <t>ASUB</t>
        </is>
      </c>
      <c r="BN726" s="337" t="inlineStr">
        <is>
          <t>Lixiviación</t>
        </is>
      </c>
      <c r="BO726" s="251" t="inlineStr">
        <is>
          <t>SI</t>
        </is>
      </c>
      <c r="BP726" s="106" t="inlineStr">
        <is>
          <t>PLIX-05B LIXIVIACIÓN/ASUB</t>
        </is>
      </c>
      <c r="BQ726" s="106">
        <f>VLOOKUP(BP726,[1]AGUA!$1:$1048576,2,FALSE)</f>
        <v/>
      </c>
      <c r="BR726" s="106">
        <f>VLOOKUP(BP726,[1]AGUA!$1:$1048576,6,FALSE)</f>
        <v/>
      </c>
      <c r="BS726" s="106">
        <f>VLOOKUP(BP726,[1]AGUA!$1:$1048576,7,FALSE)</f>
        <v/>
      </c>
      <c r="BT726" s="106" t="n"/>
      <c r="BU726" s="186" t="inlineStr">
        <is>
          <t>Programar a principio de mes, ya que se reportan hasta el 10 de cada mes.</t>
        </is>
      </c>
      <c r="BV726" s="105" t="n"/>
      <c r="BW726" s="105" t="n"/>
      <c r="BX726" s="105" t="n"/>
      <c r="BY726" s="107" t="n">
        <v>1</v>
      </c>
      <c r="BZ726" s="125" t="n"/>
      <c r="CA726" s="125"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24">
        <f>+COUNTA(BV726:CY726)</f>
        <v/>
      </c>
      <c r="DA726" s="251" t="n"/>
      <c r="DB726" s="251" t="n"/>
      <c r="DC726" s="251" t="n"/>
      <c r="DD726" s="251" t="n"/>
      <c r="DE726" s="251" t="n"/>
      <c r="DF726" s="251" t="n"/>
      <c r="DG726" s="251" t="n"/>
      <c r="DH726" s="251" t="n"/>
      <c r="DI726" s="251" t="n"/>
      <c r="DJ726" s="251" t="n"/>
      <c r="DK726" s="251" t="n"/>
      <c r="DL726" s="95" t="n"/>
      <c r="DM726" s="251" t="inlineStr">
        <is>
          <t>M</t>
        </is>
      </c>
      <c r="DN726" s="95" t="n">
        <v>1</v>
      </c>
      <c r="DO726" s="95" t="n">
        <v>7</v>
      </c>
    </row>
    <row r="727" ht="13" customHeight="1">
      <c r="A727" s="203" t="inlineStr">
        <is>
          <t>PLIX-06</t>
        </is>
      </c>
      <c r="B727" s="305" t="inlineStr">
        <is>
          <t>PLIX-06 LIXIVIACIÓN</t>
        </is>
      </c>
      <c r="C727" s="251"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1" t="inlineStr">
        <is>
          <t>532MAPLIX</t>
        </is>
      </c>
      <c r="BL727" s="7" t="inlineStr">
        <is>
          <t>LIXIVIACIÓN</t>
        </is>
      </c>
      <c r="BM727" s="251" t="inlineStr">
        <is>
          <t>NF</t>
        </is>
      </c>
      <c r="BN727" s="337" t="inlineStr">
        <is>
          <t>Lixiviación</t>
        </is>
      </c>
      <c r="BO727" s="251" t="inlineStr">
        <is>
          <t>SI</t>
        </is>
      </c>
      <c r="BP727" s="106" t="inlineStr">
        <is>
          <t>PLIX-06 LIXIVIACIÓN/NF</t>
        </is>
      </c>
      <c r="BQ727" s="106">
        <f>VLOOKUP(BP727,[1]AGUA!$1:$1048576,2,FALSE)</f>
        <v/>
      </c>
      <c r="BR727" s="106">
        <f>VLOOKUP(BP727,[1]AGUA!$1:$1048576,6,FALSE)</f>
        <v/>
      </c>
      <c r="BS727" s="106">
        <f>VLOOKUP(BP727,[1]AGUA!$1:$1048576,7,FALSE)</f>
        <v/>
      </c>
      <c r="BT727" s="106" t="n"/>
      <c r="BU727" s="186" t="inlineStr">
        <is>
          <t>Programar a principio de mes, ya que se reportan hasta el 10 de cada mes.</t>
        </is>
      </c>
      <c r="BV727" s="105" t="n"/>
      <c r="BW727" s="105" t="n"/>
      <c r="BX727" s="105" t="n"/>
      <c r="BY727" s="142" t="n">
        <v>1</v>
      </c>
      <c r="BZ727" s="125" t="n"/>
      <c r="CA727" s="125"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24">
        <f>+COUNTA(BV727:CY727)</f>
        <v/>
      </c>
      <c r="DA727" s="251" t="n"/>
      <c r="DB727" s="251" t="n"/>
      <c r="DC727" s="251" t="n"/>
      <c r="DD727" s="251" t="n"/>
      <c r="DE727" s="251" t="n"/>
      <c r="DF727" s="251" t="n"/>
      <c r="DG727" s="251" t="n"/>
      <c r="DH727" s="251" t="n"/>
      <c r="DI727" s="251" t="n"/>
      <c r="DJ727" s="251" t="inlineStr">
        <is>
          <t>M</t>
        </is>
      </c>
      <c r="DK727" s="251" t="n">
        <v>1</v>
      </c>
      <c r="DL727" s="95" t="n">
        <v>7</v>
      </c>
      <c r="DM727" s="251" t="n"/>
      <c r="DN727" s="95" t="n"/>
      <c r="DO727" s="95" t="n"/>
    </row>
    <row r="728" ht="13" customHeight="1">
      <c r="A728" s="203" t="inlineStr">
        <is>
          <t>PLIX-06</t>
        </is>
      </c>
      <c r="B728" s="376" t="n"/>
      <c r="C728" s="376"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76" t="n"/>
      <c r="BL728" s="7" t="inlineStr">
        <is>
          <t>LIXIVIACIÓN</t>
        </is>
      </c>
      <c r="BM728" s="251" t="inlineStr">
        <is>
          <t>ASUB</t>
        </is>
      </c>
      <c r="BN728" s="337" t="inlineStr">
        <is>
          <t>Lixiviación</t>
        </is>
      </c>
      <c r="BO728" s="251" t="inlineStr">
        <is>
          <t>SI</t>
        </is>
      </c>
      <c r="BP728" s="106" t="inlineStr">
        <is>
          <t>PLIX-06 LIXIVIACIÓN/ASUB</t>
        </is>
      </c>
      <c r="BQ728" s="106">
        <f>VLOOKUP(BP728,[1]AGUA!$1:$1048576,2,FALSE)</f>
        <v/>
      </c>
      <c r="BR728" s="106">
        <f>VLOOKUP(BP728,[1]AGUA!$1:$1048576,6,FALSE)</f>
        <v/>
      </c>
      <c r="BS728" s="106">
        <f>VLOOKUP(BP728,[1]AGUA!$1:$1048576,7,FALSE)</f>
        <v/>
      </c>
      <c r="BT728" s="106" t="n"/>
      <c r="BU728" s="186" t="inlineStr">
        <is>
          <t>Programar a principio de mes, ya que se reportan hasta el 10 de cada mes.</t>
        </is>
      </c>
      <c r="BV728" s="105" t="n"/>
      <c r="BW728" s="105" t="n"/>
      <c r="BX728" s="105" t="n"/>
      <c r="BY728" s="107" t="n">
        <v>1</v>
      </c>
      <c r="BZ728" s="125" t="n"/>
      <c r="CA728" s="125"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24">
        <f>+COUNTA(BV728:CY728)</f>
        <v/>
      </c>
      <c r="DA728" s="251" t="n"/>
      <c r="DB728" s="251" t="n"/>
      <c r="DC728" s="251" t="n"/>
      <c r="DD728" s="251" t="n"/>
      <c r="DE728" s="251" t="n"/>
      <c r="DF728" s="251" t="n"/>
      <c r="DG728" s="251" t="n"/>
      <c r="DH728" s="251" t="n"/>
      <c r="DI728" s="251" t="n"/>
      <c r="DJ728" s="251" t="n"/>
      <c r="DK728" s="251" t="n"/>
      <c r="DL728" s="95" t="n"/>
      <c r="DM728" s="251" t="inlineStr">
        <is>
          <t>M</t>
        </is>
      </c>
      <c r="DN728" s="95" t="n">
        <v>1</v>
      </c>
      <c r="DO728" s="95" t="n">
        <v>7</v>
      </c>
    </row>
    <row r="729" ht="13" customHeight="1">
      <c r="A729" s="203" t="inlineStr">
        <is>
          <t>PLIX-07A</t>
        </is>
      </c>
      <c r="B729" s="305" t="inlineStr">
        <is>
          <t>PLIX-07A LIXIVIACIÓN</t>
        </is>
      </c>
      <c r="C729" s="251"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1" t="inlineStr">
        <is>
          <t>532MAPLIX</t>
        </is>
      </c>
      <c r="BL729" s="7" t="inlineStr">
        <is>
          <t>LIXIVIACIÓN</t>
        </is>
      </c>
      <c r="BM729" s="251" t="inlineStr">
        <is>
          <t>NF</t>
        </is>
      </c>
      <c r="BN729" s="337" t="inlineStr">
        <is>
          <t>Lixiviación</t>
        </is>
      </c>
      <c r="BO729" s="251" t="inlineStr">
        <is>
          <t>SI</t>
        </is>
      </c>
      <c r="BP729" s="106" t="inlineStr">
        <is>
          <t>PLIX-07A LIXIVIACIÓN/NF</t>
        </is>
      </c>
      <c r="BQ729" s="106">
        <f>VLOOKUP(BP729,[1]AGUA!$1:$1048576,2,FALSE)</f>
        <v/>
      </c>
      <c r="BR729" s="106">
        <f>VLOOKUP(BP729,[1]AGUA!$1:$1048576,6,FALSE)</f>
        <v/>
      </c>
      <c r="BS729" s="106">
        <f>VLOOKUP(BP729,[1]AGUA!$1:$1048576,7,FALSE)</f>
        <v/>
      </c>
      <c r="BT729" s="106" t="n"/>
      <c r="BU729" s="186" t="inlineStr">
        <is>
          <t>Programar a principio de mes, ya que se reportan hasta el 10 de cada mes.</t>
        </is>
      </c>
      <c r="BV729" s="105" t="n"/>
      <c r="BW729" s="105" t="n"/>
      <c r="BX729" s="105" t="n"/>
      <c r="BY729" s="142" t="n">
        <v>1</v>
      </c>
      <c r="BZ729" s="125" t="n"/>
      <c r="CA729" s="125"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24">
        <f>+COUNTA(BV729:CY729)</f>
        <v/>
      </c>
      <c r="DA729" s="251" t="n"/>
      <c r="DB729" s="251" t="n"/>
      <c r="DC729" s="251" t="n"/>
      <c r="DD729" s="251" t="n"/>
      <c r="DE729" s="251" t="n"/>
      <c r="DF729" s="251" t="n"/>
      <c r="DG729" s="251" t="n"/>
      <c r="DH729" s="251" t="n"/>
      <c r="DI729" s="251" t="n"/>
      <c r="DJ729" s="251" t="inlineStr">
        <is>
          <t>M</t>
        </is>
      </c>
      <c r="DK729" s="251" t="n">
        <v>1</v>
      </c>
      <c r="DL729" s="95" t="n">
        <v>7</v>
      </c>
      <c r="DM729" s="251" t="n"/>
      <c r="DN729" s="95" t="n"/>
      <c r="DO729" s="95" t="n"/>
    </row>
    <row r="730" ht="13" customHeight="1">
      <c r="A730" s="203" t="inlineStr">
        <is>
          <t>PLIX-07A</t>
        </is>
      </c>
      <c r="B730" s="376" t="n"/>
      <c r="C730" s="376"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76" t="n"/>
      <c r="BL730" s="7" t="inlineStr">
        <is>
          <t>LIXIVIACIÓN</t>
        </is>
      </c>
      <c r="BM730" s="251" t="inlineStr">
        <is>
          <t>ASUB</t>
        </is>
      </c>
      <c r="BN730" s="337" t="inlineStr">
        <is>
          <t>Lixiviación</t>
        </is>
      </c>
      <c r="BO730" s="251" t="inlineStr">
        <is>
          <t>SI</t>
        </is>
      </c>
      <c r="BP730" s="106" t="inlineStr">
        <is>
          <t>PLIX-07A LIXIVIACIÓN/ASUB</t>
        </is>
      </c>
      <c r="BQ730" s="106">
        <f>VLOOKUP(BP730,[1]AGUA!$1:$1048576,2,FALSE)</f>
        <v/>
      </c>
      <c r="BR730" s="106">
        <f>VLOOKUP(BP730,[1]AGUA!$1:$1048576,6,FALSE)</f>
        <v/>
      </c>
      <c r="BS730" s="106">
        <f>VLOOKUP(BP730,[1]AGUA!$1:$1048576,7,FALSE)</f>
        <v/>
      </c>
      <c r="BT730" s="106" t="n"/>
      <c r="BU730" s="186" t="inlineStr">
        <is>
          <t>Programar a principio de mes, ya que se reportan hasta el 10 de cada mes.</t>
        </is>
      </c>
      <c r="BV730" s="105" t="n"/>
      <c r="BW730" s="105" t="n"/>
      <c r="BX730" s="105" t="n"/>
      <c r="BY730" s="107" t="n">
        <v>1</v>
      </c>
      <c r="BZ730" s="125" t="n"/>
      <c r="CA730" s="125"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24">
        <f>+COUNTA(BV730:CY730)</f>
        <v/>
      </c>
      <c r="DA730" s="251" t="n"/>
      <c r="DB730" s="251" t="n"/>
      <c r="DC730" s="251" t="n"/>
      <c r="DD730" s="251" t="n"/>
      <c r="DE730" s="251" t="n"/>
      <c r="DF730" s="251" t="n"/>
      <c r="DG730" s="251" t="n"/>
      <c r="DH730" s="251" t="n"/>
      <c r="DI730" s="251" t="n"/>
      <c r="DJ730" s="251" t="n"/>
      <c r="DK730" s="251" t="n"/>
      <c r="DL730" s="95" t="n"/>
      <c r="DM730" s="251" t="inlineStr">
        <is>
          <t>M</t>
        </is>
      </c>
      <c r="DN730" s="95" t="n">
        <v>1</v>
      </c>
      <c r="DO730" s="95" t="n">
        <v>7</v>
      </c>
    </row>
    <row r="731" ht="13" customHeight="1">
      <c r="A731" s="203" t="inlineStr">
        <is>
          <t>PLIX-07B</t>
        </is>
      </c>
      <c r="B731" s="305" t="inlineStr">
        <is>
          <t>PLIX-07B LIXIVIACIÓN</t>
        </is>
      </c>
      <c r="C731" s="251"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1" t="inlineStr">
        <is>
          <t>532MAPLIX</t>
        </is>
      </c>
      <c r="BL731" s="7" t="inlineStr">
        <is>
          <t>LIXIVIACIÓN</t>
        </is>
      </c>
      <c r="BM731" s="251" t="inlineStr">
        <is>
          <t>NF</t>
        </is>
      </c>
      <c r="BN731" s="337" t="inlineStr">
        <is>
          <t>Lixiviación</t>
        </is>
      </c>
      <c r="BO731" s="251" t="inlineStr">
        <is>
          <t>SI</t>
        </is>
      </c>
      <c r="BP731" s="106" t="inlineStr">
        <is>
          <t>PLIX-07B LIXIVIACIÓN/NF</t>
        </is>
      </c>
      <c r="BQ731" s="106">
        <f>VLOOKUP(BP731,[1]AGUA!$1:$1048576,2,FALSE)</f>
        <v/>
      </c>
      <c r="BR731" s="106">
        <f>VLOOKUP(BP731,[1]AGUA!$1:$1048576,6,FALSE)</f>
        <v/>
      </c>
      <c r="BS731" s="106">
        <f>VLOOKUP(BP731,[1]AGUA!$1:$1048576,7,FALSE)</f>
        <v/>
      </c>
      <c r="BT731" s="106" t="n"/>
      <c r="BU731" s="186" t="inlineStr">
        <is>
          <t>Programar a principio de mes, ya que se reportan hasta el 10 de cada mes.</t>
        </is>
      </c>
      <c r="BV731" s="105" t="n"/>
      <c r="BW731" s="105" t="n"/>
      <c r="BX731" s="105" t="n"/>
      <c r="BY731" s="142" t="n">
        <v>1</v>
      </c>
      <c r="BZ731" s="125" t="n"/>
      <c r="CA731" s="125"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24">
        <f>+COUNTA(BV731:CY731)</f>
        <v/>
      </c>
      <c r="DA731" s="251" t="n"/>
      <c r="DB731" s="251" t="n"/>
      <c r="DC731" s="251" t="n"/>
      <c r="DD731" s="251" t="n"/>
      <c r="DE731" s="251" t="n"/>
      <c r="DF731" s="251" t="n"/>
      <c r="DG731" s="251" t="n"/>
      <c r="DH731" s="251" t="n"/>
      <c r="DI731" s="251" t="n"/>
      <c r="DJ731" s="251" t="inlineStr">
        <is>
          <t>M</t>
        </is>
      </c>
      <c r="DK731" s="251" t="n">
        <v>1</v>
      </c>
      <c r="DL731" s="95" t="n">
        <v>7</v>
      </c>
      <c r="DM731" s="251" t="n"/>
      <c r="DN731" s="95" t="n"/>
      <c r="DO731" s="95" t="n"/>
    </row>
    <row r="732" ht="13" customHeight="1">
      <c r="A732" s="203" t="inlineStr">
        <is>
          <t>PLIX-07B</t>
        </is>
      </c>
      <c r="B732" s="376" t="n"/>
      <c r="C732" s="376"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76" t="n"/>
      <c r="BL732" s="7" t="inlineStr">
        <is>
          <t>LIXIVIACIÓN</t>
        </is>
      </c>
      <c r="BM732" s="251" t="inlineStr">
        <is>
          <t>ASUB</t>
        </is>
      </c>
      <c r="BN732" s="337" t="inlineStr">
        <is>
          <t>Lixiviación</t>
        </is>
      </c>
      <c r="BO732" s="251" t="inlineStr">
        <is>
          <t>SI</t>
        </is>
      </c>
      <c r="BP732" s="106" t="inlineStr">
        <is>
          <t>PLIX-07B LIXIVIACIÓN/ASUB</t>
        </is>
      </c>
      <c r="BQ732" s="106">
        <f>VLOOKUP(BP732,[1]AGUA!$1:$1048576,2,FALSE)</f>
        <v/>
      </c>
      <c r="BR732" s="106">
        <f>VLOOKUP(BP732,[1]AGUA!$1:$1048576,6,FALSE)</f>
        <v/>
      </c>
      <c r="BS732" s="106">
        <f>VLOOKUP(BP732,[1]AGUA!$1:$1048576,7,FALSE)</f>
        <v/>
      </c>
      <c r="BT732" s="106" t="n"/>
      <c r="BU732" s="186" t="inlineStr">
        <is>
          <t>Programar a principio de mes, ya que se reportan hasta el 10 de cada mes.</t>
        </is>
      </c>
      <c r="BV732" s="105" t="n"/>
      <c r="BW732" s="105" t="n"/>
      <c r="BX732" s="105" t="n"/>
      <c r="BY732" s="107" t="n">
        <v>1</v>
      </c>
      <c r="BZ732" s="125" t="n"/>
      <c r="CA732" s="125"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24">
        <f>+COUNTA(BV732:CY732)</f>
        <v/>
      </c>
      <c r="DA732" s="251" t="n"/>
      <c r="DB732" s="251" t="n"/>
      <c r="DC732" s="251" t="n"/>
      <c r="DD732" s="251" t="n"/>
      <c r="DE732" s="251" t="n"/>
      <c r="DF732" s="251" t="n"/>
      <c r="DG732" s="251" t="n"/>
      <c r="DH732" s="251" t="n"/>
      <c r="DI732" s="251" t="n"/>
      <c r="DJ732" s="251" t="n"/>
      <c r="DK732" s="251" t="n"/>
      <c r="DL732" s="95" t="n"/>
      <c r="DM732" s="251" t="inlineStr">
        <is>
          <t>M</t>
        </is>
      </c>
      <c r="DN732" s="95" t="n">
        <v>1</v>
      </c>
      <c r="DO732" s="95" t="n">
        <v>7</v>
      </c>
    </row>
    <row r="733" ht="13" customHeight="1">
      <c r="A733" s="203" t="inlineStr">
        <is>
          <t>PLIX-08A</t>
        </is>
      </c>
      <c r="B733" s="305" t="inlineStr">
        <is>
          <t>PLIX-08A LIXIVIACIÓN</t>
        </is>
      </c>
      <c r="C733" s="251"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1" t="inlineStr">
        <is>
          <t>532MAPLIX</t>
        </is>
      </c>
      <c r="BL733" s="7" t="inlineStr">
        <is>
          <t>LIXIVIACIÓN</t>
        </is>
      </c>
      <c r="BM733" s="251" t="inlineStr">
        <is>
          <t>NF</t>
        </is>
      </c>
      <c r="BN733" s="337" t="inlineStr">
        <is>
          <t>Lixiviación</t>
        </is>
      </c>
      <c r="BO733" s="251" t="inlineStr">
        <is>
          <t>SI</t>
        </is>
      </c>
      <c r="BP733" s="106" t="inlineStr">
        <is>
          <t>PLIX-08A LIXIVIACIÓN/NF</t>
        </is>
      </c>
      <c r="BQ733" s="106">
        <f>VLOOKUP(BP733,[1]AGUA!$1:$1048576,2,FALSE)</f>
        <v/>
      </c>
      <c r="BR733" s="106">
        <f>VLOOKUP(BP733,[1]AGUA!$1:$1048576,6,FALSE)</f>
        <v/>
      </c>
      <c r="BS733" s="106">
        <f>VLOOKUP(BP733,[1]AGUA!$1:$1048576,7,FALSE)</f>
        <v/>
      </c>
      <c r="BT733" s="106" t="n"/>
      <c r="BU733" s="186" t="inlineStr">
        <is>
          <t>Programar a principio de mes, ya que se reportan hasta el 10 de cada mes.</t>
        </is>
      </c>
      <c r="BV733" s="105" t="n"/>
      <c r="BW733" s="105" t="n"/>
      <c r="BX733" s="105" t="n"/>
      <c r="BY733" s="142" t="n">
        <v>1</v>
      </c>
      <c r="BZ733" s="125" t="n"/>
      <c r="CA733" s="125"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24">
        <f>+COUNTA(BV733:CY733)</f>
        <v/>
      </c>
      <c r="DA733" s="251" t="n"/>
      <c r="DB733" s="251" t="n"/>
      <c r="DC733" s="251" t="n"/>
      <c r="DD733" s="251" t="n"/>
      <c r="DE733" s="251" t="n"/>
      <c r="DF733" s="251" t="n"/>
      <c r="DG733" s="251" t="n"/>
      <c r="DH733" s="251" t="n"/>
      <c r="DI733" s="251" t="n"/>
      <c r="DJ733" s="251" t="inlineStr">
        <is>
          <t>M</t>
        </is>
      </c>
      <c r="DK733" s="251" t="n">
        <v>1</v>
      </c>
      <c r="DL733" s="95" t="n">
        <v>7</v>
      </c>
      <c r="DM733" s="251" t="n"/>
      <c r="DN733" s="95" t="n"/>
      <c r="DO733" s="95" t="n"/>
    </row>
    <row r="734" ht="13" customHeight="1">
      <c r="A734" s="203" t="inlineStr">
        <is>
          <t>PLIX-08A</t>
        </is>
      </c>
      <c r="B734" s="376" t="n"/>
      <c r="C734" s="376"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76" t="n"/>
      <c r="BL734" s="7" t="inlineStr">
        <is>
          <t>LIXIVIACIÓN</t>
        </is>
      </c>
      <c r="BM734" s="251" t="inlineStr">
        <is>
          <t>ASUB</t>
        </is>
      </c>
      <c r="BN734" s="337" t="inlineStr">
        <is>
          <t>Lixiviación</t>
        </is>
      </c>
      <c r="BO734" s="251" t="inlineStr">
        <is>
          <t>SI</t>
        </is>
      </c>
      <c r="BP734" s="106" t="inlineStr">
        <is>
          <t>PLIX-08A LIXIVIACIÓN/ASUB</t>
        </is>
      </c>
      <c r="BQ734" s="106">
        <f>VLOOKUP(BP734,[1]AGUA!$1:$1048576,2,FALSE)</f>
        <v/>
      </c>
      <c r="BR734" s="106">
        <f>VLOOKUP(BP734,[1]AGUA!$1:$1048576,6,FALSE)</f>
        <v/>
      </c>
      <c r="BS734" s="106">
        <f>VLOOKUP(BP734,[1]AGUA!$1:$1048576,7,FALSE)</f>
        <v/>
      </c>
      <c r="BT734" s="106" t="n"/>
      <c r="BU734" s="186" t="inlineStr">
        <is>
          <t>Programar a principio de mes, ya que se reportan hasta el 10 de cada mes.</t>
        </is>
      </c>
      <c r="BV734" s="105" t="n"/>
      <c r="BW734" s="105" t="n"/>
      <c r="BX734" s="105" t="n"/>
      <c r="BY734" s="107" t="n">
        <v>1</v>
      </c>
      <c r="BZ734" s="125" t="n"/>
      <c r="CA734" s="125"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24">
        <f>+COUNTA(BV734:CY734)</f>
        <v/>
      </c>
      <c r="DA734" s="251" t="n"/>
      <c r="DB734" s="251" t="n"/>
      <c r="DC734" s="251" t="n"/>
      <c r="DD734" s="251" t="n"/>
      <c r="DE734" s="251" t="n"/>
      <c r="DF734" s="251" t="n"/>
      <c r="DG734" s="251" t="n"/>
      <c r="DH734" s="251" t="n"/>
      <c r="DI734" s="251" t="n"/>
      <c r="DJ734" s="251" t="n"/>
      <c r="DK734" s="251" t="n"/>
      <c r="DL734" s="95" t="n"/>
      <c r="DM734" s="251" t="inlineStr">
        <is>
          <t>M</t>
        </is>
      </c>
      <c r="DN734" s="95" t="n">
        <v>1</v>
      </c>
      <c r="DO734" s="95" t="n">
        <v>7</v>
      </c>
    </row>
    <row r="735" ht="13" customHeight="1">
      <c r="A735" s="203" t="inlineStr">
        <is>
          <t>PLIX-08B</t>
        </is>
      </c>
      <c r="B735" s="305" t="inlineStr">
        <is>
          <t>PLIX-08B LIXIVIACIÓN</t>
        </is>
      </c>
      <c r="C735" s="251"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1" t="inlineStr">
        <is>
          <t>532MAPLIX</t>
        </is>
      </c>
      <c r="BL735" s="7" t="inlineStr">
        <is>
          <t>LIXIVIACIÓN</t>
        </is>
      </c>
      <c r="BM735" s="251" t="inlineStr">
        <is>
          <t>NF</t>
        </is>
      </c>
      <c r="BN735" s="337" t="inlineStr">
        <is>
          <t>Lixiviación</t>
        </is>
      </c>
      <c r="BO735" s="251" t="inlineStr">
        <is>
          <t>SI</t>
        </is>
      </c>
      <c r="BP735" s="106" t="inlineStr">
        <is>
          <t>PLIX-08B LIXIVIACIÓN/NF</t>
        </is>
      </c>
      <c r="BQ735" s="106">
        <f>VLOOKUP(BP735,[1]AGUA!$1:$1048576,2,FALSE)</f>
        <v/>
      </c>
      <c r="BR735" s="106">
        <f>VLOOKUP(BP735,[1]AGUA!$1:$1048576,6,FALSE)</f>
        <v/>
      </c>
      <c r="BS735" s="106">
        <f>VLOOKUP(BP735,[1]AGUA!$1:$1048576,7,FALSE)</f>
        <v/>
      </c>
      <c r="BT735" s="106" t="n"/>
      <c r="BU735" s="186" t="inlineStr">
        <is>
          <t>Programar a principio de mes, ya que se reportan hasta el 10 de cada mes.</t>
        </is>
      </c>
      <c r="BV735" s="105" t="n"/>
      <c r="BW735" s="105" t="n"/>
      <c r="BX735" s="105" t="n"/>
      <c r="BY735" s="142" t="n">
        <v>1</v>
      </c>
      <c r="BZ735" s="125" t="n"/>
      <c r="CA735" s="125"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24">
        <f>+COUNTA(BV735:CY735)</f>
        <v/>
      </c>
      <c r="DA735" s="251" t="n"/>
      <c r="DB735" s="251" t="n"/>
      <c r="DC735" s="251" t="n"/>
      <c r="DD735" s="251" t="n"/>
      <c r="DE735" s="251" t="n"/>
      <c r="DF735" s="251" t="n"/>
      <c r="DG735" s="251" t="n"/>
      <c r="DH735" s="251" t="n"/>
      <c r="DI735" s="251" t="n"/>
      <c r="DJ735" s="251" t="inlineStr">
        <is>
          <t>M</t>
        </is>
      </c>
      <c r="DK735" s="251" t="n">
        <v>1</v>
      </c>
      <c r="DL735" s="95" t="n">
        <v>7</v>
      </c>
      <c r="DM735" s="251" t="n"/>
      <c r="DN735" s="95" t="n"/>
      <c r="DO735" s="95" t="n"/>
    </row>
    <row r="736" ht="13" customHeight="1">
      <c r="A736" s="203" t="inlineStr">
        <is>
          <t>PLIX-08B</t>
        </is>
      </c>
      <c r="B736" s="376" t="n"/>
      <c r="C736" s="376"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76" t="n"/>
      <c r="BL736" s="7" t="inlineStr">
        <is>
          <t>LIXIVIACIÓN</t>
        </is>
      </c>
      <c r="BM736" s="251" t="inlineStr">
        <is>
          <t>ASUB</t>
        </is>
      </c>
      <c r="BN736" s="337" t="inlineStr">
        <is>
          <t>Lixiviación</t>
        </is>
      </c>
      <c r="BO736" s="251" t="inlineStr">
        <is>
          <t>SI</t>
        </is>
      </c>
      <c r="BP736" s="106" t="inlineStr">
        <is>
          <t>PLIX-08B LIXIVIACIÓN/ASUB</t>
        </is>
      </c>
      <c r="BQ736" s="106">
        <f>VLOOKUP(BP736,[1]AGUA!$1:$1048576,2,FALSE)</f>
        <v/>
      </c>
      <c r="BR736" s="106">
        <f>VLOOKUP(BP736,[1]AGUA!$1:$1048576,6,FALSE)</f>
        <v/>
      </c>
      <c r="BS736" s="106">
        <f>VLOOKUP(BP736,[1]AGUA!$1:$1048576,7,FALSE)</f>
        <v/>
      </c>
      <c r="BT736" s="106" t="n"/>
      <c r="BU736" s="186" t="inlineStr">
        <is>
          <t>Programar a principio de mes, ya que se reportan hasta el 10 de cada mes.</t>
        </is>
      </c>
      <c r="BV736" s="105" t="n"/>
      <c r="BW736" s="105" t="n"/>
      <c r="BX736" s="105" t="n"/>
      <c r="BY736" s="107" t="n">
        <v>1</v>
      </c>
      <c r="BZ736" s="125" t="n"/>
      <c r="CA736" s="125"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24">
        <f>+COUNTA(BV736:CY736)</f>
        <v/>
      </c>
      <c r="DA736" s="251" t="n"/>
      <c r="DB736" s="251" t="n"/>
      <c r="DC736" s="251" t="n"/>
      <c r="DD736" s="251" t="n"/>
      <c r="DE736" s="251" t="n"/>
      <c r="DF736" s="251" t="n"/>
      <c r="DG736" s="251" t="n"/>
      <c r="DH736" s="251" t="n"/>
      <c r="DI736" s="251" t="n"/>
      <c r="DJ736" s="251" t="n"/>
      <c r="DK736" s="251" t="n"/>
      <c r="DL736" s="95" t="n"/>
      <c r="DM736" s="251" t="inlineStr">
        <is>
          <t>M</t>
        </is>
      </c>
      <c r="DN736" s="95" t="n">
        <v>1</v>
      </c>
      <c r="DO736" s="95" t="n">
        <v>7</v>
      </c>
    </row>
    <row r="737" ht="13" customHeight="1">
      <c r="A737" s="203" t="inlineStr">
        <is>
          <t>PLIX-09</t>
        </is>
      </c>
      <c r="B737" s="305" t="inlineStr">
        <is>
          <t>PLIX-09 LIXIVIACIÓN</t>
        </is>
      </c>
      <c r="C737" s="251"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1" t="inlineStr">
        <is>
          <t>532MAPLIX</t>
        </is>
      </c>
      <c r="BL737" s="7" t="inlineStr">
        <is>
          <t>LIXIVIACIÓN</t>
        </is>
      </c>
      <c r="BM737" s="251" t="inlineStr">
        <is>
          <t>NF</t>
        </is>
      </c>
      <c r="BN737" s="337" t="inlineStr">
        <is>
          <t>Lixiviación</t>
        </is>
      </c>
      <c r="BO737" s="251" t="inlineStr">
        <is>
          <t>SI</t>
        </is>
      </c>
      <c r="BP737" s="106" t="inlineStr">
        <is>
          <t>PLIX-09 LIXIVIACIÓN/NF</t>
        </is>
      </c>
      <c r="BQ737" s="106">
        <f>VLOOKUP(BP737,[1]AGUA!$1:$1048576,2,FALSE)</f>
        <v/>
      </c>
      <c r="BR737" s="106">
        <f>VLOOKUP(BP737,[1]AGUA!$1:$1048576,6,FALSE)</f>
        <v/>
      </c>
      <c r="BS737" s="106">
        <f>VLOOKUP(BP737,[1]AGUA!$1:$1048576,7,FALSE)</f>
        <v/>
      </c>
      <c r="BT737" s="106" t="n"/>
      <c r="BU737" s="186" t="inlineStr">
        <is>
          <t>MUESTRA</t>
        </is>
      </c>
      <c r="BV737" s="105" t="n"/>
      <c r="BW737" s="105" t="n"/>
      <c r="BX737" s="105" t="n"/>
      <c r="BY737" s="125" t="n"/>
      <c r="BZ737" s="105" t="n"/>
      <c r="CA737" s="142" t="n">
        <v>1</v>
      </c>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24">
        <f>+COUNTA(BV737:CY737)</f>
        <v/>
      </c>
      <c r="DA737" s="251" t="n"/>
      <c r="DB737" s="251" t="n"/>
      <c r="DC737" s="251" t="n"/>
      <c r="DD737" s="251" t="n"/>
      <c r="DE737" s="251" t="n"/>
      <c r="DF737" s="251" t="n"/>
      <c r="DG737" s="251" t="n"/>
      <c r="DH737" s="251" t="n"/>
      <c r="DI737" s="251" t="n"/>
      <c r="DJ737" s="251" t="inlineStr">
        <is>
          <t>M</t>
        </is>
      </c>
      <c r="DK737" s="251" t="n">
        <v>1</v>
      </c>
      <c r="DL737" s="95" t="n">
        <v>7</v>
      </c>
      <c r="DM737" s="251" t="n"/>
      <c r="DN737" s="95" t="n"/>
      <c r="DO737" s="95" t="n"/>
    </row>
    <row r="738" ht="13" customHeight="1">
      <c r="A738" s="203" t="inlineStr">
        <is>
          <t>PLIX-09</t>
        </is>
      </c>
      <c r="B738" s="376" t="n"/>
      <c r="C738" s="376"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76" t="n"/>
      <c r="BL738" s="7" t="inlineStr">
        <is>
          <t>LIXIVIACIÓN</t>
        </is>
      </c>
      <c r="BM738" s="251" t="inlineStr">
        <is>
          <t>ASUB</t>
        </is>
      </c>
      <c r="BN738" s="337" t="inlineStr">
        <is>
          <t>Lixiviación</t>
        </is>
      </c>
      <c r="BO738" s="251" t="inlineStr">
        <is>
          <t>SI</t>
        </is>
      </c>
      <c r="BP738" s="106" t="inlineStr">
        <is>
          <t>PLIX-09 LIXIVIACIÓN/ASUB</t>
        </is>
      </c>
      <c r="BQ738" s="106">
        <f>VLOOKUP(BP738,[1]AGUA!$1:$1048576,2,FALSE)</f>
        <v/>
      </c>
      <c r="BR738" s="106">
        <f>VLOOKUP(BP738,[1]AGUA!$1:$1048576,6,FALSE)</f>
        <v/>
      </c>
      <c r="BS738" s="106">
        <f>VLOOKUP(BP738,[1]AGUA!$1:$1048576,7,FALSE)</f>
        <v/>
      </c>
      <c r="BT738" s="106" t="n"/>
      <c r="BU738" s="186" t="inlineStr">
        <is>
          <t>MUESTRA</t>
        </is>
      </c>
      <c r="BV738" s="105" t="n"/>
      <c r="BW738" s="105" t="n"/>
      <c r="BX738" s="105" t="n"/>
      <c r="BY738" s="125" t="n"/>
      <c r="BZ738" s="105" t="n"/>
      <c r="CA738" s="107" t="n">
        <v>1</v>
      </c>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24">
        <f>+COUNTA(BV738:CY738)</f>
        <v/>
      </c>
      <c r="DA738" s="251" t="n"/>
      <c r="DB738" s="251" t="n"/>
      <c r="DC738" s="251" t="n"/>
      <c r="DD738" s="251" t="n"/>
      <c r="DE738" s="251" t="n"/>
      <c r="DF738" s="251" t="n"/>
      <c r="DG738" s="251" t="n"/>
      <c r="DH738" s="251" t="n"/>
      <c r="DI738" s="251" t="n"/>
      <c r="DJ738" s="251" t="n"/>
      <c r="DK738" s="251" t="n"/>
      <c r="DL738" s="95" t="n"/>
      <c r="DM738" s="251" t="inlineStr">
        <is>
          <t>M</t>
        </is>
      </c>
      <c r="DN738" s="95" t="n">
        <v>1</v>
      </c>
      <c r="DO738" s="95" t="n">
        <v>7</v>
      </c>
    </row>
    <row r="739" ht="13" customHeight="1">
      <c r="A739" s="203" t="inlineStr">
        <is>
          <t>PLIX-10A</t>
        </is>
      </c>
      <c r="B739" s="305" t="inlineStr">
        <is>
          <t>PLIX-10A LIXIVIACIÓN</t>
        </is>
      </c>
      <c r="C739" s="251"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1" t="inlineStr">
        <is>
          <t>532MAPLIX</t>
        </is>
      </c>
      <c r="BL739" s="7" t="inlineStr">
        <is>
          <t>LIXIVIACIÓN</t>
        </is>
      </c>
      <c r="BM739" s="251" t="inlineStr">
        <is>
          <t>NF</t>
        </is>
      </c>
      <c r="BN739" s="337" t="inlineStr">
        <is>
          <t>Lixiviación</t>
        </is>
      </c>
      <c r="BO739" s="251" t="inlineStr">
        <is>
          <t>SI</t>
        </is>
      </c>
      <c r="BP739" s="106" t="inlineStr">
        <is>
          <t>PLIX-10A LIXIVIACIÓN/NF</t>
        </is>
      </c>
      <c r="BQ739" s="106">
        <f>VLOOKUP(BP739,[1]AGUA!$1:$1048576,2,FALSE)</f>
        <v/>
      </c>
      <c r="BR739" s="106">
        <f>VLOOKUP(BP739,[1]AGUA!$1:$1048576,6,FALSE)</f>
        <v/>
      </c>
      <c r="BS739" s="106">
        <f>VLOOKUP(BP739,[1]AGUA!$1:$1048576,7,FALSE)</f>
        <v/>
      </c>
      <c r="BT739" s="106" t="n"/>
      <c r="BU739" s="186" t="inlineStr">
        <is>
          <t>Programar a principio de mes, ya que se reportan hasta el 10 de cada mes.</t>
        </is>
      </c>
      <c r="BV739" s="105" t="n"/>
      <c r="BW739" s="105" t="n"/>
      <c r="BX739" s="105" t="n"/>
      <c r="BY739" s="142" t="n">
        <v>1</v>
      </c>
      <c r="BZ739" s="7" t="n"/>
      <c r="CA739" s="7"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24">
        <f>+COUNTA(BV739:CY739)</f>
        <v/>
      </c>
      <c r="DA739" s="251" t="n"/>
      <c r="DB739" s="251" t="n"/>
      <c r="DC739" s="251" t="n"/>
      <c r="DD739" s="251" t="n"/>
      <c r="DE739" s="251" t="n"/>
      <c r="DF739" s="251" t="n"/>
      <c r="DG739" s="251" t="n"/>
      <c r="DH739" s="251" t="n"/>
      <c r="DI739" s="251" t="n"/>
      <c r="DJ739" s="251" t="inlineStr">
        <is>
          <t>M</t>
        </is>
      </c>
      <c r="DK739" s="251" t="n">
        <v>1</v>
      </c>
      <c r="DL739" s="95" t="n">
        <v>7</v>
      </c>
      <c r="DM739" s="251" t="n"/>
      <c r="DN739" s="95" t="n"/>
      <c r="DO739" s="95" t="n"/>
    </row>
    <row r="740" ht="13" customHeight="1">
      <c r="A740" s="203" t="inlineStr">
        <is>
          <t>PLIX-10A</t>
        </is>
      </c>
      <c r="B740" s="376" t="n"/>
      <c r="C740" s="376"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76" t="n"/>
      <c r="BL740" s="7" t="inlineStr">
        <is>
          <t>LIXIVIACIÓN</t>
        </is>
      </c>
      <c r="BM740" s="251" t="inlineStr">
        <is>
          <t>ASUB</t>
        </is>
      </c>
      <c r="BN740" s="337" t="inlineStr">
        <is>
          <t>Lixiviación</t>
        </is>
      </c>
      <c r="BO740" s="251" t="inlineStr">
        <is>
          <t>SI</t>
        </is>
      </c>
      <c r="BP740" s="106" t="inlineStr">
        <is>
          <t>PLIX-10A LIXIVIACIÓN/ASUB</t>
        </is>
      </c>
      <c r="BQ740" s="106">
        <f>VLOOKUP(BP740,[1]AGUA!$1:$1048576,2,FALSE)</f>
        <v/>
      </c>
      <c r="BR740" s="106">
        <f>VLOOKUP(BP740,[1]AGUA!$1:$1048576,6,FALSE)</f>
        <v/>
      </c>
      <c r="BS740" s="106">
        <f>VLOOKUP(BP740,[1]AGUA!$1:$1048576,7,FALSE)</f>
        <v/>
      </c>
      <c r="BT740" s="106" t="n"/>
      <c r="BU740" s="186" t="inlineStr">
        <is>
          <t>Programar a principio de mes, ya que se reportan hasta el 10 de cada mes.</t>
        </is>
      </c>
      <c r="BV740" s="105" t="n"/>
      <c r="BW740" s="105" t="n"/>
      <c r="BX740" s="105" t="n"/>
      <c r="BY740" s="107" t="n">
        <v>1</v>
      </c>
      <c r="BZ740" s="7" t="n"/>
      <c r="CA740" s="7"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24">
        <f>+COUNTA(BV740:CY740)</f>
        <v/>
      </c>
      <c r="DA740" s="251" t="n"/>
      <c r="DB740" s="251" t="n"/>
      <c r="DC740" s="251" t="n"/>
      <c r="DD740" s="251" t="n"/>
      <c r="DE740" s="251" t="n"/>
      <c r="DF740" s="251" t="n"/>
      <c r="DG740" s="251" t="n"/>
      <c r="DH740" s="251" t="n"/>
      <c r="DI740" s="251" t="n"/>
      <c r="DJ740" s="251" t="n"/>
      <c r="DK740" s="251" t="n"/>
      <c r="DL740" s="95" t="n"/>
      <c r="DM740" s="251" t="inlineStr">
        <is>
          <t>M</t>
        </is>
      </c>
      <c r="DN740" s="95" t="n">
        <v>1</v>
      </c>
      <c r="DO740" s="95" t="n">
        <v>7</v>
      </c>
    </row>
    <row r="741" ht="13" customHeight="1">
      <c r="A741" s="203" t="inlineStr">
        <is>
          <t>PLIX-10B</t>
        </is>
      </c>
      <c r="B741" s="305" t="inlineStr">
        <is>
          <t>PLIX-10B LIXIVIACIÓN</t>
        </is>
      </c>
      <c r="C741" s="251"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1" t="inlineStr">
        <is>
          <t>532MAPLIX</t>
        </is>
      </c>
      <c r="BL741" s="7" t="inlineStr">
        <is>
          <t>LIXIVIACIÓN</t>
        </is>
      </c>
      <c r="BM741" s="251" t="inlineStr">
        <is>
          <t>NF</t>
        </is>
      </c>
      <c r="BN741" s="337" t="inlineStr">
        <is>
          <t>Lixiviación</t>
        </is>
      </c>
      <c r="BO741" s="251" t="inlineStr">
        <is>
          <t>SI</t>
        </is>
      </c>
      <c r="BP741" s="106" t="inlineStr">
        <is>
          <t>PLIX-10B LIXIVIACIÓN/NF</t>
        </is>
      </c>
      <c r="BQ741" s="106">
        <f>VLOOKUP(BP741,[1]AGUA!$1:$1048576,2,FALSE)</f>
        <v/>
      </c>
      <c r="BR741" s="106">
        <f>VLOOKUP(BP741,[1]AGUA!$1:$1048576,6,FALSE)</f>
        <v/>
      </c>
      <c r="BS741" s="106">
        <f>VLOOKUP(BP741,[1]AGUA!$1:$1048576,7,FALSE)</f>
        <v/>
      </c>
      <c r="BT741" s="106" t="n"/>
      <c r="BU741" s="186" t="inlineStr">
        <is>
          <t>Programar a principio de mes, ya que se reportan hasta el 10 de cada mes.</t>
        </is>
      </c>
      <c r="BV741" s="105" t="n"/>
      <c r="BW741" s="105" t="n"/>
      <c r="BX741" s="105" t="n"/>
      <c r="BY741" s="142" t="n">
        <v>1</v>
      </c>
      <c r="BZ741" s="7" t="n"/>
      <c r="CA741" s="7"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24">
        <f>+COUNTA(BV741:CY741)</f>
        <v/>
      </c>
      <c r="DA741" s="251" t="n"/>
      <c r="DB741" s="251" t="n"/>
      <c r="DC741" s="251" t="n"/>
      <c r="DD741" s="251" t="n"/>
      <c r="DE741" s="251" t="n"/>
      <c r="DF741" s="251" t="n"/>
      <c r="DG741" s="251" t="n"/>
      <c r="DH741" s="251" t="n"/>
      <c r="DI741" s="251" t="n"/>
      <c r="DJ741" s="251" t="inlineStr">
        <is>
          <t>M</t>
        </is>
      </c>
      <c r="DK741" s="251" t="n">
        <v>1</v>
      </c>
      <c r="DL741" s="95" t="n">
        <v>7</v>
      </c>
      <c r="DM741" s="251" t="n"/>
      <c r="DN741" s="95" t="n"/>
      <c r="DO741" s="95" t="n"/>
    </row>
    <row r="742" ht="13" customHeight="1">
      <c r="A742" s="203" t="inlineStr">
        <is>
          <t>PLIX-10B</t>
        </is>
      </c>
      <c r="B742" s="376" t="n"/>
      <c r="C742" s="376"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76" t="n"/>
      <c r="BL742" s="7" t="inlineStr">
        <is>
          <t>LIXIVIACIÓN</t>
        </is>
      </c>
      <c r="BM742" s="251" t="inlineStr">
        <is>
          <t>ASUB</t>
        </is>
      </c>
      <c r="BN742" s="337" t="inlineStr">
        <is>
          <t>Lixiviación</t>
        </is>
      </c>
      <c r="BO742" s="251" t="inlineStr">
        <is>
          <t>SI</t>
        </is>
      </c>
      <c r="BP742" s="106" t="inlineStr">
        <is>
          <t>PLIX-10B LIXIVIACIÓN/ASUB</t>
        </is>
      </c>
      <c r="BQ742" s="106">
        <f>VLOOKUP(BP742,[1]AGUA!$1:$1048576,2,FALSE)</f>
        <v/>
      </c>
      <c r="BR742" s="106">
        <f>VLOOKUP(BP742,[1]AGUA!$1:$1048576,6,FALSE)</f>
        <v/>
      </c>
      <c r="BS742" s="106">
        <f>VLOOKUP(BP742,[1]AGUA!$1:$1048576,7,FALSE)</f>
        <v/>
      </c>
      <c r="BT742" s="106" t="n"/>
      <c r="BU742" s="186" t="inlineStr">
        <is>
          <t>Programar a principio de mes, ya que se reportan hasta el 10 de cada mes.</t>
        </is>
      </c>
      <c r="BV742" s="105" t="n"/>
      <c r="BW742" s="105" t="n"/>
      <c r="BX742" s="105" t="n"/>
      <c r="BY742" s="107" t="n">
        <v>1</v>
      </c>
      <c r="BZ742" s="7" t="n"/>
      <c r="CA742" s="7"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24">
        <f>+COUNTA(BV742:CY742)</f>
        <v/>
      </c>
      <c r="DA742" s="251" t="n"/>
      <c r="DB742" s="251" t="n"/>
      <c r="DC742" s="251" t="n"/>
      <c r="DD742" s="251" t="n"/>
      <c r="DE742" s="251" t="n"/>
      <c r="DF742" s="251" t="n"/>
      <c r="DG742" s="251" t="n"/>
      <c r="DH742" s="251" t="n"/>
      <c r="DI742" s="251" t="n"/>
      <c r="DJ742" s="251" t="n"/>
      <c r="DK742" s="251" t="n"/>
      <c r="DL742" s="95" t="n"/>
      <c r="DM742" s="251" t="inlineStr">
        <is>
          <t>M</t>
        </is>
      </c>
      <c r="DN742" s="95" t="n">
        <v>1</v>
      </c>
      <c r="DO742" s="95" t="n">
        <v>7</v>
      </c>
    </row>
    <row r="743" ht="13" customHeight="1">
      <c r="A743" s="203" t="inlineStr">
        <is>
          <t>PLIX-11A</t>
        </is>
      </c>
      <c r="B743" s="305" t="inlineStr">
        <is>
          <t>PLIX-11A LIXIVIACIÓN</t>
        </is>
      </c>
      <c r="C743" s="251"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1" t="inlineStr">
        <is>
          <t>532MAPLIX</t>
        </is>
      </c>
      <c r="BL743" s="7" t="inlineStr">
        <is>
          <t>LIXIVIACIÓN</t>
        </is>
      </c>
      <c r="BM743" s="251" t="inlineStr">
        <is>
          <t>NF</t>
        </is>
      </c>
      <c r="BN743" s="337" t="inlineStr">
        <is>
          <t>Lixiviación</t>
        </is>
      </c>
      <c r="BO743" s="251" t="inlineStr">
        <is>
          <t>SI</t>
        </is>
      </c>
      <c r="BP743" s="106" t="inlineStr">
        <is>
          <t>PLIX-11A LIXIVIACIÓN/NF</t>
        </is>
      </c>
      <c r="BQ743" s="106">
        <f>VLOOKUP(BP743,[1]AGUA!$1:$1048576,2,FALSE)</f>
        <v/>
      </c>
      <c r="BR743" s="106">
        <f>VLOOKUP(BP743,[1]AGUA!$1:$1048576,6,FALSE)</f>
        <v/>
      </c>
      <c r="BS743" s="106">
        <f>VLOOKUP(BP743,[1]AGUA!$1:$1048576,7,FALSE)</f>
        <v/>
      </c>
      <c r="BT743" s="106" t="n"/>
      <c r="BU743" s="186" t="inlineStr">
        <is>
          <t>Programar a principio de mes, ya que se reportan hasta el 10 de cada mes.</t>
        </is>
      </c>
      <c r="BV743" s="105" t="n"/>
      <c r="BW743" s="105" t="n"/>
      <c r="BX743" s="105" t="n"/>
      <c r="BY743" s="142" t="n">
        <v>1</v>
      </c>
      <c r="BZ743" s="7" t="n"/>
      <c r="CA743" s="7"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24">
        <f>+COUNTA(BV743:CY743)</f>
        <v/>
      </c>
      <c r="DA743" s="251" t="n"/>
      <c r="DB743" s="251" t="n"/>
      <c r="DC743" s="251" t="n"/>
      <c r="DD743" s="251" t="n"/>
      <c r="DE743" s="251" t="n"/>
      <c r="DF743" s="251" t="n"/>
      <c r="DG743" s="251" t="n"/>
      <c r="DH743" s="251" t="n"/>
      <c r="DI743" s="251" t="n"/>
      <c r="DJ743" s="251" t="inlineStr">
        <is>
          <t>M</t>
        </is>
      </c>
      <c r="DK743" s="251" t="n">
        <v>1</v>
      </c>
      <c r="DL743" s="95" t="n">
        <v>7</v>
      </c>
      <c r="DM743" s="251" t="n"/>
      <c r="DN743" s="95" t="n"/>
      <c r="DO743" s="95" t="n"/>
    </row>
    <row r="744" ht="13" customHeight="1">
      <c r="A744" s="203" t="inlineStr">
        <is>
          <t>PLIX-11A</t>
        </is>
      </c>
      <c r="B744" s="376" t="n"/>
      <c r="C744" s="376"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76" t="n"/>
      <c r="BL744" s="7" t="inlineStr">
        <is>
          <t>LIXIVIACIÓN</t>
        </is>
      </c>
      <c r="BM744" s="251" t="inlineStr">
        <is>
          <t>ASUB</t>
        </is>
      </c>
      <c r="BN744" s="337" t="inlineStr">
        <is>
          <t>Lixiviación</t>
        </is>
      </c>
      <c r="BO744" s="251" t="inlineStr">
        <is>
          <t>SI</t>
        </is>
      </c>
      <c r="BP744" s="106" t="inlineStr">
        <is>
          <t>PLIX-11A LIXIVIACIÓN/ASUB</t>
        </is>
      </c>
      <c r="BQ744" s="106">
        <f>VLOOKUP(BP744,[1]AGUA!$1:$1048576,2,FALSE)</f>
        <v/>
      </c>
      <c r="BR744" s="106">
        <f>VLOOKUP(BP744,[1]AGUA!$1:$1048576,6,FALSE)</f>
        <v/>
      </c>
      <c r="BS744" s="106">
        <f>VLOOKUP(BP744,[1]AGUA!$1:$1048576,7,FALSE)</f>
        <v/>
      </c>
      <c r="BT744" s="106" t="n"/>
      <c r="BU744" s="186" t="inlineStr">
        <is>
          <t>Programar a principio de mes, ya que se reportan hasta el 10 de cada mes.</t>
        </is>
      </c>
      <c r="BV744" s="105" t="n"/>
      <c r="BW744" s="105" t="n"/>
      <c r="BX744" s="105" t="n"/>
      <c r="BY744" s="107" t="n">
        <v>1</v>
      </c>
      <c r="BZ744" s="7" t="n"/>
      <c r="CA744" s="7"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24">
        <f>+COUNTA(BV744:CY744)</f>
        <v/>
      </c>
      <c r="DA744" s="251" t="n"/>
      <c r="DB744" s="251" t="n"/>
      <c r="DC744" s="251" t="n"/>
      <c r="DD744" s="251" t="n"/>
      <c r="DE744" s="251" t="n"/>
      <c r="DF744" s="251" t="n"/>
      <c r="DG744" s="251" t="n"/>
      <c r="DH744" s="251" t="n"/>
      <c r="DI744" s="251" t="n"/>
      <c r="DJ744" s="251" t="n"/>
      <c r="DK744" s="251" t="n"/>
      <c r="DL744" s="95" t="n"/>
      <c r="DM744" s="251" t="inlineStr">
        <is>
          <t>M</t>
        </is>
      </c>
      <c r="DN744" s="95" t="n">
        <v>1</v>
      </c>
      <c r="DO744" s="95" t="n">
        <v>7</v>
      </c>
    </row>
    <row r="745" ht="13" customHeight="1">
      <c r="A745" s="203" t="inlineStr">
        <is>
          <t>PLIX-11B</t>
        </is>
      </c>
      <c r="B745" s="305" t="inlineStr">
        <is>
          <t>PLIX-11B LIXIVIACIÓN</t>
        </is>
      </c>
      <c r="C745" s="251"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1" t="inlineStr">
        <is>
          <t>532MAPLIX</t>
        </is>
      </c>
      <c r="BL745" s="7" t="inlineStr">
        <is>
          <t>LIXIVIACIÓN</t>
        </is>
      </c>
      <c r="BM745" s="251" t="inlineStr">
        <is>
          <t>NF</t>
        </is>
      </c>
      <c r="BN745" s="337" t="inlineStr">
        <is>
          <t>Lixiviación</t>
        </is>
      </c>
      <c r="BO745" s="251" t="inlineStr">
        <is>
          <t>SI</t>
        </is>
      </c>
      <c r="BP745" s="106" t="inlineStr">
        <is>
          <t>PLIX-11B LIXIVIACIÓN/NF</t>
        </is>
      </c>
      <c r="BQ745" s="106">
        <f>VLOOKUP(BP745,[1]AGUA!$1:$1048576,2,FALSE)</f>
        <v/>
      </c>
      <c r="BR745" s="106">
        <f>VLOOKUP(BP745,[1]AGUA!$1:$1048576,6,FALSE)</f>
        <v/>
      </c>
      <c r="BS745" s="106">
        <f>VLOOKUP(BP745,[1]AGUA!$1:$1048576,7,FALSE)</f>
        <v/>
      </c>
      <c r="BT745" s="106" t="n"/>
      <c r="BU745" s="186" t="inlineStr">
        <is>
          <t>Programar a principio de mes, ya que se reportan hasta el 10 de cada mes.</t>
        </is>
      </c>
      <c r="BV745" s="105" t="n"/>
      <c r="BW745" s="105" t="n"/>
      <c r="BX745" s="105" t="n"/>
      <c r="BY745" s="142" t="n">
        <v>1</v>
      </c>
      <c r="BZ745" s="7" t="n"/>
      <c r="CA745" s="7"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24">
        <f>+COUNTA(BV745:CY745)</f>
        <v/>
      </c>
      <c r="DA745" s="251" t="n"/>
      <c r="DB745" s="251" t="n"/>
      <c r="DC745" s="251" t="n"/>
      <c r="DD745" s="251" t="n"/>
      <c r="DE745" s="251" t="n"/>
      <c r="DF745" s="251" t="n"/>
      <c r="DG745" s="251" t="n"/>
      <c r="DH745" s="251" t="n"/>
      <c r="DI745" s="251" t="n"/>
      <c r="DJ745" s="251" t="inlineStr">
        <is>
          <t>M</t>
        </is>
      </c>
      <c r="DK745" s="251" t="n">
        <v>1</v>
      </c>
      <c r="DL745" s="95" t="n">
        <v>7</v>
      </c>
      <c r="DM745" s="251" t="n"/>
      <c r="DN745" s="95" t="n"/>
      <c r="DO745" s="95" t="n"/>
    </row>
    <row r="746" ht="13" customHeight="1">
      <c r="A746" s="203" t="inlineStr">
        <is>
          <t>PLIX-11B</t>
        </is>
      </c>
      <c r="B746" s="376" t="n"/>
      <c r="C746" s="376"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76" t="n"/>
      <c r="BL746" s="7" t="inlineStr">
        <is>
          <t>LIXIVIACIÓN</t>
        </is>
      </c>
      <c r="BM746" s="251" t="inlineStr">
        <is>
          <t>ASUB</t>
        </is>
      </c>
      <c r="BN746" s="337" t="inlineStr">
        <is>
          <t>Lixiviación</t>
        </is>
      </c>
      <c r="BO746" s="251" t="inlineStr">
        <is>
          <t>SI</t>
        </is>
      </c>
      <c r="BP746" s="106" t="inlineStr">
        <is>
          <t>PLIX-11B LIXIVIACIÓN/ASUB</t>
        </is>
      </c>
      <c r="BQ746" s="106">
        <f>VLOOKUP(BP746,[1]AGUA!$1:$1048576,2,FALSE)</f>
        <v/>
      </c>
      <c r="BR746" s="106">
        <f>VLOOKUP(BP746,[1]AGUA!$1:$1048576,6,FALSE)</f>
        <v/>
      </c>
      <c r="BS746" s="106">
        <f>VLOOKUP(BP746,[1]AGUA!$1:$1048576,7,FALSE)</f>
        <v/>
      </c>
      <c r="BT746" s="106" t="n"/>
      <c r="BU746" s="186" t="inlineStr">
        <is>
          <t>Programar a principio de mes, ya que se reportan hasta el 10 de cada mes.</t>
        </is>
      </c>
      <c r="BV746" s="105" t="n"/>
      <c r="BW746" s="105" t="n"/>
      <c r="BX746" s="105" t="n"/>
      <c r="BY746" s="107" t="n">
        <v>1</v>
      </c>
      <c r="BZ746" s="7" t="n"/>
      <c r="CA746" s="7"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24">
        <f>+COUNTA(BV746:CY746)</f>
        <v/>
      </c>
      <c r="DA746" s="251" t="n"/>
      <c r="DB746" s="251" t="n"/>
      <c r="DC746" s="251" t="n"/>
      <c r="DD746" s="251" t="n"/>
      <c r="DE746" s="251" t="n"/>
      <c r="DF746" s="251" t="n"/>
      <c r="DG746" s="251" t="n"/>
      <c r="DH746" s="251" t="n"/>
      <c r="DI746" s="251" t="n"/>
      <c r="DJ746" s="251" t="n"/>
      <c r="DK746" s="251" t="n"/>
      <c r="DL746" s="95" t="n"/>
      <c r="DM746" s="251" t="inlineStr">
        <is>
          <t>M</t>
        </is>
      </c>
      <c r="DN746" s="95" t="n">
        <v>1</v>
      </c>
      <c r="DO746" s="95" t="n">
        <v>7</v>
      </c>
    </row>
    <row r="747" ht="13" customHeight="1">
      <c r="A747" s="203" t="inlineStr">
        <is>
          <t>PLIX-12B</t>
        </is>
      </c>
      <c r="B747" s="305" t="inlineStr">
        <is>
          <t>PLIX-12 LIXIVIACIÓN</t>
        </is>
      </c>
      <c r="C747" s="251"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1" t="inlineStr">
        <is>
          <t>532MAPLIX</t>
        </is>
      </c>
      <c r="BL747" s="7" t="inlineStr">
        <is>
          <t>LIXIVIACIÓN</t>
        </is>
      </c>
      <c r="BM747" s="251" t="inlineStr">
        <is>
          <t>NF</t>
        </is>
      </c>
      <c r="BN747" s="337" t="inlineStr">
        <is>
          <t>Lixiviación</t>
        </is>
      </c>
      <c r="BO747" s="251" t="inlineStr">
        <is>
          <t>SI</t>
        </is>
      </c>
      <c r="BP747" s="106" t="inlineStr">
        <is>
          <t>PLIX-12B LIXIVIACIÓN/NF</t>
        </is>
      </c>
      <c r="BQ747" s="106">
        <f>VLOOKUP(BP747,[1]AGUA!$1:$1048576,2,FALSE)</f>
        <v/>
      </c>
      <c r="BR747" s="106">
        <f>VLOOKUP(BP747,[1]AGUA!$1:$1048576,6,FALSE)</f>
        <v/>
      </c>
      <c r="BS747" s="106">
        <f>VLOOKUP(BP747,[1]AGUA!$1:$1048576,7,FALSE)</f>
        <v/>
      </c>
      <c r="BT747" s="106" t="n"/>
      <c r="BU747" s="186" t="inlineStr">
        <is>
          <t>Programar a principio de mes, ya que se reportan hasta el 10 de cada mes.</t>
        </is>
      </c>
      <c r="BV747" s="105" t="n"/>
      <c r="BW747" s="105" t="n"/>
      <c r="BX747" s="105" t="n"/>
      <c r="BY747" s="106" t="n"/>
      <c r="BZ747" s="125" t="n"/>
      <c r="CA747" s="142" t="n">
        <v>1</v>
      </c>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24">
        <f>+COUNTA(BV747:CY747)</f>
        <v/>
      </c>
      <c r="DA747" s="251" t="n"/>
      <c r="DB747" s="251" t="n"/>
      <c r="DC747" s="251" t="n"/>
      <c r="DD747" s="251" t="n"/>
      <c r="DE747" s="251" t="n"/>
      <c r="DF747" s="251" t="n"/>
      <c r="DG747" s="251" t="n"/>
      <c r="DH747" s="251" t="n"/>
      <c r="DI747" s="251" t="n"/>
      <c r="DJ747" s="251" t="inlineStr">
        <is>
          <t>M</t>
        </is>
      </c>
      <c r="DK747" s="251" t="n">
        <v>1</v>
      </c>
      <c r="DL747" s="95" t="n">
        <v>7</v>
      </c>
      <c r="DM747" s="251" t="n"/>
      <c r="DN747" s="95" t="n"/>
      <c r="DO747" s="95" t="n"/>
    </row>
    <row r="748" ht="13" customHeight="1">
      <c r="A748" s="203" t="inlineStr">
        <is>
          <t>PLIX-12B</t>
        </is>
      </c>
      <c r="B748" s="376" t="n"/>
      <c r="C748" s="376"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76" t="n"/>
      <c r="BL748" s="7" t="inlineStr">
        <is>
          <t>LIXIVIACIÓN</t>
        </is>
      </c>
      <c r="BM748" s="251" t="inlineStr">
        <is>
          <t>ASUB</t>
        </is>
      </c>
      <c r="BN748" s="337" t="inlineStr">
        <is>
          <t>Lixiviación</t>
        </is>
      </c>
      <c r="BO748" s="251" t="inlineStr">
        <is>
          <t>SI</t>
        </is>
      </c>
      <c r="BP748" s="106" t="inlineStr">
        <is>
          <t>PLIX-12B LIXIVIACIÓN/ASUB</t>
        </is>
      </c>
      <c r="BQ748" s="106">
        <f>VLOOKUP(BP748,[1]AGUA!$1:$1048576,2,FALSE)</f>
        <v/>
      </c>
      <c r="BR748" s="106">
        <f>VLOOKUP(BP748,[1]AGUA!$1:$1048576,6,FALSE)</f>
        <v/>
      </c>
      <c r="BS748" s="106">
        <f>VLOOKUP(BP748,[1]AGUA!$1:$1048576,7,FALSE)</f>
        <v/>
      </c>
      <c r="BT748" s="106" t="n"/>
      <c r="BU748" s="186" t="inlineStr">
        <is>
          <t>Programar a principio de mes, ya que se reportan hasta el 10 de cada mes.</t>
        </is>
      </c>
      <c r="BV748" s="105" t="n"/>
      <c r="BW748" s="105" t="n"/>
      <c r="BX748" s="105" t="n"/>
      <c r="BY748" s="106" t="n"/>
      <c r="BZ748" s="125" t="n"/>
      <c r="CA748" s="107" t="n">
        <v>1</v>
      </c>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24">
        <f>+COUNTA(BV748:CY748)</f>
        <v/>
      </c>
      <c r="DA748" s="251" t="n"/>
      <c r="DB748" s="251" t="n"/>
      <c r="DC748" s="251" t="n"/>
      <c r="DD748" s="251" t="n"/>
      <c r="DE748" s="251" t="n"/>
      <c r="DF748" s="251" t="n"/>
      <c r="DG748" s="251" t="n"/>
      <c r="DH748" s="251" t="n"/>
      <c r="DI748" s="251" t="n"/>
      <c r="DJ748" s="251" t="n"/>
      <c r="DK748" s="251" t="n"/>
      <c r="DL748" s="95" t="n"/>
      <c r="DM748" s="251" t="inlineStr">
        <is>
          <t>M</t>
        </is>
      </c>
      <c r="DN748" s="95" t="n">
        <v>1</v>
      </c>
      <c r="DO748" s="95" t="n">
        <v>7</v>
      </c>
    </row>
    <row r="749" ht="13" customHeight="1">
      <c r="A749" s="203" t="inlineStr">
        <is>
          <t>PLIX-13A</t>
        </is>
      </c>
      <c r="B749" s="305" t="inlineStr">
        <is>
          <t>PLIX-13A LIXIVIACIÓN</t>
        </is>
      </c>
      <c r="C749" s="251"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1" t="inlineStr">
        <is>
          <t>532MAPLIX</t>
        </is>
      </c>
      <c r="BL749" s="7" t="inlineStr">
        <is>
          <t>LIXIVIACIÓN</t>
        </is>
      </c>
      <c r="BM749" s="251" t="inlineStr">
        <is>
          <t>NF</t>
        </is>
      </c>
      <c r="BN749" s="337" t="inlineStr">
        <is>
          <t>Lixiviación</t>
        </is>
      </c>
      <c r="BO749" s="251" t="inlineStr">
        <is>
          <t>SI</t>
        </is>
      </c>
      <c r="BP749" s="106" t="inlineStr">
        <is>
          <t>PLIX-13A LIXIVIACIÓN/NF</t>
        </is>
      </c>
      <c r="BQ749" s="106">
        <f>VLOOKUP(BP749,[1]AGUA!$1:$1048576,2,FALSE)</f>
        <v/>
      </c>
      <c r="BR749" s="106">
        <f>VLOOKUP(BP749,[1]AGUA!$1:$1048576,6,FALSE)</f>
        <v/>
      </c>
      <c r="BS749" s="106">
        <f>VLOOKUP(BP749,[1]AGUA!$1:$1048576,7,FALSE)</f>
        <v/>
      </c>
      <c r="BT749" s="106" t="n"/>
      <c r="BU749" s="186" t="inlineStr">
        <is>
          <t>MUESTRA</t>
        </is>
      </c>
      <c r="BV749" s="105" t="n"/>
      <c r="BW749" s="105" t="n"/>
      <c r="BX749" s="105" t="n"/>
      <c r="BY749" s="125" t="n"/>
      <c r="BZ749" s="105" t="n"/>
      <c r="CA749" s="142" t="n">
        <v>1</v>
      </c>
      <c r="CB749" s="105"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24">
        <f>+COUNTA(BV749:CY749)</f>
        <v/>
      </c>
      <c r="DA749" s="251" t="n"/>
      <c r="DB749" s="251" t="n"/>
      <c r="DC749" s="251" t="n"/>
      <c r="DD749" s="251" t="n"/>
      <c r="DE749" s="251" t="n"/>
      <c r="DF749" s="251" t="n"/>
      <c r="DG749" s="251" t="n"/>
      <c r="DH749" s="251" t="n"/>
      <c r="DI749" s="251" t="n"/>
      <c r="DJ749" s="251" t="inlineStr">
        <is>
          <t>M</t>
        </is>
      </c>
      <c r="DK749" s="251" t="n">
        <v>1</v>
      </c>
      <c r="DL749" s="95" t="n">
        <v>7</v>
      </c>
      <c r="DM749" s="251" t="n"/>
      <c r="DN749" s="95" t="n"/>
      <c r="DO749" s="95" t="n"/>
    </row>
    <row r="750" ht="13" customHeight="1">
      <c r="A750" s="203" t="inlineStr">
        <is>
          <t>PLIX-13A</t>
        </is>
      </c>
      <c r="B750" s="376" t="n"/>
      <c r="C750" s="376"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76" t="n"/>
      <c r="BL750" s="7" t="inlineStr">
        <is>
          <t>LIXIVIACIÓN</t>
        </is>
      </c>
      <c r="BM750" s="251" t="inlineStr">
        <is>
          <t>ASUB</t>
        </is>
      </c>
      <c r="BN750" s="337" t="inlineStr">
        <is>
          <t>Lixiviación</t>
        </is>
      </c>
      <c r="BO750" s="251" t="inlineStr">
        <is>
          <t>SI</t>
        </is>
      </c>
      <c r="BP750" s="106" t="inlineStr">
        <is>
          <t>PLIX-13A LIXIVIACIÓN/ASUB</t>
        </is>
      </c>
      <c r="BQ750" s="106">
        <f>VLOOKUP(BP750,[1]AGUA!$1:$1048576,2,FALSE)</f>
        <v/>
      </c>
      <c r="BR750" s="106">
        <f>VLOOKUP(BP750,[1]AGUA!$1:$1048576,6,FALSE)</f>
        <v/>
      </c>
      <c r="BS750" s="106">
        <f>VLOOKUP(BP750,[1]AGUA!$1:$1048576,7,FALSE)</f>
        <v/>
      </c>
      <c r="BT750" s="106" t="n"/>
      <c r="BU750" s="186" t="inlineStr">
        <is>
          <t>MUESTRA</t>
        </is>
      </c>
      <c r="BV750" s="105" t="n"/>
      <c r="BW750" s="105" t="n"/>
      <c r="BX750" s="105" t="n"/>
      <c r="BY750" s="125" t="n"/>
      <c r="BZ750" s="105" t="n"/>
      <c r="CA750" s="107" t="n">
        <v>1</v>
      </c>
      <c r="CB750" s="105"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24">
        <f>+COUNTA(BV750:CY750)</f>
        <v/>
      </c>
      <c r="DA750" s="251" t="n"/>
      <c r="DB750" s="251" t="n"/>
      <c r="DC750" s="251" t="n"/>
      <c r="DD750" s="251" t="n"/>
      <c r="DE750" s="251" t="n"/>
      <c r="DF750" s="251" t="n"/>
      <c r="DG750" s="251" t="n"/>
      <c r="DH750" s="251" t="n"/>
      <c r="DI750" s="251" t="n"/>
      <c r="DJ750" s="251" t="n"/>
      <c r="DK750" s="251" t="n"/>
      <c r="DL750" s="95" t="n"/>
      <c r="DM750" s="251" t="inlineStr">
        <is>
          <t>M</t>
        </is>
      </c>
      <c r="DN750" s="95" t="n">
        <v>1</v>
      </c>
      <c r="DO750" s="95" t="n">
        <v>7</v>
      </c>
    </row>
    <row r="751" ht="13" customHeight="1">
      <c r="A751" s="203" t="inlineStr">
        <is>
          <t>PLIX-13B</t>
        </is>
      </c>
      <c r="B751" s="305" t="inlineStr">
        <is>
          <t>PLIX-13B LIXIVIACIÓN</t>
        </is>
      </c>
      <c r="C751" s="251"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1" t="inlineStr">
        <is>
          <t>532MAPLIX</t>
        </is>
      </c>
      <c r="BL751" s="7" t="inlineStr">
        <is>
          <t>LIXIVIACIÓN</t>
        </is>
      </c>
      <c r="BM751" s="251" t="inlineStr">
        <is>
          <t>NF</t>
        </is>
      </c>
      <c r="BN751" s="337" t="inlineStr">
        <is>
          <t>Lixiviación</t>
        </is>
      </c>
      <c r="BO751" s="251" t="inlineStr">
        <is>
          <t>SI</t>
        </is>
      </c>
      <c r="BP751" s="106" t="inlineStr">
        <is>
          <t>PLIX-13B LIXIVIACIÓN/NF</t>
        </is>
      </c>
      <c r="BQ751" s="106">
        <f>VLOOKUP(BP751,[1]AGUA!$1:$1048576,2,FALSE)</f>
        <v/>
      </c>
      <c r="BR751" s="106">
        <f>VLOOKUP(BP751,[1]AGUA!$1:$1048576,6,FALSE)</f>
        <v/>
      </c>
      <c r="BS751" s="106">
        <f>VLOOKUP(BP751,[1]AGUA!$1:$1048576,7,FALSE)</f>
        <v/>
      </c>
      <c r="BT751" s="106" t="n"/>
      <c r="BU751" s="186" t="inlineStr">
        <is>
          <t>Programar a principio de mes, ya que se reportan hasta el 10 de cada mes.</t>
        </is>
      </c>
      <c r="BV751" s="105" t="n"/>
      <c r="BW751" s="105" t="n"/>
      <c r="BX751" s="105" t="n"/>
      <c r="BY751" s="125" t="n"/>
      <c r="BZ751" s="125" t="n"/>
      <c r="CA751" s="142" t="n">
        <v>1</v>
      </c>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24">
        <f>+COUNTA(BV751:CY751)</f>
        <v/>
      </c>
      <c r="DA751" s="251" t="n"/>
      <c r="DB751" s="251" t="n"/>
      <c r="DC751" s="251" t="n"/>
      <c r="DD751" s="251" t="n"/>
      <c r="DE751" s="251" t="n"/>
      <c r="DF751" s="251" t="n"/>
      <c r="DG751" s="251" t="n"/>
      <c r="DH751" s="251" t="n"/>
      <c r="DI751" s="251" t="n"/>
      <c r="DJ751" s="251" t="inlineStr">
        <is>
          <t>M</t>
        </is>
      </c>
      <c r="DK751" s="251" t="n">
        <v>1</v>
      </c>
      <c r="DL751" s="95" t="n">
        <v>7</v>
      </c>
      <c r="DM751" s="251" t="n"/>
      <c r="DN751" s="95" t="n"/>
      <c r="DO751" s="95" t="n"/>
    </row>
    <row r="752" ht="13" customHeight="1">
      <c r="A752" s="203" t="inlineStr">
        <is>
          <t>PLIX-13B</t>
        </is>
      </c>
      <c r="B752" s="376" t="n"/>
      <c r="C752" s="376"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76" t="n"/>
      <c r="BL752" s="7" t="inlineStr">
        <is>
          <t>LIXIVIACIÓN</t>
        </is>
      </c>
      <c r="BM752" s="251" t="inlineStr">
        <is>
          <t>ASUB</t>
        </is>
      </c>
      <c r="BN752" s="337" t="inlineStr">
        <is>
          <t>Lixiviación</t>
        </is>
      </c>
      <c r="BO752" s="251" t="inlineStr">
        <is>
          <t>SI</t>
        </is>
      </c>
      <c r="BP752" s="106" t="inlineStr">
        <is>
          <t>PLIX-13B LIXIVIACIÓN/ASUB</t>
        </is>
      </c>
      <c r="BQ752" s="106">
        <f>VLOOKUP(BP752,[1]AGUA!$1:$1048576,2,FALSE)</f>
        <v/>
      </c>
      <c r="BR752" s="106">
        <f>VLOOKUP(BP752,[1]AGUA!$1:$1048576,6,FALSE)</f>
        <v/>
      </c>
      <c r="BS752" s="106">
        <f>VLOOKUP(BP752,[1]AGUA!$1:$1048576,7,FALSE)</f>
        <v/>
      </c>
      <c r="BT752" s="106" t="n"/>
      <c r="BU752" s="186" t="inlineStr">
        <is>
          <t>Programar a principio de mes, ya que se reportan hasta el 10 de cada mes.</t>
        </is>
      </c>
      <c r="BV752" s="105" t="n"/>
      <c r="BW752" s="105" t="n"/>
      <c r="BX752" s="105" t="n"/>
      <c r="BY752" s="125" t="n"/>
      <c r="BZ752" s="125" t="n"/>
      <c r="CA752" s="107" t="n">
        <v>1</v>
      </c>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24">
        <f>+COUNTA(BV752:CY752)</f>
        <v/>
      </c>
      <c r="DA752" s="251" t="n"/>
      <c r="DB752" s="251" t="n"/>
      <c r="DC752" s="251" t="n"/>
      <c r="DD752" s="251" t="n"/>
      <c r="DE752" s="251" t="n"/>
      <c r="DF752" s="251" t="n"/>
      <c r="DG752" s="251" t="n"/>
      <c r="DH752" s="251" t="n"/>
      <c r="DI752" s="251" t="n"/>
      <c r="DJ752" s="251" t="n"/>
      <c r="DK752" s="251" t="n"/>
      <c r="DL752" s="95" t="n"/>
      <c r="DM752" s="251" t="inlineStr">
        <is>
          <t>M</t>
        </is>
      </c>
      <c r="DN752" s="95" t="n">
        <v>1</v>
      </c>
      <c r="DO752" s="95" t="n">
        <v>7</v>
      </c>
    </row>
    <row r="753" ht="13" customHeight="1">
      <c r="A753" s="203" t="inlineStr">
        <is>
          <t>PLIX-14</t>
        </is>
      </c>
      <c r="B753" s="305" t="inlineStr">
        <is>
          <t>PLIX-14 LIXIVIACIÓN</t>
        </is>
      </c>
      <c r="C753" s="251"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1" t="inlineStr">
        <is>
          <t>532MAPLIX</t>
        </is>
      </c>
      <c r="BL753" s="7" t="inlineStr">
        <is>
          <t>LIXIVIACIÓN</t>
        </is>
      </c>
      <c r="BM753" s="251" t="inlineStr">
        <is>
          <t>NF</t>
        </is>
      </c>
      <c r="BN753" s="337" t="inlineStr">
        <is>
          <t>Lixiviación</t>
        </is>
      </c>
      <c r="BO753" s="251" t="inlineStr">
        <is>
          <t>SI</t>
        </is>
      </c>
      <c r="BP753" s="106" t="inlineStr">
        <is>
          <t>PLIX-14 LIXIVIACIÓN/NF</t>
        </is>
      </c>
      <c r="BQ753" s="106">
        <f>VLOOKUP(BP753,[1]AGUA!$1:$1048576,2,FALSE)</f>
        <v/>
      </c>
      <c r="BR753" s="106">
        <f>VLOOKUP(BP753,[1]AGUA!$1:$1048576,6,FALSE)</f>
        <v/>
      </c>
      <c r="BS753" s="106">
        <f>VLOOKUP(BP753,[1]AGUA!$1:$1048576,7,FALSE)</f>
        <v/>
      </c>
      <c r="BT753" s="106" t="n"/>
      <c r="BU753" s="186" t="inlineStr">
        <is>
          <t>Programar a principio de mes, ya que se reportan hasta el 10 de cada mes.</t>
        </is>
      </c>
      <c r="BV753" s="105" t="n"/>
      <c r="BW753" s="105" t="n"/>
      <c r="BX753" s="105" t="n"/>
      <c r="BY753" s="142" t="n">
        <v>1</v>
      </c>
      <c r="BZ753" s="125" t="n"/>
      <c r="CA753" s="125"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24">
        <f>+COUNTA(BV753:CY753)</f>
        <v/>
      </c>
      <c r="DA753" s="251" t="n"/>
      <c r="DB753" s="251" t="n"/>
      <c r="DC753" s="251" t="n"/>
      <c r="DD753" s="251" t="n"/>
      <c r="DE753" s="251" t="n"/>
      <c r="DF753" s="251" t="n"/>
      <c r="DG753" s="251" t="n"/>
      <c r="DH753" s="251" t="n"/>
      <c r="DI753" s="251" t="n"/>
      <c r="DJ753" s="251" t="inlineStr">
        <is>
          <t>M</t>
        </is>
      </c>
      <c r="DK753" s="251" t="n">
        <v>1</v>
      </c>
      <c r="DL753" s="95" t="n">
        <v>7</v>
      </c>
      <c r="DM753" s="251" t="n"/>
      <c r="DN753" s="95" t="n"/>
      <c r="DO753" s="95" t="n"/>
    </row>
    <row r="754" ht="13" customHeight="1">
      <c r="A754" s="203" t="inlineStr">
        <is>
          <t>PLIX-14</t>
        </is>
      </c>
      <c r="B754" s="376" t="n"/>
      <c r="C754" s="376"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76" t="n"/>
      <c r="BL754" s="7" t="inlineStr">
        <is>
          <t>LIXIVIACIÓN</t>
        </is>
      </c>
      <c r="BM754" s="251" t="inlineStr">
        <is>
          <t>ASUB</t>
        </is>
      </c>
      <c r="BN754" s="337" t="inlineStr">
        <is>
          <t>Lixiviación</t>
        </is>
      </c>
      <c r="BO754" s="251" t="inlineStr">
        <is>
          <t>SI</t>
        </is>
      </c>
      <c r="BP754" s="106" t="inlineStr">
        <is>
          <t>PLIX-14 LIXIVIACIÓN/ASUB</t>
        </is>
      </c>
      <c r="BQ754" s="106">
        <f>VLOOKUP(BP754,[1]AGUA!$1:$1048576,2,FALSE)</f>
        <v/>
      </c>
      <c r="BR754" s="106">
        <f>VLOOKUP(BP754,[1]AGUA!$1:$1048576,6,FALSE)</f>
        <v/>
      </c>
      <c r="BS754" s="106">
        <f>VLOOKUP(BP754,[1]AGUA!$1:$1048576,7,FALSE)</f>
        <v/>
      </c>
      <c r="BT754" s="106" t="n"/>
      <c r="BU754" s="186" t="inlineStr">
        <is>
          <t>Programar a principio de mes, ya que se reportan hasta el 10 de cada mes.</t>
        </is>
      </c>
      <c r="BV754" s="105" t="n"/>
      <c r="BW754" s="105" t="n"/>
      <c r="BX754" s="105" t="n"/>
      <c r="BY754" s="107" t="n">
        <v>1</v>
      </c>
      <c r="BZ754" s="125" t="n"/>
      <c r="CA754" s="125"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24">
        <f>+COUNTA(BV754:CY754)</f>
        <v/>
      </c>
      <c r="DA754" s="251" t="n"/>
      <c r="DB754" s="251" t="n"/>
      <c r="DC754" s="251" t="n"/>
      <c r="DD754" s="251" t="n"/>
      <c r="DE754" s="251" t="n"/>
      <c r="DF754" s="251" t="n"/>
      <c r="DG754" s="251" t="n"/>
      <c r="DH754" s="251" t="n"/>
      <c r="DI754" s="251" t="n"/>
      <c r="DJ754" s="251" t="n"/>
      <c r="DK754" s="251" t="n"/>
      <c r="DL754" s="95" t="n"/>
      <c r="DM754" s="251" t="inlineStr">
        <is>
          <t>M</t>
        </is>
      </c>
      <c r="DN754" s="95" t="n">
        <v>1</v>
      </c>
      <c r="DO754" s="95" t="n">
        <v>7</v>
      </c>
    </row>
    <row r="755" ht="13" customHeight="1">
      <c r="A755" s="203" t="inlineStr">
        <is>
          <t>PMA-01</t>
        </is>
      </c>
      <c r="B755" s="305"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2" t="inlineStr">
        <is>
          <t>532MACOPA</t>
        </is>
      </c>
      <c r="BL755" s="61" t="inlineStr">
        <is>
          <t>GMAP-SIGA</t>
        </is>
      </c>
      <c r="BM755" s="251" t="inlineStr">
        <is>
          <t>NF</t>
        </is>
      </c>
      <c r="BN755" s="337" t="inlineStr">
        <is>
          <t>Tranque</t>
        </is>
      </c>
      <c r="BO755" s="251"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42" t="n">
        <v>1</v>
      </c>
      <c r="CS755" s="105" t="n"/>
      <c r="CT755" s="105" t="n"/>
      <c r="CU755" s="105" t="n"/>
      <c r="CV755" s="105" t="n"/>
      <c r="CW755" s="105" t="n"/>
      <c r="CX755" s="105" t="n"/>
      <c r="CY755" s="105" t="n"/>
      <c r="CZ755" s="124">
        <f>+COUNTA(BV755:CY755)</f>
        <v/>
      </c>
      <c r="DA755" s="251" t="n"/>
      <c r="DB755" s="251" t="n"/>
      <c r="DC755" s="251" t="n"/>
      <c r="DD755" s="251" t="n"/>
      <c r="DE755" s="251" t="n"/>
      <c r="DF755" s="251" t="n"/>
      <c r="DG755" s="251" t="n"/>
      <c r="DH755" s="251" t="n"/>
      <c r="DI755" s="251" t="n"/>
      <c r="DJ755" s="251" t="inlineStr">
        <is>
          <t>M</t>
        </is>
      </c>
      <c r="DK755" s="251" t="n">
        <v>22</v>
      </c>
      <c r="DL755" s="95" t="n">
        <v>28</v>
      </c>
      <c r="DM755" s="251" t="n"/>
      <c r="DN755" s="95" t="n"/>
      <c r="DO755" s="95" t="n"/>
    </row>
    <row r="756" ht="14.15" customHeight="1">
      <c r="A756" s="203" t="inlineStr">
        <is>
          <t>PMA-02</t>
        </is>
      </c>
      <c r="B756" s="305"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2" t="inlineStr">
        <is>
          <t>532MAPMA02</t>
        </is>
      </c>
      <c r="BL756" s="61" t="inlineStr">
        <is>
          <t>Chancado</t>
        </is>
      </c>
      <c r="BM756" s="251" t="inlineStr">
        <is>
          <t>NF</t>
        </is>
      </c>
      <c r="BN756" s="337" t="inlineStr">
        <is>
          <t>Jachujina</t>
        </is>
      </c>
      <c r="BO756" s="251"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05" t="n"/>
      <c r="CR756" s="105" t="n"/>
      <c r="CS756" s="105" t="n"/>
      <c r="CT756" s="105" t="n"/>
      <c r="CU756" s="105" t="n"/>
      <c r="CV756" s="142" t="n">
        <v>1</v>
      </c>
      <c r="CW756" s="105" t="n"/>
      <c r="CX756" s="105" t="n"/>
      <c r="CY756" s="105" t="n"/>
      <c r="CZ756" s="124">
        <f>+COUNTA(BV756:CY756)</f>
        <v/>
      </c>
      <c r="DA756" s="251" t="n"/>
      <c r="DB756" s="251" t="n"/>
      <c r="DC756" s="251" t="n"/>
      <c r="DD756" s="251" t="n"/>
      <c r="DE756" s="251" t="n"/>
      <c r="DF756" s="251" t="n"/>
      <c r="DG756" s="251" t="n"/>
      <c r="DH756" s="251" t="n"/>
      <c r="DI756" s="251" t="n"/>
      <c r="DJ756" s="251" t="inlineStr">
        <is>
          <t>M</t>
        </is>
      </c>
      <c r="DK756" s="251" t="n">
        <v>22</v>
      </c>
      <c r="DL756" s="95" t="n">
        <v>28</v>
      </c>
      <c r="DM756" s="251" t="n"/>
      <c r="DN756" s="95" t="n"/>
      <c r="DO756" s="95" t="n"/>
    </row>
    <row r="757" ht="13" customHeight="1">
      <c r="A757" s="203" t="inlineStr">
        <is>
          <t>RF-1</t>
        </is>
      </c>
      <c r="B757" s="305"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1" t="inlineStr">
        <is>
          <t>NF</t>
        </is>
      </c>
      <c r="BN757" s="337" t="inlineStr">
        <is>
          <t>Yabricollita</t>
        </is>
      </c>
      <c r="BO757" s="251"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CA757" s="105" t="n"/>
      <c r="CB757" s="105" t="n"/>
      <c r="CC757" s="105" t="n"/>
      <c r="CD757" s="105" t="n"/>
      <c r="CE757" s="105" t="n"/>
      <c r="CF757" s="105" t="n"/>
      <c r="CG757" s="105" t="n"/>
      <c r="CH757" s="105" t="n"/>
      <c r="CI757" s="105" t="n"/>
      <c r="CJ757" s="105" t="n"/>
      <c r="CK757" s="105" t="n"/>
      <c r="CL757" s="105" t="n"/>
      <c r="CM757" s="105" t="n"/>
      <c r="CN757" s="105" t="n"/>
      <c r="CO757" s="105" t="n"/>
      <c r="CP757" s="105" t="n"/>
      <c r="CQ757" s="105" t="n"/>
      <c r="CR757" s="105" t="n"/>
      <c r="CS757" s="105" t="n"/>
      <c r="CT757" s="105" t="n"/>
      <c r="CU757" s="214" t="n">
        <v>1</v>
      </c>
      <c r="CV757" s="105" t="n"/>
      <c r="CW757" s="105" t="n"/>
      <c r="CX757" s="105" t="n"/>
      <c r="CY757" s="105" t="n"/>
      <c r="CZ757" s="124">
        <f>+COUNTA(BV757:CY757)</f>
        <v/>
      </c>
      <c r="DA757" s="251" t="n"/>
      <c r="DB757" s="251" t="n"/>
      <c r="DC757" s="251" t="n"/>
      <c r="DD757" s="207" t="n"/>
      <c r="DE757" s="251" t="n"/>
      <c r="DF757" s="251" t="n"/>
      <c r="DG757" s="251" t="n"/>
      <c r="DH757" s="251" t="n"/>
      <c r="DI757" s="214" t="n"/>
      <c r="DJ757" s="251" t="inlineStr">
        <is>
          <t>M</t>
        </is>
      </c>
      <c r="DK757" s="251" t="n">
        <v>1</v>
      </c>
      <c r="DL757" s="95" t="n">
        <v>16</v>
      </c>
      <c r="DM757" s="251" t="n"/>
      <c r="DN757" s="95" t="n"/>
      <c r="DO757" s="95" t="n"/>
    </row>
    <row r="758" ht="13" customHeight="1">
      <c r="A758" s="203" t="inlineStr">
        <is>
          <t>RF-1</t>
        </is>
      </c>
      <c r="B758" s="305"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1" t="inlineStr">
        <is>
          <t>ASUB</t>
        </is>
      </c>
      <c r="BN758" s="337" t="inlineStr">
        <is>
          <t>Yabricollita</t>
        </is>
      </c>
      <c r="BO758" s="251"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CA758" s="105" t="n"/>
      <c r="CB758" s="105" t="n"/>
      <c r="CC758" s="105" t="n"/>
      <c r="CD758" s="105" t="n"/>
      <c r="CE758" s="105" t="n"/>
      <c r="CF758" s="105" t="n"/>
      <c r="CG758" s="105" t="n"/>
      <c r="CH758" s="105" t="n"/>
      <c r="CI758" s="105" t="n"/>
      <c r="CJ758" s="105" t="n"/>
      <c r="CK758" s="105" t="n"/>
      <c r="CL758" s="105" t="n"/>
      <c r="CM758" s="105" t="n"/>
      <c r="CN758" s="105" t="n"/>
      <c r="CO758" s="105" t="n"/>
      <c r="CP758" s="105" t="n"/>
      <c r="CQ758" s="105" t="n"/>
      <c r="CR758" s="105" t="n"/>
      <c r="CS758" s="105" t="n"/>
      <c r="CT758" s="105" t="n"/>
      <c r="CU758" s="214" t="n">
        <v>1</v>
      </c>
      <c r="CV758" s="105" t="n"/>
      <c r="CW758" s="105" t="n"/>
      <c r="CX758" s="105" t="n"/>
      <c r="CY758" s="105" t="n"/>
      <c r="CZ758" s="124">
        <f>+COUNTA(BV758:CY758)</f>
        <v/>
      </c>
      <c r="DA758" s="251" t="n"/>
      <c r="DB758" s="251" t="n"/>
      <c r="DC758" s="251" t="n"/>
      <c r="DD758" s="207" t="n"/>
      <c r="DE758" s="251" t="n"/>
      <c r="DF758" s="251" t="n"/>
      <c r="DG758" s="251" t="n"/>
      <c r="DH758" s="251" t="n"/>
      <c r="DI758" s="214" t="n"/>
      <c r="DJ758" s="251" t="n"/>
      <c r="DK758" s="251" t="n"/>
      <c r="DL758" s="95" t="n"/>
      <c r="DM758" s="251" t="inlineStr">
        <is>
          <t>M</t>
        </is>
      </c>
      <c r="DN758" s="251" t="n">
        <v>1</v>
      </c>
      <c r="DO758" s="95" t="n">
        <v>16</v>
      </c>
    </row>
    <row r="759" ht="13.5" customHeight="1">
      <c r="A759" s="203" t="inlineStr">
        <is>
          <t>RF-2</t>
        </is>
      </c>
      <c r="B759" s="305" t="inlineStr">
        <is>
          <t>RF-2 SALLIHUINCA</t>
        </is>
      </c>
      <c r="C759" s="251"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2" t="inlineStr">
        <is>
          <t>920WLRF-02</t>
        </is>
      </c>
      <c r="BL759" s="7" t="inlineStr">
        <is>
          <t>GMAP-SIGA</t>
        </is>
      </c>
      <c r="BM759" s="251" t="inlineStr">
        <is>
          <t>NF</t>
        </is>
      </c>
      <c r="BN759" s="337" t="inlineStr">
        <is>
          <t xml:space="preserve">Sallihuinca </t>
        </is>
      </c>
      <c r="BO759" s="251" t="inlineStr">
        <is>
          <t>SI</t>
        </is>
      </c>
      <c r="BP759" s="252" t="inlineStr">
        <is>
          <t>RF-2 SALLIHUINCA/NF</t>
        </is>
      </c>
      <c r="BQ759" s="106">
        <f>VLOOKUP(BP759,[1]AGUA!$1:$1048576,2,FALSE)</f>
        <v/>
      </c>
      <c r="BR759" s="106">
        <f>VLOOKUP(BP759,[1]AGUA!$1:$1048576,6,FALSE)</f>
        <v/>
      </c>
      <c r="BS759" s="106">
        <f>VLOOKUP(BP759,[1]AGUA!$1:$1048576,7,FALSE)</f>
        <v/>
      </c>
      <c r="BT759" s="106" t="n"/>
      <c r="BU759" s="253" t="n"/>
      <c r="BV759" s="105" t="n"/>
      <c r="BW759" s="105" t="n"/>
      <c r="BX759" s="105" t="n"/>
      <c r="BY759" s="105" t="n"/>
      <c r="BZ759" s="105" t="n"/>
      <c r="CA759" s="105" t="n"/>
      <c r="CB759" s="105" t="n"/>
      <c r="CC759" s="105" t="n"/>
      <c r="CD759" s="105" t="n"/>
      <c r="CE759" s="105" t="n"/>
      <c r="CF759" s="105" t="n"/>
      <c r="CG759" s="105" t="n"/>
      <c r="CH759" s="105" t="n"/>
      <c r="CI759" s="209" t="n">
        <v>1</v>
      </c>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24">
        <f>+COUNTA(BV759:CY759)</f>
        <v/>
      </c>
      <c r="DA759" s="251" t="n"/>
      <c r="DB759" s="208" t="n"/>
      <c r="DC759" s="251" t="n"/>
      <c r="DD759" s="207" t="n"/>
      <c r="DE759" s="251" t="n"/>
      <c r="DF759" s="202" t="n"/>
      <c r="DG759" s="209" t="n"/>
      <c r="DH759" s="220" t="n"/>
      <c r="DI759" s="251" t="n"/>
      <c r="DJ759" s="251" t="inlineStr">
        <is>
          <t>M</t>
        </is>
      </c>
      <c r="DK759" s="251" t="n">
        <v>1</v>
      </c>
      <c r="DL759" s="95" t="n">
        <v>16</v>
      </c>
      <c r="DM759" s="251" t="n"/>
      <c r="DN759" s="95" t="n"/>
      <c r="DO759" s="95" t="n"/>
    </row>
    <row r="760" ht="13" customHeight="1">
      <c r="A760" s="203" t="inlineStr">
        <is>
          <t>RF-2</t>
        </is>
      </c>
      <c r="B760" s="376" t="n"/>
      <c r="C760" s="376"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76" t="n"/>
      <c r="BL760" s="7" t="inlineStr">
        <is>
          <t>GMAP-SIGA</t>
        </is>
      </c>
      <c r="BM760" s="251" t="inlineStr">
        <is>
          <t>ASUB</t>
        </is>
      </c>
      <c r="BN760" s="337" t="inlineStr">
        <is>
          <t xml:space="preserve">Sallihuinca </t>
        </is>
      </c>
      <c r="BO760" s="251" t="inlineStr">
        <is>
          <t>SI</t>
        </is>
      </c>
      <c r="BP760" s="252" t="inlineStr">
        <is>
          <t>RF-2 SALLIHUINCA/ASUB</t>
        </is>
      </c>
      <c r="BQ760" s="106">
        <f>VLOOKUP(BP760,[1]AGUA!$1:$1048576,2,FALSE)</f>
        <v/>
      </c>
      <c r="BR760" s="106">
        <f>VLOOKUP(BP760,[1]AGUA!$1:$1048576,6,FALSE)</f>
        <v/>
      </c>
      <c r="BS760" s="106">
        <f>VLOOKUP(BP760,[1]AGUA!$1:$1048576,7,FALSE)</f>
        <v/>
      </c>
      <c r="BT760" s="106" t="n"/>
      <c r="BU760" s="377" t="n"/>
      <c r="BV760" s="105" t="n"/>
      <c r="BW760" s="105" t="n"/>
      <c r="BX760" s="105" t="n"/>
      <c r="BY760" s="105" t="n"/>
      <c r="BZ760" s="105" t="n"/>
      <c r="CA760" s="105" t="n"/>
      <c r="CB760" s="105" t="n"/>
      <c r="CC760" s="105" t="n"/>
      <c r="CD760" s="105" t="n"/>
      <c r="CE760" s="105" t="n"/>
      <c r="CF760" s="105" t="n"/>
      <c r="CG760" s="105" t="n"/>
      <c r="CH760" s="105" t="n"/>
      <c r="CI760" s="209" t="n">
        <v>1</v>
      </c>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24">
        <f>+COUNTA(BV760:CY760)</f>
        <v/>
      </c>
      <c r="DA760" s="251" t="n"/>
      <c r="DB760" s="208" t="n"/>
      <c r="DC760" s="251" t="n"/>
      <c r="DD760" s="207" t="n"/>
      <c r="DE760" s="251" t="n"/>
      <c r="DF760" s="202" t="n"/>
      <c r="DG760" s="209" t="n"/>
      <c r="DH760" s="220" t="n"/>
      <c r="DI760" s="251" t="n"/>
      <c r="DJ760" s="251" t="n"/>
      <c r="DK760" s="251" t="n"/>
      <c r="DL760" s="95" t="n"/>
      <c r="DM760" s="251" t="inlineStr">
        <is>
          <t>M</t>
        </is>
      </c>
      <c r="DN760" s="95" t="n">
        <v>1</v>
      </c>
      <c r="DO760" s="95" t="n">
        <v>16</v>
      </c>
    </row>
    <row r="761" ht="13" customHeight="1">
      <c r="A761" s="203" t="inlineStr">
        <is>
          <t>RF-3 (RAC-GWQ-HG-01P)</t>
        </is>
      </c>
      <c r="B761" s="305"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1" t="inlineStr">
        <is>
          <t>NF</t>
        </is>
      </c>
      <c r="BN761" s="337" t="inlineStr">
        <is>
          <t>Huinquintipa</t>
        </is>
      </c>
      <c r="BO761" s="251" t="inlineStr">
        <is>
          <t>SI</t>
        </is>
      </c>
      <c r="BP761" s="252" t="inlineStr">
        <is>
          <t>RF-3 HUINQUINTIPA/NF</t>
        </is>
      </c>
      <c r="BQ761" s="106">
        <f>VLOOKUP(BP761,[1]AGUA!$1:$1048576,2,FALSE)</f>
        <v/>
      </c>
      <c r="BR761" s="106">
        <f>VLOOKUP(BP761,[1]AGUA!$1:$1048576,6,FALSE)</f>
        <v/>
      </c>
      <c r="BS761" s="106">
        <f>VLOOKUP(BP761,[1]AGUA!$1:$1048576,7,FALSE)</f>
        <v/>
      </c>
      <c r="BT761" s="106" t="n"/>
      <c r="BU761" s="187" t="n"/>
      <c r="BV761" s="105" t="n"/>
      <c r="BW761" s="105" t="n"/>
      <c r="BX761" s="105" t="n"/>
      <c r="BY761" s="105" t="n"/>
      <c r="BZ761" s="105" t="n"/>
      <c r="CA761" s="105" t="n"/>
      <c r="CB761" s="105" t="n"/>
      <c r="CC761" s="105" t="n"/>
      <c r="CD761" s="105" t="n"/>
      <c r="CE761" s="105" t="n"/>
      <c r="CF761" s="105" t="n"/>
      <c r="CG761" s="209" t="n">
        <v>1</v>
      </c>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24">
        <f>+COUNTA(BV761:CY761)</f>
        <v/>
      </c>
      <c r="DA761" s="251" t="n"/>
      <c r="DB761" s="208" t="n"/>
      <c r="DC761" s="251" t="n"/>
      <c r="DD761" s="251" t="n"/>
      <c r="DE761" s="251" t="n"/>
      <c r="DF761" s="251" t="n"/>
      <c r="DG761" s="209" t="n"/>
      <c r="DH761" s="105" t="n"/>
      <c r="DI761" s="251" t="n"/>
      <c r="DJ761" s="251" t="inlineStr">
        <is>
          <t>M</t>
        </is>
      </c>
      <c r="DK761" s="251" t="n">
        <v>8</v>
      </c>
      <c r="DL761" s="95" t="n">
        <v>21</v>
      </c>
      <c r="DM761" s="251" t="n"/>
      <c r="DN761" s="95" t="n"/>
      <c r="DO761" s="95" t="n"/>
    </row>
    <row r="762" ht="13" customHeight="1">
      <c r="A762" s="203" t="inlineStr">
        <is>
          <t>RF-3 (RAC-GWQ-HG-01P)</t>
        </is>
      </c>
      <c r="B762" s="305"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1" t="inlineStr">
        <is>
          <t>ASUB</t>
        </is>
      </c>
      <c r="BN762" s="337" t="inlineStr">
        <is>
          <t>Huinquintipa</t>
        </is>
      </c>
      <c r="BO762" s="251" t="inlineStr">
        <is>
          <t>SI</t>
        </is>
      </c>
      <c r="BP762" s="252"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5" t="n"/>
      <c r="CD762" s="105" t="n"/>
      <c r="CE762" s="105" t="n"/>
      <c r="CF762" s="105" t="n"/>
      <c r="CG762" s="209" t="n">
        <v>1</v>
      </c>
      <c r="CH762" s="105"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24">
        <f>+COUNTA(BV762:CY762)</f>
        <v/>
      </c>
      <c r="DA762" s="251" t="n"/>
      <c r="DB762" s="208" t="n"/>
      <c r="DC762" s="251" t="n"/>
      <c r="DD762" s="251" t="n"/>
      <c r="DE762" s="251" t="n"/>
      <c r="DF762" s="251" t="n"/>
      <c r="DG762" s="209" t="n"/>
      <c r="DH762" s="105" t="n"/>
      <c r="DI762" s="251" t="n"/>
      <c r="DJ762" s="251" t="n"/>
      <c r="DK762" s="251" t="n"/>
      <c r="DL762" s="95" t="n"/>
      <c r="DM762" s="251" t="inlineStr">
        <is>
          <t>M</t>
        </is>
      </c>
      <c r="DN762" s="95" t="n">
        <v>8</v>
      </c>
      <c r="DO762" s="95" t="n">
        <v>21</v>
      </c>
    </row>
    <row r="763" ht="13" customHeight="1">
      <c r="A763" s="203" t="inlineStr">
        <is>
          <t>RF-4</t>
        </is>
      </c>
      <c r="B763" s="305"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1" t="inlineStr">
        <is>
          <t>NF</t>
        </is>
      </c>
      <c r="BN763" s="337" t="inlineStr">
        <is>
          <t>San Nicolás</t>
        </is>
      </c>
      <c r="BO763" s="251" t="inlineStr">
        <is>
          <t>SI</t>
        </is>
      </c>
      <c r="BP763" s="252"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05" t="n"/>
      <c r="CA763" s="105" t="n"/>
      <c r="CB763" s="105" t="n"/>
      <c r="CC763" s="105" t="n"/>
      <c r="CD763" s="105" t="n"/>
      <c r="CE763" s="105" t="n"/>
      <c r="CF763" s="105" t="n"/>
      <c r="CG763" s="209" t="n">
        <v>1</v>
      </c>
      <c r="CH763" s="105" t="n"/>
      <c r="CI763" s="105" t="n"/>
      <c r="CJ763" s="105" t="n"/>
      <c r="CK763" s="105" t="n"/>
      <c r="CL763" s="105" t="n"/>
      <c r="CM763" s="105" t="n"/>
      <c r="CN763" s="105" t="n"/>
      <c r="CO763" s="105" t="n"/>
      <c r="CP763" s="105" t="n"/>
      <c r="CQ763" s="105" t="n"/>
      <c r="CR763" s="105" t="n"/>
      <c r="CS763" s="105" t="n"/>
      <c r="CT763" s="105" t="n"/>
      <c r="CU763" s="105" t="n"/>
      <c r="CV763" s="105" t="n"/>
      <c r="CW763" s="105" t="n"/>
      <c r="CX763" s="105" t="n"/>
      <c r="CY763" s="105" t="n"/>
      <c r="CZ763" s="124">
        <f>+COUNTA(BV763:CY763)</f>
        <v/>
      </c>
      <c r="DA763" s="251" t="n"/>
      <c r="DB763" s="208" t="n"/>
      <c r="DC763" s="251" t="n"/>
      <c r="DD763" s="251" t="n"/>
      <c r="DE763" s="251" t="n"/>
      <c r="DF763" s="251" t="n"/>
      <c r="DG763" s="209" t="n"/>
      <c r="DH763" s="105" t="n"/>
      <c r="DI763" s="251" t="n"/>
      <c r="DJ763" s="251" t="inlineStr">
        <is>
          <t>M</t>
        </is>
      </c>
      <c r="DK763" s="251" t="n">
        <v>1</v>
      </c>
      <c r="DL763" s="95" t="n">
        <v>16</v>
      </c>
      <c r="DM763" s="251" t="n"/>
      <c r="DN763" s="95" t="n"/>
      <c r="DO763" s="95" t="n"/>
    </row>
    <row r="764" ht="13" customHeight="1">
      <c r="A764" s="203" t="inlineStr">
        <is>
          <t>RF-4</t>
        </is>
      </c>
      <c r="B764" s="305"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1" t="inlineStr">
        <is>
          <t>ASUB</t>
        </is>
      </c>
      <c r="BN764" s="337" t="inlineStr">
        <is>
          <t>San Nicolás</t>
        </is>
      </c>
      <c r="BO764" s="251" t="inlineStr">
        <is>
          <t>SI</t>
        </is>
      </c>
      <c r="BP764" s="252" t="inlineStr">
        <is>
          <t>RF-4 SAN NICOLAS/ASUB</t>
        </is>
      </c>
      <c r="BQ764" s="106">
        <f>VLOOKUP(BP764,[1]AGUA!$1:$1048576,2,FALSE)</f>
        <v/>
      </c>
      <c r="BR764" s="106">
        <f>VLOOKUP(BP764,[1]AGUA!$1:$1048576,6,FALSE)</f>
        <v/>
      </c>
      <c r="BS764" s="106">
        <f>VLOOKUP(BP764,[1]AGUA!$1:$1048576,7,FALSE)</f>
        <v/>
      </c>
      <c r="BT764" s="106" t="n"/>
      <c r="BU764" s="101" t="n"/>
      <c r="BV764" s="105" t="n"/>
      <c r="BW764" s="105" t="n"/>
      <c r="BX764" s="105" t="n"/>
      <c r="BY764" s="105" t="n"/>
      <c r="BZ764" s="105" t="n"/>
      <c r="CA764" s="105" t="n"/>
      <c r="CB764" s="105" t="n"/>
      <c r="CC764" s="105" t="n"/>
      <c r="CD764" s="105" t="n"/>
      <c r="CE764" s="105" t="n"/>
      <c r="CF764" s="105" t="n"/>
      <c r="CG764" s="209" t="n">
        <v>1</v>
      </c>
      <c r="CH764" s="105" t="n"/>
      <c r="CI764" s="105" t="n"/>
      <c r="CJ764" s="105" t="n"/>
      <c r="CK764" s="105" t="n"/>
      <c r="CL764" s="105" t="n"/>
      <c r="CM764" s="105" t="n"/>
      <c r="CN764" s="105" t="n"/>
      <c r="CO764" s="105" t="n"/>
      <c r="CP764" s="105" t="n"/>
      <c r="CQ764" s="105" t="n"/>
      <c r="CR764" s="105" t="n"/>
      <c r="CS764" s="105" t="n"/>
      <c r="CT764" s="105" t="n"/>
      <c r="CU764" s="105" t="n"/>
      <c r="CV764" s="105" t="n"/>
      <c r="CW764" s="105" t="n"/>
      <c r="CX764" s="105" t="n"/>
      <c r="CY764" s="105" t="n"/>
      <c r="CZ764" s="124">
        <f>+COUNTA(BV764:CY764)</f>
        <v/>
      </c>
      <c r="DA764" s="251" t="n"/>
      <c r="DB764" s="208" t="n"/>
      <c r="DC764" s="251" t="n"/>
      <c r="DD764" s="251" t="n"/>
      <c r="DE764" s="251" t="n"/>
      <c r="DF764" s="251" t="n"/>
      <c r="DG764" s="209" t="n"/>
      <c r="DH764" s="105" t="n"/>
      <c r="DI764" s="251" t="n"/>
      <c r="DJ764" s="251" t="n"/>
      <c r="DK764" s="251" t="n"/>
      <c r="DL764" s="95" t="n"/>
      <c r="DM764" s="251" t="inlineStr">
        <is>
          <t>M</t>
        </is>
      </c>
      <c r="DN764" s="251" t="n">
        <v>1</v>
      </c>
      <c r="DO764" s="95" t="n">
        <v>16</v>
      </c>
    </row>
    <row r="765" ht="15" customHeight="1">
      <c r="A765" s="203" t="inlineStr">
        <is>
          <t>Punto 1</t>
        </is>
      </c>
      <c r="B765" s="305"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1" t="inlineStr">
        <is>
          <t>ASUP</t>
        </is>
      </c>
      <c r="BN765" s="337" t="inlineStr">
        <is>
          <t>Chiclla</t>
        </is>
      </c>
      <c r="BO765" s="251" t="inlineStr">
        <is>
          <t>SI</t>
        </is>
      </c>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5" t="n"/>
      <c r="BY765" s="105" t="n"/>
      <c r="BZ765" s="105" t="n"/>
      <c r="CA765" s="105" t="n"/>
      <c r="CB765" s="105" t="n"/>
      <c r="CC765" s="105" t="n"/>
      <c r="CD765" s="105" t="n"/>
      <c r="CE765" s="105" t="n"/>
      <c r="CF765" s="105" t="n"/>
      <c r="CG765" s="105" t="n"/>
      <c r="CH765" s="107" t="n">
        <v>1</v>
      </c>
      <c r="CI765" s="105" t="n"/>
      <c r="CJ765" s="105" t="n"/>
      <c r="CK765" s="105" t="n"/>
      <c r="CL765" s="105" t="n"/>
      <c r="CM765" s="105" t="n"/>
      <c r="CN765" s="105" t="n"/>
      <c r="CO765" s="105" t="n"/>
      <c r="CP765" s="105" t="n"/>
      <c r="CQ765" s="105" t="n"/>
      <c r="CR765" s="105" t="n"/>
      <c r="CS765" s="105" t="n"/>
      <c r="CT765" s="105" t="n"/>
      <c r="CU765" s="105" t="n"/>
      <c r="CV765" s="105" t="n"/>
      <c r="CW765" s="105" t="n"/>
      <c r="CX765" s="105" t="n"/>
      <c r="CY765" s="105" t="n"/>
      <c r="CZ765" s="124">
        <f>+COUNTA(BV765:CY765)</f>
        <v/>
      </c>
      <c r="DA765" s="251" t="n"/>
      <c r="DB765" s="208" t="n"/>
      <c r="DC765" s="251" t="n"/>
      <c r="DD765" s="251" t="n"/>
      <c r="DE765" s="251" t="n"/>
      <c r="DF765" s="251" t="n"/>
      <c r="DG765" s="209" t="n"/>
      <c r="DH765" s="105" t="n"/>
      <c r="DI765" s="251" t="n"/>
      <c r="DJ765" s="251" t="inlineStr">
        <is>
          <t>M</t>
        </is>
      </c>
      <c r="DK765" s="251" t="n">
        <v>1</v>
      </c>
      <c r="DL765" s="95" t="n">
        <v>16</v>
      </c>
      <c r="DM765" s="251" t="n"/>
      <c r="DN765" s="251" t="n"/>
      <c r="DO765" s="95" t="n"/>
    </row>
    <row r="766" ht="13" customHeight="1">
      <c r="A766" s="203" t="inlineStr">
        <is>
          <t>RF-5</t>
        </is>
      </c>
      <c r="B766" s="305"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1" t="inlineStr">
        <is>
          <t>NF</t>
        </is>
      </c>
      <c r="BN766" s="337" t="inlineStr">
        <is>
          <t>Chiclla</t>
        </is>
      </c>
      <c r="BO766" s="251"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05" t="n"/>
      <c r="CD766" s="105" t="n"/>
      <c r="CE766" s="105" t="n"/>
      <c r="CF766" s="105" t="n"/>
      <c r="CG766" s="105" t="n"/>
      <c r="CH766" s="209" t="n">
        <v>1</v>
      </c>
      <c r="CI766" s="105" t="n"/>
      <c r="CJ766" s="105" t="n"/>
      <c r="CK766" s="105" t="n"/>
      <c r="CL766" s="105" t="n"/>
      <c r="CM766" s="105" t="n"/>
      <c r="CN766" s="105" t="n"/>
      <c r="CO766" s="105" t="n"/>
      <c r="CP766" s="105" t="n"/>
      <c r="CQ766" s="105" t="n"/>
      <c r="CR766" s="105" t="n"/>
      <c r="CS766" s="105" t="n"/>
      <c r="CT766" s="105" t="n"/>
      <c r="CU766" s="105" t="n"/>
      <c r="CV766" s="105" t="n"/>
      <c r="CW766" s="105" t="n"/>
      <c r="CX766" s="105" t="n"/>
      <c r="CY766" s="105" t="n"/>
      <c r="CZ766" s="124">
        <f>+COUNTA(BV766:CY766)</f>
        <v/>
      </c>
      <c r="DA766" s="251" t="n"/>
      <c r="DB766" s="208" t="n"/>
      <c r="DC766" s="251" t="n"/>
      <c r="DD766" s="251" t="n"/>
      <c r="DE766" s="251" t="n"/>
      <c r="DF766" s="251" t="n"/>
      <c r="DG766" s="209" t="n"/>
      <c r="DH766" s="105" t="n"/>
      <c r="DI766" s="251" t="n"/>
      <c r="DJ766" s="251" t="inlineStr">
        <is>
          <t>M</t>
        </is>
      </c>
      <c r="DK766" s="251" t="n">
        <v>1</v>
      </c>
      <c r="DL766" s="95" t="n">
        <v>16</v>
      </c>
      <c r="DM766" s="251" t="n"/>
      <c r="DN766" s="95" t="n"/>
      <c r="DO766" s="95" t="n"/>
    </row>
    <row r="767" ht="12.5" customHeight="1">
      <c r="A767" s="203" t="inlineStr">
        <is>
          <t>RF-5</t>
        </is>
      </c>
      <c r="B767" s="305"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1" t="inlineStr">
        <is>
          <t>ASUB</t>
        </is>
      </c>
      <c r="BN767" s="337" t="inlineStr">
        <is>
          <t>Chiclla</t>
        </is>
      </c>
      <c r="BO767" s="251"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5" t="n"/>
      <c r="CC767" s="105" t="n"/>
      <c r="CD767" s="105" t="n"/>
      <c r="CE767" s="105" t="n"/>
      <c r="CF767" s="105" t="n"/>
      <c r="CG767" s="105" t="n"/>
      <c r="CH767" s="209" t="n">
        <v>1</v>
      </c>
      <c r="CI767" s="105" t="n"/>
      <c r="CJ767" s="105" t="n"/>
      <c r="CK767" s="105" t="n"/>
      <c r="CL767" s="105" t="n"/>
      <c r="CM767" s="105" t="n"/>
      <c r="CN767" s="105" t="n"/>
      <c r="CO767" s="105" t="n"/>
      <c r="CP767" s="105" t="n"/>
      <c r="CQ767" s="105" t="n"/>
      <c r="CR767" s="105" t="n"/>
      <c r="CS767" s="105" t="n"/>
      <c r="CT767" s="105" t="n"/>
      <c r="CU767" s="105" t="n"/>
      <c r="CV767" s="105" t="n"/>
      <c r="CW767" s="105" t="n"/>
      <c r="CX767" s="105" t="n"/>
      <c r="CY767" s="105" t="n"/>
      <c r="CZ767" s="124">
        <f>+COUNTA(BV767:CY767)</f>
        <v/>
      </c>
      <c r="DA767" s="251" t="n"/>
      <c r="DB767" s="208" t="n"/>
      <c r="DC767" s="251" t="n"/>
      <c r="DD767" s="251" t="n"/>
      <c r="DE767" s="251" t="n"/>
      <c r="DF767" s="251" t="n"/>
      <c r="DG767" s="209" t="n"/>
      <c r="DH767" s="105" t="n"/>
      <c r="DI767" s="251" t="n"/>
      <c r="DJ767" s="251" t="n"/>
      <c r="DK767" s="251" t="n"/>
      <c r="DL767" s="95" t="n"/>
      <c r="DM767" s="251" t="inlineStr">
        <is>
          <t>M</t>
        </is>
      </c>
      <c r="DN767" s="95" t="n">
        <v>1</v>
      </c>
      <c r="DO767" s="95" t="n">
        <v>16</v>
      </c>
    </row>
    <row r="768" ht="13" customHeight="1">
      <c r="A768" s="203" t="inlineStr">
        <is>
          <t>PMA-03</t>
        </is>
      </c>
      <c r="B768" s="305" t="inlineStr">
        <is>
          <t>PMA-03 UJINA</t>
        </is>
      </c>
      <c r="C768" s="251"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1" t="inlineStr">
        <is>
          <t>532MAPMA03</t>
        </is>
      </c>
      <c r="BL768" s="7" t="inlineStr">
        <is>
          <t>GMAP-SIGA</t>
        </is>
      </c>
      <c r="BM768" s="251" t="inlineStr">
        <is>
          <t>NF</t>
        </is>
      </c>
      <c r="BN768" s="337" t="inlineStr">
        <is>
          <t>Ujina</t>
        </is>
      </c>
      <c r="BO768" s="251" t="inlineStr">
        <is>
          <t>SI</t>
        </is>
      </c>
      <c r="BP768" s="106" t="inlineStr">
        <is>
          <t>PMA-03 UJINA/NF</t>
        </is>
      </c>
      <c r="BQ768" s="106">
        <f>VLOOKUP(BP768,[1]AGUA!$1:$1048576,2,FALSE)</f>
        <v/>
      </c>
      <c r="BR768" s="106">
        <f>VLOOKUP(BP768,[1]AGUA!$1:$1048576,6,FALSE)</f>
        <v/>
      </c>
      <c r="BS768" s="106">
        <f>VLOOKUP(BP768,[1]AGUA!$1:$1048576,7,FALSE)</f>
        <v/>
      </c>
      <c r="BT768" s="106" t="n"/>
      <c r="BU768" s="253" t="n"/>
      <c r="BV768" s="105" t="n"/>
      <c r="BW768" s="105" t="n"/>
      <c r="BX768" s="105" t="n"/>
      <c r="BY768" s="105" t="n"/>
      <c r="BZ768" s="105" t="n"/>
      <c r="CA768" s="105" t="n"/>
      <c r="CB768" s="105" t="n"/>
      <c r="CC768" s="105" t="n"/>
      <c r="CD768" s="105" t="n"/>
      <c r="CE768" s="105" t="n"/>
      <c r="CF768" s="105" t="n"/>
      <c r="CG768" s="105" t="n"/>
      <c r="CH768" s="105" t="n"/>
      <c r="CI768" s="105" t="n"/>
      <c r="CJ768" s="105" t="n"/>
      <c r="CK768" s="105" t="n"/>
      <c r="CL768" s="105" t="n"/>
      <c r="CM768" s="105" t="n"/>
      <c r="CN768" s="105" t="n"/>
      <c r="CO768" s="142" t="n">
        <v>1</v>
      </c>
      <c r="CP768" s="105" t="n"/>
      <c r="CQ768" s="105" t="n"/>
      <c r="CR768" s="105" t="n"/>
      <c r="CS768" s="105" t="n"/>
      <c r="CT768" s="105" t="n"/>
      <c r="CU768" s="105" t="n"/>
      <c r="CV768" s="105" t="n"/>
      <c r="CW768" s="105" t="n"/>
      <c r="CX768" s="105" t="n"/>
      <c r="CY768" s="105" t="n"/>
      <c r="CZ768" s="124">
        <f>+COUNTA(BV768:CY768)</f>
        <v/>
      </c>
      <c r="DA768" s="251" t="n"/>
      <c r="DB768" s="251" t="n"/>
      <c r="DC768" s="251" t="n"/>
      <c r="DD768" s="251" t="n"/>
      <c r="DE768" s="251" t="n"/>
      <c r="DF768" s="251" t="n"/>
      <c r="DG768" s="251" t="n"/>
      <c r="DH768" s="251" t="n"/>
      <c r="DI768" s="251" t="n"/>
      <c r="DJ768" s="251" t="inlineStr">
        <is>
          <t>M</t>
        </is>
      </c>
      <c r="DK768" s="251" t="n">
        <v>15</v>
      </c>
      <c r="DL768" s="95" t="n">
        <v>21</v>
      </c>
      <c r="DM768" s="251" t="n"/>
      <c r="DN768" s="95" t="n"/>
      <c r="DO768" s="95" t="n"/>
    </row>
    <row r="769" ht="13" customHeight="1">
      <c r="A769" s="203" t="inlineStr">
        <is>
          <t>PMA-03</t>
        </is>
      </c>
      <c r="B769" s="376" t="n"/>
      <c r="C769" s="376"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76" t="n"/>
      <c r="BL769" s="7" t="inlineStr">
        <is>
          <t>GMAP-SIGA</t>
        </is>
      </c>
      <c r="BM769" s="168" t="inlineStr">
        <is>
          <t>ASUB</t>
        </is>
      </c>
      <c r="BN769" s="337" t="inlineStr">
        <is>
          <t>Ujina</t>
        </is>
      </c>
      <c r="BO769" s="251" t="inlineStr">
        <is>
          <t>SI</t>
        </is>
      </c>
      <c r="BP769" s="106" t="inlineStr">
        <is>
          <t>PMA-03 UJINA/ASUB</t>
        </is>
      </c>
      <c r="BQ769" s="106">
        <f>VLOOKUP(BP769,[1]AGUA!$1:$1048576,2,FALSE)</f>
        <v/>
      </c>
      <c r="BR769" s="106">
        <f>VLOOKUP(BP769,[1]AGUA!$1:$1048576,6,FALSE)</f>
        <v/>
      </c>
      <c r="BS769" s="106">
        <f>VLOOKUP(BP769,[1]AGUA!$1:$1048576,7,FALSE)</f>
        <v/>
      </c>
      <c r="BT769" s="106" t="n"/>
      <c r="BU769" s="377" t="n"/>
      <c r="BV769" s="105" t="n"/>
      <c r="BW769" s="105" t="n"/>
      <c r="BX769" s="105" t="n"/>
      <c r="BY769" s="105" t="n"/>
      <c r="BZ769" s="105" t="n"/>
      <c r="CA769" s="105" t="n"/>
      <c r="CB769" s="105" t="n"/>
      <c r="CC769" s="105" t="n"/>
      <c r="CD769" s="105" t="n"/>
      <c r="CE769" s="105" t="n"/>
      <c r="CF769" s="105" t="n"/>
      <c r="CG769" s="105" t="n"/>
      <c r="CH769" s="105" t="n"/>
      <c r="CI769" s="105" t="n"/>
      <c r="CJ769" s="105" t="n"/>
      <c r="CK769" s="105" t="n"/>
      <c r="CL769" s="105" t="n"/>
      <c r="CM769" s="105" t="n"/>
      <c r="CN769" s="105" t="n"/>
      <c r="CO769" s="107" t="n">
        <v>1</v>
      </c>
      <c r="CP769" s="105" t="n"/>
      <c r="CQ769" s="105" t="n"/>
      <c r="CR769" s="105" t="n"/>
      <c r="CS769" s="105" t="n"/>
      <c r="CT769" s="105" t="n"/>
      <c r="CU769" s="105" t="n"/>
      <c r="CV769" s="105" t="n"/>
      <c r="CW769" s="105" t="n"/>
      <c r="CX769" s="105" t="n"/>
      <c r="CY769" s="105" t="n"/>
      <c r="CZ769" s="124">
        <f>+COUNTA(BV769:CY769)</f>
        <v/>
      </c>
      <c r="DA769" s="251" t="n"/>
      <c r="DB769" s="251" t="n"/>
      <c r="DC769" s="251" t="n"/>
      <c r="DD769" s="251" t="n"/>
      <c r="DE769" s="251" t="n"/>
      <c r="DF769" s="251" t="n"/>
      <c r="DG769" s="251" t="n"/>
      <c r="DH769" s="251" t="n"/>
      <c r="DI769" s="251" t="n"/>
      <c r="DJ769" s="251" t="n"/>
      <c r="DK769" s="251" t="n"/>
      <c r="DL769" s="95" t="n"/>
      <c r="DM769" s="251" t="inlineStr">
        <is>
          <t>M</t>
        </is>
      </c>
      <c r="DN769" s="95" t="n">
        <v>15</v>
      </c>
      <c r="DO769" s="95" t="n">
        <v>28</v>
      </c>
    </row>
    <row r="770" ht="13" customHeight="1">
      <c r="A770" s="203" t="inlineStr">
        <is>
          <t>PMA-04</t>
        </is>
      </c>
      <c r="B770" s="305" t="inlineStr">
        <is>
          <t>PMA-04 CHICLLA</t>
        </is>
      </c>
      <c r="C770" s="251"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2" t="inlineStr">
        <is>
          <t>532WLPMA-04</t>
        </is>
      </c>
      <c r="BL770" s="7" t="inlineStr">
        <is>
          <t>GMAP-SIGA</t>
        </is>
      </c>
      <c r="BM770" s="251" t="inlineStr">
        <is>
          <t>NF</t>
        </is>
      </c>
      <c r="BN770" s="337" t="inlineStr">
        <is>
          <t>Chiclla</t>
        </is>
      </c>
      <c r="BO770" s="251" t="inlineStr">
        <is>
          <t>SI</t>
        </is>
      </c>
      <c r="BP770" s="106" t="inlineStr">
        <is>
          <t>PMA-04 CHICLLA/NF</t>
        </is>
      </c>
      <c r="BQ770" s="106">
        <f>VLOOKUP(BP770,[1]AGUA!$1:$1048576,2,FALSE)</f>
        <v/>
      </c>
      <c r="BR770" s="106">
        <f>VLOOKUP(BP770,[1]AGUA!$1:$1048576,6,FALSE)</f>
        <v/>
      </c>
      <c r="BS770" s="106">
        <f>VLOOKUP(BP770,[1]AGUA!$1:$1048576,7,FALSE)</f>
        <v/>
      </c>
      <c r="BT770" s="106" t="n"/>
      <c r="BU770" s="253" t="n"/>
      <c r="BV770" s="105" t="n"/>
      <c r="BW770" s="105" t="n"/>
      <c r="BX770" s="105" t="n"/>
      <c r="BY770" s="105" t="n"/>
      <c r="BZ770" s="105" t="n"/>
      <c r="CA770" s="105" t="n"/>
      <c r="CB770" s="105" t="n"/>
      <c r="CC770" s="105" t="n"/>
      <c r="CD770" s="105" t="n"/>
      <c r="CE770" s="105" t="n"/>
      <c r="CF770" s="105" t="n"/>
      <c r="CG770" s="105" t="n"/>
      <c r="CH770" s="209" t="n">
        <v>1</v>
      </c>
      <c r="CI770" s="105" t="n"/>
      <c r="CJ770" s="105" t="n"/>
      <c r="CK770" s="105" t="n"/>
      <c r="CL770" s="105" t="n"/>
      <c r="CM770" s="105" t="n"/>
      <c r="CN770" s="105" t="n"/>
      <c r="CO770" s="105" t="n"/>
      <c r="CP770" s="105" t="n"/>
      <c r="CQ770" s="105" t="n"/>
      <c r="CR770" s="105" t="n"/>
      <c r="CS770" s="105" t="n"/>
      <c r="CT770" s="105" t="n"/>
      <c r="CU770" s="105" t="n"/>
      <c r="CV770" s="105" t="n"/>
      <c r="CW770" s="105" t="n"/>
      <c r="CX770" s="105" t="n"/>
      <c r="CY770" s="105" t="n"/>
      <c r="CZ770" s="124">
        <f>+COUNTA(BV770:CY770)</f>
        <v/>
      </c>
      <c r="DA770" s="337" t="n"/>
      <c r="DB770" s="210" t="n"/>
      <c r="DC770" s="337" t="n"/>
      <c r="DD770" s="337" t="n"/>
      <c r="DE770" s="337" t="n"/>
      <c r="DF770" s="337" t="n"/>
      <c r="DG770" s="211" t="n"/>
      <c r="DH770" s="106" t="n"/>
      <c r="DI770" s="337" t="n"/>
      <c r="DJ770" s="251" t="inlineStr">
        <is>
          <t>M</t>
        </is>
      </c>
      <c r="DK770" s="251" t="n">
        <v>1</v>
      </c>
      <c r="DL770" s="95" t="n">
        <v>14</v>
      </c>
      <c r="DM770" s="251" t="n"/>
      <c r="DN770" s="95" t="n"/>
      <c r="DO770" s="95" t="n"/>
    </row>
    <row r="771" ht="13" customHeight="1">
      <c r="A771" s="203" t="inlineStr">
        <is>
          <t>PMA-04</t>
        </is>
      </c>
      <c r="B771" s="376" t="n"/>
      <c r="C771" s="376"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76" t="n"/>
      <c r="BL771" s="7" t="inlineStr">
        <is>
          <t>GMAP-SIGA</t>
        </is>
      </c>
      <c r="BM771" s="251" t="inlineStr">
        <is>
          <t>ASUB</t>
        </is>
      </c>
      <c r="BN771" s="337" t="inlineStr">
        <is>
          <t>Chiclla</t>
        </is>
      </c>
      <c r="BO771" s="251" t="inlineStr">
        <is>
          <t>SI</t>
        </is>
      </c>
      <c r="BP771" s="106" t="inlineStr">
        <is>
          <t>PMA-04 CHICLLA/ASUB</t>
        </is>
      </c>
      <c r="BQ771" s="106">
        <f>VLOOKUP(BP771,[1]AGUA!$1:$1048576,2,FALSE)</f>
        <v/>
      </c>
      <c r="BR771" s="106">
        <f>VLOOKUP(BP771,[1]AGUA!$1:$1048576,6,FALSE)</f>
        <v/>
      </c>
      <c r="BS771" s="106">
        <f>VLOOKUP(BP771,[1]AGUA!$1:$1048576,7,FALSE)</f>
        <v/>
      </c>
      <c r="BT771" s="106" t="n"/>
      <c r="BU771" s="377" t="n"/>
      <c r="BV771" s="105" t="n"/>
      <c r="BW771" s="105" t="n"/>
      <c r="BX771" s="105" t="n"/>
      <c r="BY771" s="105" t="n"/>
      <c r="BZ771" s="105" t="n"/>
      <c r="CA771" s="105" t="n"/>
      <c r="CB771" s="105" t="n"/>
      <c r="CC771" s="105" t="n"/>
      <c r="CD771" s="105" t="n"/>
      <c r="CE771" s="105" t="n"/>
      <c r="CF771" s="105" t="n"/>
      <c r="CG771" s="105" t="n"/>
      <c r="CH771" s="209" t="n">
        <v>1</v>
      </c>
      <c r="CI771" s="105" t="n"/>
      <c r="CJ771" s="105" t="n"/>
      <c r="CK771" s="105" t="n"/>
      <c r="CL771" s="105" t="n"/>
      <c r="CM771" s="105" t="n"/>
      <c r="CN771" s="105" t="n"/>
      <c r="CO771" s="105" t="n"/>
      <c r="CP771" s="105" t="n"/>
      <c r="CQ771" s="105" t="n"/>
      <c r="CR771" s="105" t="n"/>
      <c r="CS771" s="105" t="n"/>
      <c r="CT771" s="105" t="n"/>
      <c r="CU771" s="105" t="n"/>
      <c r="CV771" s="105" t="n"/>
      <c r="CW771" s="105" t="n"/>
      <c r="CX771" s="105" t="n"/>
      <c r="CY771" s="105" t="n"/>
      <c r="CZ771" s="124">
        <f>+COUNTA(BV771:CY771)</f>
        <v/>
      </c>
      <c r="DA771" s="337" t="n"/>
      <c r="DB771" s="210" t="n"/>
      <c r="DC771" s="337" t="n"/>
      <c r="DD771" s="337" t="n"/>
      <c r="DE771" s="337" t="n"/>
      <c r="DF771" s="337" t="n"/>
      <c r="DG771" s="211" t="n"/>
      <c r="DH771" s="106" t="n"/>
      <c r="DI771" s="337" t="n"/>
      <c r="DJ771" s="251" t="n"/>
      <c r="DK771" s="251" t="n"/>
      <c r="DL771" s="95" t="n"/>
      <c r="DM771" s="251" t="inlineStr">
        <is>
          <t>M</t>
        </is>
      </c>
      <c r="DN771" s="95" t="n">
        <v>1</v>
      </c>
      <c r="DO771" s="95" t="n">
        <v>14</v>
      </c>
    </row>
    <row r="772" ht="13" customHeight="1">
      <c r="A772" s="203" t="inlineStr">
        <is>
          <t>PMA-05</t>
        </is>
      </c>
      <c r="B772" s="305"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2" t="inlineStr">
        <is>
          <t>532WLPMA-05</t>
        </is>
      </c>
      <c r="BL772" s="61" t="inlineStr">
        <is>
          <t>GMAP-SIGA</t>
        </is>
      </c>
      <c r="BM772" s="251" t="inlineStr">
        <is>
          <t>NF</t>
        </is>
      </c>
      <c r="BN772" s="337" t="inlineStr">
        <is>
          <t>Sallihuinca</t>
        </is>
      </c>
      <c r="BO772" s="251"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42" t="n">
        <v>1</v>
      </c>
      <c r="CV772" s="105" t="n"/>
      <c r="CW772" s="105" t="n"/>
      <c r="CX772" s="105" t="n"/>
      <c r="CY772" s="105" t="n"/>
      <c r="CZ772" s="124">
        <f>+COUNTA(BV772:CY772)</f>
        <v/>
      </c>
      <c r="DA772" s="251" t="n"/>
      <c r="DB772" s="251" t="n"/>
      <c r="DC772" s="251" t="n"/>
      <c r="DD772" s="251" t="n"/>
      <c r="DE772" s="251" t="n"/>
      <c r="DF772" s="251" t="n"/>
      <c r="DG772" s="251" t="n"/>
      <c r="DH772" s="251" t="n"/>
      <c r="DI772" s="251" t="n"/>
      <c r="DJ772" s="251" t="inlineStr">
        <is>
          <t>T</t>
        </is>
      </c>
      <c r="DK772" s="251" t="n">
        <v>22</v>
      </c>
      <c r="DL772" s="95" t="n">
        <v>28</v>
      </c>
      <c r="DM772" s="251" t="n"/>
      <c r="DN772" s="95" t="n"/>
      <c r="DO772" s="95" t="n"/>
    </row>
    <row r="773" ht="1.5" customHeight="1">
      <c r="A773" s="203" t="inlineStr">
        <is>
          <t>PMA-06</t>
        </is>
      </c>
      <c r="B773" s="305"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2" t="inlineStr">
        <is>
          <t>532WLPMA-06</t>
        </is>
      </c>
      <c r="BL773" s="61" t="inlineStr">
        <is>
          <t>GMAP-SIGA</t>
        </is>
      </c>
      <c r="BM773" s="251" t="inlineStr">
        <is>
          <t>NF</t>
        </is>
      </c>
      <c r="BN773" s="337" t="inlineStr">
        <is>
          <t>Sallihuinca</t>
        </is>
      </c>
      <c r="BO773" s="251"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42" t="n">
        <v>1</v>
      </c>
      <c r="CV773" s="105" t="n"/>
      <c r="CW773" s="105" t="n"/>
      <c r="CX773" s="105" t="n"/>
      <c r="CY773" s="105" t="n"/>
      <c r="CZ773" s="124">
        <f>+COUNTA(BV773:CY773)</f>
        <v/>
      </c>
      <c r="DA773" s="251" t="n"/>
      <c r="DB773" s="251" t="n"/>
      <c r="DC773" s="251" t="n"/>
      <c r="DD773" s="251" t="n"/>
      <c r="DE773" s="251" t="n"/>
      <c r="DF773" s="251" t="n"/>
      <c r="DG773" s="251" t="n"/>
      <c r="DH773" s="251" t="n"/>
      <c r="DI773" s="251" t="n"/>
      <c r="DJ773" s="251" t="inlineStr">
        <is>
          <t>B</t>
        </is>
      </c>
      <c r="DK773" s="251" t="n">
        <v>22</v>
      </c>
      <c r="DL773" s="95" t="n">
        <v>28</v>
      </c>
      <c r="DM773" s="251" t="n"/>
      <c r="DN773" s="95" t="n"/>
      <c r="DO773" s="95" t="n"/>
    </row>
    <row r="774" ht="13" customHeight="1">
      <c r="A774" s="203" t="inlineStr">
        <is>
          <t>PMA-07</t>
        </is>
      </c>
      <c r="B774" s="305" t="inlineStr">
        <is>
          <t>PMA-07 HUINQUINTIPA</t>
        </is>
      </c>
      <c r="C774" s="251"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2" t="inlineStr">
        <is>
          <t>532MAPMA07</t>
        </is>
      </c>
      <c r="BL774" s="7" t="inlineStr">
        <is>
          <t>GMAP-SIGA</t>
        </is>
      </c>
      <c r="BM774" s="251" t="inlineStr">
        <is>
          <t>NF</t>
        </is>
      </c>
      <c r="BN774" s="337" t="inlineStr">
        <is>
          <t>Huinquintipa</t>
        </is>
      </c>
      <c r="BO774" s="251" t="inlineStr">
        <is>
          <t>SI</t>
        </is>
      </c>
      <c r="BP774" s="106" t="inlineStr">
        <is>
          <t>PMA-07 HUINQUINTIPA/NF</t>
        </is>
      </c>
      <c r="BQ774" s="106">
        <f>VLOOKUP(BP774,[1]AGUA!$1:$1048576,2,FALSE)</f>
        <v/>
      </c>
      <c r="BR774" s="106">
        <f>VLOOKUP(BP774,[1]AGUA!$1:$1048576,6,FALSE)</f>
        <v/>
      </c>
      <c r="BS774" s="106">
        <f>VLOOKUP(BP774,[1]AGUA!$1:$1048576,7,FALSE)</f>
        <v/>
      </c>
      <c r="BT774" s="106" t="n"/>
      <c r="BU774" s="253" t="n"/>
      <c r="BV774" s="105" t="n"/>
      <c r="BW774" s="105" t="n"/>
      <c r="BX774" s="105" t="n"/>
      <c r="BY774" s="105" t="n"/>
      <c r="BZ774" s="105" t="n"/>
      <c r="CA774" s="105" t="n"/>
      <c r="CB774" s="105" t="n"/>
      <c r="CC774" s="105" t="n"/>
      <c r="CD774" s="105" t="n"/>
      <c r="CE774" s="105" t="n"/>
      <c r="CF774" s="105" t="n"/>
      <c r="CG774" s="209" t="n">
        <v>1</v>
      </c>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24">
        <f>+COUNTA(BV774:CY774)</f>
        <v/>
      </c>
      <c r="DA774" s="337" t="n"/>
      <c r="DB774" s="210" t="n"/>
      <c r="DC774" s="337" t="n"/>
      <c r="DD774" s="337" t="n"/>
      <c r="DE774" s="337" t="n"/>
      <c r="DF774" s="337" t="n"/>
      <c r="DG774" s="211" t="n"/>
      <c r="DH774" s="211" t="n"/>
      <c r="DI774" s="337" t="n"/>
      <c r="DJ774" s="251" t="inlineStr">
        <is>
          <t>M</t>
        </is>
      </c>
      <c r="DK774" s="251" t="n">
        <v>1</v>
      </c>
      <c r="DL774" s="95" t="n">
        <v>14</v>
      </c>
      <c r="DM774" s="251" t="n"/>
      <c r="DN774" s="95" t="n"/>
      <c r="DO774" s="95" t="n"/>
    </row>
    <row r="775" ht="13" customHeight="1">
      <c r="A775" s="203" t="inlineStr">
        <is>
          <t>PMA-07</t>
        </is>
      </c>
      <c r="B775" s="376" t="n"/>
      <c r="C775" s="376"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76" t="n"/>
      <c r="BL775" s="7" t="inlineStr">
        <is>
          <t>GMAP-SIGA</t>
        </is>
      </c>
      <c r="BM775" s="251" t="inlineStr">
        <is>
          <t>ASUB</t>
        </is>
      </c>
      <c r="BN775" s="337" t="inlineStr">
        <is>
          <t>Huinquintipa</t>
        </is>
      </c>
      <c r="BO775" s="251" t="inlineStr">
        <is>
          <t>SI</t>
        </is>
      </c>
      <c r="BP775" s="106" t="inlineStr">
        <is>
          <t>PMA-07 HUINQUINTIPA/ASUB</t>
        </is>
      </c>
      <c r="BQ775" s="106">
        <f>VLOOKUP(BP775,[1]AGUA!$1:$1048576,2,FALSE)</f>
        <v/>
      </c>
      <c r="BR775" s="106">
        <f>VLOOKUP(BP775,[1]AGUA!$1:$1048576,6,FALSE)</f>
        <v/>
      </c>
      <c r="BS775" s="106">
        <f>VLOOKUP(BP775,[1]AGUA!$1:$1048576,7,FALSE)</f>
        <v/>
      </c>
      <c r="BT775" s="106" t="n"/>
      <c r="BU775" s="377" t="n"/>
      <c r="BV775" s="105" t="n"/>
      <c r="BW775" s="105" t="n"/>
      <c r="BX775" s="105" t="n"/>
      <c r="BY775" s="105" t="n"/>
      <c r="BZ775" s="105" t="n"/>
      <c r="CA775" s="105" t="n"/>
      <c r="CB775" s="105" t="n"/>
      <c r="CC775" s="105" t="n"/>
      <c r="CD775" s="105" t="n"/>
      <c r="CE775" s="105" t="n"/>
      <c r="CF775" s="105" t="n"/>
      <c r="CG775" s="209" t="n">
        <v>1</v>
      </c>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24">
        <f>+COUNTA(BV775:CY775)</f>
        <v/>
      </c>
      <c r="DA775" s="337" t="n"/>
      <c r="DB775" s="210" t="n"/>
      <c r="DC775" s="337" t="n"/>
      <c r="DD775" s="337" t="n"/>
      <c r="DE775" s="337" t="n"/>
      <c r="DF775" s="337" t="n"/>
      <c r="DG775" s="211" t="n"/>
      <c r="DH775" s="211" t="n"/>
      <c r="DI775" s="337" t="n"/>
      <c r="DJ775" s="251" t="n"/>
      <c r="DK775" s="251" t="n"/>
      <c r="DL775" s="95" t="n"/>
      <c r="DM775" s="251" t="inlineStr">
        <is>
          <t>M</t>
        </is>
      </c>
      <c r="DN775" s="95" t="n">
        <v>1</v>
      </c>
      <c r="DO775" s="95" t="n">
        <v>14</v>
      </c>
    </row>
    <row r="776" ht="13" customHeight="1">
      <c r="A776" s="203" t="inlineStr">
        <is>
          <t>PMA-08</t>
        </is>
      </c>
      <c r="B776" s="305" t="inlineStr">
        <is>
          <t>PMA-08 HUINQUINTIPA</t>
        </is>
      </c>
      <c r="C776" s="251"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2" t="inlineStr">
        <is>
          <t>532MAPMA08</t>
        </is>
      </c>
      <c r="BL776" s="7" t="inlineStr">
        <is>
          <t>GMAP-SIGA</t>
        </is>
      </c>
      <c r="BM776" s="251" t="inlineStr">
        <is>
          <t>NF</t>
        </is>
      </c>
      <c r="BN776" s="337" t="inlineStr">
        <is>
          <t>Huinquintipa</t>
        </is>
      </c>
      <c r="BO776" s="251" t="inlineStr">
        <is>
          <t>SI</t>
        </is>
      </c>
      <c r="BP776" s="106" t="inlineStr">
        <is>
          <t>PMA-08 HUINQUINTIPA/NF</t>
        </is>
      </c>
      <c r="BQ776" s="106">
        <f>VLOOKUP(BP776,[1]AGUA!$1:$1048576,2,FALSE)</f>
        <v/>
      </c>
      <c r="BR776" s="106">
        <f>VLOOKUP(BP776,[1]AGUA!$1:$1048576,6,FALSE)</f>
        <v/>
      </c>
      <c r="BS776" s="106">
        <f>VLOOKUP(BP776,[1]AGUA!$1:$1048576,7,FALSE)</f>
        <v/>
      </c>
      <c r="BT776" s="106" t="n"/>
      <c r="BU776" s="253" t="n"/>
      <c r="BV776" s="105" t="n"/>
      <c r="BW776" s="105" t="n"/>
      <c r="BX776" s="105" t="n"/>
      <c r="BY776" s="105" t="n"/>
      <c r="BZ776" s="105" t="n"/>
      <c r="CA776" s="105" t="n"/>
      <c r="CB776" s="105" t="n"/>
      <c r="CC776" s="105" t="n"/>
      <c r="CD776" s="105" t="n"/>
      <c r="CE776" s="105" t="n"/>
      <c r="CF776" s="105" t="n"/>
      <c r="CG776" s="209" t="n">
        <v>1</v>
      </c>
      <c r="CH776" s="105" t="n"/>
      <c r="CI776" s="105" t="n"/>
      <c r="CJ776" s="105" t="n"/>
      <c r="CK776" s="105" t="n"/>
      <c r="CL776" s="105" t="n"/>
      <c r="CM776" s="105" t="n"/>
      <c r="CN776" s="105" t="n"/>
      <c r="CO776" s="105" t="n"/>
      <c r="CP776" s="105" t="n"/>
      <c r="CQ776" s="105" t="n"/>
      <c r="CR776" s="105" t="n"/>
      <c r="CS776" s="105" t="n"/>
      <c r="CT776" s="105" t="n"/>
      <c r="CU776" s="105" t="n"/>
      <c r="CV776" s="105" t="n"/>
      <c r="CW776" s="105" t="n"/>
      <c r="CX776" s="105" t="n"/>
      <c r="CY776" s="105" t="n"/>
      <c r="CZ776" s="124">
        <f>+COUNTA(BV776:CY776)</f>
        <v/>
      </c>
      <c r="DA776" s="337" t="n"/>
      <c r="DB776" s="210" t="n"/>
      <c r="DC776" s="337" t="n"/>
      <c r="DD776" s="337" t="n"/>
      <c r="DE776" s="337" t="n"/>
      <c r="DF776" s="337" t="n"/>
      <c r="DG776" s="211" t="n"/>
      <c r="DH776" s="211" t="n"/>
      <c r="DI776" s="337" t="n"/>
      <c r="DJ776" s="251" t="inlineStr">
        <is>
          <t>M</t>
        </is>
      </c>
      <c r="DK776" s="251" t="n">
        <v>1</v>
      </c>
      <c r="DL776" s="95" t="n">
        <v>14</v>
      </c>
      <c r="DM776" s="251" t="n"/>
      <c r="DN776" s="95" t="n"/>
      <c r="DO776" s="95" t="n"/>
    </row>
    <row r="777" ht="13" customHeight="1">
      <c r="A777" s="203" t="inlineStr">
        <is>
          <t>PMA-08</t>
        </is>
      </c>
      <c r="B777" s="376" t="n"/>
      <c r="C777" s="376"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76" t="n"/>
      <c r="BL777" s="7" t="inlineStr">
        <is>
          <t>GMAP-SIGA</t>
        </is>
      </c>
      <c r="BM777" s="251" t="inlineStr">
        <is>
          <t>ASUB</t>
        </is>
      </c>
      <c r="BN777" s="337" t="inlineStr">
        <is>
          <t>Huinquintipa</t>
        </is>
      </c>
      <c r="BO777" s="251" t="inlineStr">
        <is>
          <t>SI</t>
        </is>
      </c>
      <c r="BP777" s="106" t="inlineStr">
        <is>
          <t>PMA-08 HUINQUINTIPA/ASUB</t>
        </is>
      </c>
      <c r="BQ777" s="106">
        <f>VLOOKUP(BP777,[1]AGUA!$1:$1048576,2,FALSE)</f>
        <v/>
      </c>
      <c r="BR777" s="106">
        <f>VLOOKUP(BP777,[1]AGUA!$1:$1048576,6,FALSE)</f>
        <v/>
      </c>
      <c r="BS777" s="106">
        <f>VLOOKUP(BP777,[1]AGUA!$1:$1048576,7,FALSE)</f>
        <v/>
      </c>
      <c r="BT777" s="106" t="n"/>
      <c r="BU777" s="377" t="n"/>
      <c r="BV777" s="105" t="n"/>
      <c r="BW777" s="105" t="n"/>
      <c r="BX777" s="105" t="n"/>
      <c r="BY777" s="105" t="n"/>
      <c r="BZ777" s="105" t="n"/>
      <c r="CA777" s="105" t="n"/>
      <c r="CB777" s="105" t="n"/>
      <c r="CC777" s="105" t="n"/>
      <c r="CD777" s="105" t="n"/>
      <c r="CE777" s="105" t="n"/>
      <c r="CF777" s="105" t="n"/>
      <c r="CG777" s="209" t="n">
        <v>1</v>
      </c>
      <c r="CH777" s="105" t="n"/>
      <c r="CI777" s="105" t="n"/>
      <c r="CJ777" s="105" t="n"/>
      <c r="CK777" s="105" t="n"/>
      <c r="CL777" s="105" t="n"/>
      <c r="CM777" s="105" t="n"/>
      <c r="CN777" s="105" t="n"/>
      <c r="CO777" s="105" t="n"/>
      <c r="CP777" s="105" t="n"/>
      <c r="CQ777" s="105" t="n"/>
      <c r="CR777" s="105" t="n"/>
      <c r="CS777" s="105" t="n"/>
      <c r="CT777" s="105" t="n"/>
      <c r="CU777" s="105" t="n"/>
      <c r="CV777" s="105" t="n"/>
      <c r="CW777" s="105" t="n"/>
      <c r="CX777" s="105" t="n"/>
      <c r="CY777" s="105" t="n"/>
      <c r="CZ777" s="124">
        <f>+COUNTA(BV777:CY777)</f>
        <v/>
      </c>
      <c r="DA777" s="337" t="n"/>
      <c r="DB777" s="210" t="n"/>
      <c r="DC777" s="337" t="n"/>
      <c r="DD777" s="337" t="n"/>
      <c r="DE777" s="337" t="n"/>
      <c r="DF777" s="337" t="n"/>
      <c r="DG777" s="211" t="n"/>
      <c r="DH777" s="211" t="n"/>
      <c r="DI777" s="337" t="n"/>
      <c r="DJ777" s="251" t="n"/>
      <c r="DK777" s="251" t="n"/>
      <c r="DL777" s="95" t="n"/>
      <c r="DM777" s="251" t="inlineStr">
        <is>
          <t>M</t>
        </is>
      </c>
      <c r="DN777" s="95" t="n">
        <v>1</v>
      </c>
      <c r="DO777" s="95" t="n">
        <v>14</v>
      </c>
    </row>
    <row r="778" ht="13.5" customHeight="1">
      <c r="A778" s="203" t="inlineStr">
        <is>
          <t>PMA-09</t>
        </is>
      </c>
      <c r="B778" s="305"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2" t="inlineStr">
        <is>
          <t>532MACOPA</t>
        </is>
      </c>
      <c r="BL778" s="61" t="inlineStr">
        <is>
          <t>GMAP-SIGA</t>
        </is>
      </c>
      <c r="BM778" s="251" t="inlineStr">
        <is>
          <t>NF</t>
        </is>
      </c>
      <c r="BN778" s="337" t="inlineStr">
        <is>
          <t>Copaquire</t>
        </is>
      </c>
      <c r="BO778" s="251"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42" t="n">
        <v>1</v>
      </c>
      <c r="CX778" s="105" t="n"/>
      <c r="CY778" s="105" t="n"/>
      <c r="CZ778" s="124">
        <f>+COUNTA(BV778:CY778)</f>
        <v/>
      </c>
      <c r="DA778" s="251" t="n"/>
      <c r="DB778" s="251" t="n"/>
      <c r="DC778" s="251" t="n"/>
      <c r="DD778" s="251" t="n"/>
      <c r="DE778" s="251" t="n"/>
      <c r="DF778" s="251" t="n"/>
      <c r="DG778" s="251" t="n"/>
      <c r="DH778" s="251" t="n"/>
      <c r="DI778" s="251" t="n"/>
      <c r="DJ778" s="251" t="inlineStr">
        <is>
          <t>B</t>
        </is>
      </c>
      <c r="DK778" s="251" t="n">
        <v>22</v>
      </c>
      <c r="DL778" s="95" t="n">
        <v>28</v>
      </c>
      <c r="DM778" s="251" t="n"/>
      <c r="DN778" s="95" t="n"/>
      <c r="DO778" s="95" t="n"/>
    </row>
    <row r="779" ht="12.75" customHeight="1">
      <c r="A779" s="203" t="inlineStr">
        <is>
          <t>PMA-10</t>
        </is>
      </c>
      <c r="B779" s="305"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2" t="inlineStr">
        <is>
          <t>532WLPMA-10</t>
        </is>
      </c>
      <c r="BL779" s="61" t="inlineStr">
        <is>
          <t>GMAP-SIGA</t>
        </is>
      </c>
      <c r="BM779" s="251" t="inlineStr">
        <is>
          <t>NF</t>
        </is>
      </c>
      <c r="BN779" s="337" t="inlineStr">
        <is>
          <t>Chiclla</t>
        </is>
      </c>
      <c r="BO779" s="251"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42" t="n">
        <v>1</v>
      </c>
      <c r="CT779" s="105" t="n"/>
      <c r="CU779" s="105" t="n"/>
      <c r="CV779" s="105" t="n"/>
      <c r="CW779" s="105" t="n"/>
      <c r="CX779" s="105" t="n"/>
      <c r="CY779" s="105" t="n"/>
      <c r="CZ779" s="124">
        <f>+COUNTA(BV779:CY779)</f>
        <v/>
      </c>
      <c r="DA779" s="251" t="n"/>
      <c r="DB779" s="251" t="n"/>
      <c r="DC779" s="251" t="n"/>
      <c r="DD779" s="251" t="n"/>
      <c r="DE779" s="251" t="n"/>
      <c r="DF779" s="251" t="n"/>
      <c r="DG779" s="251" t="n"/>
      <c r="DH779" s="251" t="n"/>
      <c r="DI779" s="251" t="n"/>
      <c r="DJ779" s="251" t="inlineStr">
        <is>
          <t>B</t>
        </is>
      </c>
      <c r="DK779" s="251" t="n">
        <v>22</v>
      </c>
      <c r="DL779" s="95" t="n">
        <v>28</v>
      </c>
      <c r="DM779" s="251" t="n"/>
      <c r="DN779" s="95" t="n"/>
      <c r="DO779" s="95" t="n"/>
    </row>
    <row r="780" ht="13" customHeight="1">
      <c r="A780" s="203" t="inlineStr">
        <is>
          <t>PMA-11</t>
        </is>
      </c>
      <c r="B780" s="305"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2" t="inlineStr">
        <is>
          <t>532MACEU</t>
        </is>
      </c>
      <c r="BL780" s="61" t="inlineStr">
        <is>
          <t>GMAP-SIGA</t>
        </is>
      </c>
      <c r="BM780" s="251" t="inlineStr">
        <is>
          <t>NF</t>
        </is>
      </c>
      <c r="BN780" s="337" t="inlineStr">
        <is>
          <t>Ceusis</t>
        </is>
      </c>
      <c r="BO780" s="251"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42" t="n">
        <v>1</v>
      </c>
      <c r="CV780" s="105" t="n"/>
      <c r="CW780" s="105" t="n"/>
      <c r="CX780" s="105" t="n"/>
      <c r="CY780" s="105" t="n"/>
      <c r="CZ780" s="124">
        <f>+COUNTA(BV780:CY780)</f>
        <v/>
      </c>
      <c r="DA780" s="251" t="n"/>
      <c r="DB780" s="251" t="n"/>
      <c r="DC780" s="251" t="n"/>
      <c r="DD780" s="251" t="n"/>
      <c r="DE780" s="251" t="n"/>
      <c r="DF780" s="251" t="n"/>
      <c r="DG780" s="251" t="n"/>
      <c r="DH780" s="251" t="n"/>
      <c r="DI780" s="251" t="n"/>
      <c r="DJ780" s="251" t="inlineStr">
        <is>
          <t>B</t>
        </is>
      </c>
      <c r="DK780" s="251" t="n">
        <v>22</v>
      </c>
      <c r="DL780" s="95" t="n">
        <v>28</v>
      </c>
      <c r="DM780" s="251" t="n"/>
      <c r="DN780" s="95" t="n"/>
      <c r="DO780" s="95" t="n"/>
    </row>
    <row r="781" ht="13" customHeight="1">
      <c r="A781" s="203" t="inlineStr">
        <is>
          <t>PMA-12</t>
        </is>
      </c>
      <c r="B781" s="305"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2" t="inlineStr">
        <is>
          <t>532WLPMA-12</t>
        </is>
      </c>
      <c r="BL781" s="61" t="inlineStr">
        <is>
          <t>GMAP-SIGA</t>
        </is>
      </c>
      <c r="BM781" s="251" t="inlineStr">
        <is>
          <t>NF</t>
        </is>
      </c>
      <c r="BN781" s="337" t="inlineStr">
        <is>
          <t>Mal paso</t>
        </is>
      </c>
      <c r="BO781" s="251"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42" t="n">
        <v>1</v>
      </c>
      <c r="CU781" s="105" t="n"/>
      <c r="CV781" s="105" t="n"/>
      <c r="CW781" s="105" t="n"/>
      <c r="CX781" s="105" t="n"/>
      <c r="CY781" s="105" t="n"/>
      <c r="CZ781" s="124">
        <f>+COUNTA(BV781:CY781)</f>
        <v/>
      </c>
      <c r="DA781" s="251" t="n"/>
      <c r="DB781" s="251" t="n"/>
      <c r="DC781" s="251" t="n"/>
      <c r="DD781" s="251" t="n"/>
      <c r="DE781" s="251" t="n"/>
      <c r="DF781" s="251" t="n"/>
      <c r="DG781" s="251" t="n"/>
      <c r="DH781" s="251" t="n"/>
      <c r="DI781" s="251" t="n"/>
      <c r="DJ781" s="251" t="inlineStr">
        <is>
          <t>B</t>
        </is>
      </c>
      <c r="DK781" s="251" t="n">
        <v>22</v>
      </c>
      <c r="DL781" s="95" t="n">
        <v>28</v>
      </c>
      <c r="DM781" s="251" t="n"/>
      <c r="DN781" s="95" t="n"/>
      <c r="DO781" s="95" t="n"/>
    </row>
    <row r="782" ht="13" customHeight="1">
      <c r="A782" s="203" t="inlineStr">
        <is>
          <t>PMA-13</t>
        </is>
      </c>
      <c r="B782" s="305"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2" t="inlineStr">
        <is>
          <t>532WLPMA-13</t>
        </is>
      </c>
      <c r="BL782" s="61" t="inlineStr">
        <is>
          <t>GMAP-SIGA</t>
        </is>
      </c>
      <c r="BM782" s="251" t="inlineStr">
        <is>
          <t>NF</t>
        </is>
      </c>
      <c r="BN782" s="337" t="inlineStr">
        <is>
          <t>Chiclla</t>
        </is>
      </c>
      <c r="BO782" s="251"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42" t="n">
        <v>1</v>
      </c>
      <c r="CT782" s="105" t="n"/>
      <c r="CU782" s="105" t="n"/>
      <c r="CV782" s="105" t="n"/>
      <c r="CW782" s="105" t="n"/>
      <c r="CX782" s="105" t="n"/>
      <c r="CY782" s="105" t="n"/>
      <c r="CZ782" s="124">
        <f>+COUNTA(BV782:CY782)</f>
        <v/>
      </c>
      <c r="DA782" s="251" t="n"/>
      <c r="DB782" s="251" t="n"/>
      <c r="DC782" s="251" t="n"/>
      <c r="DD782" s="251" t="n"/>
      <c r="DE782" s="251" t="n"/>
      <c r="DF782" s="251" t="n"/>
      <c r="DG782" s="251" t="n"/>
      <c r="DH782" s="251" t="n"/>
      <c r="DI782" s="251" t="n"/>
      <c r="DJ782" s="251" t="inlineStr">
        <is>
          <t>B</t>
        </is>
      </c>
      <c r="DK782" s="251" t="n">
        <v>22</v>
      </c>
      <c r="DL782" s="95" t="n">
        <v>28</v>
      </c>
      <c r="DM782" s="251" t="n"/>
      <c r="DN782" s="95" t="n"/>
      <c r="DO782" s="95" t="n"/>
    </row>
    <row r="783" ht="13" customHeight="1">
      <c r="A783" s="203" t="inlineStr">
        <is>
          <t>PMA-14</t>
        </is>
      </c>
      <c r="B783" s="305"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2" t="inlineStr">
        <is>
          <t>532MACOPA</t>
        </is>
      </c>
      <c r="BL783" s="61" t="inlineStr">
        <is>
          <t>GMAP-SIGA</t>
        </is>
      </c>
      <c r="BM783" s="251" t="inlineStr">
        <is>
          <t>NF</t>
        </is>
      </c>
      <c r="BN783" s="337" t="inlineStr">
        <is>
          <t>Copaquire</t>
        </is>
      </c>
      <c r="BO783" s="251"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42" t="n">
        <v>1</v>
      </c>
      <c r="CX783" s="105" t="n"/>
      <c r="CY783" s="105" t="n"/>
      <c r="CZ783" s="124">
        <f>+COUNTA(BV783:CY783)</f>
        <v/>
      </c>
      <c r="DA783" s="251" t="n"/>
      <c r="DB783" s="251" t="n"/>
      <c r="DC783" s="251" t="n"/>
      <c r="DD783" s="251" t="n"/>
      <c r="DE783" s="251" t="n"/>
      <c r="DF783" s="251" t="n"/>
      <c r="DG783" s="251" t="n"/>
      <c r="DH783" s="251" t="n"/>
      <c r="DI783" s="251" t="n"/>
      <c r="DJ783" s="251" t="inlineStr">
        <is>
          <t>B</t>
        </is>
      </c>
      <c r="DK783" s="251" t="n">
        <v>22</v>
      </c>
      <c r="DL783" s="95" t="n">
        <v>28</v>
      </c>
      <c r="DM783" s="251" t="n"/>
      <c r="DN783" s="95" t="n"/>
      <c r="DO783" s="95" t="n"/>
    </row>
    <row r="784" ht="13" customHeight="1">
      <c r="A784" s="203" t="inlineStr">
        <is>
          <t>PMA-15</t>
        </is>
      </c>
      <c r="B784" s="305"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2" t="inlineStr">
        <is>
          <t>532MACOPA</t>
        </is>
      </c>
      <c r="BL784" s="61" t="inlineStr">
        <is>
          <t>GMAP-SIGA</t>
        </is>
      </c>
      <c r="BM784" s="251" t="inlineStr">
        <is>
          <t>NF</t>
        </is>
      </c>
      <c r="BN784" s="337" t="inlineStr">
        <is>
          <t>Copaquire</t>
        </is>
      </c>
      <c r="BO784" s="251"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42" t="n">
        <v>1</v>
      </c>
      <c r="CX784" s="105" t="n"/>
      <c r="CY784" s="105" t="n"/>
      <c r="CZ784" s="124">
        <f>+COUNTA(BV784:CY784)</f>
        <v/>
      </c>
      <c r="DA784" s="251" t="n"/>
      <c r="DB784" s="251" t="n"/>
      <c r="DC784" s="251" t="n"/>
      <c r="DD784" s="251" t="n"/>
      <c r="DE784" s="251" t="n"/>
      <c r="DF784" s="251" t="n"/>
      <c r="DG784" s="251" t="n"/>
      <c r="DH784" s="251" t="n"/>
      <c r="DI784" s="251" t="n"/>
      <c r="DJ784" s="251" t="inlineStr">
        <is>
          <t>B</t>
        </is>
      </c>
      <c r="DK784" s="251" t="n">
        <v>22</v>
      </c>
      <c r="DL784" s="95" t="n">
        <v>28</v>
      </c>
      <c r="DM784" s="251" t="n"/>
      <c r="DN784" s="95" t="n"/>
      <c r="DO784" s="95" t="n"/>
    </row>
    <row r="785" ht="13" customHeight="1">
      <c r="A785" s="203" t="inlineStr">
        <is>
          <t>PMA-16</t>
        </is>
      </c>
      <c r="B785" s="305"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2" t="inlineStr">
        <is>
          <t>532MACEU</t>
        </is>
      </c>
      <c r="BL785" s="61" t="inlineStr">
        <is>
          <t>GMAP-SIGA</t>
        </is>
      </c>
      <c r="BM785" s="251" t="inlineStr">
        <is>
          <t>NF</t>
        </is>
      </c>
      <c r="BN785" s="337" t="inlineStr">
        <is>
          <t>Ceusis</t>
        </is>
      </c>
      <c r="BO785" s="251"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42" t="n">
        <v>1</v>
      </c>
      <c r="CV785" s="105" t="n"/>
      <c r="CW785" s="105" t="n"/>
      <c r="CX785" s="105" t="n"/>
      <c r="CY785" s="105" t="n"/>
      <c r="CZ785" s="124">
        <f>+COUNTA(BV785:CY785)</f>
        <v/>
      </c>
      <c r="DA785" s="251" t="n"/>
      <c r="DB785" s="251" t="n"/>
      <c r="DC785" s="251" t="n"/>
      <c r="DD785" s="251" t="n"/>
      <c r="DE785" s="251" t="n"/>
      <c r="DF785" s="251" t="n"/>
      <c r="DG785" s="251" t="n"/>
      <c r="DH785" s="251" t="n"/>
      <c r="DI785" s="251" t="n"/>
      <c r="DJ785" s="251" t="inlineStr">
        <is>
          <t>B</t>
        </is>
      </c>
      <c r="DK785" s="251" t="n">
        <v>22</v>
      </c>
      <c r="DL785" s="95" t="n">
        <v>28</v>
      </c>
      <c r="DM785" s="251" t="n"/>
      <c r="DN785" s="95" t="n"/>
      <c r="DO785" s="95" t="n"/>
    </row>
    <row r="786" ht="13" customHeight="1">
      <c r="A786" s="203" t="inlineStr">
        <is>
          <t>PMA-17</t>
        </is>
      </c>
      <c r="B786" s="305"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2" t="inlineStr">
        <is>
          <t>532WLPMA-17</t>
        </is>
      </c>
      <c r="BL786" s="61" t="inlineStr">
        <is>
          <t>GMAP-SIGA</t>
        </is>
      </c>
      <c r="BM786" s="251" t="inlineStr">
        <is>
          <t>NF</t>
        </is>
      </c>
      <c r="BN786" s="337" t="inlineStr">
        <is>
          <t>Mal paso</t>
        </is>
      </c>
      <c r="BO786" s="251" t="inlineStr">
        <is>
          <t>NO</t>
        </is>
      </c>
      <c r="BP786" s="106" t="inlineStr">
        <is>
          <t>PMA-17 MAL PASO/NF</t>
        </is>
      </c>
      <c r="BQ786" s="106">
        <f>VLOOKUP(BP786,[1]AGUA!$1:$1048576,2,FALSE)</f>
        <v/>
      </c>
      <c r="BR786" s="106">
        <f>VLOOKUP(BP786,[1]AGUA!$1:$1048576,6,FALSE)</f>
        <v/>
      </c>
      <c r="BS786" s="106">
        <f>VLOOKUP(BP786,[1]AGUA!$1:$1048576,7,FALSE)</f>
        <v/>
      </c>
      <c r="BT786" s="106" t="n"/>
      <c r="BU786" s="101" t="n"/>
      <c r="BV786" s="105" t="n"/>
      <c r="BW786" s="105" t="n"/>
      <c r="BX786" s="105" t="n"/>
      <c r="BY786" s="105" t="n"/>
      <c r="BZ786" s="105" t="n"/>
      <c r="CA786" s="105" t="n"/>
      <c r="CB786" s="105" t="n"/>
      <c r="CC786" s="105" t="n"/>
      <c r="CD786" s="105" t="n"/>
      <c r="CE786" s="105" t="n"/>
      <c r="CF786" s="105" t="n"/>
      <c r="CG786" s="105" t="n"/>
      <c r="CH786" s="105" t="n"/>
      <c r="CI786" s="105" t="n"/>
      <c r="CJ786" s="105" t="n"/>
      <c r="CK786" s="105" t="n"/>
      <c r="CL786" s="105" t="n"/>
      <c r="CM786" s="105" t="n"/>
      <c r="CN786" s="105" t="n"/>
      <c r="CO786" s="105" t="n"/>
      <c r="CP786" s="105" t="n"/>
      <c r="CQ786" s="105" t="n"/>
      <c r="CR786" s="105" t="n"/>
      <c r="CS786" s="105" t="n"/>
      <c r="CT786" s="142" t="n">
        <v>1</v>
      </c>
      <c r="CU786" s="105" t="n"/>
      <c r="CV786" s="105" t="n"/>
      <c r="CW786" s="105" t="n"/>
      <c r="CX786" s="105" t="n"/>
      <c r="CY786" s="105" t="n"/>
      <c r="CZ786" s="124">
        <f>+COUNTA(BV786:CY786)</f>
        <v/>
      </c>
      <c r="DA786" s="251" t="n"/>
      <c r="DB786" s="251" t="n"/>
      <c r="DC786" s="251" t="n"/>
      <c r="DD786" s="251" t="n"/>
      <c r="DE786" s="251" t="n"/>
      <c r="DF786" s="251" t="n"/>
      <c r="DG786" s="251" t="n"/>
      <c r="DH786" s="251" t="n"/>
      <c r="DI786" s="251" t="n"/>
      <c r="DJ786" s="251" t="inlineStr">
        <is>
          <t>B</t>
        </is>
      </c>
      <c r="DK786" s="251" t="n">
        <v>22</v>
      </c>
      <c r="DL786" s="95" t="n">
        <v>28</v>
      </c>
      <c r="DM786" s="251" t="n"/>
      <c r="DN786" s="95" t="n"/>
      <c r="DO786" s="95" t="n"/>
    </row>
    <row r="787" ht="13" customHeight="1">
      <c r="A787" s="203" t="inlineStr">
        <is>
          <t>PMI-01</t>
        </is>
      </c>
      <c r="B787" s="305" t="inlineStr">
        <is>
          <t>PMI-01 MICHINCHA</t>
        </is>
      </c>
      <c r="C787" s="251"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1" t="inlineStr">
        <is>
          <t>532MAPMI</t>
        </is>
      </c>
      <c r="BL787" s="7" t="inlineStr">
        <is>
          <t>GTAM/GGAYC</t>
        </is>
      </c>
      <c r="BM787" s="251" t="inlineStr">
        <is>
          <t>NF</t>
        </is>
      </c>
      <c r="BN787" s="337" t="inlineStr">
        <is>
          <t>Michincha</t>
        </is>
      </c>
      <c r="BO787" s="251"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V787" s="105" t="n"/>
      <c r="BW787" s="105" t="n"/>
      <c r="BX787" s="142" t="n">
        <v>1</v>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24">
        <f>+COUNTA(BW787:CY787)</f>
        <v/>
      </c>
      <c r="DA787" s="251" t="n"/>
      <c r="DB787" s="251" t="n"/>
      <c r="DC787" s="251" t="n"/>
      <c r="DD787" s="251" t="n"/>
      <c r="DE787" s="251" t="n"/>
      <c r="DF787" s="251" t="n"/>
      <c r="DG787" s="251" t="n"/>
      <c r="DH787" s="251" t="n"/>
      <c r="DI787" s="251" t="n"/>
      <c r="DJ787" s="251" t="inlineStr">
        <is>
          <t>M</t>
        </is>
      </c>
      <c r="DK787" s="251" t="n">
        <v>1</v>
      </c>
      <c r="DL787" s="95" t="n">
        <v>7</v>
      </c>
      <c r="DM787" s="251" t="n"/>
      <c r="DN787" s="95" t="n"/>
      <c r="DO787" s="95" t="n"/>
    </row>
    <row r="788" ht="13" customHeight="1">
      <c r="A788" s="203" t="inlineStr">
        <is>
          <t>PMI-01</t>
        </is>
      </c>
      <c r="B788" s="376" t="n"/>
      <c r="C788" s="376"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76" t="n"/>
      <c r="BL788" s="7" t="inlineStr">
        <is>
          <t>GTAM</t>
        </is>
      </c>
      <c r="BM788" s="251" t="inlineStr">
        <is>
          <t>ASUB</t>
        </is>
      </c>
      <c r="BN788" s="337" t="inlineStr">
        <is>
          <t>Michincha</t>
        </is>
      </c>
      <c r="BO788" s="251"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V788" s="105" t="n"/>
      <c r="BW788" s="105" t="n"/>
      <c r="BX788" s="107" t="n">
        <v>1</v>
      </c>
      <c r="BY788" s="105"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24">
        <f>+COUNTA(BW788:CY788)</f>
        <v/>
      </c>
      <c r="DA788" s="251" t="n"/>
      <c r="DB788" s="251" t="n"/>
      <c r="DC788" s="251" t="n"/>
      <c r="DD788" s="251" t="n"/>
      <c r="DE788" s="251" t="n"/>
      <c r="DF788" s="251" t="n"/>
      <c r="DG788" s="251" t="n"/>
      <c r="DH788" s="251" t="n"/>
      <c r="DI788" s="251" t="n"/>
      <c r="DJ788" s="251" t="n"/>
      <c r="DK788" s="251" t="n"/>
      <c r="DL788" s="95" t="n"/>
      <c r="DM788" s="251" t="inlineStr">
        <is>
          <t>T-A</t>
        </is>
      </c>
      <c r="DN788" s="95" t="n">
        <v>1</v>
      </c>
      <c r="DO788" s="95" t="n">
        <v>7</v>
      </c>
    </row>
    <row r="789" ht="13" customHeight="1">
      <c r="A789" s="203" t="inlineStr">
        <is>
          <t>PMI-02</t>
        </is>
      </c>
      <c r="B789" s="305"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1" t="inlineStr">
        <is>
          <t>532MAPMI</t>
        </is>
      </c>
      <c r="BL789" s="61" t="inlineStr">
        <is>
          <t>GMAP-SIGA</t>
        </is>
      </c>
      <c r="BM789" s="251" t="inlineStr">
        <is>
          <t>NF</t>
        </is>
      </c>
      <c r="BN789" s="337" t="inlineStr">
        <is>
          <t>Tranque</t>
        </is>
      </c>
      <c r="BO789" s="251"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42" t="n">
        <v>1</v>
      </c>
      <c r="CS789" s="105" t="n"/>
      <c r="CT789" s="105" t="n"/>
      <c r="CU789" s="105" t="n"/>
      <c r="CV789" s="105" t="n"/>
      <c r="CW789" s="105" t="n"/>
      <c r="CX789" s="105" t="n"/>
      <c r="CY789" s="105" t="n"/>
      <c r="CZ789" s="124">
        <f>+COUNTA(BV789:CY789)</f>
        <v/>
      </c>
      <c r="DA789" s="251" t="n"/>
      <c r="DB789" s="251" t="n"/>
      <c r="DC789" s="251" t="n"/>
      <c r="DD789" s="251" t="n"/>
      <c r="DE789" s="251" t="n"/>
      <c r="DF789" s="251" t="n"/>
      <c r="DG789" s="251" t="n"/>
      <c r="DH789" s="251" t="n"/>
      <c r="DI789" s="251" t="n"/>
      <c r="DJ789" s="251" t="inlineStr">
        <is>
          <t>T</t>
        </is>
      </c>
      <c r="DK789" s="251" t="n">
        <v>22</v>
      </c>
      <c r="DL789" s="95" t="n">
        <v>28</v>
      </c>
      <c r="DM789" s="251" t="n"/>
      <c r="DN789" s="95" t="n"/>
      <c r="DO789" s="95" t="n"/>
    </row>
    <row r="790" ht="13" customHeight="1">
      <c r="A790" s="203" t="inlineStr">
        <is>
          <t>PMI-03</t>
        </is>
      </c>
      <c r="B790" s="305"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1" t="inlineStr">
        <is>
          <t>532MAPMI</t>
        </is>
      </c>
      <c r="BL790" s="61" t="inlineStr">
        <is>
          <t>GMAP-SIGA</t>
        </is>
      </c>
      <c r="BM790" s="251" t="inlineStr">
        <is>
          <t>NF</t>
        </is>
      </c>
      <c r="BN790" s="337" t="inlineStr">
        <is>
          <t>Michincha</t>
        </is>
      </c>
      <c r="BO790" s="251"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42" t="n">
        <v>1</v>
      </c>
      <c r="CX790" s="105" t="n"/>
      <c r="CY790" s="105" t="n"/>
      <c r="CZ790" s="124">
        <f>+COUNTA(BV790:CY790)</f>
        <v/>
      </c>
      <c r="DA790" s="251" t="n"/>
      <c r="DB790" s="251" t="n"/>
      <c r="DC790" s="251" t="n"/>
      <c r="DD790" s="251" t="n"/>
      <c r="DE790" s="251" t="n"/>
      <c r="DF790" s="251" t="n"/>
      <c r="DG790" s="251" t="n"/>
      <c r="DH790" s="251" t="n"/>
      <c r="DI790" s="251" t="n"/>
      <c r="DJ790" s="251" t="inlineStr">
        <is>
          <t>B</t>
        </is>
      </c>
      <c r="DK790" s="251" t="n">
        <v>22</v>
      </c>
      <c r="DL790" s="95" t="n">
        <v>28</v>
      </c>
      <c r="DM790" s="251" t="n"/>
      <c r="DN790" s="95" t="n"/>
      <c r="DO790" s="95" t="n"/>
    </row>
    <row r="791" ht="13" customHeight="1">
      <c r="A791" s="203" t="inlineStr">
        <is>
          <t>PMI-04</t>
        </is>
      </c>
      <c r="B791" s="305"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1" t="inlineStr">
        <is>
          <t>532MAPMI</t>
        </is>
      </c>
      <c r="BL791" s="61" t="inlineStr">
        <is>
          <t>GMAP-SIGA</t>
        </is>
      </c>
      <c r="BM791" s="251" t="inlineStr">
        <is>
          <t>NF</t>
        </is>
      </c>
      <c r="BN791" s="337" t="inlineStr">
        <is>
          <t>Michincha</t>
        </is>
      </c>
      <c r="BO791" s="251"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42" t="n">
        <v>1</v>
      </c>
      <c r="CX791" s="105" t="n"/>
      <c r="CY791" s="105" t="n"/>
      <c r="CZ791" s="124">
        <f>+COUNTA(BV791:CY791)</f>
        <v/>
      </c>
      <c r="DA791" s="251" t="n"/>
      <c r="DB791" s="251" t="n"/>
      <c r="DC791" s="251" t="n"/>
      <c r="DD791" s="251" t="n"/>
      <c r="DE791" s="251" t="n"/>
      <c r="DF791" s="251" t="n"/>
      <c r="DG791" s="251" t="n"/>
      <c r="DH791" s="105" t="n"/>
      <c r="DI791" s="251" t="n"/>
      <c r="DJ791" s="251" t="inlineStr">
        <is>
          <t>B</t>
        </is>
      </c>
      <c r="DK791" s="251" t="n">
        <v>22</v>
      </c>
      <c r="DL791" s="95" t="n">
        <v>28</v>
      </c>
      <c r="DM791" s="251" t="n"/>
      <c r="DN791" s="95" t="n"/>
      <c r="DO791" s="95" t="n"/>
    </row>
    <row r="792" ht="13" customHeight="1">
      <c r="A792" s="203" t="inlineStr">
        <is>
          <t>PMI-05</t>
        </is>
      </c>
      <c r="B792" s="305"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1" t="inlineStr">
        <is>
          <t>532MAPMI</t>
        </is>
      </c>
      <c r="BL792" s="61" t="inlineStr">
        <is>
          <t>GMAP-SIGA</t>
        </is>
      </c>
      <c r="BM792" s="251" t="inlineStr">
        <is>
          <t>NF</t>
        </is>
      </c>
      <c r="BN792" s="337" t="inlineStr">
        <is>
          <t>Michincha</t>
        </is>
      </c>
      <c r="BO792" s="251"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42" t="n">
        <v>1</v>
      </c>
      <c r="CX792" s="105" t="n"/>
      <c r="CY792" s="105" t="n"/>
      <c r="CZ792" s="124">
        <f>+COUNTA(BV792:CY792)</f>
        <v/>
      </c>
      <c r="DA792" s="251" t="n"/>
      <c r="DB792" s="251" t="n"/>
      <c r="DC792" s="251" t="n"/>
      <c r="DD792" s="251" t="n"/>
      <c r="DE792" s="251" t="n"/>
      <c r="DF792" s="251" t="n"/>
      <c r="DG792" s="251" t="n"/>
      <c r="DH792" s="251" t="n"/>
      <c r="DI792" s="251" t="n"/>
      <c r="DJ792" s="251" t="inlineStr">
        <is>
          <t>B</t>
        </is>
      </c>
      <c r="DK792" s="251" t="n">
        <v>22</v>
      </c>
      <c r="DL792" s="95" t="n">
        <v>28</v>
      </c>
      <c r="DM792" s="251" t="n"/>
      <c r="DN792" s="95" t="n"/>
      <c r="DO792" s="95" t="n"/>
    </row>
    <row r="793" ht="13" customHeight="1">
      <c r="A793" s="203" t="inlineStr">
        <is>
          <t>PMI-06</t>
        </is>
      </c>
      <c r="B793" s="305" t="inlineStr">
        <is>
          <t>PMI-06 TRANQUE</t>
        </is>
      </c>
      <c r="C793" s="251"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1" t="inlineStr">
        <is>
          <t>532MAPMI</t>
        </is>
      </c>
      <c r="BL793" s="7" t="inlineStr">
        <is>
          <t>GMAP-SIGA</t>
        </is>
      </c>
      <c r="BM793" s="251" t="inlineStr">
        <is>
          <t>NF</t>
        </is>
      </c>
      <c r="BN793" s="337" t="inlineStr">
        <is>
          <t>Tranque</t>
        </is>
      </c>
      <c r="BO793" s="251"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42" t="n">
        <v>1</v>
      </c>
      <c r="CS793" s="105" t="n"/>
      <c r="CT793" s="105" t="n"/>
      <c r="CU793" s="105" t="n"/>
      <c r="CV793" s="105" t="n"/>
      <c r="CW793" s="105" t="n"/>
      <c r="CX793" s="105" t="n"/>
      <c r="CY793" s="105" t="n"/>
      <c r="CZ793" s="124">
        <f>+COUNTA(BV793:CY793)</f>
        <v/>
      </c>
      <c r="DA793" s="251" t="n"/>
      <c r="DB793" s="251" t="n"/>
      <c r="DC793" s="251" t="n"/>
      <c r="DD793" s="251" t="n"/>
      <c r="DE793" s="251" t="n"/>
      <c r="DF793" s="251" t="n"/>
      <c r="DG793" s="251" t="n"/>
      <c r="DH793" s="251" t="n"/>
      <c r="DI793" s="251" t="n"/>
      <c r="DJ793" s="251" t="inlineStr">
        <is>
          <t>M</t>
        </is>
      </c>
      <c r="DK793" s="251" t="n">
        <v>22</v>
      </c>
      <c r="DL793" s="95" t="n">
        <v>28</v>
      </c>
      <c r="DM793" s="251" t="n"/>
      <c r="DN793" s="95" t="n"/>
      <c r="DO793" s="95" t="n"/>
    </row>
    <row r="794" ht="13" customHeight="1">
      <c r="A794" s="203" t="inlineStr">
        <is>
          <t>PMI-06</t>
        </is>
      </c>
      <c r="B794" s="376" t="n"/>
      <c r="C794" s="376"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76" t="n"/>
      <c r="BL794" s="7" t="inlineStr">
        <is>
          <t>GMAP-SIGA</t>
        </is>
      </c>
      <c r="BM794" s="251" t="inlineStr">
        <is>
          <t>ASUB</t>
        </is>
      </c>
      <c r="BN794" s="337" t="inlineStr">
        <is>
          <t>Tranque</t>
        </is>
      </c>
      <c r="BO794" s="251"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7" t="n">
        <v>1</v>
      </c>
      <c r="CS794" s="105" t="n"/>
      <c r="CT794" s="105" t="n"/>
      <c r="CU794" s="105" t="n"/>
      <c r="CV794" s="105" t="n"/>
      <c r="CW794" s="105" t="n"/>
      <c r="CX794" s="105" t="n"/>
      <c r="CY794" s="105" t="n"/>
      <c r="CZ794" s="124">
        <f>+COUNTA(BV794:CY794)</f>
        <v/>
      </c>
      <c r="DA794" s="251" t="n"/>
      <c r="DB794" s="251" t="n"/>
      <c r="DC794" s="251" t="n"/>
      <c r="DD794" s="251" t="n"/>
      <c r="DE794" s="251" t="n"/>
      <c r="DF794" s="251" t="n"/>
      <c r="DG794" s="251" t="n"/>
      <c r="DH794" s="251" t="n"/>
      <c r="DI794" s="251" t="n"/>
      <c r="DJ794" s="251" t="n"/>
      <c r="DK794" s="251" t="n"/>
      <c r="DL794" s="95" t="n"/>
      <c r="DM794" s="251" t="inlineStr">
        <is>
          <t>T</t>
        </is>
      </c>
      <c r="DN794" s="95" t="n">
        <v>22</v>
      </c>
      <c r="DO794" s="95" t="n">
        <v>28</v>
      </c>
    </row>
    <row r="795" ht="13" customHeight="1">
      <c r="A795" s="203" t="inlineStr">
        <is>
          <t>PMI-07</t>
        </is>
      </c>
      <c r="B795" s="305" t="inlineStr">
        <is>
          <t>PMI-07 TRANQUE</t>
        </is>
      </c>
      <c r="C795" s="251"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1" t="inlineStr">
        <is>
          <t>532MAPMI</t>
        </is>
      </c>
      <c r="BL795" s="7" t="inlineStr">
        <is>
          <t>GMAP-SIGA</t>
        </is>
      </c>
      <c r="BM795" s="251" t="inlineStr">
        <is>
          <t>NF</t>
        </is>
      </c>
      <c r="BN795" s="337" t="inlineStr">
        <is>
          <t>Tranque</t>
        </is>
      </c>
      <c r="BO795" s="251"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42" t="n">
        <v>1</v>
      </c>
      <c r="CS795" s="105" t="n"/>
      <c r="CT795" s="105" t="n"/>
      <c r="CU795" s="105" t="n"/>
      <c r="CV795" s="105" t="n"/>
      <c r="CW795" s="105" t="n"/>
      <c r="CX795" s="105" t="n"/>
      <c r="CY795" s="105" t="n"/>
      <c r="CZ795" s="124">
        <f>+COUNTA(BV795:CY795)</f>
        <v/>
      </c>
      <c r="DA795" s="251" t="n"/>
      <c r="DB795" s="251" t="n"/>
      <c r="DC795" s="251" t="n"/>
      <c r="DD795" s="251" t="n"/>
      <c r="DE795" s="251" t="n"/>
      <c r="DF795" s="251" t="n"/>
      <c r="DG795" s="251" t="n"/>
      <c r="DH795" s="251" t="n"/>
      <c r="DI795" s="251" t="n"/>
      <c r="DJ795" s="251" t="inlineStr">
        <is>
          <t>M</t>
        </is>
      </c>
      <c r="DK795" s="251" t="n">
        <v>22</v>
      </c>
      <c r="DL795" s="95" t="n">
        <v>28</v>
      </c>
      <c r="DM795" s="251" t="n"/>
      <c r="DN795" s="95" t="n"/>
      <c r="DO795" s="95" t="n"/>
    </row>
    <row r="796" ht="13" customHeight="1">
      <c r="A796" s="203" t="inlineStr">
        <is>
          <t>PMI-07</t>
        </is>
      </c>
      <c r="B796" s="376" t="n"/>
      <c r="C796" s="376"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76" t="n"/>
      <c r="BL796" s="7" t="inlineStr">
        <is>
          <t>GMAP-SIGA</t>
        </is>
      </c>
      <c r="BM796" s="251" t="inlineStr">
        <is>
          <t>ASUB</t>
        </is>
      </c>
      <c r="BN796" s="337" t="inlineStr">
        <is>
          <t>Tranque</t>
        </is>
      </c>
      <c r="BO796" s="251"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7" t="n">
        <v>1</v>
      </c>
      <c r="CS796" s="105" t="n"/>
      <c r="CT796" s="105" t="n"/>
      <c r="CU796" s="105" t="n"/>
      <c r="CV796" s="105" t="n"/>
      <c r="CW796" s="105" t="n"/>
      <c r="CX796" s="105" t="n"/>
      <c r="CY796" s="105" t="n"/>
      <c r="CZ796" s="124">
        <f>+COUNTA(BV796:CY796)</f>
        <v/>
      </c>
      <c r="DA796" s="251" t="n"/>
      <c r="DB796" s="251" t="n"/>
      <c r="DC796" s="251" t="n"/>
      <c r="DD796" s="251" t="n"/>
      <c r="DE796" s="251" t="n"/>
      <c r="DF796" s="251" t="n"/>
      <c r="DG796" s="251" t="n"/>
      <c r="DH796" s="251" t="n"/>
      <c r="DI796" s="251" t="n"/>
      <c r="DJ796" s="251" t="n"/>
      <c r="DK796" s="251" t="n"/>
      <c r="DL796" s="95" t="n"/>
      <c r="DM796" s="251" t="inlineStr">
        <is>
          <t>T</t>
        </is>
      </c>
      <c r="DN796" s="95" t="n">
        <v>22</v>
      </c>
      <c r="DO796" s="95" t="n">
        <v>28</v>
      </c>
    </row>
    <row r="797" ht="13" customHeight="1">
      <c r="A797" s="203" t="inlineStr">
        <is>
          <t>PMI-08</t>
        </is>
      </c>
      <c r="B797" s="305" t="inlineStr">
        <is>
          <t>PMI-08 TRANQUE</t>
        </is>
      </c>
      <c r="C797" s="251"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1" t="inlineStr">
        <is>
          <t>532MAPMI</t>
        </is>
      </c>
      <c r="BL797" s="7" t="inlineStr">
        <is>
          <t>GMAP-SIGA</t>
        </is>
      </c>
      <c r="BM797" s="251" t="inlineStr">
        <is>
          <t>NF</t>
        </is>
      </c>
      <c r="BN797" s="337" t="inlineStr">
        <is>
          <t>Tranque</t>
        </is>
      </c>
      <c r="BO797" s="251"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05" t="n"/>
      <c r="CB797" s="142" t="n">
        <v>1</v>
      </c>
      <c r="CC797" s="105" t="n"/>
      <c r="CD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24">
        <f>+COUNTA(BV797:CY797)</f>
        <v/>
      </c>
      <c r="DA797" s="251" t="n"/>
      <c r="DB797" s="251" t="n"/>
      <c r="DC797" s="251" t="n"/>
      <c r="DD797" s="251" t="n"/>
      <c r="DE797" s="251" t="n"/>
      <c r="DF797" s="251" t="n"/>
      <c r="DG797" s="251" t="n"/>
      <c r="DH797" s="251" t="n"/>
      <c r="DI797" s="251" t="n"/>
      <c r="DJ797" s="251" t="inlineStr">
        <is>
          <t>M</t>
        </is>
      </c>
      <c r="DK797" s="251" t="n">
        <v>8</v>
      </c>
      <c r="DL797" s="95" t="n">
        <v>14</v>
      </c>
      <c r="DM797" s="251" t="n"/>
      <c r="DN797" s="95" t="n"/>
      <c r="DO797" s="95" t="n"/>
    </row>
    <row r="798" ht="13" customHeight="1">
      <c r="A798" s="203" t="inlineStr">
        <is>
          <t>PMI-08</t>
        </is>
      </c>
      <c r="B798" s="376" t="n"/>
      <c r="C798" s="376"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76" t="n"/>
      <c r="BL798" s="7" t="inlineStr">
        <is>
          <t>GMAP-SIGA</t>
        </is>
      </c>
      <c r="BM798" s="251" t="inlineStr">
        <is>
          <t>ASUB</t>
        </is>
      </c>
      <c r="BN798" s="337" t="inlineStr">
        <is>
          <t>Tranque</t>
        </is>
      </c>
      <c r="BO798" s="251"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5" t="n"/>
      <c r="BY798" s="105" t="n"/>
      <c r="BZ798" s="105" t="n"/>
      <c r="CA798" s="105" t="n"/>
      <c r="CB798" s="107" t="n">
        <v>1</v>
      </c>
      <c r="CC798" s="105" t="n"/>
      <c r="CD798" s="105" t="n"/>
      <c r="CF798" s="105" t="n"/>
      <c r="CG798" s="105" t="n"/>
      <c r="CH798" s="105"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24">
        <f>+COUNTA(BV798:CY798)</f>
        <v/>
      </c>
      <c r="DA798" s="251" t="n"/>
      <c r="DB798" s="251" t="n"/>
      <c r="DC798" s="251" t="n"/>
      <c r="DD798" s="251" t="n"/>
      <c r="DE798" s="251" t="n"/>
      <c r="DF798" s="251" t="n"/>
      <c r="DG798" s="251" t="n"/>
      <c r="DH798" s="251" t="n"/>
      <c r="DI798" s="251" t="n"/>
      <c r="DJ798" s="251" t="n"/>
      <c r="DK798" s="251" t="n"/>
      <c r="DL798" s="95" t="n"/>
      <c r="DM798" s="251" t="inlineStr">
        <is>
          <t>M</t>
        </is>
      </c>
      <c r="DN798" s="95" t="n">
        <v>8</v>
      </c>
      <c r="DO798" s="95" t="n">
        <v>14</v>
      </c>
    </row>
    <row r="799" ht="13" customHeight="1">
      <c r="A799" s="203" t="inlineStr">
        <is>
          <t>PMI-09A</t>
        </is>
      </c>
      <c r="B799" s="305" t="inlineStr">
        <is>
          <t>PMI-09A FALLA PABELLON</t>
        </is>
      </c>
      <c r="C799" s="251"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1" t="inlineStr">
        <is>
          <t>532MAPMI</t>
        </is>
      </c>
      <c r="BL799" s="7" t="inlineStr">
        <is>
          <t>GMAP-SIGA</t>
        </is>
      </c>
      <c r="BM799" s="251" t="inlineStr">
        <is>
          <t>NF</t>
        </is>
      </c>
      <c r="BN799" s="106" t="inlineStr">
        <is>
          <t>Falla Pabellón</t>
        </is>
      </c>
      <c r="BO799" s="251"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05" t="n"/>
      <c r="CB799" s="142" t="n">
        <v>1</v>
      </c>
      <c r="CC799" s="105" t="n"/>
      <c r="CD799" s="105" t="n"/>
      <c r="CF799" s="105" t="n"/>
      <c r="CG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24">
        <f>+COUNTA(BV799:CY799)</f>
        <v/>
      </c>
      <c r="DA799" s="251" t="n"/>
      <c r="DB799" s="251" t="n"/>
      <c r="DC799" s="251" t="n"/>
      <c r="DD799" s="251" t="n"/>
      <c r="DE799" s="251" t="n"/>
      <c r="DF799" s="251" t="n"/>
      <c r="DG799" s="251" t="n"/>
      <c r="DH799" s="251" t="n"/>
      <c r="DI799" s="251" t="n"/>
      <c r="DJ799" s="251" t="inlineStr">
        <is>
          <t>M</t>
        </is>
      </c>
      <c r="DK799" s="251" t="n">
        <v>8</v>
      </c>
      <c r="DL799" s="95" t="n">
        <v>14</v>
      </c>
      <c r="DM799" s="251" t="n"/>
      <c r="DN799" s="95" t="n"/>
      <c r="DO799" s="95" t="n"/>
    </row>
    <row r="800" ht="13" customHeight="1">
      <c r="A800" s="203" t="inlineStr">
        <is>
          <t>PMI-09A</t>
        </is>
      </c>
      <c r="B800" s="376" t="n"/>
      <c r="C800" s="376"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76" t="n"/>
      <c r="BL800" s="7" t="inlineStr">
        <is>
          <t>GMAP-SIGA</t>
        </is>
      </c>
      <c r="BM800" s="251" t="inlineStr">
        <is>
          <t>ASUB</t>
        </is>
      </c>
      <c r="BN800" s="106" t="inlineStr">
        <is>
          <t>Falla Pabellón</t>
        </is>
      </c>
      <c r="BO800" s="251"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5" t="n"/>
      <c r="BY800" s="105" t="n"/>
      <c r="BZ800" s="105" t="n"/>
      <c r="CA800" s="105" t="n"/>
      <c r="CB800" s="107" t="n">
        <v>1</v>
      </c>
      <c r="CC800" s="105" t="n"/>
      <c r="CD800" s="105" t="n"/>
      <c r="CF800" s="105" t="n"/>
      <c r="CG800" s="105" t="n"/>
      <c r="CH800" s="105"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24">
        <f>+COUNTA(BV800:CY800)</f>
        <v/>
      </c>
      <c r="DA800" s="251" t="n"/>
      <c r="DB800" s="251" t="n"/>
      <c r="DC800" s="251" t="n"/>
      <c r="DD800" s="251" t="n"/>
      <c r="DE800" s="251" t="n"/>
      <c r="DF800" s="251" t="n"/>
      <c r="DG800" s="251" t="n"/>
      <c r="DH800" s="251" t="n"/>
      <c r="DI800" s="251" t="n"/>
      <c r="DJ800" s="251" t="n"/>
      <c r="DK800" s="251" t="n"/>
      <c r="DL800" s="95" t="n"/>
      <c r="DM800" s="251" t="inlineStr">
        <is>
          <t>M</t>
        </is>
      </c>
      <c r="DN800" s="95" t="n">
        <v>8</v>
      </c>
      <c r="DO800" s="95" t="n">
        <v>14</v>
      </c>
    </row>
    <row r="801" ht="13" customHeight="1">
      <c r="A801" s="203" t="inlineStr">
        <is>
          <t>POP-02</t>
        </is>
      </c>
      <c r="B801" s="305"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2" t="inlineStr">
        <is>
          <t>532MAPOP02</t>
        </is>
      </c>
      <c r="BL801" s="61" t="inlineStr">
        <is>
          <t>GMAP-SIGA</t>
        </is>
      </c>
      <c r="BM801" s="251" t="inlineStr">
        <is>
          <t>NF</t>
        </is>
      </c>
      <c r="BN801" s="337" t="inlineStr">
        <is>
          <t>Coposa Centro</t>
        </is>
      </c>
      <c r="BO801" s="251"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05" t="n"/>
      <c r="CX801" s="105" t="n"/>
      <c r="CY801" s="105" t="n"/>
      <c r="CZ801" s="124">
        <f>+COUNTA(BV801:CY801)</f>
        <v/>
      </c>
      <c r="DA801" s="251" t="n"/>
      <c r="DB801" s="251" t="n"/>
      <c r="DC801" s="251" t="n"/>
      <c r="DD801" s="251" t="n"/>
      <c r="DE801" s="251" t="n"/>
      <c r="DF801" s="251" t="n"/>
      <c r="DG801" s="251" t="n"/>
      <c r="DH801" s="251" t="n"/>
      <c r="DI801" s="251" t="n"/>
      <c r="DJ801" s="251" t="inlineStr">
        <is>
          <t>M</t>
        </is>
      </c>
      <c r="DK801" s="251" t="n">
        <v>22</v>
      </c>
      <c r="DL801" s="95" t="n">
        <v>28</v>
      </c>
      <c r="DM801" s="251" t="n"/>
      <c r="DN801" s="95" t="n"/>
      <c r="DO801" s="95" t="n"/>
    </row>
    <row r="802" ht="13.5" customHeight="1">
      <c r="A802" s="203" t="inlineStr">
        <is>
          <t>POPC-01</t>
        </is>
      </c>
      <c r="B802" s="305"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1" t="inlineStr">
        <is>
          <t>536ZP001</t>
        </is>
      </c>
      <c r="BL802" s="61" t="inlineStr">
        <is>
          <t>GMAP-SIGA</t>
        </is>
      </c>
      <c r="BM802" s="251" t="inlineStr">
        <is>
          <t>NF</t>
        </is>
      </c>
      <c r="BN802" s="337" t="inlineStr">
        <is>
          <t>Coposa Norte</t>
        </is>
      </c>
      <c r="BO802" s="251"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05" t="n"/>
      <c r="CD802" s="105" t="n"/>
      <c r="CE802" s="105" t="n"/>
      <c r="CF802" s="105" t="n"/>
      <c r="CG802" s="105" t="n"/>
      <c r="CH802" s="105" t="n"/>
      <c r="CI802" s="105" t="n"/>
      <c r="CJ802" s="105" t="n"/>
      <c r="CK802" s="105" t="n"/>
      <c r="CL802" s="105" t="n"/>
      <c r="CM802" s="105" t="n"/>
      <c r="CN802" s="105" t="n"/>
      <c r="CO802" s="105" t="n"/>
      <c r="CP802" s="105" t="n"/>
      <c r="CQ802" s="105" t="n"/>
      <c r="CR802" s="105" t="n"/>
      <c r="CS802" s="105" t="n"/>
      <c r="CT802" s="105" t="n"/>
      <c r="CU802" s="105" t="n"/>
      <c r="CV802" s="105" t="n"/>
      <c r="CW802" s="105" t="n"/>
      <c r="CX802" s="105" t="n"/>
      <c r="CY802" s="105" t="n"/>
      <c r="CZ802" s="124">
        <f>+COUNTA(BV802:CY802)</f>
        <v/>
      </c>
      <c r="DA802" s="251" t="n"/>
      <c r="DB802" s="251" t="n"/>
      <c r="DC802" s="251" t="n"/>
      <c r="DD802" s="251" t="n"/>
      <c r="DE802" s="251" t="n"/>
      <c r="DF802" s="251" t="n"/>
      <c r="DG802" s="251" t="n"/>
      <c r="DH802" s="251" t="n"/>
      <c r="DI802" s="251" t="n"/>
      <c r="DJ802" s="251" t="inlineStr">
        <is>
          <t>M</t>
        </is>
      </c>
      <c r="DK802" s="251" t="n">
        <v>8</v>
      </c>
      <c r="DL802" s="95" t="n">
        <v>14</v>
      </c>
      <c r="DM802" s="251" t="n"/>
      <c r="DN802" s="95" t="n"/>
      <c r="DO802" s="95" t="n"/>
    </row>
    <row r="803" ht="13" customHeight="1">
      <c r="A803" s="203" t="inlineStr">
        <is>
          <t>POPC-02</t>
        </is>
      </c>
      <c r="B803" s="305"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1" t="inlineStr">
        <is>
          <t>536ZP001</t>
        </is>
      </c>
      <c r="BL803" s="61" t="inlineStr">
        <is>
          <t>GMAP-SIGA</t>
        </is>
      </c>
      <c r="BM803" s="251" t="inlineStr">
        <is>
          <t>NF</t>
        </is>
      </c>
      <c r="BN803" s="337" t="inlineStr">
        <is>
          <t>Coposa Norte</t>
        </is>
      </c>
      <c r="BO803" s="251"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05" t="n"/>
      <c r="CD803" s="105" t="n"/>
      <c r="CE803" s="105" t="n"/>
      <c r="CF803" s="105" t="n"/>
      <c r="CG803" s="105" t="n"/>
      <c r="CH803" s="105" t="n"/>
      <c r="CI803" s="105" t="n"/>
      <c r="CJ803" s="105" t="n"/>
      <c r="CK803" s="105" t="n"/>
      <c r="CL803" s="105" t="n"/>
      <c r="CM803" s="105" t="n"/>
      <c r="CN803" s="105" t="n"/>
      <c r="CO803" s="105" t="n"/>
      <c r="CP803" s="105" t="n"/>
      <c r="CQ803" s="105" t="n"/>
      <c r="CR803" s="105" t="n"/>
      <c r="CS803" s="105" t="n"/>
      <c r="CT803" s="105" t="n"/>
      <c r="CU803" s="105" t="n"/>
      <c r="CV803" s="105" t="n"/>
      <c r="CW803" s="105" t="n"/>
      <c r="CX803" s="105" t="n"/>
      <c r="CY803" s="105" t="n"/>
      <c r="CZ803" s="124">
        <f>+COUNTA(BV803:CY803)</f>
        <v/>
      </c>
      <c r="DA803" s="251" t="n"/>
      <c r="DB803" s="251" t="n"/>
      <c r="DC803" s="251" t="n"/>
      <c r="DD803" s="251" t="n"/>
      <c r="DE803" s="251" t="n"/>
      <c r="DF803" s="251" t="n"/>
      <c r="DG803" s="251" t="n"/>
      <c r="DH803" s="251" t="n"/>
      <c r="DI803" s="251" t="n"/>
      <c r="DJ803" s="251" t="inlineStr">
        <is>
          <t>M</t>
        </is>
      </c>
      <c r="DK803" s="251" t="n">
        <v>8</v>
      </c>
      <c r="DL803" s="95" t="n">
        <v>14</v>
      </c>
      <c r="DM803" s="251" t="n"/>
      <c r="DN803" s="95" t="n"/>
      <c r="DO803" s="95" t="n"/>
    </row>
    <row r="804" ht="13" customHeight="1">
      <c r="A804" s="203" t="inlineStr">
        <is>
          <t>POS-01</t>
        </is>
      </c>
      <c r="B804" s="305"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1" t="inlineStr">
        <is>
          <t>532MAPOS</t>
        </is>
      </c>
      <c r="BL804" s="61" t="inlineStr">
        <is>
          <t>GMAP-SIGA</t>
        </is>
      </c>
      <c r="BM804" s="251" t="inlineStr">
        <is>
          <t>NF</t>
        </is>
      </c>
      <c r="BN804" s="337" t="inlineStr">
        <is>
          <t>Coposa Centro</t>
        </is>
      </c>
      <c r="BO804" s="251"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05" t="n"/>
      <c r="CX804" s="105" t="n"/>
      <c r="CY804" s="105" t="n"/>
      <c r="CZ804" s="124">
        <f>+COUNTA(BV804:CY804)</f>
        <v/>
      </c>
      <c r="DA804" s="251" t="n"/>
      <c r="DB804" s="251" t="n"/>
      <c r="DC804" s="251" t="n"/>
      <c r="DD804" s="251" t="n"/>
      <c r="DE804" s="251" t="n"/>
      <c r="DF804" s="251" t="n"/>
      <c r="DG804" s="251" t="n"/>
      <c r="DH804" s="251" t="n"/>
      <c r="DI804" s="251" t="n"/>
      <c r="DJ804" s="251" t="inlineStr">
        <is>
          <t>M</t>
        </is>
      </c>
      <c r="DK804" s="251" t="n">
        <v>22</v>
      </c>
      <c r="DL804" s="95" t="n">
        <v>28</v>
      </c>
      <c r="DM804" s="251" t="n"/>
      <c r="DN804" s="95" t="n"/>
      <c r="DO804" s="95" t="n"/>
    </row>
    <row r="805" ht="13" customHeight="1">
      <c r="A805" s="203" t="inlineStr">
        <is>
          <t>POS-02</t>
        </is>
      </c>
      <c r="B805" s="305"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1" t="inlineStr">
        <is>
          <t>532MAPOS</t>
        </is>
      </c>
      <c r="BL805" s="61" t="inlineStr">
        <is>
          <t>GMAP-SIGA</t>
        </is>
      </c>
      <c r="BM805" s="251" t="inlineStr">
        <is>
          <t>NF</t>
        </is>
      </c>
      <c r="BN805" s="337" t="inlineStr">
        <is>
          <t>Coposa Centro</t>
        </is>
      </c>
      <c r="BO805" s="251"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05" t="n"/>
      <c r="CX805" s="105" t="n"/>
      <c r="CY805" s="105" t="n"/>
      <c r="CZ805" s="124">
        <f>+COUNTA(BV805:CY805)</f>
        <v/>
      </c>
      <c r="DA805" s="251" t="n"/>
      <c r="DB805" s="251" t="n"/>
      <c r="DC805" s="251" t="n"/>
      <c r="DD805" s="251" t="n"/>
      <c r="DE805" s="251" t="n"/>
      <c r="DF805" s="251" t="n"/>
      <c r="DG805" s="251" t="n"/>
      <c r="DH805" s="251" t="n"/>
      <c r="DI805" s="251" t="n"/>
      <c r="DJ805" s="251" t="inlineStr">
        <is>
          <t>M</t>
        </is>
      </c>
      <c r="DK805" s="251" t="n">
        <v>22</v>
      </c>
      <c r="DL805" s="95" t="n">
        <v>28</v>
      </c>
      <c r="DM805" s="251" t="n"/>
      <c r="DN805" s="95" t="n"/>
      <c r="DO805" s="95" t="n"/>
    </row>
    <row r="806" ht="13" customHeight="1">
      <c r="A806" s="203" t="inlineStr">
        <is>
          <t>POS-03</t>
        </is>
      </c>
      <c r="B806" s="305"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1" t="inlineStr">
        <is>
          <t>532MAPOS</t>
        </is>
      </c>
      <c r="BL806" s="61" t="inlineStr">
        <is>
          <t>GMAP-SIGA</t>
        </is>
      </c>
      <c r="BM806" s="251" t="inlineStr">
        <is>
          <t>NF</t>
        </is>
      </c>
      <c r="BN806" s="337" t="inlineStr">
        <is>
          <t>Coposa Centro</t>
        </is>
      </c>
      <c r="BO806" s="251"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05" t="n"/>
      <c r="CX806" s="105" t="n"/>
      <c r="CY806" s="105" t="n"/>
      <c r="CZ806" s="124">
        <f>+COUNTA(BV806:CY806)</f>
        <v/>
      </c>
      <c r="DA806" s="251" t="n"/>
      <c r="DB806" s="251" t="n"/>
      <c r="DC806" s="251" t="n"/>
      <c r="DD806" s="251" t="n"/>
      <c r="DE806" s="251" t="n"/>
      <c r="DF806" s="251" t="n"/>
      <c r="DG806" s="251" t="n"/>
      <c r="DH806" s="251" t="n"/>
      <c r="DI806" s="251" t="n"/>
      <c r="DJ806" s="251" t="inlineStr">
        <is>
          <t>M</t>
        </is>
      </c>
      <c r="DK806" s="251" t="n">
        <v>22</v>
      </c>
      <c r="DL806" s="95" t="n">
        <v>28</v>
      </c>
      <c r="DM806" s="251" t="n"/>
      <c r="DN806" s="95" t="n"/>
      <c r="DO806" s="95" t="n"/>
    </row>
    <row r="807" ht="13" customHeight="1">
      <c r="A807" s="203" t="inlineStr">
        <is>
          <t>PPC-01A</t>
        </is>
      </c>
      <c r="B807" s="305"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2" t="inlineStr">
        <is>
          <t>532MAPPC</t>
        </is>
      </c>
      <c r="BL807" s="61" t="inlineStr">
        <is>
          <t>GMAP-SIGA</t>
        </is>
      </c>
      <c r="BM807" s="251" t="inlineStr">
        <is>
          <t>NF</t>
        </is>
      </c>
      <c r="BN807" s="337" t="inlineStr">
        <is>
          <t>Coposa Norte</t>
        </is>
      </c>
      <c r="BO807" s="168"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05" t="n"/>
      <c r="CG807" s="105" t="n"/>
      <c r="CH807" s="105" t="n"/>
      <c r="CI807" s="105" t="n"/>
      <c r="CJ807" s="105" t="n"/>
      <c r="CK807" s="105" t="n"/>
      <c r="CL807" s="105" t="n"/>
      <c r="CM807" s="142" t="n">
        <v>1</v>
      </c>
      <c r="CN807" s="105" t="n"/>
      <c r="CO807" s="105" t="n"/>
      <c r="CP807" s="105" t="n"/>
      <c r="CQ807" s="105" t="n"/>
      <c r="CR807" s="105" t="n"/>
      <c r="CS807" s="105" t="n"/>
      <c r="CT807" s="105" t="n"/>
      <c r="CU807" s="105" t="n"/>
      <c r="CV807" s="105" t="n"/>
      <c r="CW807" s="105" t="n"/>
      <c r="CX807" s="105" t="n"/>
      <c r="CY807" s="105" t="n"/>
      <c r="CZ807" s="124">
        <f>+COUNTA(BV807:CY807)</f>
        <v/>
      </c>
      <c r="DA807" s="251" t="n"/>
      <c r="DB807" s="251" t="n"/>
      <c r="DC807" s="251" t="n"/>
      <c r="DD807" s="251" t="n"/>
      <c r="DE807" s="251" t="n"/>
      <c r="DF807" s="251" t="n"/>
      <c r="DG807" s="251" t="n"/>
      <c r="DH807" s="251" t="n"/>
      <c r="DI807" s="251" t="n"/>
      <c r="DJ807" s="251" t="inlineStr">
        <is>
          <t>M</t>
        </is>
      </c>
      <c r="DK807" s="251" t="n">
        <v>8</v>
      </c>
      <c r="DL807" s="95" t="n">
        <v>21</v>
      </c>
      <c r="DM807" s="251" t="n"/>
      <c r="DN807" s="95" t="n"/>
      <c r="DO807" s="95" t="n"/>
    </row>
    <row r="808" ht="14.15" customHeight="1">
      <c r="A808" s="203" t="inlineStr">
        <is>
          <t>PPC-02</t>
        </is>
      </c>
      <c r="B808" s="305" t="inlineStr">
        <is>
          <t>PPC-02 COPOSA NORTE</t>
        </is>
      </c>
      <c r="C808" s="251"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2" t="inlineStr">
        <is>
          <t>532MAPPC</t>
        </is>
      </c>
      <c r="BL808" s="7" t="inlineStr">
        <is>
          <t>GTAM</t>
        </is>
      </c>
      <c r="BM808" s="251" t="inlineStr">
        <is>
          <t>NF</t>
        </is>
      </c>
      <c r="BN808" s="337" t="inlineStr">
        <is>
          <t>Coposa Norte</t>
        </is>
      </c>
      <c r="BO808" s="168"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3" t="inlineStr">
        <is>
          <t xml:space="preserve">gtam instruimnentado
Calidad de aguas trimestral </t>
        </is>
      </c>
      <c r="BV808" s="105" t="n"/>
      <c r="BW808" s="105" t="n"/>
      <c r="BX808" s="105" t="n"/>
      <c r="BY808" s="105" t="n"/>
      <c r="BZ808" s="105" t="n"/>
      <c r="CA808" s="105" t="n"/>
      <c r="CB808" s="105" t="n"/>
      <c r="CC808" s="105" t="n"/>
      <c r="CD808" s="105" t="n"/>
      <c r="CE808" s="105" t="n"/>
      <c r="CF808" s="105" t="n"/>
      <c r="CG808" s="105" t="n"/>
      <c r="CH808" s="105" t="n"/>
      <c r="CI808" s="105" t="n"/>
      <c r="CJ808" s="105" t="n"/>
      <c r="CK808" s="105" t="n"/>
      <c r="CL808" s="142" t="n">
        <v>1</v>
      </c>
      <c r="CM808" s="142" t="n">
        <v>1</v>
      </c>
      <c r="CN808" s="105" t="n"/>
      <c r="CO808" s="105" t="n"/>
      <c r="CP808" s="105" t="n"/>
      <c r="CQ808" s="105" t="n"/>
      <c r="CR808" s="105" t="n"/>
      <c r="CS808" s="105" t="n"/>
      <c r="CT808" s="105" t="n"/>
      <c r="CU808" s="105" t="n"/>
      <c r="CV808" s="105" t="n"/>
      <c r="CW808" s="105" t="n"/>
      <c r="CX808" s="105" t="n"/>
      <c r="CY808" s="105" t="n"/>
      <c r="CZ808" s="124">
        <f>+COUNTA(BV808:CY808)</f>
        <v/>
      </c>
      <c r="DA808" s="251" t="n"/>
      <c r="DB808" s="251" t="n"/>
      <c r="DC808" s="251" t="n"/>
      <c r="DD808" s="251" t="n"/>
      <c r="DE808" s="251" t="n"/>
      <c r="DF808" s="251" t="n"/>
      <c r="DG808" s="251" t="n"/>
      <c r="DH808" s="251" t="n"/>
      <c r="DI808" s="251" t="n"/>
      <c r="DJ808" s="251" t="inlineStr">
        <is>
          <t>M</t>
        </is>
      </c>
      <c r="DK808" s="251" t="n">
        <v>8</v>
      </c>
      <c r="DL808" s="95" t="n">
        <v>21</v>
      </c>
      <c r="DM808" s="251" t="n"/>
      <c r="DN808" s="95" t="n"/>
      <c r="DO808" s="95" t="n"/>
    </row>
    <row r="809" ht="13" customHeight="1">
      <c r="A809" s="203" t="inlineStr">
        <is>
          <t>PPC-02</t>
        </is>
      </c>
      <c r="B809" s="376" t="n"/>
      <c r="C809" s="376"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76" t="n"/>
      <c r="BL809" s="7" t="inlineStr">
        <is>
          <t>GTAM</t>
        </is>
      </c>
      <c r="BM809" s="251" t="inlineStr">
        <is>
          <t>ASUB</t>
        </is>
      </c>
      <c r="BN809" s="337" t="inlineStr">
        <is>
          <t>Coposa Norte</t>
        </is>
      </c>
      <c r="BO809" s="168"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77" t="n"/>
      <c r="BV809" s="105" t="n"/>
      <c r="BW809" s="105" t="n"/>
      <c r="BX809" s="105" t="n"/>
      <c r="BY809" s="105" t="n"/>
      <c r="BZ809" s="105" t="n"/>
      <c r="CA809" s="105" t="n"/>
      <c r="CB809" s="105" t="n"/>
      <c r="CC809" s="105" t="n"/>
      <c r="CD809" s="105" t="n"/>
      <c r="CE809" s="105" t="n"/>
      <c r="CF809" s="105" t="n"/>
      <c r="CG809" s="105" t="n"/>
      <c r="CH809" s="105" t="n"/>
      <c r="CI809" s="105" t="n"/>
      <c r="CJ809" s="105" t="n"/>
      <c r="CK809" s="105" t="n"/>
      <c r="CL809" s="107" t="n">
        <v>1</v>
      </c>
      <c r="CM809" s="105" t="n"/>
      <c r="CN809" s="105" t="n"/>
      <c r="CP809" s="105" t="n"/>
      <c r="CQ809" s="105" t="n"/>
      <c r="CR809" s="105" t="n"/>
      <c r="CS809" s="105" t="n"/>
      <c r="CT809" s="105" t="n"/>
      <c r="CU809" s="105" t="n"/>
      <c r="CV809" s="105" t="n"/>
      <c r="CW809" s="105" t="n"/>
      <c r="CX809" s="105" t="n"/>
      <c r="CY809" s="105" t="n"/>
      <c r="CZ809" s="124">
        <f>+COUNTA(BV809:CY809)</f>
        <v/>
      </c>
      <c r="DA809" s="251" t="n"/>
      <c r="DB809" s="251" t="n"/>
      <c r="DC809" s="251" t="n"/>
      <c r="DD809" s="251" t="n"/>
      <c r="DE809" s="251" t="n"/>
      <c r="DF809" s="251" t="n"/>
      <c r="DG809" s="251" t="n"/>
      <c r="DH809" s="251" t="n"/>
      <c r="DI809" s="251" t="n"/>
      <c r="DJ809" s="251" t="n"/>
      <c r="DK809" s="251" t="n"/>
      <c r="DL809" s="95" t="n"/>
      <c r="DM809" s="251" t="inlineStr">
        <is>
          <t>T</t>
        </is>
      </c>
      <c r="DN809" s="95" t="n">
        <v>8</v>
      </c>
      <c r="DO809" s="95" t="n">
        <v>14</v>
      </c>
    </row>
    <row r="810" ht="13" customHeight="1">
      <c r="A810" s="203" t="inlineStr">
        <is>
          <t>PPC-03</t>
        </is>
      </c>
      <c r="B810" s="305" t="inlineStr">
        <is>
          <t>PPC-03 COPOSA SUR</t>
        </is>
      </c>
      <c r="C810" s="251"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1" t="inlineStr">
        <is>
          <t>537PP530</t>
        </is>
      </c>
      <c r="BL810" s="7" t="inlineStr">
        <is>
          <t>GTAM</t>
        </is>
      </c>
      <c r="BM810" s="251" t="inlineStr">
        <is>
          <t>NF</t>
        </is>
      </c>
      <c r="BN810" s="337" t="inlineStr">
        <is>
          <t>Coposa sur</t>
        </is>
      </c>
      <c r="BO810" s="251" t="inlineStr">
        <is>
          <t>SI</t>
        </is>
      </c>
      <c r="BP810" s="106" t="inlineStr">
        <is>
          <t>PPC-03 COPOSA SUR/NF</t>
        </is>
      </c>
      <c r="BQ810" s="106">
        <f>VLOOKUP(BP810,[1]AGUA!$1:$1048576,2,FALSE)</f>
        <v/>
      </c>
      <c r="BR810" s="106">
        <f>VLOOKUP(BP810,[1]AGUA!$1:$1048576,6,FALSE)</f>
        <v/>
      </c>
      <c r="BS810" s="106">
        <f>VLOOKUP(BP810,[1]AGUA!$1:$1048576,7,FALSE)</f>
        <v/>
      </c>
      <c r="BT810" s="106" t="n"/>
      <c r="BU810" s="253" t="inlineStr">
        <is>
          <t>Instrumentalizado</t>
        </is>
      </c>
      <c r="BV810" s="105" t="n"/>
      <c r="BW810" s="105" t="n"/>
      <c r="BX810" s="105" t="n"/>
      <c r="BY810" s="105" t="n"/>
      <c r="BZ810" s="105" t="n"/>
      <c r="CA810" s="105" t="n"/>
      <c r="CB810" s="105" t="n"/>
      <c r="CC810" s="105" t="n"/>
      <c r="CD810" s="105" t="n"/>
      <c r="CE810" s="142" t="n">
        <v>1</v>
      </c>
      <c r="CF810" s="105" t="n"/>
      <c r="CG810" s="105" t="n"/>
      <c r="CH810" s="105" t="n"/>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24">
        <f>+COUNTA(BV810:CY810)</f>
        <v/>
      </c>
      <c r="DA810" s="251" t="n"/>
      <c r="DB810" s="251" t="n"/>
      <c r="DC810" s="251" t="n"/>
      <c r="DD810" s="251" t="n"/>
      <c r="DE810" s="251" t="n"/>
      <c r="DF810" s="251" t="n"/>
      <c r="DG810" s="251" t="n"/>
      <c r="DH810" s="251" t="n"/>
      <c r="DI810" s="251" t="n"/>
      <c r="DJ810" s="251" t="inlineStr">
        <is>
          <t>M</t>
        </is>
      </c>
      <c r="DK810" s="251" t="n">
        <v>8</v>
      </c>
      <c r="DL810" s="95" t="n">
        <v>14</v>
      </c>
      <c r="DM810" s="251" t="n"/>
      <c r="DN810" s="95" t="n"/>
      <c r="DO810" s="95" t="n"/>
    </row>
    <row r="811" ht="13" customHeight="1">
      <c r="A811" s="203" t="inlineStr">
        <is>
          <t>PPC-03</t>
        </is>
      </c>
      <c r="B811" s="376" t="n"/>
      <c r="C811" s="376"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76" t="n"/>
      <c r="BL811" s="7" t="inlineStr">
        <is>
          <t>GTAM</t>
        </is>
      </c>
      <c r="BM811" s="251" t="inlineStr">
        <is>
          <t>ASUB</t>
        </is>
      </c>
      <c r="BN811" s="337" t="inlineStr">
        <is>
          <t>Coposa sur</t>
        </is>
      </c>
      <c r="BO811" s="251" t="inlineStr">
        <is>
          <t>SI</t>
        </is>
      </c>
      <c r="BP811" s="106" t="inlineStr">
        <is>
          <t>PPC-03 COPOSA SUR/ASUB</t>
        </is>
      </c>
      <c r="BQ811" s="106">
        <f>VLOOKUP(BP811,[1]AGUA!$1:$1048576,2,FALSE)</f>
        <v/>
      </c>
      <c r="BR811" s="106">
        <f>VLOOKUP(BP811,[1]AGUA!$1:$1048576,6,FALSE)</f>
        <v/>
      </c>
      <c r="BS811" s="106">
        <f>VLOOKUP(BP811,[1]AGUA!$1:$1048576,7,FALSE)</f>
        <v/>
      </c>
      <c r="BT811" s="106" t="n"/>
      <c r="BU811" s="377" t="n"/>
      <c r="BV811" s="105" t="n"/>
      <c r="BW811" s="105" t="n"/>
      <c r="BX811" s="105" t="n"/>
      <c r="BY811" s="105" t="n"/>
      <c r="BZ811" s="105" t="n"/>
      <c r="CA811" s="105" t="n"/>
      <c r="CB811" s="105" t="n"/>
      <c r="CC811" s="105" t="n"/>
      <c r="CD811" s="105" t="n"/>
      <c r="CE811" s="107" t="n">
        <v>1</v>
      </c>
      <c r="CF811" s="105" t="n"/>
      <c r="CG811" s="105" t="n"/>
      <c r="CH811" s="105" t="n"/>
      <c r="CI811" s="105"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24">
        <f>+COUNTA(BV811:CY811)</f>
        <v/>
      </c>
      <c r="DA811" s="251" t="n"/>
      <c r="DB811" s="251" t="n"/>
      <c r="DC811" s="251" t="n"/>
      <c r="DD811" s="251" t="n"/>
      <c r="DE811" s="251" t="n"/>
      <c r="DF811" s="251" t="n"/>
      <c r="DG811" s="251" t="n"/>
      <c r="DH811" s="251" t="n"/>
      <c r="DI811" s="251" t="n"/>
      <c r="DJ811" s="251" t="n"/>
      <c r="DK811" s="251" t="n"/>
      <c r="DL811" s="95" t="n"/>
      <c r="DM811" s="251" t="inlineStr">
        <is>
          <t>M</t>
        </is>
      </c>
      <c r="DN811" s="95" t="n">
        <v>8</v>
      </c>
      <c r="DO811" s="95" t="n">
        <v>14</v>
      </c>
    </row>
    <row r="812" ht="14.15" customHeight="1">
      <c r="A812" s="203" t="inlineStr">
        <is>
          <t>PPC-04</t>
        </is>
      </c>
      <c r="B812" s="305"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2" t="inlineStr">
        <is>
          <t>532MAPPC</t>
        </is>
      </c>
      <c r="BL812" s="61" t="inlineStr">
        <is>
          <t>GMAP-SIGA</t>
        </is>
      </c>
      <c r="BM812" s="251" t="inlineStr">
        <is>
          <t>NF</t>
        </is>
      </c>
      <c r="BN812" s="337" t="inlineStr">
        <is>
          <t>Coposa Norte</t>
        </is>
      </c>
      <c r="BO812" s="168"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42" t="n">
        <v>1</v>
      </c>
      <c r="CH812" s="105" t="n"/>
      <c r="CI812" s="105" t="n"/>
      <c r="CJ812" s="105" t="n"/>
      <c r="CK812" s="105" t="n"/>
      <c r="CL812" s="105" t="n"/>
      <c r="CM812" s="105" t="n"/>
      <c r="CN812" s="105" t="n"/>
      <c r="CO812" s="105" t="n"/>
      <c r="CP812" s="105" t="n"/>
      <c r="CQ812" s="105" t="n"/>
      <c r="CR812" s="105" t="n"/>
      <c r="CS812" s="105" t="n"/>
      <c r="CT812" s="105" t="n"/>
      <c r="CU812" s="105" t="n"/>
      <c r="CV812" s="105" t="n"/>
      <c r="CW812" s="105" t="n"/>
      <c r="CX812" s="105" t="n"/>
      <c r="CY812" s="105" t="n"/>
      <c r="CZ812" s="124">
        <f>+COUNTA(BV812:CY812)</f>
        <v/>
      </c>
      <c r="DA812" s="251" t="n"/>
      <c r="DB812" s="251" t="n"/>
      <c r="DC812" s="251" t="n"/>
      <c r="DD812" s="251" t="n"/>
      <c r="DE812" s="251" t="n"/>
      <c r="DF812" s="251" t="n"/>
      <c r="DG812" s="251" t="n"/>
      <c r="DH812" s="251" t="n"/>
      <c r="DI812" s="251" t="n"/>
      <c r="DJ812" s="251" t="inlineStr">
        <is>
          <t>M</t>
        </is>
      </c>
      <c r="DK812" s="251" t="n">
        <v>8</v>
      </c>
      <c r="DL812" s="95" t="n">
        <v>14</v>
      </c>
      <c r="DM812" s="251" t="n"/>
      <c r="DN812" s="95" t="n"/>
      <c r="DO812" s="95" t="n"/>
    </row>
    <row r="813" ht="13.5" customHeight="1">
      <c r="A813" s="203" t="inlineStr">
        <is>
          <t>PPC-07</t>
        </is>
      </c>
      <c r="B813" s="305" t="inlineStr">
        <is>
          <t>PPC-07 COPOSA NORTE</t>
        </is>
      </c>
      <c r="C813" s="251"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2" t="inlineStr">
        <is>
          <t>532MAPPC</t>
        </is>
      </c>
      <c r="BL813" s="7" t="inlineStr">
        <is>
          <t>GTAM</t>
        </is>
      </c>
      <c r="BM813" s="251" t="inlineStr">
        <is>
          <t>NF</t>
        </is>
      </c>
      <c r="BN813" s="337" t="inlineStr">
        <is>
          <t>Coposa Norte</t>
        </is>
      </c>
      <c r="BO813" s="168"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2"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05" t="n"/>
      <c r="CG813" s="105" t="n"/>
      <c r="CH813" s="105" t="n"/>
      <c r="CI813" s="105" t="n"/>
      <c r="CJ813" s="105" t="n"/>
      <c r="CK813" s="105" t="n"/>
      <c r="CL813" s="142" t="n">
        <v>1</v>
      </c>
      <c r="CM813" s="105" t="n"/>
      <c r="CN813" s="105" t="n"/>
      <c r="CO813" s="105" t="n"/>
      <c r="CP813" s="105" t="n"/>
      <c r="CQ813" s="105" t="n"/>
      <c r="CR813" s="105" t="n"/>
      <c r="CS813" s="105" t="n"/>
      <c r="CT813" s="105" t="n"/>
      <c r="CU813" s="105" t="n"/>
      <c r="CV813" s="105" t="n"/>
      <c r="CW813" s="105" t="n"/>
      <c r="CX813" s="105" t="n"/>
      <c r="CY813" s="105" t="n"/>
      <c r="CZ813" s="124">
        <f>+COUNTA(BV813:CY813)</f>
        <v/>
      </c>
      <c r="DA813" s="251" t="n"/>
      <c r="DB813" s="251" t="n"/>
      <c r="DC813" s="251" t="n"/>
      <c r="DD813" s="251" t="n"/>
      <c r="DE813" s="251" t="n"/>
      <c r="DF813" s="251" t="n"/>
      <c r="DG813" s="251" t="n"/>
      <c r="DH813" s="251" t="n"/>
      <c r="DI813" s="251" t="n"/>
      <c r="DJ813" s="251" t="inlineStr">
        <is>
          <t>M</t>
        </is>
      </c>
      <c r="DK813" s="251" t="n">
        <v>8</v>
      </c>
      <c r="DL813" s="95" t="n">
        <v>21</v>
      </c>
      <c r="DM813" s="251" t="n"/>
      <c r="DN813" s="95" t="n"/>
      <c r="DO813" s="95" t="n"/>
    </row>
    <row r="814" ht="13.5" customHeight="1">
      <c r="A814" s="203" t="inlineStr">
        <is>
          <t>PPC-07</t>
        </is>
      </c>
      <c r="B814" s="376" t="n"/>
      <c r="C814" s="376"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76" t="n"/>
      <c r="BL814" s="7" t="inlineStr">
        <is>
          <t>GTAM</t>
        </is>
      </c>
      <c r="BM814" s="251" t="inlineStr">
        <is>
          <t>ASUB</t>
        </is>
      </c>
      <c r="BN814" s="337" t="inlineStr">
        <is>
          <t>Coposa Norte</t>
        </is>
      </c>
      <c r="BO814" s="168"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77" t="n"/>
      <c r="BV814" s="105" t="n"/>
      <c r="BW814" s="105" t="n"/>
      <c r="BX814" s="105" t="n"/>
      <c r="BY814" s="105" t="n"/>
      <c r="BZ814" s="105" t="n"/>
      <c r="CA814" s="105" t="n"/>
      <c r="CB814" s="105" t="n"/>
      <c r="CC814" s="105" t="n"/>
      <c r="CD814" s="105" t="n"/>
      <c r="CE814" s="105" t="n"/>
      <c r="CF814" s="105" t="n"/>
      <c r="CG814" s="105" t="n"/>
      <c r="CH814" s="105" t="n"/>
      <c r="CI814" s="105" t="n"/>
      <c r="CJ814" s="105" t="n"/>
      <c r="CK814" s="105" t="n"/>
      <c r="CL814" s="107" t="n">
        <v>1</v>
      </c>
      <c r="CM814" s="105" t="n"/>
      <c r="CN814" s="105" t="n"/>
      <c r="CO814" s="105" t="n"/>
      <c r="CP814" s="105" t="n"/>
      <c r="CQ814" s="105" t="n"/>
      <c r="CR814" s="105" t="n"/>
      <c r="CS814" s="105" t="n"/>
      <c r="CT814" s="105" t="n"/>
      <c r="CU814" s="105" t="n"/>
      <c r="CV814" s="105" t="n"/>
      <c r="CW814" s="105" t="n"/>
      <c r="CX814" s="105" t="n"/>
      <c r="CY814" s="105" t="n"/>
      <c r="CZ814" s="124">
        <f>+COUNTA(BV814:CY814)</f>
        <v/>
      </c>
      <c r="DA814" s="251" t="n"/>
      <c r="DB814" s="251" t="n"/>
      <c r="DC814" s="251" t="n"/>
      <c r="DD814" s="251" t="n"/>
      <c r="DE814" s="251" t="n"/>
      <c r="DF814" s="251" t="n"/>
      <c r="DG814" s="251" t="n"/>
      <c r="DH814" s="251" t="n"/>
      <c r="DI814" s="251" t="n"/>
      <c r="DJ814" s="251" t="n"/>
      <c r="DK814" s="251" t="n"/>
      <c r="DL814" s="95" t="n"/>
      <c r="DM814" s="251" t="inlineStr">
        <is>
          <t>T</t>
        </is>
      </c>
      <c r="DN814" s="95" t="n">
        <v>8</v>
      </c>
      <c r="DO814" s="95" t="n">
        <v>14</v>
      </c>
    </row>
    <row r="815" ht="11.5" customHeight="1">
      <c r="A815" s="203" t="inlineStr">
        <is>
          <t>PPC-08</t>
        </is>
      </c>
      <c r="B815" s="305"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2" t="inlineStr">
        <is>
          <t>532MAPPC</t>
        </is>
      </c>
      <c r="BL815" s="61" t="inlineStr">
        <is>
          <t>GMAP-SIGA</t>
        </is>
      </c>
      <c r="BM815" s="251" t="inlineStr">
        <is>
          <t>NF</t>
        </is>
      </c>
      <c r="BN815" s="337" t="inlineStr">
        <is>
          <t>Coposa Norte</t>
        </is>
      </c>
      <c r="BO815" s="168"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42" t="n">
        <v>1</v>
      </c>
      <c r="CH815" s="105" t="n"/>
      <c r="CI815" s="105" t="n"/>
      <c r="CJ815" s="105" t="n"/>
      <c r="CK815" s="105" t="n"/>
      <c r="CL815" s="105" t="n"/>
      <c r="CM815" s="105" t="n"/>
      <c r="CN815" s="105" t="n"/>
      <c r="CO815" s="105" t="n"/>
      <c r="CP815" s="105" t="n"/>
      <c r="CQ815" s="105" t="n"/>
      <c r="CR815" s="105" t="n"/>
      <c r="CS815" s="105" t="n"/>
      <c r="CT815" s="105" t="n"/>
      <c r="CV815" s="105" t="n"/>
      <c r="CW815" s="105" t="n"/>
      <c r="CX815" s="105" t="n"/>
      <c r="CY815" s="105" t="n"/>
      <c r="CZ815" s="124">
        <f>+COUNTA(BV815:CY815)</f>
        <v/>
      </c>
      <c r="DA815" s="251" t="n"/>
      <c r="DB815" s="251" t="n"/>
      <c r="DC815" s="251" t="n"/>
      <c r="DD815" s="251" t="n"/>
      <c r="DE815" s="251" t="n"/>
      <c r="DF815" s="251" t="n"/>
      <c r="DG815" s="251" t="n"/>
      <c r="DH815" s="251" t="n"/>
      <c r="DI815" s="251" t="n"/>
      <c r="DJ815" s="251" t="inlineStr">
        <is>
          <t>M</t>
        </is>
      </c>
      <c r="DK815" s="251" t="n">
        <v>8</v>
      </c>
      <c r="DL815" s="95" t="n">
        <v>14</v>
      </c>
      <c r="DM815" s="251" t="n"/>
      <c r="DN815" s="95" t="n"/>
      <c r="DO815" s="95" t="n"/>
    </row>
    <row r="816" ht="12.65" customHeight="1">
      <c r="A816" s="203" t="inlineStr">
        <is>
          <t>PPC-09</t>
        </is>
      </c>
      <c r="B816" s="305" t="inlineStr">
        <is>
          <t>PPC-09 COPOSA NORTE</t>
        </is>
      </c>
      <c r="C816" s="251"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1" t="inlineStr">
        <is>
          <t>532MAPPC</t>
        </is>
      </c>
      <c r="BL816" s="7" t="inlineStr">
        <is>
          <t>GTAM</t>
        </is>
      </c>
      <c r="BM816" s="251" t="inlineStr">
        <is>
          <t>NF</t>
        </is>
      </c>
      <c r="BN816" s="337" t="inlineStr">
        <is>
          <t>Coposa Norte</t>
        </is>
      </c>
      <c r="BO816" s="168"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3" t="inlineStr">
        <is>
          <t>Instrumentalizado</t>
        </is>
      </c>
      <c r="BV816" s="105" t="n"/>
      <c r="BW816" s="105" t="n"/>
      <c r="BX816" s="105" t="n"/>
      <c r="BY816" s="105" t="n"/>
      <c r="BZ816" s="105" t="n"/>
      <c r="CA816" s="105" t="n"/>
      <c r="CB816" s="105" t="n"/>
      <c r="CC816" s="105" t="n"/>
      <c r="CD816" s="105" t="n"/>
      <c r="CE816" s="105" t="n"/>
      <c r="CF816" s="105" t="n"/>
      <c r="CG816" s="105" t="n"/>
      <c r="CH816" s="105" t="n"/>
      <c r="CI816" s="105" t="n"/>
      <c r="CJ816" s="105" t="n"/>
      <c r="CK816" s="105" t="n"/>
      <c r="CL816" s="142" t="n">
        <v>1</v>
      </c>
      <c r="CM816" s="105" t="n"/>
      <c r="CN816" s="105" t="n"/>
      <c r="CO816" s="105" t="n"/>
      <c r="CP816" s="105" t="n"/>
      <c r="CQ816" s="105" t="n"/>
      <c r="CR816" s="105" t="n"/>
      <c r="CS816" s="105" t="n"/>
      <c r="CT816" s="105" t="n"/>
      <c r="CV816" s="105" t="n"/>
      <c r="CW816" s="105" t="n"/>
      <c r="CX816" s="105" t="n"/>
      <c r="CY816" s="105" t="n"/>
      <c r="CZ816" s="124">
        <f>+COUNTA(BV816:CY816)</f>
        <v/>
      </c>
      <c r="DA816" s="251" t="n"/>
      <c r="DB816" s="251" t="n"/>
      <c r="DC816" s="251" t="n"/>
      <c r="DD816" s="251" t="n"/>
      <c r="DE816" s="251" t="n"/>
      <c r="DF816" s="251" t="n"/>
      <c r="DG816" s="251" t="n"/>
      <c r="DH816" s="251" t="n"/>
      <c r="DI816" s="251" t="n"/>
      <c r="DJ816" s="251" t="inlineStr">
        <is>
          <t>M</t>
        </is>
      </c>
      <c r="DK816" s="251" t="n">
        <v>8</v>
      </c>
      <c r="DL816" s="95" t="n">
        <v>21</v>
      </c>
      <c r="DM816" s="251" t="n"/>
      <c r="DN816" s="95" t="n"/>
      <c r="DO816" s="95" t="n"/>
    </row>
    <row r="817" ht="13" customHeight="1">
      <c r="A817" s="203" t="inlineStr">
        <is>
          <t>PPC-09</t>
        </is>
      </c>
      <c r="B817" s="376" t="n"/>
      <c r="C817" s="376"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76" t="n"/>
      <c r="BL817" s="7" t="inlineStr">
        <is>
          <t>GTAM</t>
        </is>
      </c>
      <c r="BM817" s="251" t="inlineStr">
        <is>
          <t>ASUB</t>
        </is>
      </c>
      <c r="BN817" s="337" t="inlineStr">
        <is>
          <t>Coposa Norte</t>
        </is>
      </c>
      <c r="BO817" s="168"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77" t="n"/>
      <c r="BV817" s="105" t="n"/>
      <c r="BW817" s="105" t="n"/>
      <c r="BX817" s="105" t="n"/>
      <c r="BY817" s="105" t="n"/>
      <c r="BZ817" s="105" t="n"/>
      <c r="CA817" s="105" t="n"/>
      <c r="CB817" s="105" t="n"/>
      <c r="CC817" s="105" t="n"/>
      <c r="CD817" s="105" t="n"/>
      <c r="CE817" s="105" t="n"/>
      <c r="CF817" s="105" t="n"/>
      <c r="CG817" s="105" t="n"/>
      <c r="CH817" s="105" t="n"/>
      <c r="CI817" s="105" t="n"/>
      <c r="CJ817" s="105" t="n"/>
      <c r="CK817" s="105" t="n"/>
      <c r="CL817" s="107" t="n">
        <v>1</v>
      </c>
      <c r="CM817" s="105" t="n"/>
      <c r="CN817" s="105" t="n"/>
      <c r="CO817" s="105" t="n"/>
      <c r="CP817" s="105" t="n"/>
      <c r="CQ817" s="105" t="n"/>
      <c r="CR817" s="105" t="n"/>
      <c r="CS817" s="105" t="n"/>
      <c r="CT817" s="105" t="n"/>
      <c r="CV817" s="105" t="n"/>
      <c r="CW817" s="105" t="n"/>
      <c r="CX817" s="105" t="n"/>
      <c r="CY817" s="105" t="n"/>
      <c r="CZ817" s="124">
        <f>+COUNTA(BV817:CY817)</f>
        <v/>
      </c>
      <c r="DA817" s="251" t="n"/>
      <c r="DB817" s="251" t="n"/>
      <c r="DC817" s="251" t="n"/>
      <c r="DD817" s="251" t="n"/>
      <c r="DE817" s="251" t="n"/>
      <c r="DF817" s="251" t="n"/>
      <c r="DG817" s="251" t="n"/>
      <c r="DH817" s="251" t="n"/>
      <c r="DI817" s="251" t="n"/>
      <c r="DJ817" s="251" t="n"/>
      <c r="DK817" s="251" t="n"/>
      <c r="DL817" s="95" t="n"/>
      <c r="DM817" s="251" t="inlineStr">
        <is>
          <t>T</t>
        </is>
      </c>
      <c r="DN817" s="95" t="n">
        <v>8</v>
      </c>
      <c r="DO817" s="95" t="n">
        <v>14</v>
      </c>
    </row>
    <row r="818" ht="13" customHeight="1">
      <c r="A818" s="203" t="inlineStr">
        <is>
          <t>PPC-10</t>
        </is>
      </c>
      <c r="B818" s="305" t="inlineStr">
        <is>
          <t>PPC-10 COPOSA NORTE</t>
        </is>
      </c>
      <c r="C818" s="251"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1" t="inlineStr">
        <is>
          <t>532MAPPC</t>
        </is>
      </c>
      <c r="BL818" s="7" t="inlineStr">
        <is>
          <t>GTAM</t>
        </is>
      </c>
      <c r="BM818" s="251" t="inlineStr">
        <is>
          <t>NF</t>
        </is>
      </c>
      <c r="BN818" s="337" t="inlineStr">
        <is>
          <t>Coposa Norte</t>
        </is>
      </c>
      <c r="BO818" s="168"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2"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05" t="n"/>
      <c r="CG818" s="105" t="n"/>
      <c r="CH818" s="105" t="n"/>
      <c r="CI818" s="105" t="n"/>
      <c r="CJ818" s="105" t="n"/>
      <c r="CK818" s="105" t="n"/>
      <c r="CL818" s="142" t="n">
        <v>1</v>
      </c>
      <c r="CM818" s="105" t="n"/>
      <c r="CN818" s="105" t="n"/>
      <c r="CO818" s="105" t="n"/>
      <c r="CP818" s="105" t="n"/>
      <c r="CQ818" s="105" t="n"/>
      <c r="CR818" s="105" t="n"/>
      <c r="CS818" s="105" t="n"/>
      <c r="CT818" s="105" t="n"/>
      <c r="CV818" s="105" t="n"/>
      <c r="CW818" s="105" t="n"/>
      <c r="CX818" s="105" t="n"/>
      <c r="CY818" s="105" t="n"/>
      <c r="CZ818" s="124">
        <f>+COUNTA(BV818:CY818)</f>
        <v/>
      </c>
      <c r="DA818" s="251" t="n"/>
      <c r="DB818" s="251" t="n"/>
      <c r="DC818" s="251" t="n"/>
      <c r="DD818" s="251" t="n"/>
      <c r="DE818" s="251" t="n"/>
      <c r="DF818" s="251" t="n"/>
      <c r="DG818" s="251" t="n"/>
      <c r="DH818" s="251" t="n"/>
      <c r="DI818" s="251" t="n"/>
      <c r="DJ818" s="251" t="inlineStr">
        <is>
          <t>M</t>
        </is>
      </c>
      <c r="DK818" s="251" t="n">
        <v>8</v>
      </c>
      <c r="DL818" s="95" t="n">
        <v>21</v>
      </c>
      <c r="DM818" s="251" t="n"/>
      <c r="DN818" s="95" t="n"/>
      <c r="DO818" s="95" t="n"/>
    </row>
    <row r="819" ht="13" customHeight="1">
      <c r="A819" s="203" t="inlineStr">
        <is>
          <t>PPC-10</t>
        </is>
      </c>
      <c r="B819" s="376" t="n"/>
      <c r="C819" s="376"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76" t="n"/>
      <c r="BL819" s="7" t="inlineStr">
        <is>
          <t>GTAM</t>
        </is>
      </c>
      <c r="BM819" s="251" t="inlineStr">
        <is>
          <t>ASUB</t>
        </is>
      </c>
      <c r="BN819" s="337" t="inlineStr">
        <is>
          <t>Coposa Norte</t>
        </is>
      </c>
      <c r="BO819" s="168"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77" t="n"/>
      <c r="BV819" s="105" t="n"/>
      <c r="BW819" s="105" t="n"/>
      <c r="BX819" s="105" t="n"/>
      <c r="BY819" s="105" t="n"/>
      <c r="BZ819" s="105" t="n"/>
      <c r="CA819" s="105" t="n"/>
      <c r="CB819" s="105" t="n"/>
      <c r="CC819" s="105" t="n"/>
      <c r="CD819" s="105" t="n"/>
      <c r="CE819" s="105" t="n"/>
      <c r="CF819" s="105" t="n"/>
      <c r="CG819" s="105" t="n"/>
      <c r="CH819" s="105" t="n"/>
      <c r="CI819" s="105" t="n"/>
      <c r="CJ819" s="105" t="n"/>
      <c r="CK819" s="105" t="n"/>
      <c r="CL819" s="107" t="n">
        <v>1</v>
      </c>
      <c r="CM819" s="105" t="n"/>
      <c r="CN819" s="105" t="n"/>
      <c r="CO819" s="105" t="n"/>
      <c r="CP819" s="105" t="n"/>
      <c r="CQ819" s="105" t="n"/>
      <c r="CR819" s="105" t="n"/>
      <c r="CS819" s="105" t="n"/>
      <c r="CT819" s="105" t="n"/>
      <c r="CV819" s="105" t="n"/>
      <c r="CW819" s="105" t="n"/>
      <c r="CX819" s="105" t="n"/>
      <c r="CY819" s="105" t="n"/>
      <c r="CZ819" s="124">
        <f>+COUNTA(BV819:CY819)</f>
        <v/>
      </c>
      <c r="DA819" s="251" t="n"/>
      <c r="DB819" s="251" t="n"/>
      <c r="DC819" s="251" t="n"/>
      <c r="DD819" s="251" t="n"/>
      <c r="DE819" s="251" t="n"/>
      <c r="DF819" s="251" t="n"/>
      <c r="DG819" s="251" t="n"/>
      <c r="DH819" s="251" t="n"/>
      <c r="DI819" s="251" t="n"/>
      <c r="DJ819" s="251" t="n"/>
      <c r="DK819" s="251" t="n"/>
      <c r="DL819" s="95" t="n"/>
      <c r="DM819" s="251" t="inlineStr">
        <is>
          <t>T</t>
        </is>
      </c>
      <c r="DN819" s="95" t="n">
        <v>8</v>
      </c>
      <c r="DO819" s="95" t="n">
        <v>14</v>
      </c>
    </row>
    <row r="820" ht="13" customHeight="1">
      <c r="A820" s="203" t="inlineStr">
        <is>
          <t>PPC-14</t>
        </is>
      </c>
      <c r="B820" s="305" t="inlineStr">
        <is>
          <t>PPC-14 COPOSA NORTE</t>
        </is>
      </c>
      <c r="C820" s="251"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1" t="inlineStr">
        <is>
          <t>532MAPPC</t>
        </is>
      </c>
      <c r="BL820" s="7" t="inlineStr">
        <is>
          <t>GTAM</t>
        </is>
      </c>
      <c r="BM820" s="251" t="inlineStr">
        <is>
          <t>NF</t>
        </is>
      </c>
      <c r="BN820" s="337" t="inlineStr">
        <is>
          <t>Coposa Norte</t>
        </is>
      </c>
      <c r="BO820" s="168"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3"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05" t="n"/>
      <c r="CJ820" s="105" t="n"/>
      <c r="CK820" s="105" t="n"/>
      <c r="CL820" s="142" t="n">
        <v>1</v>
      </c>
      <c r="CM820" s="105" t="n"/>
      <c r="CN820" s="105" t="n"/>
      <c r="CO820" s="105" t="n"/>
      <c r="CP820" s="105" t="n"/>
      <c r="CQ820" s="105" t="n"/>
      <c r="CR820" s="105" t="n"/>
      <c r="CS820" s="105" t="n"/>
      <c r="CT820" s="105" t="n"/>
      <c r="CV820" s="105" t="n"/>
      <c r="CW820" s="105" t="n"/>
      <c r="CX820" s="105" t="n"/>
      <c r="CY820" s="105" t="n"/>
      <c r="CZ820" s="124">
        <f>+COUNTA(BV820:CY820)</f>
        <v/>
      </c>
      <c r="DA820" s="251" t="n"/>
      <c r="DB820" s="251" t="n"/>
      <c r="DC820" s="251" t="n"/>
      <c r="DD820" s="251" t="n"/>
      <c r="DE820" s="251" t="n"/>
      <c r="DF820" s="251" t="n"/>
      <c r="DG820" s="251" t="n"/>
      <c r="DH820" s="251" t="n"/>
      <c r="DI820" s="251" t="n"/>
      <c r="DJ820" s="251" t="inlineStr">
        <is>
          <t>M</t>
        </is>
      </c>
      <c r="DK820" s="251" t="n">
        <v>8</v>
      </c>
      <c r="DL820" s="95" t="n">
        <v>21</v>
      </c>
      <c r="DM820" s="251" t="n"/>
      <c r="DN820" s="95" t="n"/>
      <c r="DO820" s="95" t="n"/>
    </row>
    <row r="821" ht="12" customHeight="1">
      <c r="A821" s="203" t="inlineStr">
        <is>
          <t>PPC-14</t>
        </is>
      </c>
      <c r="B821" s="376" t="n"/>
      <c r="C821" s="376"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76" t="n"/>
      <c r="BL821" s="7" t="inlineStr">
        <is>
          <t>GTAM</t>
        </is>
      </c>
      <c r="BM821" s="251" t="inlineStr">
        <is>
          <t>ASUB</t>
        </is>
      </c>
      <c r="BN821" s="337" t="inlineStr">
        <is>
          <t>Coposa Norte</t>
        </is>
      </c>
      <c r="BO821" s="168"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77" t="n"/>
      <c r="BV821" s="105" t="n"/>
      <c r="BW821" s="105" t="n"/>
      <c r="BX821" s="105" t="n"/>
      <c r="BY821" s="105" t="n"/>
      <c r="BZ821" s="105" t="n"/>
      <c r="CA821" s="105" t="n"/>
      <c r="CB821" s="105" t="n"/>
      <c r="CC821" s="105" t="n"/>
      <c r="CD821" s="105" t="n"/>
      <c r="CE821" s="105" t="n"/>
      <c r="CF821" s="105" t="n"/>
      <c r="CG821" s="105" t="n"/>
      <c r="CH821" s="105" t="n"/>
      <c r="CI821" s="105" t="n"/>
      <c r="CJ821" s="105" t="n"/>
      <c r="CK821" s="105" t="n"/>
      <c r="CL821" s="107" t="n">
        <v>1</v>
      </c>
      <c r="CM821" s="105" t="n"/>
      <c r="CN821" s="105" t="n"/>
      <c r="CO821" s="105" t="n"/>
      <c r="CP821" s="105" t="n"/>
      <c r="CQ821" s="105" t="n"/>
      <c r="CR821" s="105" t="n"/>
      <c r="CS821" s="105" t="n"/>
      <c r="CT821" s="105" t="n"/>
      <c r="CV821" s="105" t="n"/>
      <c r="CW821" s="105" t="n"/>
      <c r="CX821" s="105" t="n"/>
      <c r="CY821" s="105" t="n"/>
      <c r="CZ821" s="124">
        <f>+COUNTA(BV821:CY821)</f>
        <v/>
      </c>
      <c r="DA821" s="251" t="n"/>
      <c r="DB821" s="251" t="n"/>
      <c r="DC821" s="251" t="n"/>
      <c r="DD821" s="251" t="n"/>
      <c r="DE821" s="251" t="n"/>
      <c r="DF821" s="251" t="n"/>
      <c r="DG821" s="251" t="n"/>
      <c r="DH821" s="251" t="n"/>
      <c r="DI821" s="251" t="n"/>
      <c r="DJ821" s="251" t="n"/>
      <c r="DK821" s="251" t="n"/>
      <c r="DL821" s="95" t="n"/>
      <c r="DM821" s="251" t="inlineStr">
        <is>
          <t>T</t>
        </is>
      </c>
      <c r="DN821" s="95" t="n">
        <v>8</v>
      </c>
      <c r="DO821" s="95" t="n">
        <v>14</v>
      </c>
    </row>
    <row r="822" ht="13" customHeight="1">
      <c r="A822" s="203" t="inlineStr">
        <is>
          <t>PPC-15</t>
        </is>
      </c>
      <c r="B822" s="305" t="inlineStr">
        <is>
          <t>PPC-15 COPOSA NORTE</t>
        </is>
      </c>
      <c r="C822" s="251"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1" t="inlineStr">
        <is>
          <t>532MAPPC</t>
        </is>
      </c>
      <c r="BL822" s="7" t="inlineStr">
        <is>
          <t>GTAM</t>
        </is>
      </c>
      <c r="BM822" s="251" t="inlineStr">
        <is>
          <t>NF</t>
        </is>
      </c>
      <c r="BN822" s="337" t="inlineStr">
        <is>
          <t>Coposa Norte</t>
        </is>
      </c>
      <c r="BO822" s="168"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3"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05" t="n"/>
      <c r="CJ822" s="105" t="n"/>
      <c r="CK822" s="105" t="n"/>
      <c r="CL822" s="142" t="n">
        <v>1</v>
      </c>
      <c r="CM822" s="105" t="n"/>
      <c r="CN822" s="105" t="n"/>
      <c r="CO822" s="105" t="n"/>
      <c r="CP822" s="105" t="n"/>
      <c r="CQ822" s="105" t="n"/>
      <c r="CR822" s="105" t="n"/>
      <c r="CS822" s="105" t="n"/>
      <c r="CT822" s="105" t="n"/>
      <c r="CV822" s="105" t="n"/>
      <c r="CW822" s="105" t="n"/>
      <c r="CX822" s="105" t="n"/>
      <c r="CY822" s="105" t="n"/>
      <c r="CZ822" s="124">
        <f>+COUNTA(BV822:CY822)</f>
        <v/>
      </c>
      <c r="DA822" s="251" t="n"/>
      <c r="DB822" s="251" t="n"/>
      <c r="DC822" s="251" t="n"/>
      <c r="DD822" s="251" t="n"/>
      <c r="DE822" s="251" t="n"/>
      <c r="DF822" s="251" t="n"/>
      <c r="DG822" s="251" t="n"/>
      <c r="DH822" s="251" t="n"/>
      <c r="DI822" s="251" t="n"/>
      <c r="DJ822" s="251" t="inlineStr">
        <is>
          <t>M</t>
        </is>
      </c>
      <c r="DK822" s="251" t="n">
        <v>8</v>
      </c>
      <c r="DL822" s="95" t="n">
        <v>21</v>
      </c>
      <c r="DM822" s="251" t="n"/>
      <c r="DN822" s="95" t="n"/>
      <c r="DO822" s="95" t="n"/>
    </row>
    <row r="823" ht="13" customHeight="1">
      <c r="A823" s="203" t="inlineStr">
        <is>
          <t>PPC-15</t>
        </is>
      </c>
      <c r="B823" s="376" t="n"/>
      <c r="C823" s="376"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76" t="n"/>
      <c r="BL823" s="7" t="inlineStr">
        <is>
          <t>GTAM</t>
        </is>
      </c>
      <c r="BM823" s="251" t="inlineStr">
        <is>
          <t>ASUB</t>
        </is>
      </c>
      <c r="BN823" s="337" t="inlineStr">
        <is>
          <t>Coposa Norte</t>
        </is>
      </c>
      <c r="BO823" s="168"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77" t="n"/>
      <c r="BV823" s="105" t="n"/>
      <c r="BW823" s="105" t="n"/>
      <c r="BX823" s="105" t="n"/>
      <c r="BY823" s="105" t="n"/>
      <c r="BZ823" s="105" t="n"/>
      <c r="CA823" s="105" t="n"/>
      <c r="CB823" s="105" t="n"/>
      <c r="CC823" s="105" t="n"/>
      <c r="CD823" s="105" t="n"/>
      <c r="CE823" s="105" t="n"/>
      <c r="CF823" s="105" t="n"/>
      <c r="CG823" s="105" t="n"/>
      <c r="CH823" s="105" t="n"/>
      <c r="CI823" s="105" t="n"/>
      <c r="CJ823" s="105" t="n"/>
      <c r="CK823" s="105" t="n"/>
      <c r="CL823" s="107" t="n">
        <v>1</v>
      </c>
      <c r="CM823" s="105" t="n"/>
      <c r="CN823" s="105" t="n"/>
      <c r="CO823" s="105" t="n"/>
      <c r="CP823" s="105" t="n"/>
      <c r="CQ823" s="105" t="n"/>
      <c r="CR823" s="105" t="n"/>
      <c r="CS823" s="105" t="n"/>
      <c r="CT823" s="105" t="n"/>
      <c r="CV823" s="105" t="n"/>
      <c r="CW823" s="105" t="n"/>
      <c r="CX823" s="105" t="n"/>
      <c r="CY823" s="105" t="n"/>
      <c r="CZ823" s="124">
        <f>+COUNTA(BV823:CY823)</f>
        <v/>
      </c>
      <c r="DA823" s="251" t="n"/>
      <c r="DB823" s="251" t="n"/>
      <c r="DC823" s="251" t="n"/>
      <c r="DD823" s="251" t="n"/>
      <c r="DE823" s="251" t="n"/>
      <c r="DF823" s="251" t="n"/>
      <c r="DG823" s="251" t="n"/>
      <c r="DH823" s="251" t="n"/>
      <c r="DI823" s="251" t="n"/>
      <c r="DJ823" s="251" t="n"/>
      <c r="DK823" s="251" t="n"/>
      <c r="DL823" s="95" t="n"/>
      <c r="DM823" s="251" t="inlineStr">
        <is>
          <t>T</t>
        </is>
      </c>
      <c r="DN823" s="95" t="n">
        <v>8</v>
      </c>
      <c r="DO823" s="95" t="n">
        <v>14</v>
      </c>
    </row>
    <row r="824" ht="13" customHeight="1">
      <c r="A824" s="205" t="inlineStr">
        <is>
          <t>PPC-16</t>
        </is>
      </c>
      <c r="B824" s="305"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1" t="inlineStr">
        <is>
          <t>532MAPPC</t>
        </is>
      </c>
      <c r="BL824" s="61" t="inlineStr">
        <is>
          <t>GMAP-SIGA</t>
        </is>
      </c>
      <c r="BM824" s="251" t="inlineStr">
        <is>
          <t>NF</t>
        </is>
      </c>
      <c r="BN824" s="337" t="inlineStr">
        <is>
          <t>Coposa Norte</t>
        </is>
      </c>
      <c r="BO824" s="168"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42" t="n">
        <v>1</v>
      </c>
      <c r="CP824" s="105" t="n"/>
      <c r="CQ824" s="105" t="n"/>
      <c r="CR824" s="105" t="n"/>
      <c r="CS824" s="105" t="n"/>
      <c r="CT824" s="105" t="n"/>
      <c r="CW824" s="105" t="n"/>
      <c r="CX824" s="105" t="n"/>
      <c r="CY824" s="105" t="n"/>
      <c r="CZ824" s="124">
        <f>+COUNTA(BV824:CY824)</f>
        <v/>
      </c>
      <c r="DA824" s="206" t="n"/>
      <c r="DB824" s="251" t="n"/>
      <c r="DC824" s="251" t="n"/>
      <c r="DD824" s="251" t="n"/>
      <c r="DE824" s="251" t="n"/>
      <c r="DF824" s="251" t="n"/>
      <c r="DG824" s="251" t="n"/>
      <c r="DH824" s="251" t="n"/>
      <c r="DI824" s="251" t="n"/>
      <c r="DJ824" s="251" t="inlineStr">
        <is>
          <t>M</t>
        </is>
      </c>
      <c r="DK824" s="251" t="n">
        <v>15</v>
      </c>
      <c r="DL824" s="95" t="n">
        <v>28</v>
      </c>
      <c r="DM824" s="251" t="n"/>
      <c r="DN824" s="95" t="n"/>
      <c r="DO824" s="95" t="n"/>
    </row>
    <row r="825" ht="13" customHeight="1">
      <c r="A825" s="203" t="inlineStr">
        <is>
          <t>PPC-18</t>
        </is>
      </c>
      <c r="B825" s="305" t="inlineStr">
        <is>
          <t>PPC-18 COPOSA SUR</t>
        </is>
      </c>
      <c r="C825" s="251"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2" t="inlineStr">
        <is>
          <t>537WW532</t>
        </is>
      </c>
      <c r="BL825" s="7" t="inlineStr">
        <is>
          <t>GTAM</t>
        </is>
      </c>
      <c r="BM825" s="251" t="inlineStr">
        <is>
          <t>NF</t>
        </is>
      </c>
      <c r="BN825" s="337" t="inlineStr">
        <is>
          <t>Coposa sur</t>
        </is>
      </c>
      <c r="BO825" s="251" t="inlineStr">
        <is>
          <t>SI</t>
        </is>
      </c>
      <c r="BP825" s="106" t="inlineStr">
        <is>
          <t>PPC-18 COPOSA SUR/NF</t>
        </is>
      </c>
      <c r="BQ825" s="106">
        <f>VLOOKUP(BP825,[1]AGUA!$1:$1048576,2,FALSE)</f>
        <v/>
      </c>
      <c r="BR825" s="106">
        <f>VLOOKUP(BP825,[1]AGUA!$1:$1048576,6,FALSE)</f>
        <v/>
      </c>
      <c r="BS825" s="106">
        <f>VLOOKUP(BP825,[1]AGUA!$1:$1048576,7,FALSE)</f>
        <v/>
      </c>
      <c r="BT825" s="106" t="n"/>
      <c r="BU825" s="253" t="inlineStr">
        <is>
          <t>Instrumentalizado</t>
        </is>
      </c>
      <c r="BV825" s="105" t="n"/>
      <c r="BW825" s="105" t="n"/>
      <c r="BX825" s="105" t="n"/>
      <c r="BY825" s="105" t="n"/>
      <c r="BZ825" s="105" t="n"/>
      <c r="CA825" s="105" t="n"/>
      <c r="CB825" s="105" t="n"/>
      <c r="CC825" s="105" t="n"/>
      <c r="CD825" s="105" t="n"/>
      <c r="CE825" s="142" t="n">
        <v>1</v>
      </c>
      <c r="CF825" s="105" t="n"/>
      <c r="CG825" s="105" t="n"/>
      <c r="CH825" s="105" t="n"/>
      <c r="CI825" s="105" t="n"/>
      <c r="CJ825" s="105" t="n"/>
      <c r="CK825" s="105" t="n"/>
      <c r="CL825" s="105" t="n"/>
      <c r="CM825" s="105" t="n"/>
      <c r="CN825" s="105" t="n"/>
      <c r="CO825" s="105" t="n"/>
      <c r="CP825" s="105" t="n"/>
      <c r="CQ825" s="105" t="n"/>
      <c r="CR825" s="105" t="n"/>
      <c r="CS825" s="105" t="n"/>
      <c r="CT825" s="105" t="n"/>
      <c r="CV825" s="105" t="n"/>
      <c r="CW825" s="105" t="n"/>
      <c r="CX825" s="105" t="n"/>
      <c r="CY825" s="105" t="n"/>
      <c r="CZ825" s="124">
        <f>+COUNTA(BV825:CY825)</f>
        <v/>
      </c>
      <c r="DA825" s="251" t="n"/>
      <c r="DB825" s="251" t="n"/>
      <c r="DC825" s="251" t="n"/>
      <c r="DD825" s="251" t="n"/>
      <c r="DE825" s="251" t="n"/>
      <c r="DF825" s="251" t="n"/>
      <c r="DG825" s="251" t="n"/>
      <c r="DH825" s="251" t="n"/>
      <c r="DI825" s="251" t="n"/>
      <c r="DJ825" s="251" t="inlineStr">
        <is>
          <t>M</t>
        </is>
      </c>
      <c r="DK825" s="251" t="n">
        <v>8</v>
      </c>
      <c r="DL825" s="95" t="n">
        <v>14</v>
      </c>
      <c r="DM825" s="251" t="n"/>
      <c r="DN825" s="95" t="n"/>
      <c r="DO825" s="95" t="n"/>
    </row>
    <row r="826" ht="13" customHeight="1">
      <c r="A826" s="203" t="inlineStr">
        <is>
          <t>PPC-18</t>
        </is>
      </c>
      <c r="B826" s="376" t="n"/>
      <c r="C826" s="376"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76" t="n"/>
      <c r="BL826" s="7" t="inlineStr">
        <is>
          <t>GTAM</t>
        </is>
      </c>
      <c r="BM826" s="251" t="inlineStr">
        <is>
          <t>ASUB</t>
        </is>
      </c>
      <c r="BN826" s="337" t="inlineStr">
        <is>
          <t>Coposa sur</t>
        </is>
      </c>
      <c r="BO826" s="251" t="inlineStr">
        <is>
          <t>SI</t>
        </is>
      </c>
      <c r="BP826" s="106" t="inlineStr">
        <is>
          <t>PPC-18 COPOSA SUR/ASUB</t>
        </is>
      </c>
      <c r="BQ826" s="106">
        <f>VLOOKUP(BP826,[1]AGUA!$1:$1048576,2,FALSE)</f>
        <v/>
      </c>
      <c r="BR826" s="106">
        <f>VLOOKUP(BP826,[1]AGUA!$1:$1048576,6,FALSE)</f>
        <v/>
      </c>
      <c r="BS826" s="106">
        <f>VLOOKUP(BP826,[1]AGUA!$1:$1048576,7,FALSE)</f>
        <v/>
      </c>
      <c r="BT826" s="106" t="n"/>
      <c r="BU826" s="377" t="n"/>
      <c r="BV826" s="105" t="n"/>
      <c r="BW826" s="105" t="n"/>
      <c r="BX826" s="105" t="n"/>
      <c r="BY826" s="105" t="n"/>
      <c r="BZ826" s="105" t="n"/>
      <c r="CA826" s="105" t="n"/>
      <c r="CB826" s="105" t="n"/>
      <c r="CC826" s="105" t="n"/>
      <c r="CD826" s="105" t="n"/>
      <c r="CE826" s="107" t="n">
        <v>1</v>
      </c>
      <c r="CF826" s="105" t="n"/>
      <c r="CG826" s="105" t="n"/>
      <c r="CH826" s="105" t="n"/>
      <c r="CI826" s="105" t="n"/>
      <c r="CJ826" s="105" t="n"/>
      <c r="CK826" s="105" t="n"/>
      <c r="CL826" s="105" t="n"/>
      <c r="CM826" s="105" t="n"/>
      <c r="CN826" s="105" t="n"/>
      <c r="CO826" s="105" t="n"/>
      <c r="CP826" s="105" t="n"/>
      <c r="CQ826" s="105" t="n"/>
      <c r="CR826" s="105" t="n"/>
      <c r="CS826" s="105" t="n"/>
      <c r="CT826" s="105" t="n"/>
      <c r="CV826" s="105" t="n"/>
      <c r="CW826" s="105" t="n"/>
      <c r="CX826" s="105" t="n"/>
      <c r="CY826" s="105" t="n"/>
      <c r="CZ826" s="124">
        <f>+COUNTA(BV826:CY826)</f>
        <v/>
      </c>
      <c r="DA826" s="251" t="n"/>
      <c r="DB826" s="251" t="n"/>
      <c r="DC826" s="251" t="n"/>
      <c r="DD826" s="251" t="n"/>
      <c r="DE826" s="251" t="n"/>
      <c r="DF826" s="251" t="n"/>
      <c r="DG826" s="251" t="n"/>
      <c r="DH826" s="251" t="n"/>
      <c r="DI826" s="251" t="n"/>
      <c r="DJ826" s="251" t="n"/>
      <c r="DK826" s="251" t="n"/>
      <c r="DL826" s="95" t="n"/>
      <c r="DM826" s="251" t="inlineStr">
        <is>
          <t>M</t>
        </is>
      </c>
      <c r="DN826" s="95" t="n">
        <v>8</v>
      </c>
      <c r="DO826" s="95" t="n">
        <v>14</v>
      </c>
    </row>
    <row r="827" ht="12.65" customHeight="1">
      <c r="A827" s="205" t="inlineStr">
        <is>
          <t>PPC-19</t>
        </is>
      </c>
      <c r="B827" s="305"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1" t="inlineStr">
        <is>
          <t>536ZP001</t>
        </is>
      </c>
      <c r="BL827" s="61" t="inlineStr">
        <is>
          <t>GMAP-SIGA</t>
        </is>
      </c>
      <c r="BM827" s="251" t="inlineStr">
        <is>
          <t>NF</t>
        </is>
      </c>
      <c r="BN827" s="337" t="inlineStr">
        <is>
          <t>Coposa Norte</t>
        </is>
      </c>
      <c r="BO827" s="168"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42" t="n">
        <v>1</v>
      </c>
      <c r="CP827" s="105" t="n"/>
      <c r="CQ827" s="105" t="n"/>
      <c r="CR827" s="105" t="n"/>
      <c r="CS827" s="105" t="n"/>
      <c r="CT827" s="105" t="n"/>
      <c r="CW827" s="105" t="n"/>
      <c r="CX827" s="105" t="n"/>
      <c r="CY827" s="105" t="n"/>
      <c r="CZ827" s="124">
        <f>+COUNTA(BV827:CY827)</f>
        <v/>
      </c>
      <c r="DA827" s="206" t="n"/>
      <c r="DB827" s="251" t="n"/>
      <c r="DC827" s="251" t="n"/>
      <c r="DD827" s="251" t="n"/>
      <c r="DE827" s="251" t="n"/>
      <c r="DF827" s="251" t="n"/>
      <c r="DG827" s="251" t="n"/>
      <c r="DH827" s="251" t="n"/>
      <c r="DI827" s="251" t="n"/>
      <c r="DJ827" s="251" t="inlineStr">
        <is>
          <t>M</t>
        </is>
      </c>
      <c r="DK827" s="251" t="n">
        <v>15</v>
      </c>
      <c r="DL827" s="95" t="n">
        <v>28</v>
      </c>
      <c r="DM827" s="251" t="n"/>
      <c r="DN827" s="95" t="n"/>
      <c r="DO827" s="95" t="n"/>
    </row>
    <row r="828" ht="13" customHeight="1">
      <c r="A828" s="203" t="inlineStr">
        <is>
          <t>PPC-20</t>
        </is>
      </c>
      <c r="B828" s="305" t="inlineStr">
        <is>
          <t>PPC-20 COPOSA NORTE</t>
        </is>
      </c>
      <c r="C828" s="251"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2" t="inlineStr">
        <is>
          <t>532MAPPC</t>
        </is>
      </c>
      <c r="BL828" s="7" t="inlineStr">
        <is>
          <t>GTAM</t>
        </is>
      </c>
      <c r="BM828" s="251" t="inlineStr">
        <is>
          <t>NF</t>
        </is>
      </c>
      <c r="BN828" s="337" t="inlineStr">
        <is>
          <t>Coposa Norte</t>
        </is>
      </c>
      <c r="BO828" s="168" t="inlineStr">
        <is>
          <t>SI / PAT FRONTERA</t>
        </is>
      </c>
      <c r="BP828" s="106" t="inlineStr">
        <is>
          <t>PPC-20 COPOSA NORTE/NF</t>
        </is>
      </c>
      <c r="BQ828" s="106">
        <f>VLOOKUP(BP828,[1]AGUA!$1:$1048576,2,FALSE)</f>
        <v/>
      </c>
      <c r="BR828" s="106">
        <f>VLOOKUP(BP828,[1]AGUA!$1:$1048576,6,FALSE)</f>
        <v/>
      </c>
      <c r="BS828" s="106">
        <f>VLOOKUP(BP828,[1]AGUA!$1:$1048576,7,FALSE)</f>
        <v/>
      </c>
      <c r="BT828" s="106" t="n"/>
      <c r="BU828" s="336" t="inlineStr">
        <is>
          <t>hito 54 Carabineros</t>
        </is>
      </c>
      <c r="BV828" s="105" t="n"/>
      <c r="BW828" s="105" t="n"/>
      <c r="BX828" s="105" t="n"/>
      <c r="BY828" s="105" t="n"/>
      <c r="BZ828" s="105" t="n"/>
      <c r="CA828" s="105" t="n"/>
      <c r="CB828" s="105" t="n"/>
      <c r="CC828" s="105" t="n"/>
      <c r="CD828" s="105" t="n"/>
      <c r="CE828" s="105" t="n"/>
      <c r="CF828" s="105" t="n"/>
      <c r="CG828" s="105" t="n"/>
      <c r="CH828" s="105" t="n"/>
      <c r="CI828" s="105" t="n"/>
      <c r="CJ828" s="105" t="n"/>
      <c r="CK828" s="105" t="n"/>
      <c r="CL828" s="142" t="n">
        <v>1</v>
      </c>
      <c r="CM828" s="105" t="n"/>
      <c r="CN828" s="105" t="n"/>
      <c r="CO828" s="105" t="n"/>
      <c r="CP828" s="105" t="n"/>
      <c r="CQ828" s="105" t="n"/>
      <c r="CR828" s="105" t="n"/>
      <c r="CS828" s="105" t="n"/>
      <c r="CT828" s="105" t="n"/>
      <c r="CV828" s="105" t="n"/>
      <c r="CW828" s="105" t="n"/>
      <c r="CX828" s="105" t="n"/>
      <c r="CY828" s="105" t="n"/>
      <c r="CZ828" s="124">
        <f>+COUNTA(BV828:CY828)</f>
        <v/>
      </c>
      <c r="DA828" s="251" t="n"/>
      <c r="DB828" s="251" t="n"/>
      <c r="DC828" s="251" t="n"/>
      <c r="DD828" s="251" t="n"/>
      <c r="DE828" s="251" t="n"/>
      <c r="DF828" s="251" t="n"/>
      <c r="DG828" s="251" t="n"/>
      <c r="DH828" s="251" t="n"/>
      <c r="DI828" s="251" t="n"/>
      <c r="DJ828" s="251" t="inlineStr">
        <is>
          <t>M</t>
        </is>
      </c>
      <c r="DK828" s="251" t="n">
        <v>8</v>
      </c>
      <c r="DL828" s="95" t="n">
        <v>21</v>
      </c>
      <c r="DM828" s="251" t="n"/>
      <c r="DN828" s="95" t="n"/>
      <c r="DO828" s="95" t="n"/>
    </row>
    <row r="829" ht="13" customHeight="1">
      <c r="A829" s="203" t="inlineStr">
        <is>
          <t>PPC-20</t>
        </is>
      </c>
      <c r="B829" s="376" t="n"/>
      <c r="C829" s="376"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76" t="n"/>
      <c r="BL829" s="7" t="inlineStr">
        <is>
          <t>GTAM</t>
        </is>
      </c>
      <c r="BM829" s="251" t="inlineStr">
        <is>
          <t>ASUB</t>
        </is>
      </c>
      <c r="BN829" s="337" t="inlineStr">
        <is>
          <t>Coposa Norte</t>
        </is>
      </c>
      <c r="BO829" s="168"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77" t="n"/>
      <c r="BV829" s="105" t="n"/>
      <c r="BW829" s="105" t="n"/>
      <c r="BX829" s="105" t="n"/>
      <c r="BY829" s="105" t="n"/>
      <c r="BZ829" s="105" t="n"/>
      <c r="CA829" s="105" t="n"/>
      <c r="CB829" s="105" t="n"/>
      <c r="CC829" s="105" t="n"/>
      <c r="CD829" s="105" t="n"/>
      <c r="CE829" s="105" t="n"/>
      <c r="CF829" s="105" t="n"/>
      <c r="CG829" s="105" t="n"/>
      <c r="CH829" s="105" t="n"/>
      <c r="CI829" s="105" t="n"/>
      <c r="CJ829" s="105" t="n"/>
      <c r="CK829" s="105" t="n"/>
      <c r="CL829" s="107" t="n">
        <v>1</v>
      </c>
      <c r="CM829" s="105" t="n"/>
      <c r="CN829" s="105" t="n"/>
      <c r="CO829" s="105" t="n"/>
      <c r="CP829" s="105" t="n"/>
      <c r="CQ829" s="105" t="n"/>
      <c r="CR829" s="105" t="n"/>
      <c r="CS829" s="105" t="n"/>
      <c r="CT829" s="105" t="n"/>
      <c r="CV829" s="105" t="n"/>
      <c r="CW829" s="105" t="n"/>
      <c r="CX829" s="105" t="n"/>
      <c r="CY829" s="105" t="n"/>
      <c r="CZ829" s="124">
        <f>+COUNTA(BV829:CY829)</f>
        <v/>
      </c>
      <c r="DA829" s="251" t="n"/>
      <c r="DB829" s="251" t="n"/>
      <c r="DC829" s="251" t="n"/>
      <c r="DD829" s="251" t="n"/>
      <c r="DE829" s="251" t="n"/>
      <c r="DF829" s="251" t="n"/>
      <c r="DG829" s="251" t="n"/>
      <c r="DH829" s="251" t="n"/>
      <c r="DI829" s="251" t="n"/>
      <c r="DJ829" s="251" t="n"/>
      <c r="DK829" s="251" t="n"/>
      <c r="DL829" s="95" t="n"/>
      <c r="DM829" s="251" t="inlineStr">
        <is>
          <t>T</t>
        </is>
      </c>
      <c r="DN829" s="95" t="n">
        <v>8</v>
      </c>
      <c r="DO829" s="95" t="n">
        <v>14</v>
      </c>
    </row>
    <row r="830" ht="13" customHeight="1">
      <c r="A830" s="203" t="inlineStr">
        <is>
          <t>PPC-21</t>
        </is>
      </c>
      <c r="B830" s="305" t="inlineStr">
        <is>
          <t>PPC-21 COPOSA NORTE</t>
        </is>
      </c>
      <c r="C830" s="251"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2" t="inlineStr">
        <is>
          <t>532MAPPC</t>
        </is>
      </c>
      <c r="BL830" s="7" t="inlineStr">
        <is>
          <t>GTAM</t>
        </is>
      </c>
      <c r="BM830" s="251" t="inlineStr">
        <is>
          <t>NF</t>
        </is>
      </c>
      <c r="BN830" s="337" t="inlineStr">
        <is>
          <t>Coposa Norte</t>
        </is>
      </c>
      <c r="BO830" s="168"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2"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05" t="n"/>
      <c r="CG830" s="105" t="n"/>
      <c r="CH830" s="105" t="n"/>
      <c r="CI830" s="105" t="n"/>
      <c r="CJ830" s="105" t="n"/>
      <c r="CK830" s="105" t="n"/>
      <c r="CL830" s="142" t="n">
        <v>1</v>
      </c>
      <c r="CM830" s="105" t="n"/>
      <c r="CN830" s="105" t="n"/>
      <c r="CO830" s="105" t="n"/>
      <c r="CP830" s="105" t="n"/>
      <c r="CQ830" s="105" t="n"/>
      <c r="CR830" s="105" t="n"/>
      <c r="CS830" s="105" t="n"/>
      <c r="CT830" s="105" t="n"/>
      <c r="CV830" s="105" t="n"/>
      <c r="CW830" s="105" t="n"/>
      <c r="CX830" s="105" t="n"/>
      <c r="CY830" s="105" t="n"/>
      <c r="CZ830" s="124">
        <f>+COUNTA(BV830:CY830)</f>
        <v/>
      </c>
      <c r="DA830" s="251" t="n"/>
      <c r="DB830" s="251" t="n"/>
      <c r="DC830" s="251" t="n"/>
      <c r="DD830" s="251" t="n"/>
      <c r="DE830" s="251" t="n"/>
      <c r="DF830" s="251" t="n"/>
      <c r="DG830" s="251" t="n"/>
      <c r="DH830" s="251" t="n"/>
      <c r="DI830" s="251" t="n"/>
      <c r="DJ830" s="251" t="inlineStr">
        <is>
          <t>M</t>
        </is>
      </c>
      <c r="DK830" s="251" t="n">
        <v>8</v>
      </c>
      <c r="DL830" s="95" t="n">
        <v>21</v>
      </c>
      <c r="DM830" s="251" t="n"/>
      <c r="DN830" s="95" t="n"/>
      <c r="DO830" s="95" t="n"/>
    </row>
    <row r="831" ht="13" customHeight="1">
      <c r="A831" s="203" t="inlineStr">
        <is>
          <t>PPC-21</t>
        </is>
      </c>
      <c r="B831" s="376" t="n"/>
      <c r="C831" s="376"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76" t="n"/>
      <c r="BL831" s="7" t="inlineStr">
        <is>
          <t>GTAM</t>
        </is>
      </c>
      <c r="BM831" s="251" t="inlineStr">
        <is>
          <t>ASUB</t>
        </is>
      </c>
      <c r="BN831" s="337" t="inlineStr">
        <is>
          <t>Coposa Norte</t>
        </is>
      </c>
      <c r="BO831" s="168"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77" t="n"/>
      <c r="BV831" s="105" t="n"/>
      <c r="BW831" s="105" t="n"/>
      <c r="BX831" s="105" t="n"/>
      <c r="BY831" s="105" t="n"/>
      <c r="BZ831" s="105" t="n"/>
      <c r="CA831" s="105" t="n"/>
      <c r="CB831" s="105" t="n"/>
      <c r="CC831" s="105" t="n"/>
      <c r="CD831" s="105" t="n"/>
      <c r="CE831" s="105" t="n"/>
      <c r="CF831" s="105" t="n"/>
      <c r="CG831" s="105" t="n"/>
      <c r="CH831" s="105" t="n"/>
      <c r="CI831" s="105" t="n"/>
      <c r="CJ831" s="105" t="n"/>
      <c r="CK831" s="105" t="n"/>
      <c r="CL831" s="107" t="n">
        <v>1</v>
      </c>
      <c r="CM831" s="105" t="n"/>
      <c r="CN831" s="105" t="n"/>
      <c r="CO831" s="105" t="n"/>
      <c r="CP831" s="105" t="n"/>
      <c r="CQ831" s="105" t="n"/>
      <c r="CR831" s="105" t="n"/>
      <c r="CS831" s="105" t="n"/>
      <c r="CT831" s="105" t="n"/>
      <c r="CV831" s="105" t="n"/>
      <c r="CW831" s="105" t="n"/>
      <c r="CX831" s="105" t="n"/>
      <c r="CY831" s="105" t="n"/>
      <c r="CZ831" s="124">
        <f>+COUNTA(BV831:CY831)</f>
        <v/>
      </c>
      <c r="DA831" s="251" t="n"/>
      <c r="DB831" s="251" t="n"/>
      <c r="DC831" s="251" t="n"/>
      <c r="DD831" s="251" t="n"/>
      <c r="DE831" s="251" t="n"/>
      <c r="DF831" s="251" t="n"/>
      <c r="DG831" s="251" t="n"/>
      <c r="DH831" s="251" t="n"/>
      <c r="DI831" s="251" t="n"/>
      <c r="DJ831" s="251" t="n"/>
      <c r="DK831" s="251" t="n"/>
      <c r="DL831" s="95" t="n"/>
      <c r="DM831" s="251" t="inlineStr">
        <is>
          <t>T</t>
        </is>
      </c>
      <c r="DN831" s="95" t="n">
        <v>8</v>
      </c>
      <c r="DO831" s="95" t="n">
        <v>14</v>
      </c>
    </row>
    <row r="832" ht="13" customHeight="1">
      <c r="A832" s="203" t="inlineStr">
        <is>
          <t>PPC-23</t>
        </is>
      </c>
      <c r="B832" s="305" t="inlineStr">
        <is>
          <t>PPC-23 COPOSA SUR</t>
        </is>
      </c>
      <c r="C832" s="251"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1" t="inlineStr">
        <is>
          <t>537PP531</t>
        </is>
      </c>
      <c r="BL832" s="7" t="inlineStr">
        <is>
          <t>GTAM</t>
        </is>
      </c>
      <c r="BM832" s="251" t="inlineStr">
        <is>
          <t>NF</t>
        </is>
      </c>
      <c r="BN832" s="337" t="inlineStr">
        <is>
          <t>Coposa sur</t>
        </is>
      </c>
      <c r="BO832" s="251" t="inlineStr">
        <is>
          <t>SI</t>
        </is>
      </c>
      <c r="BP832" s="106" t="inlineStr">
        <is>
          <t>PPC-23 COPOSA SUR/NF</t>
        </is>
      </c>
      <c r="BQ832" s="106">
        <f>VLOOKUP(BP832,[1]AGUA!$1:$1048576,2,FALSE)</f>
        <v/>
      </c>
      <c r="BR832" s="106">
        <f>VLOOKUP(BP832,[1]AGUA!$1:$1048576,6,FALSE)</f>
        <v/>
      </c>
      <c r="BS832" s="106">
        <f>VLOOKUP(BP832,[1]AGUA!$1:$1048576,7,FALSE)</f>
        <v/>
      </c>
      <c r="BT832" s="106" t="n"/>
      <c r="BU832" s="253" t="inlineStr">
        <is>
          <t>Instrumentalizado</t>
        </is>
      </c>
      <c r="BV832" s="105" t="n"/>
      <c r="BW832" s="105" t="n"/>
      <c r="BX832" s="105" t="n"/>
      <c r="BY832" s="105" t="n"/>
      <c r="BZ832" s="105" t="n"/>
      <c r="CA832" s="105" t="n"/>
      <c r="CB832" s="105" t="n"/>
      <c r="CC832" s="105" t="n"/>
      <c r="CD832" s="105" t="n"/>
      <c r="CE832" s="142" t="n">
        <v>1</v>
      </c>
      <c r="CF832" s="105" t="n"/>
      <c r="CG832" s="105" t="n"/>
      <c r="CH832" s="105" t="n"/>
      <c r="CI832" s="105" t="n"/>
      <c r="CJ832" s="105" t="n"/>
      <c r="CK832" s="105" t="n"/>
      <c r="CL832" s="105" t="n"/>
      <c r="CM832" s="105" t="n"/>
      <c r="CN832" s="105" t="n"/>
      <c r="CO832" s="105" t="n"/>
      <c r="CP832" s="105" t="n"/>
      <c r="CQ832" s="105" t="n"/>
      <c r="CR832" s="105" t="n"/>
      <c r="CS832" s="105" t="n"/>
      <c r="CT832" s="105" t="n"/>
      <c r="CV832" s="105" t="n"/>
      <c r="CW832" s="105" t="n"/>
      <c r="CX832" s="105" t="n"/>
      <c r="CY832" s="105" t="n"/>
      <c r="CZ832" s="124">
        <f>+COUNTA(BV832:CY832)</f>
        <v/>
      </c>
      <c r="DA832" s="251" t="n"/>
      <c r="DB832" s="251" t="n"/>
      <c r="DC832" s="251" t="n"/>
      <c r="DD832" s="251" t="n"/>
      <c r="DE832" s="251" t="n"/>
      <c r="DF832" s="251" t="n"/>
      <c r="DG832" s="251" t="n"/>
      <c r="DH832" s="251" t="n"/>
      <c r="DI832" s="251" t="n"/>
      <c r="DJ832" s="251" t="inlineStr">
        <is>
          <t>M</t>
        </is>
      </c>
      <c r="DK832" s="251" t="n">
        <v>8</v>
      </c>
      <c r="DL832" s="95" t="n">
        <v>14</v>
      </c>
      <c r="DM832" s="251" t="n"/>
      <c r="DN832" s="95" t="n"/>
      <c r="DO832" s="95" t="n"/>
    </row>
    <row r="833" ht="13" customHeight="1">
      <c r="A833" s="203" t="inlineStr">
        <is>
          <t>PPC-23</t>
        </is>
      </c>
      <c r="B833" s="376" t="n"/>
      <c r="C833" s="376"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76" t="n"/>
      <c r="BL833" s="7" t="inlineStr">
        <is>
          <t>GTAM</t>
        </is>
      </c>
      <c r="BM833" s="251" t="inlineStr">
        <is>
          <t>ASUB</t>
        </is>
      </c>
      <c r="BN833" s="337" t="inlineStr">
        <is>
          <t>Coposa sur</t>
        </is>
      </c>
      <c r="BO833" s="251" t="inlineStr">
        <is>
          <t>SI</t>
        </is>
      </c>
      <c r="BP833" s="106" t="inlineStr">
        <is>
          <t>PPC-23 COPOSA SUR/ASUB</t>
        </is>
      </c>
      <c r="BQ833" s="106">
        <f>VLOOKUP(BP833,[1]AGUA!$1:$1048576,2,FALSE)</f>
        <v/>
      </c>
      <c r="BR833" s="106">
        <f>VLOOKUP(BP833,[1]AGUA!$1:$1048576,6,FALSE)</f>
        <v/>
      </c>
      <c r="BS833" s="106">
        <f>VLOOKUP(BP833,[1]AGUA!$1:$1048576,7,FALSE)</f>
        <v/>
      </c>
      <c r="BT833" s="106" t="n"/>
      <c r="BU833" s="377" t="n"/>
      <c r="BV833" s="105" t="n"/>
      <c r="BW833" s="105" t="n"/>
      <c r="BX833" s="105" t="n"/>
      <c r="BY833" s="105" t="n"/>
      <c r="BZ833" s="105" t="n"/>
      <c r="CA833" s="105" t="n"/>
      <c r="CB833" s="105" t="n"/>
      <c r="CC833" s="105" t="n"/>
      <c r="CD833" s="105" t="n"/>
      <c r="CE833" s="107" t="n">
        <v>1</v>
      </c>
      <c r="CF833" s="105" t="n"/>
      <c r="CG833" s="105" t="n"/>
      <c r="CH833" s="105" t="n"/>
      <c r="CI833" s="105" t="n"/>
      <c r="CJ833" s="105" t="n"/>
      <c r="CK833" s="105" t="n"/>
      <c r="CL833" s="105" t="n"/>
      <c r="CM833" s="105" t="n"/>
      <c r="CN833" s="105" t="n"/>
      <c r="CO833" s="105" t="n"/>
      <c r="CP833" s="105" t="n"/>
      <c r="CQ833" s="105" t="n"/>
      <c r="CR833" s="105" t="n"/>
      <c r="CS833" s="105" t="n"/>
      <c r="CT833" s="105" t="n"/>
      <c r="CV833" s="105" t="n"/>
      <c r="CW833" s="105" t="n"/>
      <c r="CX833" s="105" t="n"/>
      <c r="CY833" s="105" t="n"/>
      <c r="CZ833" s="124">
        <f>+COUNTA(BV833:CY833)</f>
        <v/>
      </c>
      <c r="DA833" s="251" t="n"/>
      <c r="DB833" s="251" t="n"/>
      <c r="DC833" s="251" t="n"/>
      <c r="DD833" s="251" t="n"/>
      <c r="DE833" s="251" t="n"/>
      <c r="DF833" s="251" t="n"/>
      <c r="DG833" s="251" t="n"/>
      <c r="DH833" s="251" t="n"/>
      <c r="DI833" s="251" t="n"/>
      <c r="DJ833" s="251" t="n"/>
      <c r="DK833" s="251" t="n"/>
      <c r="DL833" s="95" t="n"/>
      <c r="DM833" s="251" t="inlineStr">
        <is>
          <t>M</t>
        </is>
      </c>
      <c r="DN833" s="95" t="n">
        <v>8</v>
      </c>
      <c r="DO833" s="95" t="n">
        <v>14</v>
      </c>
    </row>
    <row r="834" ht="13" customHeight="1">
      <c r="A834" s="203" t="inlineStr">
        <is>
          <t>PPC-27</t>
        </is>
      </c>
      <c r="B834" s="305" t="inlineStr">
        <is>
          <t>PPC-27 COPOSA SUR</t>
        </is>
      </c>
      <c r="C834" s="251"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1" t="inlineStr">
        <is>
          <t>537PP533</t>
        </is>
      </c>
      <c r="BL834" s="7" t="inlineStr">
        <is>
          <t>GTAM</t>
        </is>
      </c>
      <c r="BM834" s="251" t="inlineStr">
        <is>
          <t>NF</t>
        </is>
      </c>
      <c r="BN834" s="337" t="inlineStr">
        <is>
          <t>Coposa sur</t>
        </is>
      </c>
      <c r="BO834" s="251" t="inlineStr">
        <is>
          <t>SI</t>
        </is>
      </c>
      <c r="BP834" s="106" t="inlineStr">
        <is>
          <t>PPC-27 COPOSA SUR/NF</t>
        </is>
      </c>
      <c r="BQ834" s="106">
        <f>VLOOKUP(BP834,[1]AGUA!$1:$1048576,2,FALSE)</f>
        <v/>
      </c>
      <c r="BR834" s="106">
        <f>VLOOKUP(BP834,[1]AGUA!$1:$1048576,6,FALSE)</f>
        <v/>
      </c>
      <c r="BS834" s="106">
        <f>VLOOKUP(BP834,[1]AGUA!$1:$1048576,7,FALSE)</f>
        <v/>
      </c>
      <c r="BT834" s="106" t="n"/>
      <c r="BU834" s="253" t="inlineStr">
        <is>
          <t xml:space="preserve">gtam instruimnentado
Calidad de aguas trimestral </t>
        </is>
      </c>
      <c r="BV834" s="105" t="n"/>
      <c r="BW834" s="105" t="n"/>
      <c r="BX834" s="105" t="n"/>
      <c r="BY834" s="105" t="n"/>
      <c r="BZ834" s="105" t="n"/>
      <c r="CA834" s="105" t="n"/>
      <c r="CB834" s="105" t="n"/>
      <c r="CC834" s="105" t="n"/>
      <c r="CD834" s="105" t="n"/>
      <c r="CE834" s="142" t="n">
        <v>1</v>
      </c>
      <c r="CF834" s="105" t="n"/>
      <c r="CG834" s="105" t="n"/>
      <c r="CH834" s="105" t="n"/>
      <c r="CI834" s="105" t="n"/>
      <c r="CJ834" s="105" t="n"/>
      <c r="CK834" s="105" t="n"/>
      <c r="CL834" s="105" t="n"/>
      <c r="CM834" s="105" t="n"/>
      <c r="CN834" s="105" t="n"/>
      <c r="CO834" s="105" t="n"/>
      <c r="CP834" s="105" t="n"/>
      <c r="CQ834" s="105" t="n"/>
      <c r="CR834" s="105" t="n"/>
      <c r="CS834" s="105" t="n"/>
      <c r="CT834" s="105" t="n"/>
      <c r="CV834" s="105" t="n"/>
      <c r="CW834" s="105" t="n"/>
      <c r="CX834" s="105" t="n"/>
      <c r="CY834" s="105" t="n"/>
      <c r="CZ834" s="124">
        <f>+COUNTA(BV834:CY834)</f>
        <v/>
      </c>
      <c r="DA834" s="251" t="n"/>
      <c r="DB834" s="251" t="n"/>
      <c r="DC834" s="251" t="n"/>
      <c r="DD834" s="251" t="n"/>
      <c r="DE834" s="251" t="n"/>
      <c r="DF834" s="251" t="n"/>
      <c r="DG834" s="251" t="n"/>
      <c r="DH834" s="251" t="n"/>
      <c r="DI834" s="251" t="n"/>
      <c r="DJ834" s="251" t="inlineStr">
        <is>
          <t>M</t>
        </is>
      </c>
      <c r="DK834" s="251" t="n">
        <v>8</v>
      </c>
      <c r="DL834" s="95" t="n">
        <v>14</v>
      </c>
      <c r="DM834" s="251" t="n"/>
      <c r="DN834" s="95" t="n"/>
      <c r="DO834" s="95" t="n"/>
    </row>
    <row r="835" ht="13" customHeight="1">
      <c r="A835" s="203" t="inlineStr">
        <is>
          <t>PPC-27</t>
        </is>
      </c>
      <c r="B835" s="376" t="n"/>
      <c r="C835" s="376"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76" t="n"/>
      <c r="BL835" s="7" t="inlineStr">
        <is>
          <t>GTAM</t>
        </is>
      </c>
      <c r="BM835" s="251" t="inlineStr">
        <is>
          <t>ASUB</t>
        </is>
      </c>
      <c r="BN835" s="337" t="inlineStr">
        <is>
          <t>Coposa sur</t>
        </is>
      </c>
      <c r="BO835" s="251"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77" t="n"/>
      <c r="BV835" s="105" t="n"/>
      <c r="BW835" s="105" t="n"/>
      <c r="BX835" s="105" t="n"/>
      <c r="BY835" s="105" t="n"/>
      <c r="BZ835" s="105" t="n"/>
      <c r="CA835" s="105" t="n"/>
      <c r="CB835" s="105" t="n"/>
      <c r="CC835" s="105" t="n"/>
      <c r="CD835" s="105" t="n"/>
      <c r="CE835" s="107" t="n">
        <v>1</v>
      </c>
      <c r="CF835" s="105" t="n"/>
      <c r="CG835" s="105" t="n"/>
      <c r="CH835" s="105" t="n"/>
      <c r="CI835" s="105" t="n"/>
      <c r="CJ835" s="105" t="n"/>
      <c r="CK835" s="105" t="n"/>
      <c r="CL835" s="105" t="n"/>
      <c r="CM835" s="105" t="n"/>
      <c r="CN835" s="105" t="n"/>
      <c r="CO835" s="105" t="n"/>
      <c r="CP835" s="105" t="n"/>
      <c r="CQ835" s="105" t="n"/>
      <c r="CR835" s="105" t="n"/>
      <c r="CS835" s="105" t="n"/>
      <c r="CT835" s="105" t="n"/>
      <c r="CV835" s="105" t="n"/>
      <c r="CW835" s="105" t="n"/>
      <c r="CX835" s="105" t="n"/>
      <c r="CY835" s="105" t="n"/>
      <c r="CZ835" s="124">
        <f>+COUNTA(BV835:CY835)</f>
        <v/>
      </c>
      <c r="DA835" s="251" t="n"/>
      <c r="DB835" s="251" t="n"/>
      <c r="DC835" s="251" t="n"/>
      <c r="DD835" s="251" t="n"/>
      <c r="DE835" s="251" t="n"/>
      <c r="DF835" s="251" t="n"/>
      <c r="DG835" s="251" t="n"/>
      <c r="DH835" s="251" t="n"/>
      <c r="DI835" s="251" t="n"/>
      <c r="DJ835" s="251" t="n"/>
      <c r="DK835" s="251" t="n"/>
      <c r="DL835" s="95" t="n"/>
      <c r="DM835" s="251" t="inlineStr">
        <is>
          <t>M</t>
        </is>
      </c>
      <c r="DN835" s="95" t="n">
        <v>8</v>
      </c>
      <c r="DO835" s="95" t="n">
        <v>14</v>
      </c>
    </row>
    <row r="836" ht="13" customHeight="1">
      <c r="A836" s="203" t="inlineStr">
        <is>
          <t>PPC-28</t>
        </is>
      </c>
      <c r="B836" s="305" t="inlineStr">
        <is>
          <t>PPC-28 COPOSA SUR</t>
        </is>
      </c>
      <c r="C836" s="251"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1" t="inlineStr">
        <is>
          <t>537PP534</t>
        </is>
      </c>
      <c r="BL836" s="7" t="inlineStr">
        <is>
          <t>GTAM</t>
        </is>
      </c>
      <c r="BM836" s="251" t="inlineStr">
        <is>
          <t>NF</t>
        </is>
      </c>
      <c r="BN836" s="337" t="inlineStr">
        <is>
          <t>Coposa sur</t>
        </is>
      </c>
      <c r="BO836" s="251" t="inlineStr">
        <is>
          <t>SI</t>
        </is>
      </c>
      <c r="BP836" s="106" t="inlineStr">
        <is>
          <t>PPC-28 COPOSA SUR/NF</t>
        </is>
      </c>
      <c r="BQ836" s="106">
        <f>VLOOKUP(BP836,[1]AGUA!$1:$1048576,2,FALSE)</f>
        <v/>
      </c>
      <c r="BR836" s="106">
        <f>VLOOKUP(BP836,[1]AGUA!$1:$1048576,6,FALSE)</f>
        <v/>
      </c>
      <c r="BS836" s="106">
        <f>VLOOKUP(BP836,[1]AGUA!$1:$1048576,7,FALSE)</f>
        <v/>
      </c>
      <c r="BT836" s="106" t="n"/>
      <c r="BU836" s="253" t="inlineStr">
        <is>
          <t>Instrumentalizado</t>
        </is>
      </c>
      <c r="BV836" s="105" t="n"/>
      <c r="BW836" s="105" t="n"/>
      <c r="BX836" s="105" t="n"/>
      <c r="BY836" s="105" t="n"/>
      <c r="BZ836" s="105" t="n"/>
      <c r="CA836" s="105" t="n"/>
      <c r="CB836" s="105" t="n"/>
      <c r="CC836" s="105" t="n"/>
      <c r="CD836" s="105" t="n"/>
      <c r="CE836" s="142" t="n">
        <v>1</v>
      </c>
      <c r="CF836" s="105" t="n"/>
      <c r="CG836" s="105" t="n"/>
      <c r="CH836" s="105" t="n"/>
      <c r="CI836" s="105" t="n"/>
      <c r="CJ836" s="105" t="n"/>
      <c r="CK836" s="105" t="n"/>
      <c r="CL836" s="105" t="n"/>
      <c r="CM836" s="105" t="n"/>
      <c r="CN836" s="105" t="n"/>
      <c r="CO836" s="105" t="n"/>
      <c r="CP836" s="105" t="n"/>
      <c r="CQ836" s="105" t="n"/>
      <c r="CR836" s="105" t="n"/>
      <c r="CS836" s="105" t="n"/>
      <c r="CT836" s="105" t="n"/>
      <c r="CV836" s="105" t="n"/>
      <c r="CW836" s="105" t="n"/>
      <c r="CX836" s="105" t="n"/>
      <c r="CY836" s="105" t="n"/>
      <c r="CZ836" s="124">
        <f>+COUNTA(BV836:CY836)</f>
        <v/>
      </c>
      <c r="DA836" s="251" t="n"/>
      <c r="DB836" s="251" t="n"/>
      <c r="DC836" s="251" t="n"/>
      <c r="DD836" s="251" t="n"/>
      <c r="DE836" s="251" t="n"/>
      <c r="DF836" s="251" t="n"/>
      <c r="DG836" s="251" t="n"/>
      <c r="DH836" s="251" t="n"/>
      <c r="DI836" s="251" t="n"/>
      <c r="DJ836" s="251" t="inlineStr">
        <is>
          <t>M</t>
        </is>
      </c>
      <c r="DK836" s="251" t="n">
        <v>8</v>
      </c>
      <c r="DL836" s="95" t="n">
        <v>14</v>
      </c>
      <c r="DM836" s="251" t="n"/>
      <c r="DN836" s="95" t="n"/>
      <c r="DO836" s="95" t="n"/>
    </row>
    <row r="837" ht="13.5" customHeight="1">
      <c r="A837" s="203" t="inlineStr">
        <is>
          <t>PPC-28</t>
        </is>
      </c>
      <c r="B837" s="376" t="n"/>
      <c r="C837" s="376"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76" t="n"/>
      <c r="BL837" s="7" t="inlineStr">
        <is>
          <t>GTAM</t>
        </is>
      </c>
      <c r="BM837" s="251" t="inlineStr">
        <is>
          <t>ASUB</t>
        </is>
      </c>
      <c r="BN837" s="337" t="inlineStr">
        <is>
          <t>Coposa sur</t>
        </is>
      </c>
      <c r="BO837" s="251" t="inlineStr">
        <is>
          <t>SI</t>
        </is>
      </c>
      <c r="BP837" s="106" t="inlineStr">
        <is>
          <t>PPC-28 COPOSA SUR/ASUB</t>
        </is>
      </c>
      <c r="BQ837" s="106">
        <f>VLOOKUP(BP837,[1]AGUA!$1:$1048576,2,FALSE)</f>
        <v/>
      </c>
      <c r="BR837" s="106">
        <f>VLOOKUP(BP837,[1]AGUA!$1:$1048576,6,FALSE)</f>
        <v/>
      </c>
      <c r="BS837" s="106">
        <f>VLOOKUP(BP837,[1]AGUA!$1:$1048576,7,FALSE)</f>
        <v/>
      </c>
      <c r="BT837" s="106" t="n"/>
      <c r="BU837" s="377" t="n"/>
      <c r="BV837" s="105" t="n"/>
      <c r="BW837" s="105" t="n"/>
      <c r="BX837" s="105" t="n"/>
      <c r="BY837" s="105" t="n"/>
      <c r="BZ837" s="105" t="n"/>
      <c r="CA837" s="105" t="n"/>
      <c r="CB837" s="105" t="n"/>
      <c r="CC837" s="105" t="n"/>
      <c r="CD837" s="105" t="n"/>
      <c r="CE837" s="107" t="n">
        <v>1</v>
      </c>
      <c r="CF837" s="105" t="n"/>
      <c r="CG837" s="105" t="n"/>
      <c r="CH837" s="105" t="n"/>
      <c r="CI837" s="105" t="n"/>
      <c r="CJ837" s="105" t="n"/>
      <c r="CK837" s="105" t="n"/>
      <c r="CL837" s="105" t="n"/>
      <c r="CM837" s="105" t="n"/>
      <c r="CN837" s="105" t="n"/>
      <c r="CO837" s="105" t="n"/>
      <c r="CP837" s="105" t="n"/>
      <c r="CQ837" s="105" t="n"/>
      <c r="CR837" s="105" t="n"/>
      <c r="CS837" s="105" t="n"/>
      <c r="CT837" s="105" t="n"/>
      <c r="CV837" s="105" t="n"/>
      <c r="CW837" s="105" t="n"/>
      <c r="CX837" s="105" t="n"/>
      <c r="CY837" s="105" t="n"/>
      <c r="CZ837" s="124">
        <f>+COUNTA(BV837:CY837)</f>
        <v/>
      </c>
      <c r="DA837" s="251" t="n"/>
      <c r="DB837" s="251" t="n"/>
      <c r="DC837" s="251" t="n"/>
      <c r="DD837" s="251" t="n"/>
      <c r="DE837" s="251" t="n"/>
      <c r="DF837" s="251" t="n"/>
      <c r="DG837" s="251" t="n"/>
      <c r="DH837" s="251" t="n"/>
      <c r="DI837" s="251" t="n"/>
      <c r="DJ837" s="251" t="n"/>
      <c r="DK837" s="251" t="n"/>
      <c r="DL837" s="95" t="n"/>
      <c r="DM837" s="251" t="inlineStr">
        <is>
          <t>M</t>
        </is>
      </c>
      <c r="DN837" s="95" t="n">
        <v>8</v>
      </c>
      <c r="DO837" s="95" t="n">
        <v>14</v>
      </c>
    </row>
    <row r="838" ht="13" customHeight="1">
      <c r="A838" s="203" t="inlineStr">
        <is>
          <t>PPC-29</t>
        </is>
      </c>
      <c r="B838" s="305"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2" t="inlineStr">
        <is>
          <t>532MAPPC</t>
        </is>
      </c>
      <c r="BL838" s="61" t="inlineStr">
        <is>
          <t>GMAP-SIGA</t>
        </is>
      </c>
      <c r="BM838" s="251" t="inlineStr">
        <is>
          <t>NF</t>
        </is>
      </c>
      <c r="BN838" s="337" t="inlineStr">
        <is>
          <t>Coposa Norte</t>
        </is>
      </c>
      <c r="BO838" s="168"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05" t="n"/>
      <c r="CG838" s="105" t="n"/>
      <c r="CH838" s="105" t="n"/>
      <c r="CI838" s="105" t="n"/>
      <c r="CJ838" s="105" t="n"/>
      <c r="CK838" s="105" t="n"/>
      <c r="CL838" s="105" t="n"/>
      <c r="CM838" s="142" t="n">
        <v>1</v>
      </c>
      <c r="CN838" s="105" t="n"/>
      <c r="CO838" s="105" t="n"/>
      <c r="CP838" s="105" t="n"/>
      <c r="CQ838" s="105" t="n"/>
      <c r="CR838" s="105" t="n"/>
      <c r="CS838" s="105" t="n"/>
      <c r="CT838" s="105" t="n"/>
      <c r="CV838" s="105" t="n"/>
      <c r="CW838" s="105" t="n"/>
      <c r="CX838" s="105" t="n"/>
      <c r="CY838" s="105" t="n"/>
      <c r="CZ838" s="124">
        <f>+COUNTA(BV838:CY838)</f>
        <v/>
      </c>
      <c r="DA838" s="251" t="n"/>
      <c r="DB838" s="251" t="n"/>
      <c r="DC838" s="251" t="n"/>
      <c r="DD838" s="251" t="n"/>
      <c r="DE838" s="251" t="n"/>
      <c r="DF838" s="251" t="n"/>
      <c r="DG838" s="251" t="n"/>
      <c r="DH838" s="251" t="n"/>
      <c r="DI838" s="251" t="n"/>
      <c r="DJ838" s="251" t="inlineStr">
        <is>
          <t>M</t>
        </is>
      </c>
      <c r="DK838" s="251" t="n">
        <v>8</v>
      </c>
      <c r="DL838" s="95" t="n">
        <v>21</v>
      </c>
      <c r="DM838" s="251" t="n"/>
      <c r="DN838" s="95" t="n"/>
      <c r="DO838" s="95" t="n"/>
    </row>
    <row r="839" ht="13" customHeight="1">
      <c r="A839" s="203" t="inlineStr">
        <is>
          <t>PPC-30</t>
        </is>
      </c>
      <c r="B839" s="305"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2" t="inlineStr">
        <is>
          <t>532MAPPC</t>
        </is>
      </c>
      <c r="BL839" s="61" t="inlineStr">
        <is>
          <t>GMAP-SIGA</t>
        </is>
      </c>
      <c r="BM839" s="251" t="inlineStr">
        <is>
          <t>NF</t>
        </is>
      </c>
      <c r="BN839" s="337" t="inlineStr">
        <is>
          <t>Coposa Centro</t>
        </is>
      </c>
      <c r="BO839" s="251"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05" t="n"/>
      <c r="CK839" s="105" t="n"/>
      <c r="CL839" s="105" t="n"/>
      <c r="CM839" s="105" t="n"/>
      <c r="CN839" s="105" t="n"/>
      <c r="CO839" s="105" t="n"/>
      <c r="CP839" s="105" t="n"/>
      <c r="CQ839" s="105" t="n"/>
      <c r="CR839" s="105" t="n"/>
      <c r="CS839" s="105" t="n"/>
      <c r="CT839" s="105" t="n"/>
      <c r="CV839" s="105" t="n"/>
      <c r="CW839" s="105" t="n"/>
      <c r="CX839" s="105" t="n"/>
      <c r="CY839" s="105" t="n"/>
      <c r="CZ839" s="124">
        <f>+COUNTA(BV839:CY839)</f>
        <v/>
      </c>
      <c r="DA839" s="251" t="n"/>
      <c r="DB839" s="251" t="n"/>
      <c r="DC839" s="251" t="n"/>
      <c r="DD839" s="251" t="n"/>
      <c r="DE839" s="251" t="n"/>
      <c r="DF839" s="251" t="n"/>
      <c r="DG839" s="251" t="n"/>
      <c r="DH839" s="251" t="n"/>
      <c r="DI839" s="251" t="n"/>
      <c r="DJ839" s="251" t="inlineStr">
        <is>
          <t>T</t>
        </is>
      </c>
      <c r="DK839" s="251" t="n">
        <v>8</v>
      </c>
      <c r="DL839" s="95" t="n">
        <v>14</v>
      </c>
      <c r="DM839" s="251" t="n"/>
      <c r="DN839" s="95" t="n"/>
      <c r="DO839" s="95" t="n"/>
    </row>
    <row r="840" ht="13" customHeight="1">
      <c r="A840" s="203" t="inlineStr">
        <is>
          <t>PPC-31</t>
        </is>
      </c>
      <c r="B840" s="305"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2" t="inlineStr">
        <is>
          <t>532MAPPC</t>
        </is>
      </c>
      <c r="BL840" s="61" t="inlineStr">
        <is>
          <t>GMAP-SIGA</t>
        </is>
      </c>
      <c r="BM840" s="251" t="inlineStr">
        <is>
          <t>NF</t>
        </is>
      </c>
      <c r="BN840" s="337" t="inlineStr">
        <is>
          <t>Coposa Norte</t>
        </is>
      </c>
      <c r="BO840" s="251"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05" t="n"/>
      <c r="CD840" s="105" t="n"/>
      <c r="CE840" s="105" t="n"/>
      <c r="CF840" s="105" t="n"/>
      <c r="CG840" s="105" t="n"/>
      <c r="CH840" s="105" t="n"/>
      <c r="CI840" s="105" t="n"/>
      <c r="CJ840" s="105" t="n"/>
      <c r="CK840" s="105" t="n"/>
      <c r="CL840" s="105" t="n"/>
      <c r="CM840" s="105" t="n"/>
      <c r="CN840" s="105" t="n"/>
      <c r="CO840" s="105" t="n"/>
      <c r="CP840" s="105" t="n"/>
      <c r="CQ840" s="105" t="n"/>
      <c r="CR840" s="105" t="n"/>
      <c r="CS840" s="105" t="n"/>
      <c r="CT840" s="105" t="n"/>
      <c r="CV840" s="105" t="n"/>
      <c r="CW840" s="105" t="n"/>
      <c r="CX840" s="105" t="n"/>
      <c r="CY840" s="105" t="n"/>
      <c r="CZ840" s="124">
        <f>+COUNTA(BV840:CY840)</f>
        <v/>
      </c>
      <c r="DA840" s="251" t="n"/>
      <c r="DB840" s="251" t="n"/>
      <c r="DC840" s="251" t="n"/>
      <c r="DD840" s="251" t="n"/>
      <c r="DE840" s="251" t="n"/>
      <c r="DF840" s="251" t="n"/>
      <c r="DG840" s="251" t="n"/>
      <c r="DH840" s="251" t="n"/>
      <c r="DI840" s="251" t="n"/>
      <c r="DJ840" s="251" t="inlineStr">
        <is>
          <t>M</t>
        </is>
      </c>
      <c r="DK840" s="251" t="n">
        <v>8</v>
      </c>
      <c r="DL840" s="95" t="n">
        <v>14</v>
      </c>
      <c r="DM840" s="251" t="n"/>
      <c r="DN840" s="95" t="n"/>
      <c r="DO840" s="95" t="n"/>
    </row>
    <row r="841" ht="12" customHeight="1">
      <c r="A841" s="215" t="inlineStr">
        <is>
          <t>PPC-32</t>
        </is>
      </c>
      <c r="B841" s="305"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2" t="inlineStr">
        <is>
          <t>532MAPPC</t>
        </is>
      </c>
      <c r="BL841" s="61" t="inlineStr">
        <is>
          <t>GMAP-SIGA</t>
        </is>
      </c>
      <c r="BM841" s="251" t="inlineStr">
        <is>
          <t>NF</t>
        </is>
      </c>
      <c r="BN841" s="337" t="inlineStr">
        <is>
          <t>Coposa Sur</t>
        </is>
      </c>
      <c r="BO841" s="251"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05" t="n"/>
      <c r="CK841" s="105" t="n"/>
      <c r="CL841" s="105" t="n"/>
      <c r="CM841" s="105" t="n"/>
      <c r="CN841" s="105" t="n"/>
      <c r="CO841" s="105" t="n"/>
      <c r="CP841" s="105" t="n"/>
      <c r="CQ841" s="105" t="n"/>
      <c r="CR841" s="105" t="n"/>
      <c r="CS841" s="105" t="n"/>
      <c r="CT841" s="105" t="n"/>
      <c r="CV841" s="105" t="n"/>
      <c r="CW841" s="105" t="n"/>
      <c r="CX841" s="105" t="n"/>
      <c r="CY841" s="105" t="n"/>
      <c r="CZ841" s="124">
        <f>+COUNTA(BV841:CY841)</f>
        <v/>
      </c>
      <c r="DA841" s="251" t="n"/>
      <c r="DB841" s="251" t="n"/>
      <c r="DC841" s="251" t="n"/>
      <c r="DD841" s="251" t="n"/>
      <c r="DE841" s="251" t="n"/>
      <c r="DF841" s="251" t="n"/>
      <c r="DG841" s="251" t="n"/>
      <c r="DH841" s="251" t="n"/>
      <c r="DI841" s="251" t="n"/>
      <c r="DJ841" s="251" t="inlineStr">
        <is>
          <t>T</t>
        </is>
      </c>
      <c r="DK841" s="251" t="n">
        <v>8</v>
      </c>
      <c r="DL841" s="95" t="n">
        <v>14</v>
      </c>
      <c r="DM841" s="251" t="n"/>
      <c r="DN841" s="95" t="n"/>
      <c r="DO841" s="95" t="n"/>
    </row>
    <row r="842" ht="12" customHeight="1">
      <c r="A842" s="203" t="inlineStr">
        <is>
          <t>PPC-32</t>
        </is>
      </c>
      <c r="B842" s="305"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2" t="n"/>
      <c r="BL842" s="61" t="n"/>
      <c r="BM842" s="251" t="inlineStr">
        <is>
          <t>ASUB</t>
        </is>
      </c>
      <c r="BN842" s="337" t="inlineStr">
        <is>
          <t>Coposa sur</t>
        </is>
      </c>
      <c r="BO842" s="251"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V842" s="105" t="n"/>
      <c r="CW842" s="105" t="n"/>
      <c r="CX842" s="105" t="n"/>
      <c r="CY842" s="105" t="n"/>
      <c r="CZ842" s="124">
        <f>+COUNTA(BV842:CY842)</f>
        <v/>
      </c>
      <c r="DA842" s="251" t="n"/>
      <c r="DB842" s="251" t="n"/>
      <c r="DC842" s="251" t="n"/>
      <c r="DD842" s="251" t="n"/>
      <c r="DE842" s="251" t="n"/>
      <c r="DF842" s="251" t="n"/>
      <c r="DG842" s="251" t="n"/>
      <c r="DH842" s="251" t="n"/>
      <c r="DI842" s="251" t="n"/>
      <c r="DJ842" s="251" t="n"/>
      <c r="DK842" s="251" t="n"/>
      <c r="DL842" s="95" t="n"/>
      <c r="DM842" s="251" t="n"/>
      <c r="DN842" s="95" t="n"/>
      <c r="DO842" s="95" t="n"/>
    </row>
    <row r="843" ht="11.5" customHeight="1">
      <c r="A843" s="203" t="inlineStr">
        <is>
          <t>PPC-33</t>
        </is>
      </c>
      <c r="B843" s="305"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2" t="inlineStr">
        <is>
          <t>532MAPPC</t>
        </is>
      </c>
      <c r="BL843" s="61" t="inlineStr">
        <is>
          <t>GMAP-SIGA</t>
        </is>
      </c>
      <c r="BM843" s="251" t="inlineStr">
        <is>
          <t>NF</t>
        </is>
      </c>
      <c r="BN843" s="106" t="inlineStr">
        <is>
          <t>Falla Pabellón</t>
        </is>
      </c>
      <c r="BO843" s="251"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05" t="n"/>
      <c r="CN843" s="105" t="n"/>
      <c r="CO843" s="105" t="n"/>
      <c r="CP843" s="105" t="n"/>
      <c r="CQ843" s="105" t="n"/>
      <c r="CR843" s="105" t="n"/>
      <c r="CS843" s="105" t="n"/>
      <c r="CT843" s="105" t="n"/>
      <c r="CV843" s="105" t="n"/>
      <c r="CW843" s="105" t="n"/>
      <c r="CX843" s="105" t="n"/>
      <c r="CY843" s="105" t="n"/>
      <c r="CZ843" s="124">
        <f>+COUNTA(BV843:CY843)</f>
        <v/>
      </c>
      <c r="DA843" s="251" t="n"/>
      <c r="DB843" s="251" t="n"/>
      <c r="DC843" s="251" t="n"/>
      <c r="DD843" s="251" t="n"/>
      <c r="DE843" s="251" t="n"/>
      <c r="DF843" s="251" t="n"/>
      <c r="DG843" s="251" t="n"/>
      <c r="DH843" s="251" t="n"/>
      <c r="DI843" s="251" t="n"/>
      <c r="DJ843" s="251" t="inlineStr">
        <is>
          <t>T</t>
        </is>
      </c>
      <c r="DK843" s="251" t="n">
        <v>15</v>
      </c>
      <c r="DL843" s="95" t="n">
        <v>21</v>
      </c>
      <c r="DM843" s="251" t="n"/>
      <c r="DN843" s="95" t="n"/>
      <c r="DO843" s="95" t="n"/>
    </row>
    <row r="844" ht="11.5" customHeight="1">
      <c r="A844" s="203" t="inlineStr">
        <is>
          <t>PPC-33</t>
        </is>
      </c>
      <c r="B844" s="305"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2" t="n"/>
      <c r="BL844" s="61" t="n"/>
      <c r="BM844" s="251" t="inlineStr">
        <is>
          <t>ASUB</t>
        </is>
      </c>
      <c r="BN844" s="106" t="inlineStr">
        <is>
          <t>Falla Pabellón</t>
        </is>
      </c>
      <c r="BO844" s="251"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5" t="n"/>
      <c r="CN844" s="105" t="n"/>
      <c r="CO844" s="105" t="n"/>
      <c r="CP844" s="105" t="n"/>
      <c r="CQ844" s="105" t="n"/>
      <c r="CR844" s="105" t="n"/>
      <c r="CS844" s="105" t="n"/>
      <c r="CT844" s="105" t="n"/>
      <c r="CV844" s="105" t="n"/>
      <c r="CW844" s="105" t="n"/>
      <c r="CX844" s="105" t="n"/>
      <c r="CY844" s="105" t="n"/>
      <c r="CZ844" s="124">
        <f>+COUNTA(BV844:CY844)</f>
        <v/>
      </c>
      <c r="DA844" s="251" t="n"/>
      <c r="DB844" s="251" t="n"/>
      <c r="DC844" s="251" t="n"/>
      <c r="DD844" s="251" t="n"/>
      <c r="DE844" s="251" t="n"/>
      <c r="DF844" s="251" t="n"/>
      <c r="DG844" s="251" t="n"/>
      <c r="DH844" s="251" t="n"/>
      <c r="DI844" s="251" t="n"/>
      <c r="DJ844" s="251" t="inlineStr">
        <is>
          <t>T</t>
        </is>
      </c>
      <c r="DK844" s="251" t="n">
        <v>15</v>
      </c>
      <c r="DL844" s="95" t="n">
        <v>21</v>
      </c>
      <c r="DM844" s="251" t="n"/>
      <c r="DN844" s="95" t="n"/>
      <c r="DO844" s="95" t="n"/>
    </row>
    <row r="845" ht="13" customHeight="1">
      <c r="A845" s="205" t="inlineStr">
        <is>
          <t>PPS-01</t>
        </is>
      </c>
      <c r="B845" s="305"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2" t="inlineStr">
        <is>
          <t>532MAPPS</t>
        </is>
      </c>
      <c r="BL845" s="61" t="inlineStr">
        <is>
          <t>GMAP-SIGA</t>
        </is>
      </c>
      <c r="BM845" s="251" t="inlineStr">
        <is>
          <t>NF</t>
        </is>
      </c>
      <c r="BN845" s="337" t="inlineStr">
        <is>
          <t>Coposa Centro</t>
        </is>
      </c>
      <c r="BO845" s="251"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242" t="n">
        <v>1</v>
      </c>
      <c r="BY845" s="105" t="n"/>
      <c r="BZ845" s="105" t="n"/>
      <c r="CA845" s="105" t="n"/>
      <c r="CB845" s="105" t="n"/>
      <c r="CC845" s="105" t="n"/>
      <c r="CD845" s="105" t="n"/>
      <c r="CE845" s="105" t="n"/>
      <c r="CF845" s="105" t="n"/>
      <c r="CG845" s="105" t="n"/>
      <c r="CH845" s="105" t="n"/>
      <c r="CI845" s="105" t="n"/>
      <c r="CJ845" s="105" t="n"/>
      <c r="CK845" s="105" t="n"/>
      <c r="CL845" s="105" t="n"/>
      <c r="CM845" s="105" t="n"/>
      <c r="CN845" s="105" t="n"/>
      <c r="CO845" s="105" t="n"/>
      <c r="CP845" s="242" t="n">
        <v>1</v>
      </c>
      <c r="CQ845" s="105" t="n"/>
      <c r="CR845" s="105" t="n"/>
      <c r="CS845" s="105" t="n"/>
      <c r="CT845" s="105" t="n"/>
      <c r="CV845" s="105" t="n"/>
      <c r="CW845" s="105" t="n"/>
      <c r="CX845" s="105" t="n"/>
      <c r="CY845" s="105" t="n"/>
      <c r="CZ845" s="124">
        <f>+COUNTA(BV845:CY845)</f>
        <v/>
      </c>
      <c r="DA845" s="206" t="n"/>
      <c r="DB845" s="251" t="n"/>
      <c r="DC845" s="251" t="n"/>
      <c r="DD845" s="251" t="n"/>
      <c r="DE845" s="251" t="n"/>
      <c r="DF845" s="251" t="n"/>
      <c r="DG845" s="251" t="n"/>
      <c r="DH845" s="251" t="n"/>
      <c r="DI845" s="251" t="n"/>
      <c r="DJ845" s="251" t="inlineStr">
        <is>
          <t>Q</t>
        </is>
      </c>
      <c r="DK845" s="226" t="inlineStr">
        <is>
          <t>1- 15</t>
        </is>
      </c>
      <c r="DL845" s="226" t="inlineStr">
        <is>
          <t>14-28</t>
        </is>
      </c>
      <c r="DM845" s="251" t="n"/>
      <c r="DN845" s="95" t="n"/>
      <c r="DO845" s="95" t="n"/>
    </row>
    <row r="846" ht="13" customHeight="1">
      <c r="A846" s="203" t="inlineStr">
        <is>
          <t>PPS-01</t>
        </is>
      </c>
      <c r="B846" s="305"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2" t="n"/>
      <c r="BL846" s="61" t="n"/>
      <c r="BM846" s="251" t="inlineStr">
        <is>
          <t>ASUB</t>
        </is>
      </c>
      <c r="BN846" s="337" t="inlineStr">
        <is>
          <t>Coposa Centro</t>
        </is>
      </c>
      <c r="BO846" s="251"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V846" s="105" t="n"/>
      <c r="CW846" s="105" t="n"/>
      <c r="CX846" s="105" t="n"/>
      <c r="CY846" s="105" t="n"/>
      <c r="CZ846" s="124">
        <f>+COUNTA(BV846:CY846)</f>
        <v/>
      </c>
      <c r="DA846" s="206" t="n"/>
      <c r="DB846" s="251" t="n"/>
      <c r="DC846" s="251" t="n"/>
      <c r="DD846" s="251" t="n"/>
      <c r="DE846" s="251" t="n"/>
      <c r="DF846" s="251" t="n"/>
      <c r="DG846" s="251" t="n"/>
      <c r="DH846" s="251" t="n"/>
      <c r="DI846" s="251" t="n"/>
      <c r="DJ846" s="251" t="n"/>
      <c r="DK846" s="251" t="n"/>
      <c r="DL846" s="95" t="n"/>
      <c r="DM846" s="251" t="n"/>
      <c r="DN846" s="95" t="n"/>
      <c r="DO846" s="95" t="n"/>
    </row>
    <row r="847" ht="13.5" customHeight="1">
      <c r="A847" s="205" t="inlineStr">
        <is>
          <t>PPS-02B</t>
        </is>
      </c>
      <c r="B847" s="305"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2" t="inlineStr">
        <is>
          <t>532MAPPS</t>
        </is>
      </c>
      <c r="BL847" s="61" t="inlineStr">
        <is>
          <t>GMAP-SIGA</t>
        </is>
      </c>
      <c r="BM847" s="251" t="inlineStr">
        <is>
          <t>NF</t>
        </is>
      </c>
      <c r="BN847" s="337" t="inlineStr">
        <is>
          <t>Coposa Centro</t>
        </is>
      </c>
      <c r="BO847" s="168"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242" t="n">
        <v>1</v>
      </c>
      <c r="BY847" s="105" t="n"/>
      <c r="BZ847" s="105" t="n"/>
      <c r="CA847" s="105" t="n"/>
      <c r="CB847" s="105" t="n"/>
      <c r="CC847" s="105" t="n"/>
      <c r="CD847" s="105" t="n"/>
      <c r="CE847" s="105" t="n"/>
      <c r="CF847" s="105" t="n"/>
      <c r="CG847" s="105" t="n"/>
      <c r="CH847" s="105" t="n"/>
      <c r="CI847" s="105" t="n"/>
      <c r="CJ847" s="105" t="n"/>
      <c r="CK847" s="105" t="n"/>
      <c r="CL847" s="105" t="n"/>
      <c r="CM847" s="105" t="n"/>
      <c r="CN847" s="105" t="n"/>
      <c r="CO847" s="105" t="n"/>
      <c r="CP847" s="242" t="n">
        <v>1</v>
      </c>
      <c r="CQ847" s="105" t="n"/>
      <c r="CR847" s="105" t="n"/>
      <c r="CS847" s="105" t="n"/>
      <c r="CT847" s="105" t="n"/>
      <c r="CV847" s="105" t="n"/>
      <c r="CW847" s="105" t="n"/>
      <c r="CX847" s="105" t="n"/>
      <c r="CY847" s="105" t="n"/>
      <c r="CZ847" s="124">
        <f>+COUNTA(BV847:CY847)</f>
        <v/>
      </c>
      <c r="DA847" s="206" t="n"/>
      <c r="DB847" s="251" t="n"/>
      <c r="DC847" s="251" t="n"/>
      <c r="DD847" s="251" t="n"/>
      <c r="DE847" s="251" t="n"/>
      <c r="DF847" s="251" t="n"/>
      <c r="DG847" s="251" t="n"/>
      <c r="DH847" s="251" t="n"/>
      <c r="DI847" s="251" t="n"/>
      <c r="DJ847" s="251" t="inlineStr">
        <is>
          <t>Q</t>
        </is>
      </c>
      <c r="DK847" s="226" t="inlineStr">
        <is>
          <t>1- 15</t>
        </is>
      </c>
      <c r="DL847" s="226" t="inlineStr">
        <is>
          <t>14-28</t>
        </is>
      </c>
      <c r="DM847" s="251" t="n"/>
      <c r="DN847" s="95" t="n"/>
      <c r="DO847" s="95" t="n"/>
    </row>
    <row r="848" ht="13" customHeight="1">
      <c r="A848" s="203" t="inlineStr">
        <is>
          <t>PQC-B</t>
        </is>
      </c>
      <c r="B848" s="305"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2" t="inlineStr">
        <is>
          <t>532MAQCY</t>
        </is>
      </c>
      <c r="BL848" s="61" t="inlineStr">
        <is>
          <t>GMAP-SIGA</t>
        </is>
      </c>
      <c r="BM848" s="251" t="inlineStr">
        <is>
          <t>NF</t>
        </is>
      </c>
      <c r="BN848" s="337" t="inlineStr">
        <is>
          <t>Quebrada Caya</t>
        </is>
      </c>
      <c r="BO848" s="251"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V848" s="105" t="n"/>
      <c r="CW848" s="105" t="n"/>
      <c r="CX848" s="105" t="n"/>
      <c r="CY848" s="105" t="n"/>
      <c r="CZ848" s="124">
        <f>+COUNTA(BV848:CY848)</f>
        <v/>
      </c>
      <c r="DA848" s="251" t="n"/>
      <c r="DB848" s="251" t="n"/>
      <c r="DC848" s="251" t="n"/>
      <c r="DD848" s="251" t="n"/>
      <c r="DE848" s="251" t="n"/>
      <c r="DF848" s="251" t="n"/>
      <c r="DG848" s="251" t="n"/>
      <c r="DH848" s="251" t="n"/>
      <c r="DI848" s="251" t="n"/>
      <c r="DJ848" s="251" t="inlineStr">
        <is>
          <t>STRAL</t>
        </is>
      </c>
      <c r="DK848" s="251" t="n">
        <v>15</v>
      </c>
      <c r="DL848" s="95" t="n">
        <v>28</v>
      </c>
      <c r="DM848" s="251" t="n"/>
      <c r="DN848" s="95" t="n"/>
      <c r="DO848" s="95" t="n"/>
    </row>
    <row r="849" ht="13" customHeight="1">
      <c r="A849" s="203" t="inlineStr">
        <is>
          <t>PQC-C1</t>
        </is>
      </c>
      <c r="B849" s="305"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2" t="inlineStr">
        <is>
          <t>532MAQCY</t>
        </is>
      </c>
      <c r="BL849" s="61" t="inlineStr">
        <is>
          <t>GMAP-SIGA</t>
        </is>
      </c>
      <c r="BM849" s="251" t="inlineStr">
        <is>
          <t>NF</t>
        </is>
      </c>
      <c r="BN849" s="337" t="inlineStr">
        <is>
          <t>Quebrada Caya</t>
        </is>
      </c>
      <c r="BO849" s="251"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V849" s="105" t="n"/>
      <c r="CW849" s="105" t="n"/>
      <c r="CX849" s="105" t="n"/>
      <c r="CY849" s="105" t="n"/>
      <c r="CZ849" s="124">
        <f>+COUNTA(BV849:CY849)</f>
        <v/>
      </c>
      <c r="DA849" s="251" t="n"/>
      <c r="DB849" s="251" t="n"/>
      <c r="DC849" s="251" t="n"/>
      <c r="DD849" s="251" t="n"/>
      <c r="DE849" s="251" t="n"/>
      <c r="DF849" s="251" t="n"/>
      <c r="DG849" s="251" t="n"/>
      <c r="DH849" s="251" t="n"/>
      <c r="DI849" s="251" t="n"/>
      <c r="DJ849" s="251" t="inlineStr">
        <is>
          <t>STRAL</t>
        </is>
      </c>
      <c r="DK849" s="251" t="n">
        <v>15</v>
      </c>
      <c r="DL849" s="95" t="n">
        <v>28</v>
      </c>
      <c r="DM849" s="251" t="n"/>
      <c r="DN849" s="95" t="n"/>
      <c r="DO849" s="95" t="n"/>
    </row>
    <row r="850" ht="13" customHeight="1">
      <c r="A850" s="203" t="inlineStr">
        <is>
          <t>PQY-02</t>
        </is>
      </c>
      <c r="B850" s="305"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2" t="inlineStr">
        <is>
          <t>532MAPQY</t>
        </is>
      </c>
      <c r="BL850" s="61" t="inlineStr">
        <is>
          <t>GMAP-SIGA</t>
        </is>
      </c>
      <c r="BM850" s="251" t="inlineStr">
        <is>
          <t>NF</t>
        </is>
      </c>
      <c r="BN850" s="337" t="inlineStr">
        <is>
          <t>Yabricollita</t>
        </is>
      </c>
      <c r="BO850" s="251"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42" t="n">
        <v>1</v>
      </c>
      <c r="CN850" s="105" t="n"/>
      <c r="CO850" s="105" t="n"/>
      <c r="CP850" s="105" t="n"/>
      <c r="CQ850" s="105" t="n"/>
      <c r="CR850" s="105" t="n"/>
      <c r="CS850" s="105" t="n"/>
      <c r="CT850" s="105" t="n"/>
      <c r="CV850" s="105" t="n"/>
      <c r="CW850" s="105" t="n"/>
      <c r="CX850" s="105" t="n"/>
      <c r="CY850" s="105" t="n"/>
      <c r="CZ850" s="124">
        <f>+COUNTA(BV850:CY850)</f>
        <v/>
      </c>
      <c r="DA850" s="251" t="n"/>
      <c r="DB850" s="251" t="n"/>
      <c r="DC850" s="251" t="n"/>
      <c r="DD850" s="251" t="n"/>
      <c r="DE850" s="251" t="n"/>
      <c r="DF850" s="251" t="n"/>
      <c r="DG850" s="251" t="n"/>
      <c r="DH850" s="251" t="n"/>
      <c r="DI850" s="251" t="n"/>
      <c r="DJ850" s="251" t="inlineStr">
        <is>
          <t>T</t>
        </is>
      </c>
      <c r="DK850" s="251" t="n">
        <v>15</v>
      </c>
      <c r="DL850" s="95" t="n">
        <v>21</v>
      </c>
      <c r="DM850" s="251" t="n"/>
      <c r="DN850" s="95" t="n"/>
      <c r="DO850" s="95" t="n"/>
    </row>
    <row r="851" ht="13" customHeight="1">
      <c r="A851" s="203" t="inlineStr">
        <is>
          <t>PQY-03</t>
        </is>
      </c>
      <c r="B851" s="305"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2" t="inlineStr">
        <is>
          <t>532MAPQY</t>
        </is>
      </c>
      <c r="BL851" s="61" t="inlineStr">
        <is>
          <t>GMAP-SIGA</t>
        </is>
      </c>
      <c r="BM851" s="251" t="inlineStr">
        <is>
          <t>NF</t>
        </is>
      </c>
      <c r="BN851" s="337" t="inlineStr">
        <is>
          <t>Yabricollita</t>
        </is>
      </c>
      <c r="BO851" s="251"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42" t="n">
        <v>1</v>
      </c>
      <c r="CN851" s="105" t="n"/>
      <c r="CO851" s="105" t="n"/>
      <c r="CP851" s="105" t="n"/>
      <c r="CQ851" s="105" t="n"/>
      <c r="CR851" s="105" t="n"/>
      <c r="CS851" s="105" t="n"/>
      <c r="CT851" s="105" t="n"/>
      <c r="CV851" s="105" t="n"/>
      <c r="CW851" s="105" t="n"/>
      <c r="CX851" s="105" t="n"/>
      <c r="CY851" s="105" t="n"/>
      <c r="CZ851" s="124">
        <f>+COUNTA(BV851:CY851)</f>
        <v/>
      </c>
      <c r="DA851" s="251" t="n"/>
      <c r="DB851" s="251" t="n"/>
      <c r="DC851" s="251" t="n"/>
      <c r="DD851" s="251" t="n"/>
      <c r="DE851" s="251" t="n"/>
      <c r="DF851" s="251" t="n"/>
      <c r="DG851" s="251" t="n"/>
      <c r="DH851" s="251" t="n"/>
      <c r="DI851" s="251" t="n"/>
      <c r="DJ851" s="251" t="inlineStr">
        <is>
          <t>B</t>
        </is>
      </c>
      <c r="DK851" s="251" t="n">
        <v>15</v>
      </c>
      <c r="DL851" s="95" t="n">
        <v>21</v>
      </c>
      <c r="DM851" s="251" t="n"/>
      <c r="DN851" s="95" t="n"/>
      <c r="DO851" s="95" t="n"/>
    </row>
    <row r="852" ht="13" customHeight="1">
      <c r="A852" s="203" t="inlineStr">
        <is>
          <t>PUNTERA 1</t>
        </is>
      </c>
      <c r="B852" s="305" t="inlineStr">
        <is>
          <t>PUNTERA 1 (P-01)</t>
        </is>
      </c>
      <c r="C852" s="251"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2" t="inlineStr">
        <is>
          <t>532WLP-01</t>
        </is>
      </c>
      <c r="BL852" s="7" t="inlineStr">
        <is>
          <t>GMAP-SIGA</t>
        </is>
      </c>
      <c r="BM852" s="251" t="inlineStr">
        <is>
          <t>NF</t>
        </is>
      </c>
      <c r="BN852" s="337" t="inlineStr">
        <is>
          <t>Yabricollita</t>
        </is>
      </c>
      <c r="BO852" s="251" t="inlineStr">
        <is>
          <t>SI</t>
        </is>
      </c>
      <c r="BP852" s="106" t="inlineStr">
        <is>
          <t>PUNTERA 1 (P-01)/NF</t>
        </is>
      </c>
      <c r="BQ852" s="106">
        <f>VLOOKUP(BP852,[1]AGUA!$1:$1048576,2,FALSE)</f>
        <v/>
      </c>
      <c r="BR852" s="106">
        <f>VLOOKUP(BP852,[1]AGUA!$1:$1048576,6,FALSE)</f>
        <v/>
      </c>
      <c r="BS852" s="106">
        <f>VLOOKUP(BP852,[1]AGUA!$1:$1048576,7,FALSE)</f>
        <v/>
      </c>
      <c r="BT852" s="106" t="n"/>
      <c r="BU852" s="253" t="inlineStr">
        <is>
          <t>las punteras no se pueden dejar el mismo dia, es por que solo hay una bomba</t>
        </is>
      </c>
      <c r="BV852" s="105" t="n"/>
      <c r="BW852" s="105" t="n"/>
      <c r="BX852" s="105" t="n"/>
      <c r="BY852" s="105" t="n"/>
      <c r="CA852" s="105" t="n"/>
      <c r="CB852" s="105" t="n"/>
      <c r="CC852" s="105" t="n"/>
      <c r="CD852" s="105" t="n"/>
      <c r="CE852" s="105" t="n"/>
      <c r="CF852" s="105" t="n"/>
      <c r="CG852" s="105" t="n"/>
      <c r="CH852" s="105" t="n"/>
      <c r="CI852" s="105" t="n"/>
      <c r="CJ852" s="105" t="n"/>
      <c r="CK852" s="105" t="n"/>
      <c r="CL852" s="105" t="n"/>
      <c r="CM852" s="105" t="n"/>
      <c r="CN852" s="105" t="n"/>
      <c r="CO852" s="105" t="n"/>
      <c r="CP852" s="105" t="n"/>
      <c r="CQ852" s="105" t="n"/>
      <c r="CR852" s="105" t="n"/>
      <c r="CS852" s="105" t="n"/>
      <c r="CT852" s="105" t="n"/>
      <c r="CU852" s="214" t="n">
        <v>1</v>
      </c>
      <c r="CV852" s="105" t="n"/>
      <c r="CW852" s="105" t="n"/>
      <c r="CX852" s="105" t="n"/>
      <c r="CY852" s="105" t="n"/>
      <c r="CZ852" s="124">
        <f>+COUNTA(BV852:CY852)</f>
        <v/>
      </c>
      <c r="DA852" s="251" t="n"/>
      <c r="DB852" s="251" t="n"/>
      <c r="DC852" s="251" t="n"/>
      <c r="DD852" s="207" t="n"/>
      <c r="DE852" s="251" t="n"/>
      <c r="DF852" s="251" t="n"/>
      <c r="DG852" s="251" t="n"/>
      <c r="DH852" s="251" t="n"/>
      <c r="DI852" s="214" t="n"/>
      <c r="DJ852" s="251" t="inlineStr">
        <is>
          <t>M</t>
        </is>
      </c>
      <c r="DK852" s="251" t="n">
        <v>1</v>
      </c>
      <c r="DL852" s="95" t="n">
        <v>16</v>
      </c>
      <c r="DM852" s="251" t="n"/>
      <c r="DN852" s="95" t="n"/>
      <c r="DO852" s="95" t="n"/>
    </row>
    <row r="853" ht="13" customHeight="1">
      <c r="A853" s="203" t="inlineStr">
        <is>
          <t>PUNTERA 1</t>
        </is>
      </c>
      <c r="B853" s="376" t="n"/>
      <c r="C853" s="376"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76" t="n"/>
      <c r="BL853" s="7" t="inlineStr">
        <is>
          <t>GMAP-SIGA</t>
        </is>
      </c>
      <c r="BM853" s="251" t="inlineStr">
        <is>
          <t>ASUB</t>
        </is>
      </c>
      <c r="BN853" s="337" t="inlineStr">
        <is>
          <t>Yabricollita</t>
        </is>
      </c>
      <c r="BO853" s="251" t="inlineStr">
        <is>
          <t>SI</t>
        </is>
      </c>
      <c r="BP853" s="106" t="inlineStr">
        <is>
          <t>PUNTERA 1 (P-01)/ASUB</t>
        </is>
      </c>
      <c r="BQ853" s="106">
        <f>VLOOKUP(BP853,[1]AGUA!$1:$1048576,2,FALSE)</f>
        <v/>
      </c>
      <c r="BR853" s="106">
        <f>VLOOKUP(BP853,[1]AGUA!$1:$1048576,6,FALSE)</f>
        <v/>
      </c>
      <c r="BS853" s="106">
        <f>VLOOKUP(BP853,[1]AGUA!$1:$1048576,7,FALSE)</f>
        <v/>
      </c>
      <c r="BT853" s="106" t="n"/>
      <c r="BU853" s="377" t="n"/>
      <c r="BV853" s="105" t="n"/>
      <c r="BW853" s="105" t="n"/>
      <c r="BX853" s="105" t="n"/>
      <c r="BY853" s="105" t="n"/>
      <c r="CA853" s="105" t="n"/>
      <c r="CB853" s="105" t="n"/>
      <c r="CC853" s="105" t="n"/>
      <c r="CD853" s="105" t="n"/>
      <c r="CE853" s="105" t="n"/>
      <c r="CF853" s="105" t="n"/>
      <c r="CG853" s="105" t="n"/>
      <c r="CH853" s="105" t="n"/>
      <c r="CI853" s="105" t="n"/>
      <c r="CJ853" s="105" t="n"/>
      <c r="CK853" s="105" t="n"/>
      <c r="CL853" s="105" t="n"/>
      <c r="CM853" s="105" t="n"/>
      <c r="CN853" s="105" t="n"/>
      <c r="CO853" s="105" t="n"/>
      <c r="CP853" s="105" t="n"/>
      <c r="CQ853" s="105" t="n"/>
      <c r="CR853" s="105" t="n"/>
      <c r="CS853" s="105" t="n"/>
      <c r="CT853" s="105" t="n"/>
      <c r="CU853" s="214" t="n">
        <v>1</v>
      </c>
      <c r="CV853" s="105" t="n"/>
      <c r="CW853" s="105" t="n"/>
      <c r="CX853" s="105" t="n"/>
      <c r="CY853" s="105" t="n"/>
      <c r="CZ853" s="124">
        <f>+COUNTA(BV853:CY853)</f>
        <v/>
      </c>
      <c r="DA853" s="251" t="n"/>
      <c r="DB853" s="251" t="n"/>
      <c r="DC853" s="251" t="n"/>
      <c r="DD853" s="207" t="n"/>
      <c r="DE853" s="251" t="n"/>
      <c r="DF853" s="251" t="n"/>
      <c r="DG853" s="251" t="n"/>
      <c r="DH853" s="251" t="n"/>
      <c r="DI853" s="214" t="n"/>
      <c r="DJ853" s="251" t="n"/>
      <c r="DK853" s="251" t="n"/>
      <c r="DL853" s="95" t="n"/>
      <c r="DM853" s="251" t="inlineStr">
        <is>
          <t>M</t>
        </is>
      </c>
      <c r="DN853" s="95" t="n">
        <v>1</v>
      </c>
      <c r="DO853" s="95" t="n">
        <v>16</v>
      </c>
    </row>
    <row r="854" ht="13" customHeight="1">
      <c r="A854" s="203" t="inlineStr">
        <is>
          <t>PUNTERA 2</t>
        </is>
      </c>
      <c r="B854" s="305" t="inlineStr">
        <is>
          <t>PUNTERA 2 SALLIHUINCA</t>
        </is>
      </c>
      <c r="C854" s="251"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2" t="inlineStr">
        <is>
          <t>532WLSL-P2</t>
        </is>
      </c>
      <c r="BL854" s="7" t="inlineStr">
        <is>
          <t>GMAP-SIGA</t>
        </is>
      </c>
      <c r="BM854" s="251" t="inlineStr">
        <is>
          <t>NF</t>
        </is>
      </c>
      <c r="BN854" s="337" t="inlineStr">
        <is>
          <t>Sallihuinca</t>
        </is>
      </c>
      <c r="BO854" s="251" t="inlineStr">
        <is>
          <t>SI</t>
        </is>
      </c>
      <c r="BP854" s="106" t="inlineStr">
        <is>
          <t>PUNTERA 2 SALLIHUINCA/NF</t>
        </is>
      </c>
      <c r="BQ854" s="106">
        <f>VLOOKUP(BP854,[1]AGUA!$1:$1048576,2,FALSE)</f>
        <v/>
      </c>
      <c r="BR854" s="106">
        <f>VLOOKUP(BP854,[1]AGUA!$1:$1048576,6,FALSE)</f>
        <v/>
      </c>
      <c r="BS854" s="106">
        <f>VLOOKUP(BP854,[1]AGUA!$1:$1048576,7,FALSE)</f>
        <v/>
      </c>
      <c r="BT854" s="106" t="n"/>
      <c r="BU854" s="253" t="n"/>
      <c r="BV854" s="105" t="n"/>
      <c r="BW854" s="105" t="n"/>
      <c r="BX854" s="105" t="n"/>
      <c r="BY854" s="105" t="n"/>
      <c r="BZ854" s="105" t="n"/>
      <c r="CA854" s="105" t="n"/>
      <c r="CB854" s="105" t="n"/>
      <c r="CC854" s="105" t="n"/>
      <c r="CD854" s="105" t="n"/>
      <c r="CE854" s="105" t="n"/>
      <c r="CF854" s="105" t="n"/>
      <c r="CG854" s="105" t="n"/>
      <c r="CH854" s="105" t="n"/>
      <c r="CI854" s="209" t="n">
        <v>1</v>
      </c>
      <c r="CJ854" s="105" t="n"/>
      <c r="CK854" s="105" t="n"/>
      <c r="CL854" s="105" t="n"/>
      <c r="CM854" s="105" t="n"/>
      <c r="CN854" s="105" t="n"/>
      <c r="CO854" s="105" t="n"/>
      <c r="CP854" s="105" t="n"/>
      <c r="CQ854" s="105" t="n"/>
      <c r="CR854" s="105" t="n"/>
      <c r="CS854" s="105" t="n"/>
      <c r="CT854" s="105" t="n"/>
      <c r="CU854" s="214" t="n">
        <v>1</v>
      </c>
      <c r="CV854" s="105" t="n"/>
      <c r="CW854" s="105" t="n"/>
      <c r="CX854" s="105" t="n"/>
      <c r="CY854" s="105" t="n"/>
      <c r="CZ854" s="124">
        <f>+COUNTA(BV854:CY854)</f>
        <v/>
      </c>
      <c r="DA854" s="251" t="n"/>
      <c r="DB854" s="208" t="n"/>
      <c r="DC854" s="251" t="n"/>
      <c r="DD854" s="207" t="n"/>
      <c r="DE854" s="251" t="n"/>
      <c r="DF854" s="202" t="n"/>
      <c r="DG854" s="209" t="n"/>
      <c r="DH854" s="209" t="n"/>
      <c r="DI854" s="251" t="n"/>
      <c r="DJ854" s="251" t="inlineStr">
        <is>
          <t>M</t>
        </is>
      </c>
      <c r="DK854" s="251" t="n">
        <v>1</v>
      </c>
      <c r="DL854" s="95" t="n">
        <v>16</v>
      </c>
      <c r="DM854" s="251" t="n"/>
      <c r="DN854" s="95" t="n"/>
      <c r="DO854" s="95" t="n"/>
    </row>
    <row r="855" ht="13" customHeight="1">
      <c r="A855" s="203" t="inlineStr">
        <is>
          <t>PUNTERA 2</t>
        </is>
      </c>
      <c r="B855" s="376" t="n"/>
      <c r="C855" s="376"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76" t="n"/>
      <c r="BL855" s="7" t="inlineStr">
        <is>
          <t>GMAP-SIGA</t>
        </is>
      </c>
      <c r="BM855" s="251" t="inlineStr">
        <is>
          <t>ASUB</t>
        </is>
      </c>
      <c r="BN855" s="337" t="inlineStr">
        <is>
          <t>Sallihuinca</t>
        </is>
      </c>
      <c r="BO855" s="251" t="inlineStr">
        <is>
          <t>SI</t>
        </is>
      </c>
      <c r="BP855" s="106" t="inlineStr">
        <is>
          <t>PUNTERA 2 SALLIHUINCA/ASUB</t>
        </is>
      </c>
      <c r="BQ855" s="106">
        <f>VLOOKUP(BP855,[1]AGUA!$1:$1048576,2,FALSE)</f>
        <v/>
      </c>
      <c r="BR855" s="106">
        <f>VLOOKUP(BP855,[1]AGUA!$1:$1048576,6,FALSE)</f>
        <v/>
      </c>
      <c r="BS855" s="106">
        <f>VLOOKUP(BP855,[1]AGUA!$1:$1048576,7,FALSE)</f>
        <v/>
      </c>
      <c r="BT855" s="106" t="n"/>
      <c r="BU855" s="377" t="n"/>
      <c r="BV855" s="105" t="n"/>
      <c r="BW855" s="105" t="n"/>
      <c r="BX855" s="105" t="n"/>
      <c r="BY855" s="105" t="n"/>
      <c r="BZ855" s="105" t="n"/>
      <c r="CA855" s="105" t="n"/>
      <c r="CB855" s="105" t="n"/>
      <c r="CC855" s="105" t="n"/>
      <c r="CD855" s="105" t="n"/>
      <c r="CE855" s="105" t="n"/>
      <c r="CF855" s="105" t="n"/>
      <c r="CG855" s="105" t="n"/>
      <c r="CH855" s="105" t="n"/>
      <c r="CI855" s="209" t="n">
        <v>1</v>
      </c>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24">
        <f>+COUNTA(BV855:CY855)</f>
        <v/>
      </c>
      <c r="DA855" s="251" t="n"/>
      <c r="DB855" s="208" t="n"/>
      <c r="DC855" s="251" t="n"/>
      <c r="DD855" s="207" t="n"/>
      <c r="DE855" s="251" t="n"/>
      <c r="DF855" s="202" t="n"/>
      <c r="DG855" s="209" t="n"/>
      <c r="DH855" s="209" t="n"/>
      <c r="DI855" s="251" t="n"/>
      <c r="DJ855" s="251" t="n"/>
      <c r="DK855" s="251" t="n"/>
      <c r="DL855" s="95" t="n"/>
      <c r="DM855" s="251" t="inlineStr">
        <is>
          <t>M</t>
        </is>
      </c>
      <c r="DN855" s="95" t="n">
        <v>1</v>
      </c>
      <c r="DO855" s="95" t="n">
        <v>16</v>
      </c>
    </row>
    <row r="856" ht="13" customHeight="1">
      <c r="A856" s="203" t="inlineStr">
        <is>
          <t>PUNTERA 3</t>
        </is>
      </c>
      <c r="B856" s="305" t="inlineStr">
        <is>
          <t>PUNTERA 3 (P-03)</t>
        </is>
      </c>
      <c r="C856" s="251"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2" t="inlineStr">
        <is>
          <t>532WLP-03</t>
        </is>
      </c>
      <c r="BL856" s="7" t="inlineStr">
        <is>
          <t>GMAP-SIGA</t>
        </is>
      </c>
      <c r="BM856" s="251" t="inlineStr">
        <is>
          <t>NF</t>
        </is>
      </c>
      <c r="BN856" s="337" t="inlineStr">
        <is>
          <t>Mal paso</t>
        </is>
      </c>
      <c r="BO856" s="251" t="inlineStr">
        <is>
          <t>SI</t>
        </is>
      </c>
      <c r="BP856" s="106" t="inlineStr">
        <is>
          <t>PUNTERA 3 (P-03)/NF</t>
        </is>
      </c>
      <c r="BQ856" s="106">
        <f>VLOOKUP(BP856,[1]AGUA!$1:$1048576,2,FALSE)</f>
        <v/>
      </c>
      <c r="BR856" s="106">
        <f>VLOOKUP(BP856,[1]AGUA!$1:$1048576,6,FALSE)</f>
        <v/>
      </c>
      <c r="BS856" s="106">
        <f>VLOOKUP(BP856,[1]AGUA!$1:$1048576,7,FALSE)</f>
        <v/>
      </c>
      <c r="BT856" s="106" t="n"/>
      <c r="BU856" s="253"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n"/>
      <c r="CR856" s="105" t="n"/>
      <c r="CS856" s="105" t="n"/>
      <c r="CT856" s="142" t="n">
        <v>1</v>
      </c>
      <c r="CU856" s="105" t="n"/>
      <c r="CV856" s="105" t="n"/>
      <c r="CW856" s="105" t="n"/>
      <c r="CX856" s="105" t="n"/>
      <c r="CY856" s="105" t="n"/>
      <c r="CZ856" s="124">
        <f>+COUNTA(BV856:CY856)</f>
        <v/>
      </c>
      <c r="DA856" s="251" t="n"/>
      <c r="DB856" s="251" t="n"/>
      <c r="DC856" s="251" t="n"/>
      <c r="DD856" s="251" t="n"/>
      <c r="DE856" s="251" t="n"/>
      <c r="DF856" s="251" t="n"/>
      <c r="DG856" s="251" t="n"/>
      <c r="DH856" s="251" t="n"/>
      <c r="DI856" s="251" t="n"/>
      <c r="DJ856" s="251" t="inlineStr">
        <is>
          <t>M</t>
        </is>
      </c>
      <c r="DK856" s="251" t="n">
        <v>22</v>
      </c>
      <c r="DL856" s="95" t="n">
        <v>28</v>
      </c>
      <c r="DM856" s="251" t="n"/>
      <c r="DN856" s="95" t="n"/>
      <c r="DO856" s="95" t="n"/>
    </row>
    <row r="857" ht="13" customHeight="1">
      <c r="A857" s="203" t="inlineStr">
        <is>
          <t>PUNTERA 3</t>
        </is>
      </c>
      <c r="B857" s="376" t="n"/>
      <c r="C857" s="376"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76" t="n"/>
      <c r="BL857" s="7" t="inlineStr">
        <is>
          <t>GMAP-SIGA</t>
        </is>
      </c>
      <c r="BM857" s="251" t="inlineStr">
        <is>
          <t>ASUB</t>
        </is>
      </c>
      <c r="BN857" s="337" t="inlineStr">
        <is>
          <t>Mal paso</t>
        </is>
      </c>
      <c r="BO857" s="251" t="inlineStr">
        <is>
          <t>SI</t>
        </is>
      </c>
      <c r="BP857" s="106" t="inlineStr">
        <is>
          <t>PUNTERA 3 (P-03)/ASUB</t>
        </is>
      </c>
      <c r="BQ857" s="106">
        <f>VLOOKUP(BP857,[1]AGUA!$1:$1048576,2,FALSE)</f>
        <v/>
      </c>
      <c r="BR857" s="106">
        <f>VLOOKUP(BP857,[1]AGUA!$1:$1048576,6,FALSE)</f>
        <v/>
      </c>
      <c r="BS857" s="106">
        <f>VLOOKUP(BP857,[1]AGUA!$1:$1048576,7,FALSE)</f>
        <v/>
      </c>
      <c r="BT857" s="106" t="n"/>
      <c r="BU857" s="377"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5" t="n"/>
      <c r="CR857" s="105" t="n"/>
      <c r="CS857" s="105" t="n"/>
      <c r="CT857" s="107" t="n">
        <v>1</v>
      </c>
      <c r="CU857" s="105" t="n"/>
      <c r="CV857" s="105" t="n"/>
      <c r="CW857" s="105" t="n"/>
      <c r="CX857" s="105" t="n"/>
      <c r="CY857" s="105" t="n"/>
      <c r="CZ857" s="124">
        <f>+COUNTA(BV857:CY857)</f>
        <v/>
      </c>
      <c r="DA857" s="251" t="n"/>
      <c r="DB857" s="251" t="n"/>
      <c r="DC857" s="251" t="n"/>
      <c r="DD857" s="251" t="n"/>
      <c r="DE857" s="251" t="n"/>
      <c r="DF857" s="251" t="n"/>
      <c r="DG857" s="251" t="n"/>
      <c r="DH857" s="251" t="n"/>
      <c r="DI857" s="251" t="n"/>
      <c r="DJ857" s="251" t="n"/>
      <c r="DK857" s="251" t="n"/>
      <c r="DL857" s="95" t="n"/>
      <c r="DM857" s="251" t="inlineStr">
        <is>
          <t>M</t>
        </is>
      </c>
      <c r="DN857" s="95" t="n">
        <v>22</v>
      </c>
      <c r="DO857" s="95" t="n">
        <v>28</v>
      </c>
    </row>
    <row r="858" ht="13" customHeight="1">
      <c r="A858" s="203" t="inlineStr">
        <is>
          <t>PUNTERA 4</t>
        </is>
      </c>
      <c r="B858" s="305" t="inlineStr">
        <is>
          <t>PUNTERA 4 CHICLLA</t>
        </is>
      </c>
      <c r="C858" s="251"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2" t="inlineStr">
        <is>
          <t>532WLP-04</t>
        </is>
      </c>
      <c r="BL858" s="7" t="inlineStr">
        <is>
          <t>GMAP-SIGA</t>
        </is>
      </c>
      <c r="BM858" s="251" t="inlineStr">
        <is>
          <t>NF</t>
        </is>
      </c>
      <c r="BN858" s="337" t="inlineStr">
        <is>
          <t>Chiclla</t>
        </is>
      </c>
      <c r="BO858" s="251" t="inlineStr">
        <is>
          <t>SI</t>
        </is>
      </c>
      <c r="BP858" s="106" t="inlineStr">
        <is>
          <t>PUNTERA 4 CHICLLA/NF</t>
        </is>
      </c>
      <c r="BQ858" s="106">
        <f>VLOOKUP(BP858,[1]AGUA!$1:$1048576,2,FALSE)</f>
        <v/>
      </c>
      <c r="BR858" s="106">
        <f>VLOOKUP(BP858,[1]AGUA!$1:$1048576,6,FALSE)</f>
        <v/>
      </c>
      <c r="BS858" s="106">
        <f>VLOOKUP(BP858,[1]AGUA!$1:$1048576,7,FALSE)</f>
        <v/>
      </c>
      <c r="BT858" s="106" t="n"/>
      <c r="BU858" s="253"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05" t="n"/>
      <c r="CR858" s="105" t="n"/>
      <c r="CS858" s="142" t="n">
        <v>1</v>
      </c>
      <c r="CT858" s="105" t="n"/>
      <c r="CU858" s="105" t="n"/>
      <c r="CV858" s="105" t="n"/>
      <c r="CW858" s="105" t="n"/>
      <c r="CX858" s="105" t="n"/>
      <c r="CY858" s="105" t="n"/>
      <c r="CZ858" s="124">
        <f>+COUNTA(BV858:CY858)</f>
        <v/>
      </c>
      <c r="DA858" s="251" t="n"/>
      <c r="DB858" s="251" t="n"/>
      <c r="DC858" s="251" t="n"/>
      <c r="DD858" s="251" t="n"/>
      <c r="DE858" s="251" t="n"/>
      <c r="DF858" s="251" t="n"/>
      <c r="DG858" s="251" t="n"/>
      <c r="DH858" s="251" t="n"/>
      <c r="DI858" s="251" t="n"/>
      <c r="DJ858" s="251" t="inlineStr">
        <is>
          <t>M</t>
        </is>
      </c>
      <c r="DK858" s="251" t="n">
        <v>15</v>
      </c>
      <c r="DL858" s="95" t="n">
        <v>28</v>
      </c>
      <c r="DM858" s="251" t="n"/>
      <c r="DN858" s="95" t="n"/>
      <c r="DO858" s="95" t="n"/>
    </row>
    <row r="859" ht="13" customHeight="1">
      <c r="A859" s="203" t="inlineStr">
        <is>
          <t>PUNTERA 4</t>
        </is>
      </c>
      <c r="B859" s="376" t="n"/>
      <c r="C859" s="376"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76" t="n"/>
      <c r="BL859" s="7" t="inlineStr">
        <is>
          <t>GMAP-SIGA</t>
        </is>
      </c>
      <c r="BM859" s="168" t="inlineStr">
        <is>
          <t>ASUB</t>
        </is>
      </c>
      <c r="BN859" s="337" t="inlineStr">
        <is>
          <t>Chiclla</t>
        </is>
      </c>
      <c r="BO859" s="251" t="inlineStr">
        <is>
          <t>SI</t>
        </is>
      </c>
      <c r="BP859" s="106" t="inlineStr">
        <is>
          <t>PUNTERA 4 CHICLLA/ASUB</t>
        </is>
      </c>
      <c r="BQ859" s="106">
        <f>VLOOKUP(BP859,[1]AGUA!$1:$1048576,2,FALSE)</f>
        <v/>
      </c>
      <c r="BR859" s="106">
        <f>VLOOKUP(BP859,[1]AGUA!$1:$1048576,6,FALSE)</f>
        <v/>
      </c>
      <c r="BS859" s="106">
        <f>VLOOKUP(BP859,[1]AGUA!$1:$1048576,7,FALSE)</f>
        <v/>
      </c>
      <c r="BT859" s="106" t="n"/>
      <c r="BU859" s="377"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5" t="n"/>
      <c r="CP859" s="105" t="n"/>
      <c r="CQ859" s="105" t="n"/>
      <c r="CR859" s="105" t="n"/>
      <c r="CS859" s="107" t="n">
        <v>1</v>
      </c>
      <c r="CT859" s="105" t="n"/>
      <c r="CU859" s="105" t="n"/>
      <c r="CV859" s="105" t="n"/>
      <c r="CW859" s="105" t="n"/>
      <c r="CX859" s="105" t="n"/>
      <c r="CY859" s="105" t="n"/>
      <c r="CZ859" s="124">
        <f>+COUNTA(BV859:CY859)</f>
        <v/>
      </c>
      <c r="DA859" s="251" t="n"/>
      <c r="DB859" s="251" t="n"/>
      <c r="DC859" s="251" t="n"/>
      <c r="DD859" s="251" t="n"/>
      <c r="DE859" s="251" t="n"/>
      <c r="DF859" s="251" t="n"/>
      <c r="DG859" s="251" t="n"/>
      <c r="DH859" s="251" t="n"/>
      <c r="DI859" s="251" t="n"/>
      <c r="DJ859" s="251" t="n"/>
      <c r="DK859" s="251" t="n"/>
      <c r="DL859" s="95" t="n"/>
      <c r="DM859" s="251" t="inlineStr">
        <is>
          <t>M</t>
        </is>
      </c>
      <c r="DN859" s="95" t="n">
        <v>15</v>
      </c>
      <c r="DO859" s="95" t="n">
        <v>28</v>
      </c>
    </row>
    <row r="860" ht="13" customHeight="1">
      <c r="A860" s="203" t="inlineStr">
        <is>
          <t xml:space="preserve">Punto 2 </t>
        </is>
      </c>
      <c r="B860" s="305" t="n"/>
      <c r="C860" s="251"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2" t="n"/>
      <c r="BL860" s="7" t="inlineStr">
        <is>
          <t>GMAP-SIGA</t>
        </is>
      </c>
      <c r="BM860" s="168" t="inlineStr">
        <is>
          <t>ASUP</t>
        </is>
      </c>
      <c r="BN860" s="337" t="inlineStr">
        <is>
          <t>Ceusis</t>
        </is>
      </c>
      <c r="BO860" s="251" t="inlineStr">
        <is>
          <t>SI</t>
        </is>
      </c>
      <c r="BP860" s="106" t="inlineStr">
        <is>
          <t>Punto 2/ASUP</t>
        </is>
      </c>
      <c r="BQ860" s="106">
        <f>VLOOKUP(BP860,[1]AGUA!$1:$1048576,2,FALSE)</f>
        <v/>
      </c>
      <c r="BR860" s="106">
        <f>VLOOKUP(BP860,[1]AGUA!$1:$1048576,6,FALSE)</f>
        <v/>
      </c>
      <c r="BS860" s="106">
        <f>VLOOKUP(BP860,[1]AGUA!$1:$1048576,7,FALSE)</f>
        <v/>
      </c>
      <c r="BT860" s="106" t="n"/>
      <c r="BU860" s="253"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5" t="n"/>
      <c r="CR860" s="105" t="n"/>
      <c r="CS860" s="105" t="n"/>
      <c r="CT860" s="105" t="n"/>
      <c r="CU860" s="105" t="n"/>
      <c r="CV860" s="105" t="n"/>
      <c r="CW860" s="105" t="n"/>
      <c r="CX860" s="105" t="n"/>
      <c r="CY860" s="105" t="n"/>
      <c r="CZ860" s="124">
        <f>+COUNTA(BV860:CY860)</f>
        <v/>
      </c>
      <c r="DA860" s="251" t="n"/>
      <c r="DB860" s="251" t="n"/>
      <c r="DC860" s="251" t="n"/>
      <c r="DD860" s="251" t="n"/>
      <c r="DE860" s="251" t="n"/>
      <c r="DF860" s="251" t="n"/>
      <c r="DG860" s="251" t="n"/>
      <c r="DH860" s="251" t="n"/>
      <c r="DI860" s="251" t="n"/>
      <c r="DJ860" s="251" t="n"/>
      <c r="DK860" s="251" t="n"/>
      <c r="DL860" s="95" t="n"/>
      <c r="DM860" s="251" t="n"/>
      <c r="DN860" s="95" t="n"/>
      <c r="DO860" s="95" t="n"/>
    </row>
    <row r="861" ht="14.15" customHeight="1">
      <c r="A861" s="203" t="inlineStr">
        <is>
          <t>PUNTERA 5</t>
        </is>
      </c>
      <c r="B861" s="305" t="inlineStr">
        <is>
          <t>PUNTERA 5 (P-05)</t>
        </is>
      </c>
      <c r="C861" s="251"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2" t="inlineStr">
        <is>
          <t>532WLP-05</t>
        </is>
      </c>
      <c r="BL861" s="7" t="inlineStr">
        <is>
          <t>GMAP-SIGA</t>
        </is>
      </c>
      <c r="BM861" s="251" t="inlineStr">
        <is>
          <t>NF</t>
        </is>
      </c>
      <c r="BN861" s="337" t="inlineStr">
        <is>
          <t>Ceusis</t>
        </is>
      </c>
      <c r="BO861" s="251" t="inlineStr">
        <is>
          <t>SI</t>
        </is>
      </c>
      <c r="BP861" s="106" t="inlineStr">
        <is>
          <t>PUNTERA 5 (P-05)/NF</t>
        </is>
      </c>
      <c r="BQ861" s="106">
        <f>VLOOKUP(BP861,[1]AGUA!$1:$1048576,2,FALSE)</f>
        <v/>
      </c>
      <c r="BR861" s="106">
        <f>VLOOKUP(BP861,[1]AGUA!$1:$1048576,6,FALSE)</f>
        <v/>
      </c>
      <c r="BS861" s="106">
        <f>VLOOKUP(BP861,[1]AGUA!$1:$1048576,7,FALSE)</f>
        <v/>
      </c>
      <c r="BT861" s="106" t="n"/>
      <c r="BU861" s="253"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05" t="n"/>
      <c r="CT861" s="105" t="n"/>
      <c r="CU861" s="105" t="n"/>
      <c r="CV861" s="105" t="n"/>
      <c r="CW861" s="105" t="n"/>
      <c r="CX861" s="105" t="n"/>
      <c r="CY861" s="105" t="n"/>
      <c r="CZ861" s="124">
        <f>+COUNTA(BV861:CY861)</f>
        <v/>
      </c>
      <c r="DA861" s="251" t="n"/>
      <c r="DB861" s="251" t="n"/>
      <c r="DC861" s="251" t="n"/>
      <c r="DD861" s="251" t="n"/>
      <c r="DE861" s="251" t="n"/>
      <c r="DF861" s="251" t="n"/>
      <c r="DG861" s="251" t="n"/>
      <c r="DH861" s="251" t="n"/>
      <c r="DI861" s="251" t="n"/>
      <c r="DJ861" s="251" t="inlineStr">
        <is>
          <t>M</t>
        </is>
      </c>
      <c r="DK861" s="251" t="n">
        <v>22</v>
      </c>
      <c r="DL861" s="95" t="n">
        <v>28</v>
      </c>
      <c r="DM861" s="251" t="n"/>
      <c r="DN861" s="95" t="n"/>
      <c r="DO861" s="95" t="n"/>
    </row>
    <row r="862" ht="14.15" customHeight="1">
      <c r="A862" s="203" t="inlineStr">
        <is>
          <t>PUNTERA 5</t>
        </is>
      </c>
      <c r="B862" s="376" t="n"/>
      <c r="C862" s="376"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76" t="n"/>
      <c r="BL862" s="7" t="inlineStr">
        <is>
          <t>GMAP-SIGA</t>
        </is>
      </c>
      <c r="BM862" s="251" t="inlineStr">
        <is>
          <t>ASUB</t>
        </is>
      </c>
      <c r="BN862" s="337" t="inlineStr">
        <is>
          <t>Ceusis</t>
        </is>
      </c>
      <c r="BO862" s="251" t="inlineStr">
        <is>
          <t>SI</t>
        </is>
      </c>
      <c r="BP862" s="106" t="inlineStr">
        <is>
          <t>PUNTERA 5 (P-05)/ASUB</t>
        </is>
      </c>
      <c r="BQ862" s="106">
        <f>VLOOKUP(BP862,[1]AGUA!$1:$1048576,2,FALSE)</f>
        <v/>
      </c>
      <c r="BR862" s="106">
        <f>VLOOKUP(BP862,[1]AGUA!$1:$1048576,6,FALSE)</f>
        <v/>
      </c>
      <c r="BS862" s="106">
        <f>VLOOKUP(BP862,[1]AGUA!$1:$1048576,7,FALSE)</f>
        <v/>
      </c>
      <c r="BT862" s="106" t="n"/>
      <c r="BU862" s="377"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5" t="n"/>
      <c r="CS862" s="105" t="n"/>
      <c r="CT862" s="105" t="n"/>
      <c r="CU862" s="105" t="n"/>
      <c r="CV862" s="105" t="n"/>
      <c r="CW862" s="105" t="n"/>
      <c r="CX862" s="105" t="n"/>
      <c r="CY862" s="105" t="n"/>
      <c r="CZ862" s="124">
        <f>+COUNTA(BV862:CY862)</f>
        <v/>
      </c>
      <c r="DA862" s="251" t="n"/>
      <c r="DB862" s="251" t="n"/>
      <c r="DC862" s="251" t="n"/>
      <c r="DD862" s="251" t="n"/>
      <c r="DE862" s="251" t="n"/>
      <c r="DF862" s="251" t="n"/>
      <c r="DG862" s="251" t="n"/>
      <c r="DH862" s="251" t="n"/>
      <c r="DI862" s="251" t="n"/>
      <c r="DJ862" s="251" t="n"/>
      <c r="DK862" s="251" t="n"/>
      <c r="DL862" s="95" t="n"/>
      <c r="DM862" s="251" t="inlineStr">
        <is>
          <t>M</t>
        </is>
      </c>
      <c r="DN862" s="95" t="n">
        <v>22</v>
      </c>
      <c r="DO862" s="95" t="n">
        <v>28</v>
      </c>
    </row>
    <row r="863" ht="13" customHeight="1">
      <c r="A863" s="203" t="inlineStr">
        <is>
          <t>QBE-2</t>
        </is>
      </c>
      <c r="B863" s="305"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1" t="inlineStr">
        <is>
          <t>532MAQBE</t>
        </is>
      </c>
      <c r="BL863" s="61" t="inlineStr">
        <is>
          <t>GMAP-SIGA</t>
        </is>
      </c>
      <c r="BM863" s="251" t="inlineStr">
        <is>
          <t>NF</t>
        </is>
      </c>
      <c r="BN863" s="337" t="inlineStr">
        <is>
          <t>Michincha</t>
        </is>
      </c>
      <c r="BO863" s="251"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42" t="n">
        <v>1</v>
      </c>
      <c r="CX863" s="105" t="n"/>
      <c r="CY863" s="105" t="n"/>
      <c r="CZ863" s="124">
        <f>+COUNTA(BV863:CY863)</f>
        <v/>
      </c>
      <c r="DA863" s="251" t="n"/>
      <c r="DB863" s="251" t="n"/>
      <c r="DC863" s="251" t="n"/>
      <c r="DD863" s="251" t="n"/>
      <c r="DE863" s="251" t="n"/>
      <c r="DF863" s="251" t="n"/>
      <c r="DG863" s="251" t="n"/>
      <c r="DH863" s="251" t="n"/>
      <c r="DI863" s="251" t="n"/>
      <c r="DJ863" s="251" t="inlineStr">
        <is>
          <t>B</t>
        </is>
      </c>
      <c r="DK863" s="251" t="n">
        <v>22</v>
      </c>
      <c r="DL863" s="95" t="n">
        <v>28</v>
      </c>
      <c r="DM863" s="251" t="n"/>
      <c r="DN863" s="95" t="n"/>
      <c r="DO863" s="95" t="n"/>
    </row>
    <row r="864" ht="13" customHeight="1">
      <c r="A864" s="203" t="inlineStr">
        <is>
          <t>QBE-4A</t>
        </is>
      </c>
      <c r="B864" s="305"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1" t="inlineStr">
        <is>
          <t>532MAQBE</t>
        </is>
      </c>
      <c r="BL864" s="61" t="inlineStr">
        <is>
          <t>GMAP-SIGA</t>
        </is>
      </c>
      <c r="BM864" s="251" t="inlineStr">
        <is>
          <t>NF</t>
        </is>
      </c>
      <c r="BN864" s="337" t="inlineStr">
        <is>
          <t>Michincha</t>
        </is>
      </c>
      <c r="BO864" s="251"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42" t="n">
        <v>1</v>
      </c>
      <c r="CX864" s="105" t="n"/>
      <c r="CY864" s="105" t="n"/>
      <c r="CZ864" s="124">
        <f>+COUNTA(BV864:CY864)</f>
        <v/>
      </c>
      <c r="DA864" s="251" t="n"/>
      <c r="DB864" s="251" t="n"/>
      <c r="DC864" s="251" t="n"/>
      <c r="DD864" s="251" t="n"/>
      <c r="DE864" s="251" t="n"/>
      <c r="DF864" s="251" t="n"/>
      <c r="DG864" s="251" t="n"/>
      <c r="DH864" s="251" t="n"/>
      <c r="DI864" s="251" t="n"/>
      <c r="DJ864" s="251" t="inlineStr">
        <is>
          <t>B</t>
        </is>
      </c>
      <c r="DK864" s="251" t="n">
        <v>22</v>
      </c>
      <c r="DL864" s="95" t="n">
        <v>28</v>
      </c>
      <c r="DM864" s="251" t="n"/>
      <c r="DN864" s="95" t="n"/>
      <c r="DO864" s="95" t="n"/>
    </row>
    <row r="865" ht="13" customHeight="1">
      <c r="A865" s="203" t="inlineStr">
        <is>
          <t>QBE-4B</t>
        </is>
      </c>
      <c r="B865" s="305"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1" t="inlineStr">
        <is>
          <t>532MAQBE</t>
        </is>
      </c>
      <c r="BL865" s="61" t="inlineStr">
        <is>
          <t>GMAP-SIGA</t>
        </is>
      </c>
      <c r="BM865" s="251" t="inlineStr">
        <is>
          <t>NF</t>
        </is>
      </c>
      <c r="BN865" s="337" t="inlineStr">
        <is>
          <t>Michincha</t>
        </is>
      </c>
      <c r="BO865" s="251"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05" t="n"/>
      <c r="CW865" s="142" t="n">
        <v>1</v>
      </c>
      <c r="CX865" s="105" t="n"/>
      <c r="CY865" s="105" t="n"/>
      <c r="CZ865" s="124">
        <f>+COUNTA(BV865:CY865)</f>
        <v/>
      </c>
      <c r="DA865" s="251" t="n"/>
      <c r="DB865" s="251" t="n"/>
      <c r="DC865" s="251" t="n"/>
      <c r="DD865" s="251" t="n"/>
      <c r="DE865" s="251" t="n"/>
      <c r="DF865" s="251" t="n"/>
      <c r="DG865" s="251" t="n"/>
      <c r="DH865" s="251" t="n"/>
      <c r="DI865" s="251" t="n"/>
      <c r="DJ865" s="251" t="inlineStr">
        <is>
          <t>M</t>
        </is>
      </c>
      <c r="DK865" s="251" t="n">
        <v>22</v>
      </c>
      <c r="DL865" s="95" t="n">
        <v>28</v>
      </c>
      <c r="DM865" s="251" t="n"/>
      <c r="DN865" s="95" t="n"/>
      <c r="DO865" s="95" t="n"/>
    </row>
    <row r="866" ht="13" customHeight="1">
      <c r="A866" s="203" t="inlineStr">
        <is>
          <t>QCA-01</t>
        </is>
      </c>
      <c r="B866" s="305"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2" t="inlineStr">
        <is>
          <t>532MAQCY</t>
        </is>
      </c>
      <c r="BL866" s="61" t="inlineStr">
        <is>
          <t>GMAP-SIGA</t>
        </is>
      </c>
      <c r="BM866" s="251" t="inlineStr">
        <is>
          <t>NF</t>
        </is>
      </c>
      <c r="BN866" s="337" t="inlineStr">
        <is>
          <t>Quebrada Caya</t>
        </is>
      </c>
      <c r="BO866" s="251"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24">
        <f>+COUNTA(BV866:CY866)</f>
        <v/>
      </c>
      <c r="DA866" s="251" t="n"/>
      <c r="DB866" s="251" t="n"/>
      <c r="DC866" s="251" t="n"/>
      <c r="DD866" s="251" t="n"/>
      <c r="DE866" s="251" t="n"/>
      <c r="DF866" s="251" t="n"/>
      <c r="DG866" s="251" t="n"/>
      <c r="DH866" s="251" t="n"/>
      <c r="DI866" s="251" t="n"/>
      <c r="DJ866" s="251" t="inlineStr">
        <is>
          <t>STRAL</t>
        </is>
      </c>
      <c r="DK866" s="251" t="n">
        <v>15</v>
      </c>
      <c r="DL866" s="95" t="n">
        <v>28</v>
      </c>
      <c r="DM866" s="251" t="n"/>
      <c r="DN866" s="95" t="n"/>
      <c r="DO866" s="95" t="n"/>
    </row>
    <row r="867" ht="13" customHeight="1">
      <c r="A867" s="203" t="inlineStr">
        <is>
          <t>QCA-02</t>
        </is>
      </c>
      <c r="B867" s="305"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2" t="inlineStr">
        <is>
          <t>532MAQCY</t>
        </is>
      </c>
      <c r="BL867" s="61" t="inlineStr">
        <is>
          <t>GMAP-SIGA</t>
        </is>
      </c>
      <c r="BM867" s="251" t="inlineStr">
        <is>
          <t>NF</t>
        </is>
      </c>
      <c r="BN867" s="337" t="inlineStr">
        <is>
          <t>Quebrada Caya</t>
        </is>
      </c>
      <c r="BO867" s="251"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24">
        <f>+COUNTA(BV867:CY867)</f>
        <v/>
      </c>
      <c r="DA867" s="251" t="n"/>
      <c r="DB867" s="251" t="n"/>
      <c r="DC867" s="251" t="n"/>
      <c r="DD867" s="251" t="n"/>
      <c r="DE867" s="251" t="n"/>
      <c r="DF867" s="251" t="n"/>
      <c r="DG867" s="251" t="n"/>
      <c r="DH867" s="251" t="n"/>
      <c r="DI867" s="251" t="n"/>
      <c r="DJ867" s="251" t="inlineStr">
        <is>
          <t>STRAL</t>
        </is>
      </c>
      <c r="DK867" s="251" t="n">
        <v>15</v>
      </c>
      <c r="DL867" s="95" t="n">
        <v>28</v>
      </c>
      <c r="DM867" s="251" t="n"/>
      <c r="DN867" s="95" t="n"/>
      <c r="DO867" s="95" t="n"/>
    </row>
    <row r="868" ht="13" customHeight="1">
      <c r="A868" s="203" t="inlineStr">
        <is>
          <t>QCA-03</t>
        </is>
      </c>
      <c r="B868" s="305"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2" t="inlineStr">
        <is>
          <t>532MAQCY</t>
        </is>
      </c>
      <c r="BL868" s="61" t="inlineStr">
        <is>
          <t>GMAP-SIGA</t>
        </is>
      </c>
      <c r="BM868" s="251" t="inlineStr">
        <is>
          <t>NF</t>
        </is>
      </c>
      <c r="BN868" s="337" t="inlineStr">
        <is>
          <t>Quebrada Caya</t>
        </is>
      </c>
      <c r="BO868" s="251"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24">
        <f>+COUNTA(BV868:CY868)</f>
        <v/>
      </c>
      <c r="DA868" s="251" t="n"/>
      <c r="DB868" s="251" t="n"/>
      <c r="DC868" s="251" t="n"/>
      <c r="DD868" s="251" t="n"/>
      <c r="DE868" s="251" t="n"/>
      <c r="DF868" s="251" t="n"/>
      <c r="DG868" s="251" t="n"/>
      <c r="DH868" s="251" t="n"/>
      <c r="DI868" s="251" t="n"/>
      <c r="DJ868" s="251" t="inlineStr">
        <is>
          <t>STRAL</t>
        </is>
      </c>
      <c r="DK868" s="251" t="n">
        <v>15</v>
      </c>
      <c r="DL868" s="95" t="n">
        <v>28</v>
      </c>
      <c r="DM868" s="251" t="n"/>
      <c r="DN868" s="95" t="n"/>
      <c r="DO868" s="95" t="n"/>
    </row>
    <row r="869" ht="14.15" customHeight="1">
      <c r="A869" s="203" t="inlineStr">
        <is>
          <t>R-A-1</t>
        </is>
      </c>
      <c r="B869" s="305"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1" t="inlineStr">
        <is>
          <t>530WLRA1</t>
        </is>
      </c>
      <c r="BL869" s="61" t="inlineStr">
        <is>
          <t>GMAP-SIGA</t>
        </is>
      </c>
      <c r="BM869" s="251" t="inlineStr">
        <is>
          <t>NF</t>
        </is>
      </c>
      <c r="BN869" s="337" t="inlineStr">
        <is>
          <t>Coposa Norte</t>
        </is>
      </c>
      <c r="BO869" s="168"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05" t="n"/>
      <c r="BZ869" s="105" t="n"/>
      <c r="CA869" s="105" t="n"/>
      <c r="CB869" s="105" t="n"/>
      <c r="CC869" s="105" t="n"/>
      <c r="CD869" s="105" t="n"/>
      <c r="CE869" s="105" t="n"/>
      <c r="CF869" s="105" t="n"/>
      <c r="CG869" s="105" t="n"/>
      <c r="CH869" s="105" t="n"/>
      <c r="CI869" s="105" t="n"/>
      <c r="CJ869" s="105" t="n"/>
      <c r="CK869" s="105" t="n"/>
      <c r="CL869" s="142" t="n">
        <v>1</v>
      </c>
      <c r="CM869" s="105" t="n"/>
      <c r="CN869" s="105" t="n"/>
      <c r="CO869" s="105" t="n"/>
      <c r="CP869" s="105" t="n"/>
      <c r="CQ869" s="105" t="n"/>
      <c r="CR869" s="105" t="n"/>
      <c r="CS869" s="105" t="n"/>
      <c r="CT869" s="105" t="n"/>
      <c r="CU869" s="105" t="n"/>
      <c r="CV869" s="105" t="n"/>
      <c r="CW869" s="105" t="n"/>
      <c r="CX869" s="105" t="n"/>
      <c r="CY869" s="105" t="n"/>
      <c r="CZ869" s="124">
        <f>+COUNTA(BV869:CY869)</f>
        <v/>
      </c>
      <c r="DA869" s="251" t="n"/>
      <c r="DB869" s="251" t="n"/>
      <c r="DC869" s="251" t="n"/>
      <c r="DD869" s="251" t="n"/>
      <c r="DE869" s="251" t="n"/>
      <c r="DF869" s="251" t="n"/>
      <c r="DG869" s="251" t="n"/>
      <c r="DH869" s="251" t="n"/>
      <c r="DI869" s="251" t="n"/>
      <c r="DJ869" s="251" t="inlineStr">
        <is>
          <t>M</t>
        </is>
      </c>
      <c r="DK869" s="251" t="n">
        <v>15</v>
      </c>
      <c r="DL869" s="95" t="n">
        <v>28</v>
      </c>
      <c r="DM869" s="251" t="n"/>
      <c r="DN869" s="95" t="n"/>
      <c r="DO869" s="95" t="n"/>
    </row>
    <row r="870" ht="11.5" customHeight="1">
      <c r="A870" s="203" t="inlineStr">
        <is>
          <t>R-B-1</t>
        </is>
      </c>
      <c r="B870" s="305"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2" t="inlineStr">
        <is>
          <t>530WLRB1</t>
        </is>
      </c>
      <c r="BL870" s="61" t="inlineStr">
        <is>
          <t>GMAP-SIGA</t>
        </is>
      </c>
      <c r="BM870" s="251" t="inlineStr">
        <is>
          <t>NF</t>
        </is>
      </c>
      <c r="BN870" s="337" t="inlineStr">
        <is>
          <t>Coposa Norte</t>
        </is>
      </c>
      <c r="BO870" s="168"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249" t="n">
        <v>1</v>
      </c>
      <c r="CP870" s="105" t="n"/>
      <c r="CQ870" s="105" t="n"/>
      <c r="CR870" s="105" t="n"/>
      <c r="CS870" s="105" t="n"/>
      <c r="CT870" s="105" t="n"/>
      <c r="CU870" s="105" t="n"/>
      <c r="CV870" s="105" t="n"/>
      <c r="CW870" s="105" t="n"/>
      <c r="CX870" s="105" t="n"/>
      <c r="CY870" s="105" t="n"/>
      <c r="CZ870" s="124">
        <f>+COUNTA(BV870:CY870)</f>
        <v/>
      </c>
      <c r="DA870" s="217" t="n"/>
      <c r="DB870" s="251" t="n"/>
      <c r="DC870" s="251" t="n"/>
      <c r="DD870" s="251" t="n"/>
      <c r="DE870" s="251" t="n"/>
      <c r="DF870" s="251" t="n"/>
      <c r="DG870" s="251" t="n"/>
      <c r="DH870" s="251" t="n"/>
      <c r="DI870" s="251" t="n"/>
      <c r="DJ870" s="251" t="inlineStr">
        <is>
          <t>M</t>
        </is>
      </c>
      <c r="DK870" s="251" t="n">
        <v>8</v>
      </c>
      <c r="DL870" s="95" t="n">
        <v>21</v>
      </c>
      <c r="DM870" s="251" t="n"/>
      <c r="DN870" s="95" t="n"/>
      <c r="DO870" s="95" t="n"/>
    </row>
    <row r="871" ht="12" customHeight="1">
      <c r="A871" s="203" t="inlineStr">
        <is>
          <t>R-B-2</t>
        </is>
      </c>
      <c r="B871" s="305"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2" t="inlineStr">
        <is>
          <t>530WLRB2</t>
        </is>
      </c>
      <c r="BL871" s="61" t="inlineStr">
        <is>
          <t>GMAP-SIGA</t>
        </is>
      </c>
      <c r="BM871" s="251" t="inlineStr">
        <is>
          <t>NF</t>
        </is>
      </c>
      <c r="BN871" s="337" t="inlineStr">
        <is>
          <t>Coposa Norte</t>
        </is>
      </c>
      <c r="BO871" s="168"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05" t="n"/>
      <c r="CH871" s="105" t="n"/>
      <c r="CI871" s="105" t="n"/>
      <c r="CJ871" s="105" t="n"/>
      <c r="CK871" s="105" t="n"/>
      <c r="CL871" s="105" t="n"/>
      <c r="CM871" s="142" t="n">
        <v>1</v>
      </c>
      <c r="CN871" s="105" t="n"/>
      <c r="CO871" s="105" t="n"/>
      <c r="CP871" s="105" t="n"/>
      <c r="CQ871" s="105" t="n"/>
      <c r="CR871" s="105" t="n"/>
      <c r="CS871" s="105" t="n"/>
      <c r="CT871" s="105" t="n"/>
      <c r="CU871" s="105" t="n"/>
      <c r="CV871" s="105" t="n"/>
      <c r="CW871" s="105" t="n"/>
      <c r="CX871" s="105" t="n"/>
      <c r="CY871" s="105" t="n"/>
      <c r="CZ871" s="124">
        <f>+COUNTA(BV871:CY871)</f>
        <v/>
      </c>
      <c r="DA871" s="251" t="n"/>
      <c r="DB871" s="251" t="n"/>
      <c r="DC871" s="251" t="n"/>
      <c r="DD871" s="251" t="n"/>
      <c r="DE871" s="251" t="n"/>
      <c r="DF871" s="251" t="n"/>
      <c r="DG871" s="251" t="n"/>
      <c r="DH871" s="251" t="n"/>
      <c r="DI871" s="251" t="n"/>
      <c r="DJ871" s="251" t="inlineStr">
        <is>
          <t>M</t>
        </is>
      </c>
      <c r="DK871" s="251" t="n">
        <v>8</v>
      </c>
      <c r="DL871" s="95" t="n">
        <v>21</v>
      </c>
      <c r="DM871" s="251" t="n"/>
      <c r="DN871" s="95" t="n"/>
      <c r="DO871" s="95" t="n"/>
    </row>
    <row r="872" ht="13" customHeight="1">
      <c r="A872" s="205" t="inlineStr">
        <is>
          <t>R-B-2B</t>
        </is>
      </c>
      <c r="B872" s="305"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1" t="n"/>
      <c r="BL872" s="61" t="inlineStr">
        <is>
          <t>GMAP-SIGA</t>
        </is>
      </c>
      <c r="BM872" s="251" t="inlineStr">
        <is>
          <t>NF</t>
        </is>
      </c>
      <c r="BN872" s="337" t="inlineStr">
        <is>
          <t>Coposa Norte</t>
        </is>
      </c>
      <c r="BO872" s="168"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42" t="n">
        <v>1</v>
      </c>
      <c r="CP872" s="105" t="n"/>
      <c r="CQ872" s="105" t="n"/>
      <c r="CR872" s="105" t="n"/>
      <c r="CS872" s="105" t="n"/>
      <c r="CT872" s="105" t="n"/>
      <c r="CU872" s="105" t="n"/>
      <c r="CV872" s="105" t="n"/>
      <c r="CW872" s="105" t="n"/>
      <c r="CX872" s="105" t="n"/>
      <c r="CY872" s="105" t="n"/>
      <c r="CZ872" s="124">
        <f>+COUNTA(BV872:CY872)</f>
        <v/>
      </c>
      <c r="DA872" s="206" t="n"/>
      <c r="DB872" s="251" t="n"/>
      <c r="DC872" s="251" t="n"/>
      <c r="DD872" s="251" t="n"/>
      <c r="DE872" s="251" t="n"/>
      <c r="DF872" s="251" t="n"/>
      <c r="DG872" s="251" t="n"/>
      <c r="DH872" s="251" t="n"/>
      <c r="DI872" s="251" t="n"/>
      <c r="DJ872" s="251" t="inlineStr">
        <is>
          <t>M</t>
        </is>
      </c>
      <c r="DK872" s="251" t="n">
        <v>15</v>
      </c>
      <c r="DL872" s="95" t="n">
        <v>28</v>
      </c>
      <c r="DM872" s="251" t="n"/>
      <c r="DN872" s="95" t="n"/>
      <c r="DO872" s="95" t="n"/>
    </row>
    <row r="873" ht="13" customHeight="1">
      <c r="A873" s="215" t="inlineStr">
        <is>
          <t>R-C-1</t>
        </is>
      </c>
      <c r="B873" s="305"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1" t="inlineStr">
        <is>
          <t>530WLRC1</t>
        </is>
      </c>
      <c r="BL873" s="61" t="inlineStr">
        <is>
          <t>GMAP-SIGA</t>
        </is>
      </c>
      <c r="BM873" s="251" t="inlineStr">
        <is>
          <t>NF</t>
        </is>
      </c>
      <c r="BN873" s="337" t="inlineStr">
        <is>
          <t>Coposa Norte</t>
        </is>
      </c>
      <c r="BO873" s="168"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05" t="n"/>
      <c r="CH873" s="105" t="n"/>
      <c r="CI873" s="105" t="n"/>
      <c r="CJ873" s="105" t="n"/>
      <c r="CK873" s="105" t="n"/>
      <c r="CL873" s="105" t="n"/>
      <c r="CM873" s="142" t="n">
        <v>1</v>
      </c>
      <c r="CN873" s="105" t="n"/>
      <c r="CO873" s="105" t="n"/>
      <c r="CP873" s="105" t="n"/>
      <c r="CQ873" s="105" t="n"/>
      <c r="CR873" s="105" t="n"/>
      <c r="CS873" s="105" t="n"/>
      <c r="CT873" s="105" t="n"/>
      <c r="CU873" s="105" t="n"/>
      <c r="CV873" s="105" t="n"/>
      <c r="CW873" s="105" t="n"/>
      <c r="CX873" s="105" t="n"/>
      <c r="CY873" s="105" t="n"/>
      <c r="CZ873" s="124">
        <f>+COUNTA(BV873:CY873)</f>
        <v/>
      </c>
      <c r="DA873" s="251" t="n"/>
      <c r="DB873" s="251" t="n"/>
      <c r="DC873" s="251" t="n"/>
      <c r="DD873" s="251" t="n"/>
      <c r="DE873" s="251" t="n"/>
      <c r="DF873" s="251" t="n"/>
      <c r="DG873" s="251" t="n"/>
      <c r="DH873" s="251" t="n"/>
      <c r="DI873" s="251" t="n"/>
      <c r="DJ873" s="168" t="inlineStr">
        <is>
          <t>M</t>
        </is>
      </c>
      <c r="DK873" s="251" t="n">
        <v>8</v>
      </c>
      <c r="DL873" s="95" t="n">
        <v>21</v>
      </c>
      <c r="DM873" s="95" t="n"/>
      <c r="DN873" s="95" t="n"/>
      <c r="DO873" s="95" t="n"/>
      <c r="DP873" s="94" t="n"/>
      <c r="DQ873" s="94" t="n"/>
      <c r="DR873" s="94" t="n"/>
    </row>
    <row r="874" ht="13" customHeight="1">
      <c r="A874" s="203" t="inlineStr">
        <is>
          <t>R-C-2</t>
        </is>
      </c>
      <c r="B874" s="305"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1" t="inlineStr">
        <is>
          <t>NF</t>
        </is>
      </c>
      <c r="BN874" s="337" t="inlineStr">
        <is>
          <t>Coposa Norte</t>
        </is>
      </c>
      <c r="BO874" s="168"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05" t="n"/>
      <c r="CH874" s="105" t="n"/>
      <c r="CI874" s="105" t="n"/>
      <c r="CJ874" s="105" t="n"/>
      <c r="CK874" s="105" t="n"/>
      <c r="CL874" s="105" t="n"/>
      <c r="CM874" s="142" t="n">
        <v>1</v>
      </c>
      <c r="CN874" s="105" t="n"/>
      <c r="CO874" s="105" t="n"/>
      <c r="CP874" s="105" t="n"/>
      <c r="CQ874" s="105" t="n"/>
      <c r="CR874" s="105" t="n"/>
      <c r="CS874" s="105" t="n"/>
      <c r="CT874" s="105" t="n"/>
      <c r="CU874" s="105" t="n"/>
      <c r="CV874" s="105" t="n"/>
      <c r="CW874" s="105" t="n"/>
      <c r="CX874" s="105" t="n"/>
      <c r="CY874" s="105" t="n"/>
      <c r="CZ874" s="124">
        <f>+COUNTA(BV874:CY874)</f>
        <v/>
      </c>
      <c r="DA874" s="251" t="n"/>
      <c r="DB874" s="251" t="n"/>
      <c r="DC874" s="251" t="n"/>
      <c r="DD874" s="251" t="n"/>
      <c r="DE874" s="251" t="n"/>
      <c r="DF874" s="251" t="n"/>
      <c r="DG874" s="251" t="n"/>
      <c r="DH874" s="251" t="n"/>
      <c r="DI874" s="251" t="n"/>
      <c r="DJ874" s="168" t="inlineStr">
        <is>
          <t>M</t>
        </is>
      </c>
      <c r="DK874" s="251" t="n">
        <v>8</v>
      </c>
      <c r="DL874" s="95" t="n">
        <v>21</v>
      </c>
      <c r="DM874" s="251" t="n"/>
      <c r="DN874" s="95" t="n"/>
      <c r="DO874" s="95" t="n"/>
    </row>
    <row r="875" ht="13" customHeight="1">
      <c r="A875" s="203" t="inlineStr">
        <is>
          <t>R-C-3B</t>
        </is>
      </c>
      <c r="B875" s="305" t="n"/>
      <c r="C875" s="7" t="n"/>
      <c r="D875" s="7" t="inlineStr">
        <is>
          <t>SI</t>
        </is>
      </c>
      <c r="E875" s="7" t="inlineStr">
        <is>
          <t>SI</t>
        </is>
      </c>
      <c r="F875" s="7" t="inlineStr">
        <is>
          <t>NO</t>
        </is>
      </c>
      <c r="G875" s="7" t="inlineStr">
        <is>
          <t>NO</t>
        </is>
      </c>
      <c r="H875" s="7" t="n">
        <v>542577</v>
      </c>
      <c r="I875" s="7" t="n">
        <v>7726862</v>
      </c>
      <c r="J875" s="7" t="inlineStr">
        <is>
          <t>Construido</t>
        </is>
      </c>
      <c r="K875" s="7" t="inlineStr">
        <is>
          <t>Si</t>
        </is>
      </c>
      <c r="L875" s="7" t="inlineStr">
        <is>
          <t>Agua Subterránea</t>
        </is>
      </c>
      <c r="M875" s="7" t="inlineStr">
        <is>
          <t>Cordillera</t>
        </is>
      </c>
      <c r="N875" s="7" t="inlineStr">
        <is>
          <t>Pozo</t>
        </is>
      </c>
      <c r="O875" s="7" t="inlineStr">
        <is>
          <t>Coposa Norte</t>
        </is>
      </c>
      <c r="P875" s="7" t="inlineStr">
        <is>
          <t>SI</t>
        </is>
      </c>
      <c r="Q875" s="7" t="inlineStr">
        <is>
          <t>Mensual</t>
        </is>
      </c>
      <c r="R875" s="7" t="inlineStr">
        <is>
          <t>continuo</t>
        </is>
      </c>
      <c r="S875" s="7" t="inlineStr">
        <is>
          <t>Semanal</t>
        </is>
      </c>
      <c r="T875" s="7" t="inlineStr">
        <is>
          <t>NO</t>
        </is>
      </c>
      <c r="U875" s="7" t="inlineStr">
        <is>
          <t>-</t>
        </is>
      </c>
      <c r="V875" s="7" t="inlineStr">
        <is>
          <t>SI</t>
        </is>
      </c>
      <c r="W875" s="7" t="inlineStr">
        <is>
          <t>Mensual</t>
        </is>
      </c>
      <c r="X875" s="7" t="inlineStr">
        <is>
          <t>NO</t>
        </is>
      </c>
      <c r="Y875" s="7" t="inlineStr">
        <is>
          <t>-</t>
        </is>
      </c>
      <c r="Z875" s="7" t="inlineStr">
        <is>
          <t>NO</t>
        </is>
      </c>
      <c r="AA875" s="7" t="inlineStr">
        <is>
          <t>-</t>
        </is>
      </c>
      <c r="AB875" s="7" t="inlineStr">
        <is>
          <t>NO</t>
        </is>
      </c>
      <c r="AC875" s="7" t="inlineStr">
        <is>
          <t>-</t>
        </is>
      </c>
      <c r="AD875" s="7" t="inlineStr">
        <is>
          <t>NO</t>
        </is>
      </c>
      <c r="AE875" s="7" t="inlineStr">
        <is>
          <t>-</t>
        </is>
      </c>
      <c r="AF875" s="7" t="inlineStr">
        <is>
          <t>-</t>
        </is>
      </c>
      <c r="AG875" s="7" t="inlineStr">
        <is>
          <t>NO</t>
        </is>
      </c>
      <c r="AH875" s="7" t="inlineStr">
        <is>
          <t>-</t>
        </is>
      </c>
      <c r="AI875" s="7" t="inlineStr">
        <is>
          <t>NO</t>
        </is>
      </c>
      <c r="AJ875" s="7" t="inlineStr">
        <is>
          <t>-</t>
        </is>
      </c>
      <c r="AK875" s="60" t="inlineStr">
        <is>
          <t>NO</t>
        </is>
      </c>
      <c r="AL875" s="7" t="inlineStr">
        <is>
          <t>-</t>
        </is>
      </c>
      <c r="AM875" s="7" t="inlineStr">
        <is>
          <t>-</t>
        </is>
      </c>
      <c r="AN875" s="60" t="inlineStr">
        <is>
          <t>NO</t>
        </is>
      </c>
      <c r="AO875" s="7" t="inlineStr">
        <is>
          <t>-</t>
        </is>
      </c>
      <c r="AP875" s="60" t="inlineStr">
        <is>
          <t>NO</t>
        </is>
      </c>
      <c r="AQ875" s="7" t="inlineStr">
        <is>
          <t>-</t>
        </is>
      </c>
      <c r="AR875" s="60" t="inlineStr">
        <is>
          <t>NO</t>
        </is>
      </c>
      <c r="AS875" s="7" t="inlineStr">
        <is>
          <t>-</t>
        </is>
      </c>
      <c r="AT875" s="7" t="inlineStr">
        <is>
          <t>NO</t>
        </is>
      </c>
      <c r="AU875" s="7" t="inlineStr">
        <is>
          <t>-</t>
        </is>
      </c>
      <c r="AV875" s="60" t="inlineStr">
        <is>
          <t>NO</t>
        </is>
      </c>
      <c r="AW875" s="7" t="inlineStr">
        <is>
          <t>-</t>
        </is>
      </c>
      <c r="AX875" s="7" t="inlineStr">
        <is>
          <t>NO</t>
        </is>
      </c>
      <c r="AY875" s="7" t="inlineStr">
        <is>
          <t>-</t>
        </is>
      </c>
      <c r="AZ875" s="7" t="inlineStr">
        <is>
          <t>NO</t>
        </is>
      </c>
      <c r="BA875" s="7" t="inlineStr">
        <is>
          <t>-</t>
        </is>
      </c>
      <c r="BB875" s="7" t="inlineStr">
        <is>
          <t>NO</t>
        </is>
      </c>
      <c r="BC875" s="7" t="inlineStr">
        <is>
          <t>-</t>
        </is>
      </c>
      <c r="BD875" s="7" t="inlineStr">
        <is>
          <t>NO</t>
        </is>
      </c>
      <c r="BE875" s="7" t="inlineStr">
        <is>
          <t>-</t>
        </is>
      </c>
      <c r="BF875" s="7" t="inlineStr">
        <is>
          <t>SMA</t>
        </is>
      </c>
      <c r="BG875" s="7" t="inlineStr">
        <is>
          <t>PMA Frontera - PAT Frontera</t>
        </is>
      </c>
      <c r="BH875" s="7" t="inlineStr">
        <is>
          <t>RCA 20219900112</t>
        </is>
      </c>
      <c r="BI875" s="7" t="inlineStr">
        <is>
          <t>Medición diaria de nivel con sensor</t>
        </is>
      </c>
      <c r="BJ875" s="7" t="n"/>
      <c r="BK875" s="61" t="n"/>
      <c r="BL875" s="61" t="inlineStr">
        <is>
          <t>GMAP-SIGA</t>
        </is>
      </c>
      <c r="BM875" s="251" t="inlineStr">
        <is>
          <t>NF</t>
        </is>
      </c>
      <c r="BN875" s="337" t="inlineStr">
        <is>
          <t>Coposa Norte</t>
        </is>
      </c>
      <c r="BO875" s="168" t="inlineStr">
        <is>
          <t>SI / PAT FRONTERA</t>
        </is>
      </c>
      <c r="BP875" s="106" t="inlineStr">
        <is>
          <t>R-C-3B  COPOSA NORTE/NF</t>
        </is>
      </c>
      <c r="BQ875" s="106">
        <f>VLOOKUP(BP875,[1]AGUA!$1:$1048576,2,FALSE)</f>
        <v/>
      </c>
      <c r="BR875" s="106">
        <f>VLOOKUP(BP875,[1]AGUA!$1:$1048576,6,FALSE)</f>
        <v/>
      </c>
      <c r="BS875" s="106">
        <f>VLOOKUP(BP875,[1]AGUA!$1:$1048576,7,FALSE)</f>
        <v/>
      </c>
      <c r="BT875" s="106" t="n"/>
      <c r="BU875" s="101" t="n"/>
      <c r="BV875" s="105" t="n"/>
      <c r="BW875" s="105" t="n"/>
      <c r="BX875" s="105" t="n"/>
      <c r="BY875" s="105" t="n"/>
      <c r="BZ875" s="105" t="n"/>
      <c r="CA875" s="105" t="n"/>
      <c r="CB875" s="105" t="n"/>
      <c r="CC875" s="105" t="n"/>
      <c r="CD875" s="105" t="n"/>
      <c r="CE875" s="105" t="n"/>
      <c r="CF875" s="105" t="n"/>
      <c r="CG875" s="105" t="n"/>
      <c r="CH875" s="105" t="n"/>
      <c r="CI875" s="105" t="n"/>
      <c r="CJ875" s="105" t="n"/>
      <c r="CK875" s="105" t="n"/>
      <c r="CL875" s="105" t="n"/>
      <c r="CM875" s="142" t="n">
        <v>1</v>
      </c>
      <c r="CN875" s="105" t="n"/>
      <c r="CO875" s="105" t="n"/>
      <c r="CP875" s="105" t="n"/>
      <c r="CQ875" s="105" t="n"/>
      <c r="CR875" s="105" t="n"/>
      <c r="CS875" s="105" t="n"/>
      <c r="CT875" s="105" t="n"/>
      <c r="CU875" s="105" t="n"/>
      <c r="CV875" s="105" t="n"/>
      <c r="CW875" s="105" t="n"/>
      <c r="CX875" s="105" t="n"/>
      <c r="CY875" s="105" t="n"/>
      <c r="CZ875" s="124">
        <f>+COUNTA(BV875:CY875)</f>
        <v/>
      </c>
      <c r="DA875" s="251" t="n"/>
      <c r="DB875" s="251" t="n"/>
      <c r="DC875" s="251" t="n"/>
      <c r="DD875" s="251" t="n"/>
      <c r="DE875" s="251" t="n"/>
      <c r="DF875" s="251" t="n"/>
      <c r="DG875" s="251" t="n"/>
      <c r="DH875" s="251" t="n"/>
      <c r="DI875" s="251" t="n"/>
      <c r="DJ875" s="168" t="inlineStr">
        <is>
          <t>M</t>
        </is>
      </c>
      <c r="DK875" s="251" t="n">
        <v>8</v>
      </c>
      <c r="DL875" s="95" t="n">
        <v>21</v>
      </c>
      <c r="DM875" s="251" t="n"/>
      <c r="DN875" s="95" t="n"/>
      <c r="DO875" s="95" t="n"/>
    </row>
    <row r="876" ht="13" customHeight="1">
      <c r="A876" s="203" t="inlineStr">
        <is>
          <t>R-D-1</t>
        </is>
      </c>
      <c r="B876" s="305" t="n"/>
      <c r="C876" s="7" t="n"/>
      <c r="D876" s="7" t="inlineStr">
        <is>
          <t>SI</t>
        </is>
      </c>
      <c r="E876" s="7" t="inlineStr">
        <is>
          <t>SI</t>
        </is>
      </c>
      <c r="F876" s="7" t="inlineStr">
        <is>
          <t>NO</t>
        </is>
      </c>
      <c r="G876" s="7" t="inlineStr">
        <is>
          <t>NO</t>
        </is>
      </c>
      <c r="H876" s="7" t="n">
        <v>542112</v>
      </c>
      <c r="I876" s="7" t="n">
        <v>7727131</v>
      </c>
      <c r="J876" s="7" t="inlineStr">
        <is>
          <t>Por implementar</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1" t="inlineStr">
        <is>
          <t>NF</t>
        </is>
      </c>
      <c r="BN876" s="337" t="inlineStr">
        <is>
          <t>Coposa Norte</t>
        </is>
      </c>
      <c r="BO876" s="168" t="inlineStr">
        <is>
          <t>SI / PAT FRONTERA</t>
        </is>
      </c>
      <c r="BP876" s="251" t="inlineStr">
        <is>
          <t>R-D-1  COPOSA NORTE/NF</t>
        </is>
      </c>
      <c r="BQ876" s="106">
        <f>VLOOKUP(BP876,[1]AGUA!$1:$1048576,2,FALSE)</f>
        <v/>
      </c>
      <c r="BR876" s="106">
        <f>VLOOKUP(BP876,[1]AGUA!$1:$1048576,6,FALSE)</f>
        <v/>
      </c>
      <c r="BS876" s="106">
        <f>VLOOKUP(BP876,[1]AGUA!$1:$1048576,7,FALSE)</f>
        <v/>
      </c>
      <c r="BT876" s="106" t="n"/>
      <c r="BU876" s="101" t="n"/>
      <c r="BV876" s="105" t="n"/>
      <c r="BW876" s="105" t="n"/>
      <c r="BX876" s="105" t="n"/>
      <c r="BZ876" s="142" t="n">
        <v>1</v>
      </c>
      <c r="CA876" s="105" t="n"/>
      <c r="CB876" s="105" t="n"/>
      <c r="CC876" s="105" t="n"/>
      <c r="CD876" s="105" t="n"/>
      <c r="CE876" s="105" t="n"/>
      <c r="CG876" s="142" t="n">
        <v>1</v>
      </c>
      <c r="CH876" s="105" t="n"/>
      <c r="CI876" s="105" t="n"/>
      <c r="CJ876" s="105" t="n"/>
      <c r="CK876" s="105" t="n"/>
      <c r="CL876" s="105" t="n"/>
      <c r="CM876" s="142" t="n">
        <v>1</v>
      </c>
      <c r="CN876" s="105" t="n"/>
      <c r="CO876" s="105" t="n"/>
      <c r="CP876" s="105" t="n"/>
      <c r="CQ876" s="105" t="n"/>
      <c r="CR876" s="105" t="n"/>
      <c r="CS876" s="105" t="n"/>
      <c r="CT876" s="142" t="n">
        <v>1</v>
      </c>
      <c r="CU876" s="105" t="n"/>
      <c r="CV876" s="105" t="n"/>
      <c r="CW876" s="105" t="n"/>
      <c r="CX876" s="105" t="n"/>
      <c r="CY876" s="105" t="n"/>
      <c r="CZ876" s="124">
        <f>+COUNTA(BV876:CY876)</f>
        <v/>
      </c>
      <c r="DA876" s="251" t="n"/>
      <c r="DB876" s="251" t="n"/>
      <c r="DC876" s="251" t="n"/>
      <c r="DD876" s="251" t="n"/>
      <c r="DE876" s="251" t="n"/>
      <c r="DF876" s="251" t="n"/>
      <c r="DG876" s="251" t="n"/>
      <c r="DH876" s="251" t="n"/>
      <c r="DI876" s="251" t="n"/>
      <c r="DJ876" s="251" t="n"/>
      <c r="DK876" s="251" t="n"/>
      <c r="DL876" s="95" t="n"/>
      <c r="DM876" s="251" t="n"/>
      <c r="DN876" s="95" t="n"/>
      <c r="DO876" s="95" t="n"/>
    </row>
    <row r="877" ht="13" customHeight="1">
      <c r="A877" s="203" t="inlineStr">
        <is>
          <t>R-D-2</t>
        </is>
      </c>
      <c r="B877" s="305" t="n"/>
      <c r="C877" s="7" t="n"/>
      <c r="D877" s="7" t="inlineStr">
        <is>
          <t>SI</t>
        </is>
      </c>
      <c r="E877" s="7" t="inlineStr">
        <is>
          <t>SI</t>
        </is>
      </c>
      <c r="F877" s="7" t="inlineStr">
        <is>
          <t>NO</t>
        </is>
      </c>
      <c r="G877" s="7" t="inlineStr">
        <is>
          <t>NO</t>
        </is>
      </c>
      <c r="H877" s="7" t="n">
        <v>541375</v>
      </c>
      <c r="I877" s="7" t="n">
        <v>7726210</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1" t="inlineStr">
        <is>
          <t>NF</t>
        </is>
      </c>
      <c r="BN877" s="337" t="inlineStr">
        <is>
          <t>Coposa Norte</t>
        </is>
      </c>
      <c r="BO877" s="168" t="inlineStr">
        <is>
          <t>SI / PAT FRONTERA</t>
        </is>
      </c>
      <c r="BP877" s="251" t="inlineStr">
        <is>
          <t>R-D-2  COPOSA NORTE/NF</t>
        </is>
      </c>
      <c r="BQ877" s="106">
        <f>VLOOKUP(BP877,[1]AGUA!$1:$1048576,2,FALSE)</f>
        <v/>
      </c>
      <c r="BR877" s="106">
        <f>VLOOKUP(BP877,[1]AGUA!$1:$1048576,6,FALSE)</f>
        <v/>
      </c>
      <c r="BS877" s="106">
        <f>VLOOKUP(BP877,[1]AGUA!$1:$1048576,7,FALSE)</f>
        <v/>
      </c>
      <c r="BT877" s="106" t="n"/>
      <c r="BU877" s="101" t="inlineStr">
        <is>
          <t>HITO 54, PROGRAMAR CON CARABINEROS O MILITARES</t>
        </is>
      </c>
      <c r="BV877" s="105" t="n"/>
      <c r="BW877" s="105" t="n"/>
      <c r="BX877" s="105" t="n"/>
      <c r="BY877" s="105" t="n"/>
      <c r="BZ877" s="105" t="n"/>
      <c r="CA877" s="105" t="n"/>
      <c r="CB877" s="105" t="n"/>
      <c r="CC877" s="105" t="n"/>
      <c r="CD877" s="105" t="n"/>
      <c r="CE877" s="105" t="n"/>
      <c r="CF877" s="105" t="n"/>
      <c r="CG877" s="105" t="n"/>
      <c r="CH877" s="105" t="n"/>
      <c r="CI877" s="105" t="n"/>
      <c r="CJ877" s="105" t="n"/>
      <c r="CK877" s="105" t="n"/>
      <c r="CL877" s="142" t="n">
        <v>1</v>
      </c>
      <c r="CM877" s="105" t="n"/>
      <c r="CN877" s="105" t="n"/>
      <c r="CO877" s="105" t="n"/>
      <c r="CP877" s="105" t="n"/>
      <c r="CQ877" s="105" t="n"/>
      <c r="CR877" s="105" t="n"/>
      <c r="CS877" s="105" t="n"/>
      <c r="CT877" s="105" t="n"/>
      <c r="CU877" s="105" t="n"/>
      <c r="CV877" s="105" t="n"/>
      <c r="CW877" s="105" t="n"/>
      <c r="CX877" s="105" t="n"/>
      <c r="CY877" s="105" t="n"/>
      <c r="CZ877" s="124">
        <f>+COUNTA(BV877:CY877)</f>
        <v/>
      </c>
      <c r="DA877" s="251" t="n"/>
      <c r="DB877" s="251" t="n"/>
      <c r="DC877" s="251" t="n"/>
      <c r="DD877" s="251" t="n"/>
      <c r="DE877" s="251" t="n"/>
      <c r="DF877" s="251" t="n"/>
      <c r="DG877" s="251" t="n"/>
      <c r="DH877" s="251" t="n"/>
      <c r="DI877" s="251" t="n"/>
      <c r="DJ877" s="251" t="inlineStr">
        <is>
          <t>S</t>
        </is>
      </c>
      <c r="DK877" s="251" t="n"/>
      <c r="DL877" s="95" t="n"/>
      <c r="DM877" s="251" t="n"/>
      <c r="DN877" s="95" t="n"/>
      <c r="DO877" s="95" t="n"/>
    </row>
    <row r="878" ht="12.65" customHeight="1">
      <c r="A878" s="203" t="inlineStr">
        <is>
          <t>R-PORT-1</t>
        </is>
      </c>
      <c r="B878" s="305"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c r="AE878" s="7" t="n"/>
      <c r="AF878" s="7" t="n"/>
      <c r="AG878" s="7" t="n"/>
      <c r="AH878" s="7" t="n"/>
      <c r="AI878" s="7" t="n"/>
      <c r="AJ878" s="7" t="n"/>
      <c r="AK878" s="60" t="n"/>
      <c r="AL878" s="7" t="n"/>
      <c r="AM878" s="7" t="n"/>
      <c r="AN878" s="60" t="n"/>
      <c r="AO878" s="7" t="n"/>
      <c r="AP878" s="60" t="n"/>
      <c r="AQ878" s="7" t="n"/>
      <c r="AR878" s="60" t="n"/>
      <c r="AS878" s="7" t="n"/>
      <c r="AT878" s="7" t="n"/>
      <c r="AU878" s="7" t="n"/>
      <c r="AV878" s="60" t="n"/>
      <c r="AW878" s="7" t="n"/>
      <c r="AX878" s="7" t="n"/>
      <c r="AY878" s="7" t="n"/>
      <c r="AZ878" s="7" t="n"/>
      <c r="BA878" s="7" t="n"/>
      <c r="BB878" s="7" t="n"/>
      <c r="BC878" s="7" t="n"/>
      <c r="BD878" s="7" t="n"/>
      <c r="BE878" s="7" t="n"/>
      <c r="BF878" s="7" t="n"/>
      <c r="BG878" s="7" t="n"/>
      <c r="BH878" s="7" t="n"/>
      <c r="BI878" s="7" t="n"/>
      <c r="BJ878" s="7" t="n"/>
      <c r="BK878" s="61" t="n"/>
      <c r="BL878" s="61" t="inlineStr">
        <is>
          <t>GMAP-SIGA</t>
        </is>
      </c>
      <c r="BM878" s="251" t="inlineStr">
        <is>
          <t>NF</t>
        </is>
      </c>
      <c r="BN878" s="337" t="inlineStr">
        <is>
          <t>Portezuelo</t>
        </is>
      </c>
      <c r="BO878" s="168" t="inlineStr">
        <is>
          <t>SI / PAT FRONTERA</t>
        </is>
      </c>
      <c r="BP878" s="106" t="inlineStr">
        <is>
          <t>R-PORT-1 PORTEZUELO/NF</t>
        </is>
      </c>
      <c r="BQ878" s="106">
        <f>VLOOKUP(BP878,[1]AGUA!$1:$1048576,2,FALSE)</f>
        <v/>
      </c>
      <c r="BR878" s="106">
        <f>VLOOKUP(BP878,[1]AGUA!$1:$1048576,6,FALSE)</f>
        <v/>
      </c>
      <c r="BS878" s="106">
        <f>VLOOKUP(BP878,[1]AGUA!$1:$1048576,7,FALSE)</f>
        <v/>
      </c>
      <c r="BT878" s="106" t="n"/>
      <c r="BU878" s="101" t="n"/>
      <c r="BV878" s="105" t="n"/>
      <c r="BW878" s="105" t="n"/>
      <c r="BX878" s="105" t="n"/>
      <c r="BY878" s="142" t="n">
        <v>1</v>
      </c>
      <c r="BZ878" s="105" t="n"/>
      <c r="CA878" s="105" t="n"/>
      <c r="CB878" s="105" t="n"/>
      <c r="CC878" s="105" t="n"/>
      <c r="CD878" s="105" t="n"/>
      <c r="CE878" s="142" t="n">
        <v>1</v>
      </c>
      <c r="CF878" s="105" t="n"/>
      <c r="CG878" s="105" t="n"/>
      <c r="CH878" s="105" t="n"/>
      <c r="CI878" s="105" t="n"/>
      <c r="CJ878" s="105" t="n"/>
      <c r="CK878" s="105" t="n"/>
      <c r="CL878" s="142" t="n">
        <v>1</v>
      </c>
      <c r="CM878" s="105" t="n"/>
      <c r="CN878" s="105" t="n"/>
      <c r="CO878" s="105" t="n"/>
      <c r="CP878" s="105" t="n"/>
      <c r="CQ878" s="105" t="n"/>
      <c r="CR878" s="105" t="n"/>
      <c r="CT878" s="105" t="n"/>
      <c r="CU878" s="105" t="n"/>
      <c r="CV878" s="105" t="n"/>
      <c r="CW878" s="105" t="n"/>
      <c r="CX878" s="105" t="n"/>
      <c r="CY878" s="105" t="n"/>
      <c r="CZ878" s="124">
        <f>+COUNTA(BV878:CY878)</f>
        <v/>
      </c>
      <c r="DA878" s="251" t="n"/>
      <c r="DB878" s="251" t="n"/>
      <c r="DC878" s="251" t="n"/>
      <c r="DD878" s="251" t="n"/>
      <c r="DE878" s="251" t="n"/>
      <c r="DF878" s="251" t="n"/>
      <c r="DG878" s="251" t="n"/>
      <c r="DH878" s="251" t="n"/>
      <c r="DI878" s="251" t="n"/>
      <c r="DJ878" s="251" t="inlineStr">
        <is>
          <t>S</t>
        </is>
      </c>
      <c r="DK878" s="251" t="n"/>
      <c r="DL878" s="95" t="n"/>
      <c r="DM878" s="251" t="n"/>
      <c r="DN878" s="95" t="n"/>
      <c r="DO878" s="95" t="n"/>
    </row>
    <row r="879" ht="13" customHeight="1">
      <c r="A879" s="203" t="inlineStr">
        <is>
          <t>REC-01</t>
        </is>
      </c>
      <c r="B879" s="305" t="inlineStr">
        <is>
          <t>REC-01 COPOSA CENTRO</t>
        </is>
      </c>
      <c r="C879" s="7" t="n"/>
      <c r="D879" s="7" t="inlineStr">
        <is>
          <t>MONITOREO INTERNO</t>
        </is>
      </c>
      <c r="E879" s="7" t="inlineStr">
        <is>
          <t>NO</t>
        </is>
      </c>
      <c r="F879" s="7" t="inlineStr">
        <is>
          <t>NO</t>
        </is>
      </c>
      <c r="G879" s="7" t="inlineStr">
        <is>
          <t>NO</t>
        </is>
      </c>
      <c r="H879" s="7" t="n">
        <v>540015.25408</v>
      </c>
      <c r="I879" s="7" t="n">
        <v>7712314.03488</v>
      </c>
      <c r="J879" s="7" t="inlineStr">
        <is>
          <t>Construido</t>
        </is>
      </c>
      <c r="K879" s="7" t="inlineStr">
        <is>
          <t>-</t>
        </is>
      </c>
      <c r="L879" s="7" t="inlineStr">
        <is>
          <t>Agua Subterránea</t>
        </is>
      </c>
      <c r="M879" s="7" t="inlineStr">
        <is>
          <t>Cordillera</t>
        </is>
      </c>
      <c r="N879" s="7" t="inlineStr">
        <is>
          <t>POZO</t>
        </is>
      </c>
      <c r="O879" s="7" t="inlineStr">
        <is>
          <t>Coposa Centro</t>
        </is>
      </c>
      <c r="P879" s="7" t="inlineStr">
        <is>
          <t>NO</t>
        </is>
      </c>
      <c r="Q879" s="7" t="inlineStr">
        <is>
          <t>-</t>
        </is>
      </c>
      <c r="R879" s="7" t="inlineStr">
        <is>
          <t>-</t>
        </is>
      </c>
      <c r="S879" s="7" t="inlineStr">
        <is>
          <t>-</t>
        </is>
      </c>
      <c r="T879" s="7" t="inlineStr">
        <is>
          <t>SI</t>
        </is>
      </c>
      <c r="U879" s="7" t="inlineStr">
        <is>
          <t>Mensual</t>
        </is>
      </c>
      <c r="V879" s="7" t="inlineStr">
        <is>
          <t>SI</t>
        </is>
      </c>
      <c r="W879" s="7" t="inlineStr">
        <is>
          <t>Mensual</t>
        </is>
      </c>
      <c r="X879" s="7" t="inlineStr">
        <is>
          <t>NO</t>
        </is>
      </c>
      <c r="Y879" s="7" t="inlineStr">
        <is>
          <t>-</t>
        </is>
      </c>
      <c r="Z879" s="7" t="inlineStr">
        <is>
          <t>NO</t>
        </is>
      </c>
      <c r="AA879" s="7" t="inlineStr">
        <is>
          <t>-</t>
        </is>
      </c>
      <c r="AB879" s="7" t="inlineStr">
        <is>
          <t>NO</t>
        </is>
      </c>
      <c r="AC879" s="7" t="inlineStr">
        <is>
          <t>-</t>
        </is>
      </c>
      <c r="AD879" s="7" t="inlineStr">
        <is>
          <t>NO</t>
        </is>
      </c>
      <c r="AE879" s="7" t="inlineStr">
        <is>
          <t>-</t>
        </is>
      </c>
      <c r="AF879" s="7" t="inlineStr">
        <is>
          <t>-</t>
        </is>
      </c>
      <c r="AG879" s="7" t="inlineStr">
        <is>
          <t>NO</t>
        </is>
      </c>
      <c r="AH879" s="7" t="inlineStr">
        <is>
          <t>-</t>
        </is>
      </c>
      <c r="AI879" s="7" t="inlineStr">
        <is>
          <t>NO</t>
        </is>
      </c>
      <c r="AJ879" s="7" t="inlineStr">
        <is>
          <t>-</t>
        </is>
      </c>
      <c r="AK879" s="60" t="inlineStr">
        <is>
          <t>NO</t>
        </is>
      </c>
      <c r="AL879" s="7" t="inlineStr">
        <is>
          <t>-</t>
        </is>
      </c>
      <c r="AM879" s="7" t="inlineStr">
        <is>
          <t>-</t>
        </is>
      </c>
      <c r="AN879" s="60" t="inlineStr">
        <is>
          <t>NO</t>
        </is>
      </c>
      <c r="AO879" s="7" t="inlineStr">
        <is>
          <t>-</t>
        </is>
      </c>
      <c r="AP879" s="60" t="inlineStr">
        <is>
          <t>NO</t>
        </is>
      </c>
      <c r="AQ879" s="7" t="inlineStr">
        <is>
          <t>-</t>
        </is>
      </c>
      <c r="AR879" s="60" t="inlineStr">
        <is>
          <t>NO</t>
        </is>
      </c>
      <c r="AS879" s="7" t="inlineStr">
        <is>
          <t>-</t>
        </is>
      </c>
      <c r="AT879" s="7" t="inlineStr">
        <is>
          <t>NO</t>
        </is>
      </c>
      <c r="AU879" s="7" t="inlineStr">
        <is>
          <t>-</t>
        </is>
      </c>
      <c r="AV879" s="60" t="inlineStr">
        <is>
          <t>NO</t>
        </is>
      </c>
      <c r="AW879" s="7" t="inlineStr">
        <is>
          <t>-</t>
        </is>
      </c>
      <c r="AX879" s="7" t="inlineStr">
        <is>
          <t>NO</t>
        </is>
      </c>
      <c r="AY879" s="7" t="inlineStr">
        <is>
          <t>-</t>
        </is>
      </c>
      <c r="AZ879" s="7" t="inlineStr">
        <is>
          <t>NO</t>
        </is>
      </c>
      <c r="BA879" s="7" t="inlineStr">
        <is>
          <t>-</t>
        </is>
      </c>
      <c r="BB879" s="7" t="inlineStr">
        <is>
          <t>NO</t>
        </is>
      </c>
      <c r="BC879" s="7" t="inlineStr">
        <is>
          <t>-</t>
        </is>
      </c>
      <c r="BD879" s="7" t="inlineStr">
        <is>
          <t>NO</t>
        </is>
      </c>
      <c r="BE879" s="7" t="inlineStr">
        <is>
          <t>-</t>
        </is>
      </c>
      <c r="BF879" s="7" t="inlineStr">
        <is>
          <t>No aplica</t>
        </is>
      </c>
      <c r="BG879" s="7" t="inlineStr">
        <is>
          <t>Monitoreo interno</t>
        </is>
      </c>
      <c r="BH879" s="7" t="inlineStr">
        <is>
          <t>No aplica</t>
        </is>
      </c>
      <c r="BI879" s="7" t="n"/>
      <c r="BJ879" s="7" t="n"/>
      <c r="BK879" s="331" t="inlineStr">
        <is>
          <t>532MAREC01</t>
        </is>
      </c>
      <c r="BL879" s="61" t="inlineStr">
        <is>
          <t>GMAP-SIGA</t>
        </is>
      </c>
      <c r="BM879" s="251" t="inlineStr">
        <is>
          <t>NF</t>
        </is>
      </c>
      <c r="BN879" s="337" t="inlineStr">
        <is>
          <t>Coposa Centro</t>
        </is>
      </c>
      <c r="BO879" s="251" t="inlineStr">
        <is>
          <t>NO</t>
        </is>
      </c>
      <c r="BP879" s="106" t="inlineStr">
        <is>
          <t>REC-01 COPOSA CENTRO/NF</t>
        </is>
      </c>
      <c r="BQ879" s="106">
        <f>VLOOKUP(BP879,[1]AGUA!$1:$1048576,2,FALSE)</f>
        <v/>
      </c>
      <c r="BR879" s="106">
        <f>VLOOKUP(BP879,[1]AGUA!$1:$1048576,6,FALSE)</f>
        <v/>
      </c>
      <c r="BS879" s="106">
        <f>VLOOKUP(BP879,[1]AGUA!$1:$1048576,7,FALSE)</f>
        <v/>
      </c>
      <c r="BT879" s="106" t="n"/>
      <c r="BU879" s="102" t="inlineStr">
        <is>
          <t>CAMBIO DE FRECUENCIA A PARTIR DE SEPTIEMBRE 2025 X CMDIC DE MENSUAL A TRIMESTRAL</t>
        </is>
      </c>
      <c r="BV879" s="105" t="n"/>
      <c r="BW879" s="105" t="n"/>
      <c r="BX879" s="105" t="n"/>
      <c r="BY879" s="105" t="n"/>
      <c r="BZ879" s="105" t="n"/>
      <c r="CA879" s="105" t="n"/>
      <c r="CB879" s="105" t="n"/>
      <c r="CC879" s="105" t="n"/>
      <c r="CD879" s="105" t="n"/>
      <c r="CE879" s="105" t="n"/>
      <c r="CF879" s="105" t="n"/>
      <c r="CG879" s="105" t="n"/>
      <c r="CH879" s="105" t="n"/>
      <c r="CI879" s="105" t="n"/>
      <c r="CJ879" s="105" t="n"/>
      <c r="CK879" s="105" t="n"/>
      <c r="CL879" s="105" t="n"/>
      <c r="CM879" s="105" t="n"/>
      <c r="CN879" s="105" t="n"/>
      <c r="CO879" s="105" t="n"/>
      <c r="CP879" s="105" t="n"/>
      <c r="CQ879" s="105" t="n"/>
      <c r="CR879" s="105" t="n"/>
      <c r="CS879" s="105" t="n"/>
      <c r="CT879" s="105" t="n"/>
      <c r="CU879" s="105" t="n"/>
      <c r="CV879" s="105" t="n"/>
      <c r="CW879" s="105" t="n"/>
      <c r="CX879" s="105" t="n"/>
      <c r="CY879" s="105" t="n"/>
      <c r="CZ879" s="124">
        <f>+COUNTA(BV879:CY879)</f>
        <v/>
      </c>
      <c r="DA879" s="251" t="n"/>
      <c r="DB879" s="251" t="n"/>
      <c r="DC879" s="251" t="n"/>
      <c r="DD879" s="251" t="n"/>
      <c r="DE879" s="251" t="n"/>
      <c r="DF879" s="251" t="n"/>
      <c r="DG879" s="251" t="n"/>
      <c r="DH879" s="251" t="n"/>
      <c r="DI879" s="251" t="n"/>
      <c r="DJ879" s="251" t="inlineStr">
        <is>
          <t>M</t>
        </is>
      </c>
      <c r="DK879" s="251" t="n">
        <v>22</v>
      </c>
      <c r="DL879" s="95" t="n">
        <v>28</v>
      </c>
      <c r="DM879" s="251" t="n"/>
      <c r="DN879" s="95" t="n"/>
      <c r="DO879" s="95" t="n"/>
    </row>
    <row r="880" ht="13" customHeight="1">
      <c r="A880" s="203" t="inlineStr">
        <is>
          <t>RMA01</t>
        </is>
      </c>
      <c r="B880" s="305" t="inlineStr">
        <is>
          <t>RMA01 HUINQUINTIPA</t>
        </is>
      </c>
      <c r="C880" s="7" t="n"/>
      <c r="D880" s="7" t="inlineStr">
        <is>
          <t>MONITOREO INTERNO</t>
        </is>
      </c>
      <c r="E880" s="7" t="inlineStr">
        <is>
          <t>NO</t>
        </is>
      </c>
      <c r="F880" s="7" t="inlineStr">
        <is>
          <t>NO</t>
        </is>
      </c>
      <c r="G880" s="7" t="inlineStr">
        <is>
          <t>NO</t>
        </is>
      </c>
      <c r="H880" s="7" t="n">
        <v>524610.504495</v>
      </c>
      <c r="I880" s="7" t="n">
        <v>7682885.79408</v>
      </c>
      <c r="J880" s="7" t="inlineStr">
        <is>
          <t>Construido</t>
        </is>
      </c>
      <c r="K880" s="7" t="inlineStr">
        <is>
          <t>-</t>
        </is>
      </c>
      <c r="L880" s="7" t="inlineStr">
        <is>
          <t>Agua Subterránea</t>
        </is>
      </c>
      <c r="M880" s="7" t="inlineStr">
        <is>
          <t>Cordillera</t>
        </is>
      </c>
      <c r="N880" s="7" t="inlineStr">
        <is>
          <t>POZO</t>
        </is>
      </c>
      <c r="O880" s="7" t="inlineStr">
        <is>
          <t>Huinquintipa</t>
        </is>
      </c>
      <c r="P880" s="7" t="inlineStr">
        <is>
          <t>NO</t>
        </is>
      </c>
      <c r="Q880" s="7" t="inlineStr">
        <is>
          <t>-</t>
        </is>
      </c>
      <c r="R880" s="7" t="inlineStr">
        <is>
          <t>-</t>
        </is>
      </c>
      <c r="S880" s="7" t="inlineStr">
        <is>
          <t>-</t>
        </is>
      </c>
      <c r="T880" s="7" t="inlineStr">
        <is>
          <t>SI</t>
        </is>
      </c>
      <c r="U880" s="7" t="inlineStr">
        <is>
          <t>Bimestral</t>
        </is>
      </c>
      <c r="V880" s="7" t="inlineStr">
        <is>
          <t>SI</t>
        </is>
      </c>
      <c r="W880" s="7" t="inlineStr">
        <is>
          <t>Bimestral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7" t="inlineStr">
        <is>
          <t>NO</t>
        </is>
      </c>
      <c r="AS880" s="7" t="inlineStr">
        <is>
          <t>-</t>
        </is>
      </c>
      <c r="AT880" s="7" t="inlineStr">
        <is>
          <t>NO</t>
        </is>
      </c>
      <c r="AU880" s="7" t="inlineStr">
        <is>
          <t>-</t>
        </is>
      </c>
      <c r="AV880" s="7"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252" t="inlineStr">
        <is>
          <t>532MARMA01</t>
        </is>
      </c>
      <c r="BL880" s="61" t="inlineStr">
        <is>
          <t>GMAP-SIGA</t>
        </is>
      </c>
      <c r="BM880" s="251" t="inlineStr">
        <is>
          <t>NF</t>
        </is>
      </c>
      <c r="BN880" s="337" t="inlineStr">
        <is>
          <t>Huinquintipa</t>
        </is>
      </c>
      <c r="BO880" s="251" t="inlineStr">
        <is>
          <t>NO</t>
        </is>
      </c>
      <c r="BP880" s="106" t="inlineStr">
        <is>
          <t>RMA01 HUINQUINTIPA/NF</t>
        </is>
      </c>
      <c r="BQ880" s="106">
        <f>VLOOKUP(BP880,[1]AGUA!$1:$1048576,2,FALSE)</f>
        <v/>
      </c>
      <c r="BR880" s="106">
        <f>VLOOKUP(BP880,[1]AGUA!$1:$1048576,6,FALSE)</f>
        <v/>
      </c>
      <c r="BS880" s="106">
        <f>VLOOKUP(BP880,[1]AGUA!$1:$1048576,7,FALSE)</f>
        <v/>
      </c>
      <c r="BT880" s="106" t="n"/>
      <c r="BU880" s="101" t="n"/>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05" t="n"/>
      <c r="CX880" s="105" t="n"/>
      <c r="CY880" s="105" t="n"/>
      <c r="CZ880" s="124">
        <f>+COUNTA(BV880:CY880)</f>
        <v/>
      </c>
      <c r="DA880" s="251" t="n"/>
      <c r="DB880" s="251" t="n"/>
      <c r="DC880" s="251" t="n"/>
      <c r="DD880" s="251" t="n"/>
      <c r="DE880" s="251" t="n"/>
      <c r="DF880" s="251" t="n"/>
      <c r="DG880" s="251" t="n"/>
      <c r="DH880" s="251" t="n"/>
      <c r="DI880" s="251" t="n"/>
      <c r="DJ880" s="251" t="inlineStr">
        <is>
          <t>B</t>
        </is>
      </c>
      <c r="DK880" s="251" t="n">
        <v>22</v>
      </c>
      <c r="DL880" s="95" t="n">
        <v>28</v>
      </c>
      <c r="DM880" s="251" t="n"/>
      <c r="DN880" s="95" t="n"/>
      <c r="DO880" s="95" t="n"/>
    </row>
    <row r="881" ht="13" customHeight="1">
      <c r="A881" s="204" t="inlineStr">
        <is>
          <t>RPEC-02A NUEVO</t>
        </is>
      </c>
      <c r="B881" s="305" t="n"/>
      <c r="C881" s="251"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c r="AE881" s="7" t="n"/>
      <c r="AF881" s="7" t="n"/>
      <c r="AG881" s="7" t="n"/>
      <c r="AH881" s="7" t="n"/>
      <c r="AI881" s="7" t="n"/>
      <c r="AJ881" s="7" t="n"/>
      <c r="AK881" s="60" t="n"/>
      <c r="AL881" s="7" t="n"/>
      <c r="AM881" s="7" t="n"/>
      <c r="AN881" s="60" t="n"/>
      <c r="AO881" s="7" t="n"/>
      <c r="AP881" s="60" t="n"/>
      <c r="AQ881" s="7" t="n"/>
      <c r="AR881" s="7" t="n"/>
      <c r="AS881" s="7" t="n"/>
      <c r="AT881" s="7" t="n"/>
      <c r="AU881" s="7" t="n"/>
      <c r="AV881" s="7" t="n"/>
      <c r="AW881" s="7" t="n"/>
      <c r="AX881" s="7" t="n"/>
      <c r="AY881" s="7" t="n"/>
      <c r="AZ881" s="7" t="n"/>
      <c r="BA881" s="7" t="n"/>
      <c r="BB881" s="7" t="n"/>
      <c r="BC881" s="7" t="n"/>
      <c r="BD881" s="7" t="n"/>
      <c r="BE881" s="7" t="n"/>
      <c r="BF881" s="7" t="n"/>
      <c r="BG881" s="7" t="n"/>
      <c r="BH881" s="7" t="n"/>
      <c r="BI881" s="7" t="n"/>
      <c r="BJ881" s="7" t="n"/>
      <c r="BK881" s="331" t="n"/>
      <c r="BL881" s="7" t="inlineStr">
        <is>
          <t>GTAM</t>
        </is>
      </c>
      <c r="BM881" s="251" t="inlineStr">
        <is>
          <t>NF</t>
        </is>
      </c>
      <c r="BN881" s="337" t="inlineStr">
        <is>
          <t>Coposa sur</t>
        </is>
      </c>
      <c r="BO881" s="251" t="inlineStr">
        <is>
          <t>SI</t>
        </is>
      </c>
      <c r="BP881" s="106" t="inlineStr">
        <is>
          <t>RPEC-02A COPOSA SUR/NF</t>
        </is>
      </c>
      <c r="BQ881" s="106">
        <f>VLOOKUP(BP881,[1]AGUA!$1:$1048576,2,FALSE)</f>
        <v/>
      </c>
      <c r="BR881" s="106">
        <f>VLOOKUP(BP881,[1]AGUA!$1:$1048576,6,FALSE)</f>
        <v/>
      </c>
      <c r="BS881" s="106">
        <f>VLOOKUP(BP881,[1]AGUA!$1:$1048576,7,FALSE)</f>
        <v/>
      </c>
      <c r="BT881" s="106" t="n"/>
      <c r="BU881" s="306" t="inlineStr">
        <is>
          <t>REEMPLZA AL ANTIGUO</t>
        </is>
      </c>
      <c r="BV881" s="105" t="n"/>
      <c r="BW881" s="105" t="n"/>
      <c r="BX881" s="105" t="n"/>
      <c r="BY881" s="105" t="n"/>
      <c r="BZ881" s="105" t="n"/>
      <c r="CA881" s="105" t="n"/>
      <c r="CB881" s="105" t="n"/>
      <c r="CC881" s="105" t="n"/>
      <c r="CD881" s="105" t="n"/>
      <c r="CE881" s="142" t="n">
        <v>1</v>
      </c>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24">
        <f>+COUNTA(BV881:CY881)</f>
        <v/>
      </c>
      <c r="DA881" s="251" t="n"/>
      <c r="DB881" s="251" t="n"/>
      <c r="DC881" s="251" t="n"/>
      <c r="DD881" s="251" t="n"/>
      <c r="DE881" s="251" t="n"/>
      <c r="DF881" s="251" t="n"/>
      <c r="DG881" s="251" t="n"/>
      <c r="DH881" s="251" t="n"/>
      <c r="DI881" s="251" t="n"/>
      <c r="DJ881" s="251" t="inlineStr">
        <is>
          <t>M</t>
        </is>
      </c>
      <c r="DK881" s="251" t="n">
        <v>8</v>
      </c>
      <c r="DL881" s="95" t="n">
        <v>14</v>
      </c>
      <c r="DM881" s="251" t="n"/>
      <c r="DN881" s="95" t="n"/>
      <c r="DO881" s="95" t="n"/>
    </row>
    <row r="882" ht="13" customHeight="1">
      <c r="A882" s="204" t="inlineStr">
        <is>
          <t>RPEC-02A NUEVO</t>
        </is>
      </c>
      <c r="B882" s="376" t="n"/>
      <c r="C882" s="376"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76" t="n"/>
      <c r="BL882" s="7" t="inlineStr">
        <is>
          <t>GTAM</t>
        </is>
      </c>
      <c r="BM882" s="251" t="inlineStr">
        <is>
          <t>ASUB</t>
        </is>
      </c>
      <c r="BN882" s="337" t="inlineStr">
        <is>
          <t>Coposa sur</t>
        </is>
      </c>
      <c r="BO882" s="251" t="inlineStr">
        <is>
          <t>SI</t>
        </is>
      </c>
      <c r="BP882" s="106" t="inlineStr">
        <is>
          <t>RPEC-02A COPOSA SUR/ASUB</t>
        </is>
      </c>
      <c r="BQ882" s="106">
        <f>VLOOKUP(BP882,[1]AGUA!$1:$1048576,2,FALSE)</f>
        <v/>
      </c>
      <c r="BR882" s="106">
        <f>VLOOKUP(BP882,[1]AGUA!$1:$1048576,6,FALSE)</f>
        <v/>
      </c>
      <c r="BS882" s="106">
        <f>VLOOKUP(BP882,[1]AGUA!$1:$1048576,7,FALSE)</f>
        <v/>
      </c>
      <c r="BT882" s="106" t="n"/>
      <c r="BU882" s="253" t="n"/>
      <c r="BV882" s="105" t="n"/>
      <c r="BW882" s="105" t="n"/>
      <c r="BX882" s="105" t="n"/>
      <c r="BY882" s="105" t="n"/>
      <c r="BZ882" s="105" t="n"/>
      <c r="CA882" s="105" t="n"/>
      <c r="CB882" s="105" t="n"/>
      <c r="CC882" s="105" t="n"/>
      <c r="CD882" s="105" t="n"/>
      <c r="CE882" s="107" t="n">
        <v>1</v>
      </c>
      <c r="CF882" s="105" t="n"/>
      <c r="CG882" s="105" t="n"/>
      <c r="CH882" s="105" t="n"/>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05" t="n"/>
      <c r="CZ882" s="124">
        <f>+COUNTA(BV882:CY882)</f>
        <v/>
      </c>
      <c r="DA882" s="251" t="n"/>
      <c r="DB882" s="251" t="n"/>
      <c r="DC882" s="251" t="n"/>
      <c r="DD882" s="251" t="n"/>
      <c r="DE882" s="251" t="n"/>
      <c r="DF882" s="251" t="n"/>
      <c r="DG882" s="251" t="n"/>
      <c r="DH882" s="251" t="n"/>
      <c r="DI882" s="251" t="n"/>
      <c r="DJ882" s="251" t="n"/>
      <c r="DK882" s="251" t="n"/>
      <c r="DL882" s="95" t="n"/>
      <c r="DM882" s="251" t="inlineStr">
        <is>
          <t>M</t>
        </is>
      </c>
      <c r="DN882" s="95" t="n">
        <v>8</v>
      </c>
      <c r="DO882" s="95" t="n">
        <v>14</v>
      </c>
    </row>
    <row r="883" ht="13" customHeight="1">
      <c r="A883" s="204" t="inlineStr">
        <is>
          <t>RPW-01</t>
        </is>
      </c>
      <c r="B883" s="305" t="inlineStr">
        <is>
          <t>RPW-1 LIXIVIACIÓN</t>
        </is>
      </c>
      <c r="C883" s="251" t="n"/>
      <c r="D883" s="7" t="inlineStr">
        <is>
          <t>SI</t>
        </is>
      </c>
      <c r="E883" s="7" t="inlineStr">
        <is>
          <t>SI</t>
        </is>
      </c>
      <c r="F883" s="7" t="inlineStr">
        <is>
          <t>SI</t>
        </is>
      </c>
      <c r="G883" s="7" t="inlineStr">
        <is>
          <t>NO</t>
        </is>
      </c>
      <c r="H883" s="7" t="n">
        <v>543770</v>
      </c>
      <c r="I883" s="7" t="n">
        <v>7683264</v>
      </c>
      <c r="J883" s="7" t="inlineStr">
        <is>
          <t>Construido</t>
        </is>
      </c>
      <c r="K883" s="7" t="inlineStr">
        <is>
          <t>Si</t>
        </is>
      </c>
      <c r="L883" s="7" t="inlineStr">
        <is>
          <t>Agua Subterránea</t>
        </is>
      </c>
      <c r="M883" s="7" t="inlineStr">
        <is>
          <t>Cordillera</t>
        </is>
      </c>
      <c r="N883" s="7" t="inlineStr">
        <is>
          <t>Pozo Extracción</t>
        </is>
      </c>
      <c r="O883" s="7" t="inlineStr">
        <is>
          <t>Depósito de relaves</t>
        </is>
      </c>
      <c r="P883" s="7" t="inlineStr">
        <is>
          <t>SI</t>
        </is>
      </c>
      <c r="Q883" s="7" t="inlineStr">
        <is>
          <t>Mensual</t>
        </is>
      </c>
      <c r="R883" s="7" t="inlineStr">
        <is>
          <t>Diario</t>
        </is>
      </c>
      <c r="S883" s="7" t="inlineStr">
        <is>
          <t>-</t>
        </is>
      </c>
      <c r="T883" s="7" t="inlineStr">
        <is>
          <t>NO</t>
        </is>
      </c>
      <c r="U883" s="7" t="inlineStr">
        <is>
          <t>-</t>
        </is>
      </c>
      <c r="V883" s="7" t="inlineStr">
        <is>
          <t>SI</t>
        </is>
      </c>
      <c r="W883" s="7" t="inlineStr">
        <is>
          <t>Mensual</t>
        </is>
      </c>
      <c r="X883" s="7" t="inlineStr">
        <is>
          <t>SI</t>
        </is>
      </c>
      <c r="Y883" s="7" t="inlineStr">
        <is>
          <t>Continuo</t>
        </is>
      </c>
      <c r="Z883" s="7" t="inlineStr">
        <is>
          <t>Si</t>
        </is>
      </c>
      <c r="AA883" s="7" t="inlineStr">
        <is>
          <t>Mensual</t>
        </is>
      </c>
      <c r="AB883" s="7" t="inlineStr">
        <is>
          <t>SI</t>
        </is>
      </c>
      <c r="AC883" s="7" t="inlineStr">
        <is>
          <t>Mensual</t>
        </is>
      </c>
      <c r="AD883" s="7" t="inlineStr">
        <is>
          <t>NO</t>
        </is>
      </c>
      <c r="AE883" s="7" t="inlineStr">
        <is>
          <t>-</t>
        </is>
      </c>
      <c r="AF883" s="7" t="inlineStr">
        <is>
          <t>-</t>
        </is>
      </c>
      <c r="AG883" s="7" t="inlineStr">
        <is>
          <t>NO</t>
        </is>
      </c>
      <c r="AH883" s="7" t="inlineStr">
        <is>
          <t>-</t>
        </is>
      </c>
      <c r="AI883" s="7" t="inlineStr">
        <is>
          <t>NO</t>
        </is>
      </c>
      <c r="AJ883" s="7" t="inlineStr">
        <is>
          <t>-</t>
        </is>
      </c>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31" t="inlineStr">
        <is>
          <t>531PP004</t>
        </is>
      </c>
      <c r="BL883" s="7" t="inlineStr">
        <is>
          <t>GTAM/GGAYC</t>
        </is>
      </c>
      <c r="BM883" s="251" t="inlineStr">
        <is>
          <t>NF</t>
        </is>
      </c>
      <c r="BN883" s="337" t="inlineStr">
        <is>
          <t>Tranque</t>
        </is>
      </c>
      <c r="BO883" s="251" t="inlineStr">
        <is>
          <t>SI</t>
        </is>
      </c>
      <c r="BP883" s="106" t="inlineStr">
        <is>
          <t>RPW-1 LIXIVIACIÓN/NF</t>
        </is>
      </c>
      <c r="BQ883" s="106">
        <f>VLOOKUP(BP883,[1]AGUA!$1:$1048576,2,FALSE)</f>
        <v/>
      </c>
      <c r="BR883" s="106">
        <f>VLOOKUP(BP883,[1]AGUA!$1:$1048576,6,FALSE)</f>
        <v/>
      </c>
      <c r="BS883" s="106">
        <f>VLOOKUP(BP883,[1]AGUA!$1:$1048576,7,FALSE)</f>
        <v/>
      </c>
      <c r="BT883" s="106" t="n"/>
      <c r="BU883" s="101" t="inlineStr">
        <is>
          <t>FLUJOMETRO M -retiro de instrumentacion</t>
        </is>
      </c>
      <c r="BV883" s="105" t="n"/>
      <c r="BX883" s="142" t="n">
        <v>1</v>
      </c>
      <c r="BY883" s="105" t="n"/>
      <c r="BZ883" s="105" t="n"/>
      <c r="CA883" s="105" t="n"/>
      <c r="CB883" s="105" t="n"/>
      <c r="CC883" s="105" t="n"/>
      <c r="CD883" s="105" t="n"/>
      <c r="CE883" s="105" t="n"/>
      <c r="CF883" s="105" t="n"/>
      <c r="CG883" s="105" t="n"/>
      <c r="CH883" s="105" t="n"/>
      <c r="CI883" s="105" t="n"/>
      <c r="CJ883" s="105" t="n"/>
      <c r="CK883" s="105" t="n"/>
      <c r="CL883" s="105" t="n"/>
      <c r="CM883" s="105" t="n"/>
      <c r="CN883" s="105" t="n"/>
      <c r="CO883" s="105" t="n"/>
      <c r="CP883" s="105" t="n"/>
      <c r="CQ883" s="105" t="n"/>
      <c r="CR883" s="105" t="n"/>
      <c r="CS883" s="105" t="n"/>
      <c r="CT883" s="105" t="n"/>
      <c r="CU883" s="105" t="n"/>
      <c r="CV883" s="105" t="n"/>
      <c r="CW883" s="105" t="n"/>
      <c r="CX883" s="105" t="n"/>
      <c r="CY883" s="105" t="n"/>
      <c r="CZ883" s="124">
        <f>+COUNTA(BV883:CY883)</f>
        <v/>
      </c>
      <c r="DA883" s="251" t="n"/>
      <c r="DB883" s="251" t="n"/>
      <c r="DC883" s="251" t="n"/>
      <c r="DD883" s="251" t="n"/>
      <c r="DE883" s="251" t="n"/>
      <c r="DF883" s="251" t="n"/>
      <c r="DG883" s="251" t="n"/>
      <c r="DH883" s="251" t="n"/>
      <c r="DI883" s="251" t="n"/>
      <c r="DJ883" s="251" t="inlineStr">
        <is>
          <t>M</t>
        </is>
      </c>
      <c r="DK883" s="251" t="n">
        <v>1</v>
      </c>
      <c r="DL883" s="95" t="n">
        <v>7</v>
      </c>
      <c r="DM883" s="251" t="n"/>
      <c r="DN883" s="95" t="n"/>
      <c r="DO883" s="95" t="n"/>
    </row>
    <row r="884" ht="13" customHeight="1">
      <c r="A884" s="204" t="inlineStr">
        <is>
          <t>RPW-01</t>
        </is>
      </c>
      <c r="B884" s="376" t="n"/>
      <c r="C884" s="376"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c r="AE884" s="7" t="n"/>
      <c r="AF884" s="7" t="n"/>
      <c r="AG884" s="7" t="n"/>
      <c r="AH884" s="7" t="n"/>
      <c r="AI884" s="7" t="n"/>
      <c r="AJ884" s="7" t="n"/>
      <c r="AK884" s="60" t="inlineStr">
        <is>
          <t>Plan base+ T°+ nitritos + amonio +isotopos + bromuro</t>
        </is>
      </c>
      <c r="AL884" s="7" t="inlineStr">
        <is>
          <t>Trimestral</t>
        </is>
      </c>
      <c r="AM884" s="7" t="inlineStr">
        <is>
          <t>-</t>
        </is>
      </c>
      <c r="AN884" s="60" t="inlineStr">
        <is>
          <t>Plan Base+ Li (citricos)+ Plan grasas + N de Nitritos</t>
        </is>
      </c>
      <c r="AO884" s="7" t="inlineStr">
        <is>
          <t>Trimestral</t>
        </is>
      </c>
      <c r="AP884" s="60" t="inlineStr">
        <is>
          <t>Nch 409 completa</t>
        </is>
      </c>
      <c r="AQ884" s="7" t="inlineStr">
        <is>
          <t>Anual</t>
        </is>
      </c>
      <c r="AR884" s="7" t="inlineStr">
        <is>
          <t>NO</t>
        </is>
      </c>
      <c r="AS884" s="7" t="inlineStr">
        <is>
          <t>-</t>
        </is>
      </c>
      <c r="AT884" s="7" t="inlineStr">
        <is>
          <t>SI</t>
        </is>
      </c>
      <c r="AU884" s="7" t="inlineStr">
        <is>
          <t>Trimestral</t>
        </is>
      </c>
      <c r="AV884" s="7" t="inlineStr">
        <is>
          <t>NO</t>
        </is>
      </c>
      <c r="AW884" s="7" t="inlineStr">
        <is>
          <t>-</t>
        </is>
      </c>
      <c r="AX884" s="7" t="inlineStr">
        <is>
          <t>NO</t>
        </is>
      </c>
      <c r="AY884" s="7" t="inlineStr">
        <is>
          <t>-</t>
        </is>
      </c>
      <c r="AZ884" s="7" t="inlineStr">
        <is>
          <t>NO</t>
        </is>
      </c>
      <c r="BA884" s="7" t="inlineStr">
        <is>
          <t>-</t>
        </is>
      </c>
      <c r="BB884" s="7" t="inlineStr">
        <is>
          <t>NO</t>
        </is>
      </c>
      <c r="BC884" s="7" t="inlineStr">
        <is>
          <t>-</t>
        </is>
      </c>
      <c r="BD884" s="7" t="inlineStr">
        <is>
          <t>NO</t>
        </is>
      </c>
      <c r="BE884" s="7" t="inlineStr">
        <is>
          <t>-</t>
        </is>
      </c>
      <c r="BF884" s="7" t="inlineStr">
        <is>
          <t>SMA</t>
        </is>
      </c>
      <c r="BG884" s="7" t="inlineStr">
        <is>
          <t>Barrera Hidráulica DRPP - PSA-DGA</t>
        </is>
      </c>
      <c r="BH884" s="7" t="inlineStr">
        <is>
          <t>Res. Ex. N° 106/2014 Adenda 2, pregunta 5</t>
        </is>
      </c>
      <c r="BI884" s="7" t="inlineStr">
        <is>
          <t>Medición diaria de nivel con sensor</t>
        </is>
      </c>
      <c r="BJ884" s="7" t="n"/>
      <c r="BK884" s="376" t="n"/>
      <c r="BL884" s="7" t="inlineStr">
        <is>
          <t>GTAM</t>
        </is>
      </c>
      <c r="BM884" s="251" t="inlineStr">
        <is>
          <t>ASUB</t>
        </is>
      </c>
      <c r="BN884" s="337" t="inlineStr">
        <is>
          <t>Tranque</t>
        </is>
      </c>
      <c r="BO884" s="251" t="inlineStr">
        <is>
          <t>SI</t>
        </is>
      </c>
      <c r="BP884" s="106" t="inlineStr">
        <is>
          <t>RPW-1 LIXIVIACIÓN/ASUB</t>
        </is>
      </c>
      <c r="BQ884" s="106">
        <f>VLOOKUP(BP884,[1]AGUA!$1:$1048576,2,FALSE)</f>
        <v/>
      </c>
      <c r="BR884" s="106">
        <f>VLOOKUP(BP884,[1]AGUA!$1:$1048576,6,FALSE)</f>
        <v/>
      </c>
      <c r="BS884" s="106">
        <f>VLOOKUP(BP884,[1]AGUA!$1:$1048576,7,FALSE)</f>
        <v/>
      </c>
      <c r="BT884" s="106" t="n"/>
      <c r="BU884" s="101" t="inlineStr">
        <is>
          <t>FLUJOMETRO</t>
        </is>
      </c>
      <c r="BV884" s="105" t="n"/>
      <c r="BX884" s="107" t="n">
        <v>1</v>
      </c>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24">
        <f>+COUNTA(BV884:CY884)</f>
        <v/>
      </c>
      <c r="DA884" s="251" t="n"/>
      <c r="DB884" s="251" t="n"/>
      <c r="DC884" s="251" t="n"/>
      <c r="DD884" s="251" t="n"/>
      <c r="DE884" s="251" t="n"/>
      <c r="DF884" s="251" t="n"/>
      <c r="DG884" s="251" t="n"/>
      <c r="DH884" s="251" t="n"/>
      <c r="DI884" s="251" t="n"/>
      <c r="DJ884" s="251" t="n"/>
      <c r="DK884" s="251" t="n"/>
      <c r="DL884" s="95" t="n"/>
      <c r="DM884" s="251" t="inlineStr">
        <is>
          <t>T-A</t>
        </is>
      </c>
      <c r="DN884" s="95" t="n">
        <v>1</v>
      </c>
      <c r="DO884" s="95" t="n">
        <v>7</v>
      </c>
    </row>
    <row r="885" ht="13" customHeight="1">
      <c r="A885" s="204" t="inlineStr">
        <is>
          <t>RPW-02</t>
        </is>
      </c>
      <c r="B885" s="305" t="inlineStr">
        <is>
          <t>RPW-2  TRANQUE</t>
        </is>
      </c>
      <c r="C885" s="251"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inlineStr">
        <is>
          <t>NO</t>
        </is>
      </c>
      <c r="Y885" s="7" t="n"/>
      <c r="Z885" s="7" t="n"/>
      <c r="AA885" s="7" t="n"/>
      <c r="AB885" s="7" t="inlineStr">
        <is>
          <t>SI</t>
        </is>
      </c>
      <c r="AC885" s="7" t="inlineStr">
        <is>
          <t>Mensual</t>
        </is>
      </c>
      <c r="AD885" s="7" t="inlineStr">
        <is>
          <t>NO</t>
        </is>
      </c>
      <c r="AE885" s="7" t="inlineStr">
        <is>
          <t>-</t>
        </is>
      </c>
      <c r="AF885" s="7" t="inlineStr">
        <is>
          <t>-</t>
        </is>
      </c>
      <c r="AG885" s="7" t="inlineStr">
        <is>
          <t>NO</t>
        </is>
      </c>
      <c r="AH885" s="7" t="inlineStr">
        <is>
          <t>-</t>
        </is>
      </c>
      <c r="AI885" s="7" t="inlineStr">
        <is>
          <t>NO</t>
        </is>
      </c>
      <c r="AJ885" s="7" t="inlineStr">
        <is>
          <t>-</t>
        </is>
      </c>
      <c r="AK885" s="60" t="n"/>
      <c r="AL885" s="7" t="n"/>
      <c r="AM885" s="7" t="n"/>
      <c r="AN885" s="60" t="n"/>
      <c r="AO885" s="7" t="n"/>
      <c r="AP885" s="60" t="n"/>
      <c r="AQ885" s="7" t="n"/>
      <c r="AR885" s="7" t="n"/>
      <c r="AS885" s="7" t="n"/>
      <c r="AT885" s="7" t="n"/>
      <c r="AU885" s="7" t="n"/>
      <c r="AV885" s="7" t="n"/>
      <c r="AW885" s="7" t="n"/>
      <c r="AX885" s="7" t="n"/>
      <c r="AY885" s="7" t="n"/>
      <c r="AZ885" s="7" t="n"/>
      <c r="BA885" s="7" t="n"/>
      <c r="BB885" s="7" t="n"/>
      <c r="BC885" s="7" t="n"/>
      <c r="BD885" s="7" t="n"/>
      <c r="BE885" s="7" t="n"/>
      <c r="BF885" s="7" t="n"/>
      <c r="BG885" s="7" t="n"/>
      <c r="BH885" s="7" t="n"/>
      <c r="BI885" s="7" t="n"/>
      <c r="BJ885" s="7" t="n"/>
      <c r="BK885" s="331" t="inlineStr">
        <is>
          <t>531WW007</t>
        </is>
      </c>
      <c r="BL885" s="7" t="inlineStr">
        <is>
          <t>GTAM/GGAYC</t>
        </is>
      </c>
      <c r="BM885" s="251" t="inlineStr">
        <is>
          <t>NF</t>
        </is>
      </c>
      <c r="BN885" s="337" t="inlineStr">
        <is>
          <t>Tranque</t>
        </is>
      </c>
      <c r="BO885" s="251" t="inlineStr">
        <is>
          <t>SI</t>
        </is>
      </c>
      <c r="BP885" s="106" t="inlineStr">
        <is>
          <t>RPW-2  TRANQUE/NF</t>
        </is>
      </c>
      <c r="BQ885" s="106">
        <f>VLOOKUP(BP885,[1]AGUA!$1:$1048576,2,FALSE)</f>
        <v/>
      </c>
      <c r="BR885" s="106">
        <f>VLOOKUP(BP885,[1]AGUA!$1:$1048576,6,FALSE)</f>
        <v/>
      </c>
      <c r="BS885" s="106">
        <f>VLOOKUP(BP885,[1]AGUA!$1:$1048576,7,FALSE)</f>
        <v/>
      </c>
      <c r="BT885" s="106" t="n"/>
      <c r="BU885" s="101" t="inlineStr">
        <is>
          <t>FLUJOMETRO M</t>
        </is>
      </c>
      <c r="BV885" s="105" t="n"/>
      <c r="BX885" s="142" t="n">
        <v>1</v>
      </c>
      <c r="BY885" s="105" t="n"/>
      <c r="BZ885" s="105" t="n"/>
      <c r="CA885" s="105" t="n"/>
      <c r="CB885" s="105" t="n"/>
      <c r="CC885" s="105" t="n"/>
      <c r="CD885" s="105" t="n"/>
      <c r="CE885" s="105" t="n"/>
      <c r="CF885" s="10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24">
        <f>+COUNTA(BV885:CY885)</f>
        <v/>
      </c>
      <c r="DA885" s="251" t="n"/>
      <c r="DB885" s="251" t="n"/>
      <c r="DC885" s="251" t="n"/>
      <c r="DD885" s="251" t="n"/>
      <c r="DE885" s="251" t="n"/>
      <c r="DF885" s="251" t="n"/>
      <c r="DG885" s="251" t="n"/>
      <c r="DH885" s="251" t="n"/>
      <c r="DI885" s="251" t="n"/>
      <c r="DJ885" s="251" t="inlineStr">
        <is>
          <t>M</t>
        </is>
      </c>
      <c r="DK885" s="251" t="n">
        <v>1</v>
      </c>
      <c r="DL885" s="95" t="n">
        <v>7</v>
      </c>
      <c r="DM885" s="251" t="n"/>
      <c r="DN885" s="95" t="n"/>
      <c r="DO885" s="95" t="n"/>
    </row>
    <row r="886" ht="13" customHeight="1">
      <c r="A886" s="204" t="inlineStr">
        <is>
          <t>RPW-02</t>
        </is>
      </c>
      <c r="B886" s="376" t="n"/>
      <c r="C886" s="376"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c r="AE886" s="7" t="n"/>
      <c r="AF886" s="7" t="n"/>
      <c r="AG886" s="7" t="n"/>
      <c r="AH886" s="7" t="n"/>
      <c r="AI886" s="7" t="n"/>
      <c r="AJ886" s="7" t="n"/>
      <c r="AK886" s="60" t="inlineStr">
        <is>
          <t>NO</t>
        </is>
      </c>
      <c r="AL886" s="7" t="inlineStr">
        <is>
          <t>NO</t>
        </is>
      </c>
      <c r="AM886" s="7" t="inlineStr">
        <is>
          <t>-</t>
        </is>
      </c>
      <c r="AN886" s="60" t="inlineStr">
        <is>
          <t>Plan Base+ Li (citricos)+ Plan grasas + N de Nitritos</t>
        </is>
      </c>
      <c r="AO886" s="7" t="inlineStr">
        <is>
          <t>Trimestral</t>
        </is>
      </c>
      <c r="AP886" s="60" t="inlineStr">
        <is>
          <t>Nch 409 completa</t>
        </is>
      </c>
      <c r="AQ886" s="7" t="inlineStr">
        <is>
          <t>Anual</t>
        </is>
      </c>
      <c r="AR886" s="7" t="inlineStr">
        <is>
          <t>NO</t>
        </is>
      </c>
      <c r="AS886" s="7" t="inlineStr">
        <is>
          <t>-</t>
        </is>
      </c>
      <c r="AT886" s="7" t="inlineStr">
        <is>
          <t>SI</t>
        </is>
      </c>
      <c r="AU886" s="7" t="inlineStr">
        <is>
          <t>Trimestral</t>
        </is>
      </c>
      <c r="AV886" s="7" t="n"/>
      <c r="AW886" s="7" t="n"/>
      <c r="AX886" s="7" t="n"/>
      <c r="AY886" s="7" t="n"/>
      <c r="AZ886" s="7" t="n"/>
      <c r="BA886" s="7" t="n"/>
      <c r="BB886" s="7" t="n"/>
      <c r="BC886" s="7" t="n"/>
      <c r="BD886" s="7" t="n"/>
      <c r="BE886" s="7" t="n"/>
      <c r="BF886" s="7" t="n"/>
      <c r="BG886" s="7" t="n"/>
      <c r="BH886" s="7" t="n"/>
      <c r="BI886" s="7" t="n"/>
      <c r="BJ886" s="7" t="n"/>
      <c r="BK886" s="376" t="n"/>
      <c r="BL886" s="7" t="inlineStr">
        <is>
          <t>GTAM</t>
        </is>
      </c>
      <c r="BM886" s="251" t="inlineStr">
        <is>
          <t>ASUB</t>
        </is>
      </c>
      <c r="BN886" s="337" t="inlineStr">
        <is>
          <t>Tranque</t>
        </is>
      </c>
      <c r="BO886" s="251" t="inlineStr">
        <is>
          <t>SI</t>
        </is>
      </c>
      <c r="BP886" s="106" t="inlineStr">
        <is>
          <t>RPW-2  TRANQUE/ASUB</t>
        </is>
      </c>
      <c r="BQ886" s="106">
        <f>VLOOKUP(BP886,[1]AGUA!$1:$1048576,2,FALSE)</f>
        <v/>
      </c>
      <c r="BR886" s="106">
        <f>VLOOKUP(BP886,[1]AGUA!$1:$1048576,6,FALSE)</f>
        <v/>
      </c>
      <c r="BS886" s="106">
        <f>VLOOKUP(BP886,[1]AGUA!$1:$1048576,7,FALSE)</f>
        <v/>
      </c>
      <c r="BT886" s="106" t="n"/>
      <c r="BU886" s="101" t="inlineStr">
        <is>
          <t>FLUJOMETRO</t>
        </is>
      </c>
      <c r="BV886" s="105" t="n"/>
      <c r="BX886" s="107" t="n">
        <v>1</v>
      </c>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24">
        <f>+COUNTA(BV886:CY886)</f>
        <v/>
      </c>
      <c r="DA886" s="251" t="n"/>
      <c r="DB886" s="251" t="n"/>
      <c r="DC886" s="251" t="n"/>
      <c r="DD886" s="251" t="n"/>
      <c r="DE886" s="251" t="n"/>
      <c r="DF886" s="251" t="n"/>
      <c r="DG886" s="251" t="n"/>
      <c r="DH886" s="251" t="n"/>
      <c r="DI886" s="251" t="n"/>
      <c r="DJ886" s="251" t="n"/>
      <c r="DK886" s="251" t="n"/>
      <c r="DL886" s="95" t="n"/>
      <c r="DM886" s="251" t="inlineStr">
        <is>
          <t>T</t>
        </is>
      </c>
      <c r="DN886" s="95" t="n">
        <v>1</v>
      </c>
      <c r="DO886" s="95" t="n">
        <v>7</v>
      </c>
    </row>
    <row r="887" ht="13" customHeight="1">
      <c r="A887" s="204" t="inlineStr">
        <is>
          <t>RPW-03B</t>
        </is>
      </c>
      <c r="B887" s="305" t="inlineStr">
        <is>
          <t>RPW-3 LIXIVIACIÓN</t>
        </is>
      </c>
      <c r="C887" s="251" t="n"/>
      <c r="D887" s="7" t="inlineStr">
        <is>
          <t>SI</t>
        </is>
      </c>
      <c r="E887" s="7" t="inlineStr">
        <is>
          <t>SI</t>
        </is>
      </c>
      <c r="F887" s="7" t="inlineStr">
        <is>
          <t>SI</t>
        </is>
      </c>
      <c r="G887" s="7" t="inlineStr">
        <is>
          <t>NO</t>
        </is>
      </c>
      <c r="H887" s="7" t="n">
        <v>544919</v>
      </c>
      <c r="I887" s="7" t="n">
        <v>7682714</v>
      </c>
      <c r="J887" s="7" t="inlineStr">
        <is>
          <t>Construido</t>
        </is>
      </c>
      <c r="K887" s="7" t="inlineStr">
        <is>
          <t>Si</t>
        </is>
      </c>
      <c r="L887" s="7" t="inlineStr">
        <is>
          <t>Agua Subterránea</t>
        </is>
      </c>
      <c r="M887" s="7" t="inlineStr">
        <is>
          <t>Cordillera</t>
        </is>
      </c>
      <c r="N887" s="7" t="inlineStr">
        <is>
          <t>Pozo Extracción</t>
        </is>
      </c>
      <c r="O887" s="7" t="inlineStr">
        <is>
          <t>Depósito de relaves</t>
        </is>
      </c>
      <c r="P887" s="7" t="inlineStr">
        <is>
          <t>SI</t>
        </is>
      </c>
      <c r="Q887" s="7" t="inlineStr">
        <is>
          <t>Mensual</t>
        </is>
      </c>
      <c r="R887" s="7" t="inlineStr">
        <is>
          <t>Diario</t>
        </is>
      </c>
      <c r="S887" s="7" t="inlineStr">
        <is>
          <t>-</t>
        </is>
      </c>
      <c r="T887" s="7" t="inlineStr">
        <is>
          <t>NO</t>
        </is>
      </c>
      <c r="U887" s="7" t="inlineStr">
        <is>
          <t>-</t>
        </is>
      </c>
      <c r="V887" s="7" t="inlineStr">
        <is>
          <t>SI</t>
        </is>
      </c>
      <c r="W887" s="7" t="inlineStr">
        <is>
          <t>Mensual</t>
        </is>
      </c>
      <c r="X887" s="7" t="inlineStr">
        <is>
          <t>SI</t>
        </is>
      </c>
      <c r="Y887" s="7" t="inlineStr">
        <is>
          <t>Continuo</t>
        </is>
      </c>
      <c r="Z887" s="7" t="inlineStr">
        <is>
          <t>Si</t>
        </is>
      </c>
      <c r="AA887" s="7" t="inlineStr">
        <is>
          <t>Mensual</t>
        </is>
      </c>
      <c r="AB887" s="7" t="inlineStr">
        <is>
          <t>SI</t>
        </is>
      </c>
      <c r="AC887" s="7" t="inlineStr">
        <is>
          <t>Mensual</t>
        </is>
      </c>
      <c r="AD887" s="7" t="inlineStr">
        <is>
          <t>NO</t>
        </is>
      </c>
      <c r="AE887" s="7" t="inlineStr">
        <is>
          <t>-</t>
        </is>
      </c>
      <c r="AF887" s="7" t="inlineStr">
        <is>
          <t>-</t>
        </is>
      </c>
      <c r="AG887" s="7" t="inlineStr">
        <is>
          <t>NO</t>
        </is>
      </c>
      <c r="AH887" s="7" t="inlineStr">
        <is>
          <t>-</t>
        </is>
      </c>
      <c r="AI887" s="7" t="inlineStr">
        <is>
          <t>NO</t>
        </is>
      </c>
      <c r="AJ887" s="7" t="inlineStr">
        <is>
          <t>-</t>
        </is>
      </c>
      <c r="AK887" s="7" t="n"/>
      <c r="AL887" s="7" t="n"/>
      <c r="AM887" s="7" t="n"/>
      <c r="AN887" s="7" t="n"/>
      <c r="AO887" s="7" t="n"/>
      <c r="AP887" s="7" t="n"/>
      <c r="AQ887" s="7" t="n"/>
      <c r="AR887" s="7" t="n"/>
      <c r="AS887" s="7" t="n"/>
      <c r="AT887" s="7" t="n"/>
      <c r="AU887" s="7" t="n"/>
      <c r="AV887" s="7" t="n"/>
      <c r="AW887" s="7" t="n"/>
      <c r="AX887" s="7" t="n"/>
      <c r="AY887" s="7" t="n"/>
      <c r="AZ887" s="7" t="n"/>
      <c r="BA887" s="7" t="n"/>
      <c r="BB887" s="7" t="n"/>
      <c r="BC887" s="7" t="n"/>
      <c r="BD887" s="7" t="n"/>
      <c r="BE887" s="7" t="n"/>
      <c r="BF887" s="7" t="n"/>
      <c r="BG887" s="7" t="n"/>
      <c r="BH887" s="7" t="n"/>
      <c r="BI887" s="7" t="n"/>
      <c r="BJ887" s="7" t="n"/>
      <c r="BK887" s="331" t="inlineStr">
        <is>
          <t>531PP002</t>
        </is>
      </c>
      <c r="BL887" s="7" t="inlineStr">
        <is>
          <t>GTAM/GGAYC</t>
        </is>
      </c>
      <c r="BM887" s="251" t="inlineStr">
        <is>
          <t>NF</t>
        </is>
      </c>
      <c r="BN887" s="337" t="inlineStr">
        <is>
          <t>Tranque</t>
        </is>
      </c>
      <c r="BO887" s="251" t="inlineStr">
        <is>
          <t>SI</t>
        </is>
      </c>
      <c r="BP887" s="106" t="inlineStr">
        <is>
          <t>RPW-3 LIXIVIACIÓN/NF</t>
        </is>
      </c>
      <c r="BQ887" s="106">
        <f>VLOOKUP(BP887,[1]AGUA!$1:$1048576,2,FALSE)</f>
        <v/>
      </c>
      <c r="BR887" s="106">
        <f>VLOOKUP(BP887,[1]AGUA!$1:$1048576,6,FALSE)</f>
        <v/>
      </c>
      <c r="BS887" s="106">
        <f>VLOOKUP(BP887,[1]AGUA!$1:$1048576,7,FALSE)</f>
        <v/>
      </c>
      <c r="BT887" s="106" t="n"/>
      <c r="BU887" s="188" t="inlineStr">
        <is>
          <t>FLUJOMETRO M -ya no se requiere retiro de instrumentacion</t>
        </is>
      </c>
      <c r="BV887" s="105" t="n"/>
      <c r="BX887" s="142" t="n">
        <v>1</v>
      </c>
      <c r="BY887" s="105" t="n"/>
      <c r="BZ887" s="105" t="n"/>
      <c r="CA887" s="105" t="n"/>
      <c r="CB887" s="105" t="n"/>
      <c r="CC887" s="105" t="n"/>
      <c r="CD887" s="105" t="n"/>
      <c r="CE887" s="105" t="n"/>
      <c r="CF887" s="10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24">
        <f>+COUNTA(BV887:CY887)</f>
        <v/>
      </c>
      <c r="DA887" s="251" t="n"/>
      <c r="DB887" s="251" t="n"/>
      <c r="DC887" s="251" t="n"/>
      <c r="DD887" s="251" t="n"/>
      <c r="DE887" s="251" t="n"/>
      <c r="DF887" s="251" t="n"/>
      <c r="DG887" s="251" t="n"/>
      <c r="DH887" s="251" t="n"/>
      <c r="DI887" s="251" t="n"/>
      <c r="DJ887" s="251" t="inlineStr">
        <is>
          <t>M</t>
        </is>
      </c>
      <c r="DK887" s="251" t="n">
        <v>1</v>
      </c>
      <c r="DL887" s="95" t="n">
        <v>7</v>
      </c>
      <c r="DM887" s="251" t="n"/>
      <c r="DN887" s="95" t="n"/>
      <c r="DO887" s="95" t="n"/>
    </row>
    <row r="888" ht="13" customHeight="1">
      <c r="A888" s="204" t="inlineStr">
        <is>
          <t>RPW-03B</t>
        </is>
      </c>
      <c r="B888" s="376" t="n"/>
      <c r="C888" s="376"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c r="AE888" s="7" t="n"/>
      <c r="AF888" s="7" t="n"/>
      <c r="AG888" s="7" t="n"/>
      <c r="AH888" s="7" t="n"/>
      <c r="AI888" s="7" t="n"/>
      <c r="AJ888" s="7" t="n"/>
      <c r="AK888" s="60" t="inlineStr">
        <is>
          <t>Plan base+ T°+ nitritos + amonio +isotopos + bromuro</t>
        </is>
      </c>
      <c r="AL888" s="7" t="inlineStr">
        <is>
          <t>Trimestral</t>
        </is>
      </c>
      <c r="AM888" s="7" t="inlineStr">
        <is>
          <t>-</t>
        </is>
      </c>
      <c r="AN888" s="60" t="inlineStr">
        <is>
          <t>Plan Base+ Li (citricos)+ Plan grasas + N de Nitritos</t>
        </is>
      </c>
      <c r="AO888" s="7" t="inlineStr">
        <is>
          <t>Trimestral</t>
        </is>
      </c>
      <c r="AP888" s="60" t="inlineStr">
        <is>
          <t>Nch 409 completa</t>
        </is>
      </c>
      <c r="AQ888" s="7" t="inlineStr">
        <is>
          <t>Anual</t>
        </is>
      </c>
      <c r="AR888" s="7" t="inlineStr">
        <is>
          <t>NO</t>
        </is>
      </c>
      <c r="AS888" s="7" t="inlineStr">
        <is>
          <t>-</t>
        </is>
      </c>
      <c r="AT888" s="7" t="inlineStr">
        <is>
          <t>SI</t>
        </is>
      </c>
      <c r="AU888" s="7" t="inlineStr">
        <is>
          <t>Trimestral</t>
        </is>
      </c>
      <c r="AV888" s="7" t="inlineStr">
        <is>
          <t>NO</t>
        </is>
      </c>
      <c r="AW888" s="7" t="inlineStr">
        <is>
          <t>-</t>
        </is>
      </c>
      <c r="AX888" s="7" t="inlineStr">
        <is>
          <t>NO</t>
        </is>
      </c>
      <c r="AY888" s="7" t="inlineStr">
        <is>
          <t>-</t>
        </is>
      </c>
      <c r="AZ888" s="7" t="inlineStr">
        <is>
          <t>NO</t>
        </is>
      </c>
      <c r="BA888" s="7" t="inlineStr">
        <is>
          <t>-</t>
        </is>
      </c>
      <c r="BB888" s="7" t="inlineStr">
        <is>
          <t>NO</t>
        </is>
      </c>
      <c r="BC888" s="7" t="inlineStr">
        <is>
          <t>-</t>
        </is>
      </c>
      <c r="BD888" s="7" t="inlineStr">
        <is>
          <t>NO</t>
        </is>
      </c>
      <c r="BE888" s="7" t="inlineStr">
        <is>
          <t>-</t>
        </is>
      </c>
      <c r="BF888" s="7" t="inlineStr">
        <is>
          <t>SMA</t>
        </is>
      </c>
      <c r="BG888" s="7" t="inlineStr">
        <is>
          <t>Barrera Hidráulica DRPP - PSA-DGA</t>
        </is>
      </c>
      <c r="BH888" s="7" t="inlineStr">
        <is>
          <t>Res. Ex. N° 106/2014 Adenda 2, pregunta 5</t>
        </is>
      </c>
      <c r="BI888" s="7" t="inlineStr">
        <is>
          <t>Medición diaria de nivel con sensor</t>
        </is>
      </c>
      <c r="BJ888" s="7" t="n"/>
      <c r="BK888" s="376" t="n"/>
      <c r="BL888" s="7" t="inlineStr">
        <is>
          <t>GTAM</t>
        </is>
      </c>
      <c r="BM888" s="251" t="inlineStr">
        <is>
          <t>ASUB</t>
        </is>
      </c>
      <c r="BN888" s="337" t="inlineStr">
        <is>
          <t>Tranque</t>
        </is>
      </c>
      <c r="BO888" s="251" t="inlineStr">
        <is>
          <t>SI</t>
        </is>
      </c>
      <c r="BP888" s="106" t="inlineStr">
        <is>
          <t>RPW-3 LIXIVIACIÓN/ASUB</t>
        </is>
      </c>
      <c r="BQ888" s="106">
        <f>VLOOKUP(BP888,[1]AGUA!$1:$1048576,2,FALSE)</f>
        <v/>
      </c>
      <c r="BR888" s="106">
        <f>VLOOKUP(BP888,[1]AGUA!$1:$1048576,6,FALSE)</f>
        <v/>
      </c>
      <c r="BS888" s="106">
        <f>VLOOKUP(BP888,[1]AGUA!$1:$1048576,7,FALSE)</f>
        <v/>
      </c>
      <c r="BT888" s="106" t="n"/>
      <c r="BU888" s="101" t="inlineStr">
        <is>
          <t>FLUJOMETRO</t>
        </is>
      </c>
      <c r="BV888" s="105" t="n"/>
      <c r="BX888" s="107" t="n">
        <v>1</v>
      </c>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24">
        <f>+COUNTA(BV888:CY888)</f>
        <v/>
      </c>
      <c r="DA888" s="251" t="n"/>
      <c r="DB888" s="251" t="n"/>
      <c r="DC888" s="251" t="n"/>
      <c r="DD888" s="251" t="n"/>
      <c r="DE888" s="251" t="n"/>
      <c r="DF888" s="251" t="n"/>
      <c r="DG888" s="251" t="n"/>
      <c r="DH888" s="251" t="n"/>
      <c r="DI888" s="251" t="n"/>
      <c r="DJ888" s="251" t="n"/>
      <c r="DK888" s="251" t="n"/>
      <c r="DL888" s="95" t="n"/>
      <c r="DM888" s="251" t="inlineStr">
        <is>
          <t>T-A</t>
        </is>
      </c>
      <c r="DN888" s="95" t="n">
        <v>1</v>
      </c>
      <c r="DO888" s="95" t="n">
        <v>7</v>
      </c>
    </row>
    <row r="889" ht="13" customHeight="1">
      <c r="A889" s="204" t="inlineStr">
        <is>
          <t>RPW-04</t>
        </is>
      </c>
      <c r="B889" s="305" t="inlineStr">
        <is>
          <t>RPW-4 LIXIVIACIÓN</t>
        </is>
      </c>
      <c r="C889" s="251" t="n"/>
      <c r="D889" s="7" t="inlineStr">
        <is>
          <t>SI</t>
        </is>
      </c>
      <c r="E889" s="7" t="inlineStr">
        <is>
          <t>SI</t>
        </is>
      </c>
      <c r="F889" s="7" t="inlineStr">
        <is>
          <t>SI</t>
        </is>
      </c>
      <c r="G889" s="7" t="inlineStr">
        <is>
          <t>NO</t>
        </is>
      </c>
      <c r="H889" s="7" t="n">
        <v>544102</v>
      </c>
      <c r="I889" s="7" t="n">
        <v>7682682</v>
      </c>
      <c r="J889" s="7" t="inlineStr">
        <is>
          <t>Construido (Pozo será eliminados y reemplazados )</t>
        </is>
      </c>
      <c r="K889" s="7" t="inlineStr">
        <is>
          <t>Si</t>
        </is>
      </c>
      <c r="L889" s="7" t="inlineStr">
        <is>
          <t>Agua Subterránea</t>
        </is>
      </c>
      <c r="M889" s="7" t="inlineStr">
        <is>
          <t>Cordillera</t>
        </is>
      </c>
      <c r="N889" s="7" t="inlineStr">
        <is>
          <t>Pozo Extracción</t>
        </is>
      </c>
      <c r="O889" s="7" t="inlineStr">
        <is>
          <t>Depósito de relaves</t>
        </is>
      </c>
      <c r="P889" s="7" t="inlineStr">
        <is>
          <t>SI</t>
        </is>
      </c>
      <c r="Q889" s="7" t="inlineStr">
        <is>
          <t>Mensual</t>
        </is>
      </c>
      <c r="R889" s="7" t="inlineStr">
        <is>
          <t>Diario</t>
        </is>
      </c>
      <c r="S889" s="7" t="inlineStr">
        <is>
          <t>-</t>
        </is>
      </c>
      <c r="T889" s="7" t="inlineStr">
        <is>
          <t>NO</t>
        </is>
      </c>
      <c r="U889" s="7" t="inlineStr">
        <is>
          <t>-</t>
        </is>
      </c>
      <c r="V889" s="7" t="inlineStr">
        <is>
          <t>SI</t>
        </is>
      </c>
      <c r="W889" s="7" t="inlineStr">
        <is>
          <t>Mensual</t>
        </is>
      </c>
      <c r="X889" s="7" t="inlineStr">
        <is>
          <t>SI</t>
        </is>
      </c>
      <c r="Y889" s="7" t="inlineStr">
        <is>
          <t>Continuo</t>
        </is>
      </c>
      <c r="Z889" s="7" t="inlineStr">
        <is>
          <t>Si</t>
        </is>
      </c>
      <c r="AA889" s="7" t="inlineStr">
        <is>
          <t>Mensual</t>
        </is>
      </c>
      <c r="AB889" s="7" t="inlineStr">
        <is>
          <t>SI</t>
        </is>
      </c>
      <c r="AC889" s="7" t="inlineStr">
        <is>
          <t>Mensual</t>
        </is>
      </c>
      <c r="AD889" s="7" t="inlineStr">
        <is>
          <t>NO</t>
        </is>
      </c>
      <c r="AE889" s="7" t="inlineStr">
        <is>
          <t>-</t>
        </is>
      </c>
      <c r="AF889" s="7" t="inlineStr">
        <is>
          <t>-</t>
        </is>
      </c>
      <c r="AG889" s="7" t="inlineStr">
        <is>
          <t>NO</t>
        </is>
      </c>
      <c r="AH889" s="7" t="inlineStr">
        <is>
          <t>-</t>
        </is>
      </c>
      <c r="AI889" s="7" t="inlineStr">
        <is>
          <t>NO</t>
        </is>
      </c>
      <c r="AJ889" s="7" t="inlineStr">
        <is>
          <t>-</t>
        </is>
      </c>
      <c r="AK889" s="60" t="n"/>
      <c r="AL889" s="7" t="n"/>
      <c r="AM889" s="7" t="n"/>
      <c r="AN889" s="60" t="n"/>
      <c r="AO889" s="7" t="n"/>
      <c r="AP889" s="60" t="n"/>
      <c r="AQ889" s="7" t="n"/>
      <c r="AR889" s="7" t="n"/>
      <c r="AS889" s="7" t="n"/>
      <c r="AT889" s="7" t="n"/>
      <c r="AU889" s="7" t="n"/>
      <c r="AV889" s="7" t="n"/>
      <c r="AW889" s="7" t="n"/>
      <c r="AX889" s="7" t="n"/>
      <c r="AY889" s="7" t="n"/>
      <c r="AZ889" s="7" t="n"/>
      <c r="BA889" s="7" t="n"/>
      <c r="BB889" s="7" t="n"/>
      <c r="BC889" s="7" t="n"/>
      <c r="BD889" s="7" t="n"/>
      <c r="BE889" s="7" t="n"/>
      <c r="BF889" s="7" t="n"/>
      <c r="BG889" s="7" t="n"/>
      <c r="BH889" s="7" t="n"/>
      <c r="BI889" s="7" t="n"/>
      <c r="BJ889" s="7" t="n"/>
      <c r="BK889" s="331" t="inlineStr">
        <is>
          <t>531PP003</t>
        </is>
      </c>
      <c r="BL889" s="7" t="inlineStr">
        <is>
          <t>GTAM/GGAYC</t>
        </is>
      </c>
      <c r="BM889" s="251" t="inlineStr">
        <is>
          <t>NF</t>
        </is>
      </c>
      <c r="BN889" s="337" t="inlineStr">
        <is>
          <t>Tranque</t>
        </is>
      </c>
      <c r="BO889" s="251" t="inlineStr">
        <is>
          <t>SI</t>
        </is>
      </c>
      <c r="BP889" s="106" t="inlineStr">
        <is>
          <t>RPW-4 LIXIVIACIÓN/NF</t>
        </is>
      </c>
      <c r="BQ889" s="106">
        <f>VLOOKUP(BP889,[1]AGUA!$1:$1048576,2,FALSE)</f>
        <v/>
      </c>
      <c r="BR889" s="106">
        <f>VLOOKUP(BP889,[1]AGUA!$1:$1048576,6,FALSE)</f>
        <v/>
      </c>
      <c r="BS889" s="106">
        <f>VLOOKUP(BP889,[1]AGUA!$1:$1048576,7,FALSE)</f>
        <v/>
      </c>
      <c r="BT889" s="106" t="n"/>
      <c r="BU889" s="101" t="inlineStr">
        <is>
          <t xml:space="preserve">FLUJOMETRO M </t>
        </is>
      </c>
      <c r="BV889" s="105" t="n"/>
      <c r="BX889" s="142" t="n">
        <v>1</v>
      </c>
      <c r="BY889" s="105" t="n"/>
      <c r="BZ889" s="105" t="n"/>
      <c r="CA889" s="105" t="n"/>
      <c r="CB889" s="105" t="n"/>
      <c r="CC889" s="105" t="n"/>
      <c r="CD889" s="105" t="n"/>
      <c r="CE889" s="105" t="n"/>
      <c r="CF889" s="10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24">
        <f>+COUNTA(BV889:CY889)</f>
        <v/>
      </c>
      <c r="DA889" s="251" t="n"/>
      <c r="DB889" s="251" t="n"/>
      <c r="DC889" s="251" t="n"/>
      <c r="DD889" s="251" t="n"/>
      <c r="DE889" s="251" t="n"/>
      <c r="DF889" s="251" t="n"/>
      <c r="DG889" s="251" t="n"/>
      <c r="DH889" s="251" t="n"/>
      <c r="DI889" s="251" t="n"/>
      <c r="DJ889" s="251" t="inlineStr">
        <is>
          <t>M</t>
        </is>
      </c>
      <c r="DK889" s="251" t="n">
        <v>1</v>
      </c>
      <c r="DL889" s="95" t="n">
        <v>7</v>
      </c>
      <c r="DM889" s="251" t="n"/>
      <c r="DN889" s="95" t="n"/>
      <c r="DO889" s="95" t="n"/>
    </row>
    <row r="890" ht="13" customHeight="1">
      <c r="A890" s="204" t="inlineStr">
        <is>
          <t>RPW-04</t>
        </is>
      </c>
      <c r="B890" s="376" t="n"/>
      <c r="C890" s="376"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c r="AE890" s="7" t="n"/>
      <c r="AF890" s="7" t="n"/>
      <c r="AG890" s="7" t="n"/>
      <c r="AH890" s="7" t="n"/>
      <c r="AI890" s="7" t="n"/>
      <c r="AJ890" s="7" t="n"/>
      <c r="AK890" s="60" t="inlineStr">
        <is>
          <t>Plan base+ T°+ nitritos + amonio +isotopos + bromuro</t>
        </is>
      </c>
      <c r="AL890" s="7" t="inlineStr">
        <is>
          <t>Trimestral</t>
        </is>
      </c>
      <c r="AM890" s="7" t="inlineStr">
        <is>
          <t>-</t>
        </is>
      </c>
      <c r="AN890" s="60" t="inlineStr">
        <is>
          <t>Plan Base+ Li (citricos)+ Plan grasas + N de Nitritos</t>
        </is>
      </c>
      <c r="AO890" s="7" t="inlineStr">
        <is>
          <t>Trimestral</t>
        </is>
      </c>
      <c r="AP890" s="60" t="inlineStr">
        <is>
          <t>Nch 409 completa</t>
        </is>
      </c>
      <c r="AQ890" s="7" t="inlineStr">
        <is>
          <t>Anual</t>
        </is>
      </c>
      <c r="AR890" s="7" t="inlineStr">
        <is>
          <t>NO</t>
        </is>
      </c>
      <c r="AS890" s="7" t="inlineStr">
        <is>
          <t>-</t>
        </is>
      </c>
      <c r="AT890" s="7" t="inlineStr">
        <is>
          <t>SI</t>
        </is>
      </c>
      <c r="AU890" s="7" t="inlineStr">
        <is>
          <t>Trimestral</t>
        </is>
      </c>
      <c r="AV890" s="7" t="inlineStr">
        <is>
          <t>NO</t>
        </is>
      </c>
      <c r="AW890" s="7" t="inlineStr">
        <is>
          <t>-</t>
        </is>
      </c>
      <c r="AX890" s="7" t="inlineStr">
        <is>
          <t>NO</t>
        </is>
      </c>
      <c r="AY890" s="7" t="inlineStr">
        <is>
          <t>-</t>
        </is>
      </c>
      <c r="AZ890" s="7" t="inlineStr">
        <is>
          <t>NO</t>
        </is>
      </c>
      <c r="BA890" s="7" t="inlineStr">
        <is>
          <t>-</t>
        </is>
      </c>
      <c r="BB890" s="7" t="inlineStr">
        <is>
          <t>NO</t>
        </is>
      </c>
      <c r="BC890" s="7" t="inlineStr">
        <is>
          <t>-</t>
        </is>
      </c>
      <c r="BD890" s="7" t="inlineStr">
        <is>
          <t>NO</t>
        </is>
      </c>
      <c r="BE890" s="7" t="inlineStr">
        <is>
          <t>-</t>
        </is>
      </c>
      <c r="BF890" s="7" t="inlineStr">
        <is>
          <t>SMA</t>
        </is>
      </c>
      <c r="BG890" s="7" t="inlineStr">
        <is>
          <t>Barrera Hidráulica DRPP - PSA-DGA</t>
        </is>
      </c>
      <c r="BH890" s="7" t="inlineStr">
        <is>
          <t>Propuesto presente EIA Reemplazo pozo RPW-04, el cual se comprometió en la Res. Ex. N° 106/2014 Adenda 2, pregunta 5 para SI</t>
        </is>
      </c>
      <c r="BI890" s="7" t="inlineStr">
        <is>
          <t>Medición diaria de nivel con sensor</t>
        </is>
      </c>
      <c r="BJ890" s="7" t="n"/>
      <c r="BK890" s="376" t="n"/>
      <c r="BL890" s="7" t="inlineStr">
        <is>
          <t>GTAM</t>
        </is>
      </c>
      <c r="BM890" s="251" t="inlineStr">
        <is>
          <t>ASUB</t>
        </is>
      </c>
      <c r="BN890" s="337" t="inlineStr">
        <is>
          <t>Tranque</t>
        </is>
      </c>
      <c r="BO890" s="251" t="inlineStr">
        <is>
          <t>SI</t>
        </is>
      </c>
      <c r="BP890" s="106" t="inlineStr">
        <is>
          <t>RPW-4 LIXIVIACIÓN/ASUB</t>
        </is>
      </c>
      <c r="BQ890" s="106">
        <f>VLOOKUP(BP890,[1]AGUA!$1:$1048576,2,FALSE)</f>
        <v/>
      </c>
      <c r="BR890" s="106">
        <f>VLOOKUP(BP890,[1]AGUA!$1:$1048576,6,FALSE)</f>
        <v/>
      </c>
      <c r="BS890" s="106">
        <f>VLOOKUP(BP890,[1]AGUA!$1:$1048576,7,FALSE)</f>
        <v/>
      </c>
      <c r="BT890" s="106" t="n"/>
      <c r="BU890" s="101" t="inlineStr">
        <is>
          <t>FLUJOMETRO</t>
        </is>
      </c>
      <c r="BV890" s="105" t="n"/>
      <c r="BX890" s="107" t="n">
        <v>1</v>
      </c>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214" t="n">
        <v>1</v>
      </c>
      <c r="CV890" s="105" t="n"/>
      <c r="CW890" s="105" t="n"/>
      <c r="CX890" s="105" t="n"/>
      <c r="CY890" s="105" t="n"/>
      <c r="CZ890" s="124">
        <f>+COUNTA(BV890:CY890)</f>
        <v/>
      </c>
      <c r="DA890" s="251" t="n"/>
      <c r="DB890" s="251" t="n"/>
      <c r="DC890" s="251" t="n"/>
      <c r="DD890" s="251" t="n"/>
      <c r="DE890" s="251" t="n"/>
      <c r="DF890" s="251" t="n"/>
      <c r="DG890" s="251" t="n"/>
      <c r="DH890" s="251" t="n"/>
      <c r="DI890" s="251" t="n"/>
      <c r="DJ890" s="251" t="n"/>
      <c r="DK890" s="251" t="n"/>
      <c r="DL890" s="95" t="n"/>
      <c r="DM890" s="251" t="inlineStr">
        <is>
          <t>T-A</t>
        </is>
      </c>
      <c r="DN890" s="95" t="n">
        <v>1</v>
      </c>
      <c r="DO890" s="95" t="n">
        <v>7</v>
      </c>
    </row>
    <row r="891" ht="13" customHeight="1">
      <c r="A891" s="203" t="inlineStr">
        <is>
          <t>RW-1</t>
        </is>
      </c>
      <c r="B891" s="305" t="inlineStr">
        <is>
          <t>RW-1 LIXIVIACIÓN</t>
        </is>
      </c>
      <c r="C891" s="7" t="n"/>
      <c r="D891" s="7" t="inlineStr">
        <is>
          <t>MONITOREO INTERNO</t>
        </is>
      </c>
      <c r="E891" s="7" t="inlineStr">
        <is>
          <t>NO</t>
        </is>
      </c>
      <c r="F891" s="7" t="inlineStr">
        <is>
          <t>NO</t>
        </is>
      </c>
      <c r="G891" s="7" t="inlineStr">
        <is>
          <t>NO</t>
        </is>
      </c>
      <c r="H891" s="7" t="n">
        <v>543780.754864</v>
      </c>
      <c r="I891" s="7" t="n">
        <v>7683303.26556</v>
      </c>
      <c r="J891" s="7" t="inlineStr">
        <is>
          <t>Construido</t>
        </is>
      </c>
      <c r="K891" s="7" t="inlineStr">
        <is>
          <t>-</t>
        </is>
      </c>
      <c r="L891" s="7" t="inlineStr">
        <is>
          <t>Agua Subterránea</t>
        </is>
      </c>
      <c r="M891" s="7" t="inlineStr">
        <is>
          <t>Cordillera</t>
        </is>
      </c>
      <c r="N891" s="7" t="inlineStr">
        <is>
          <t>POZO</t>
        </is>
      </c>
      <c r="O891" s="7" t="inlineStr">
        <is>
          <t>Lixiviación</t>
        </is>
      </c>
      <c r="P891" s="7" t="inlineStr">
        <is>
          <t>NO</t>
        </is>
      </c>
      <c r="Q891" s="7" t="inlineStr">
        <is>
          <t>-</t>
        </is>
      </c>
      <c r="R891" s="7" t="inlineStr">
        <is>
          <t>-</t>
        </is>
      </c>
      <c r="S891" s="7" t="inlineStr">
        <is>
          <t>-</t>
        </is>
      </c>
      <c r="T891" s="7" t="inlineStr">
        <is>
          <t>SI</t>
        </is>
      </c>
      <c r="U891" s="7" t="inlineStr">
        <is>
          <t>Mensual</t>
        </is>
      </c>
      <c r="V891" s="7" t="inlineStr">
        <is>
          <t>SI</t>
        </is>
      </c>
      <c r="W891" s="7" t="inlineStr">
        <is>
          <t>Mensual</t>
        </is>
      </c>
      <c r="X891" s="7" t="inlineStr">
        <is>
          <t>NO</t>
        </is>
      </c>
      <c r="Y891" s="7" t="inlineStr">
        <is>
          <t>-</t>
        </is>
      </c>
      <c r="Z891" s="7" t="inlineStr">
        <is>
          <t>NO</t>
        </is>
      </c>
      <c r="AA891" s="7" t="inlineStr">
        <is>
          <t>-</t>
        </is>
      </c>
      <c r="AB891" s="7" t="inlineStr">
        <is>
          <t>NO</t>
        </is>
      </c>
      <c r="AC891" s="7" t="inlineStr">
        <is>
          <t>-</t>
        </is>
      </c>
      <c r="AD891" s="7" t="inlineStr">
        <is>
          <t>NO</t>
        </is>
      </c>
      <c r="AE891" s="7" t="inlineStr">
        <is>
          <t>-</t>
        </is>
      </c>
      <c r="AF891" s="7" t="inlineStr">
        <is>
          <t>-</t>
        </is>
      </c>
      <c r="AG891" s="7" t="inlineStr">
        <is>
          <t>NO</t>
        </is>
      </c>
      <c r="AH891" s="7" t="inlineStr">
        <is>
          <t>-</t>
        </is>
      </c>
      <c r="AI891" s="7" t="inlineStr">
        <is>
          <t>NO</t>
        </is>
      </c>
      <c r="AJ891" s="7" t="inlineStr">
        <is>
          <t>-</t>
        </is>
      </c>
      <c r="AK891" s="60" t="inlineStr">
        <is>
          <t>NO</t>
        </is>
      </c>
      <c r="AL891" s="7" t="inlineStr">
        <is>
          <t>-</t>
        </is>
      </c>
      <c r="AM891" s="7" t="inlineStr">
        <is>
          <t>-</t>
        </is>
      </c>
      <c r="AN891" s="60" t="inlineStr">
        <is>
          <t>NO</t>
        </is>
      </c>
      <c r="AO891" s="7" t="inlineStr">
        <is>
          <t>-</t>
        </is>
      </c>
      <c r="AP891" s="60" t="inlineStr">
        <is>
          <t>NO</t>
        </is>
      </c>
      <c r="AQ891" s="7" t="inlineStr">
        <is>
          <t>-</t>
        </is>
      </c>
      <c r="AR891" s="7" t="inlineStr">
        <is>
          <t>NO</t>
        </is>
      </c>
      <c r="AS891" s="7" t="inlineStr">
        <is>
          <t>-</t>
        </is>
      </c>
      <c r="AT891" s="7" t="inlineStr">
        <is>
          <t>NO</t>
        </is>
      </c>
      <c r="AU891" s="7" t="inlineStr">
        <is>
          <t>-</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No aplica</t>
        </is>
      </c>
      <c r="BG891" s="7" t="inlineStr">
        <is>
          <t>Monitoreo interno</t>
        </is>
      </c>
      <c r="BH891" s="7" t="inlineStr">
        <is>
          <t>No aplica</t>
        </is>
      </c>
      <c r="BI891" s="7" t="n"/>
      <c r="BJ891" s="7" t="n"/>
      <c r="BK891" s="252" t="inlineStr">
        <is>
          <t>532MARW</t>
        </is>
      </c>
      <c r="BL891" s="61" t="inlineStr">
        <is>
          <t>LIXIVIACIÓN</t>
        </is>
      </c>
      <c r="BM891" s="251" t="inlineStr">
        <is>
          <t>NF</t>
        </is>
      </c>
      <c r="BN891" s="337" t="inlineStr">
        <is>
          <t>Lixiviación</t>
        </is>
      </c>
      <c r="BO891" s="251" t="inlineStr">
        <is>
          <t>NO</t>
        </is>
      </c>
      <c r="BP891" s="106" t="inlineStr">
        <is>
          <t>RW-1 LIXIVIACIÓN/NF</t>
        </is>
      </c>
      <c r="BQ891" s="106">
        <f>VLOOKUP(BP891,[1]AGUA!$1:$1048576,2,FALSE)</f>
        <v/>
      </c>
      <c r="BR891" s="106">
        <f>VLOOKUP(BP891,[1]AGUA!$1:$1048576,6,FALSE)</f>
        <v/>
      </c>
      <c r="BS891" s="106">
        <f>VLOOKUP(BP891,[1]AGUA!$1:$1048576,7,FALSE)</f>
        <v/>
      </c>
      <c r="BT891" s="106" t="n"/>
      <c r="BU891" s="101" t="n"/>
      <c r="BV891" s="105" t="n"/>
      <c r="BW891" s="105"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42" t="n">
        <v>1</v>
      </c>
      <c r="CW891" s="105" t="n"/>
      <c r="CX891" s="105" t="n"/>
      <c r="CY891" s="105" t="n"/>
      <c r="CZ891" s="124">
        <f>+COUNTA(BV891:CY891)</f>
        <v/>
      </c>
      <c r="DA891" s="251" t="n"/>
      <c r="DB891" s="251" t="n"/>
      <c r="DC891" s="251" t="n"/>
      <c r="DD891" s="251" t="n"/>
      <c r="DE891" s="251" t="n"/>
      <c r="DF891" s="251" t="n"/>
      <c r="DG891" s="251" t="n"/>
      <c r="DH891" s="251" t="n"/>
      <c r="DI891" s="251" t="n"/>
      <c r="DJ891" s="251" t="inlineStr">
        <is>
          <t>M</t>
        </is>
      </c>
      <c r="DK891" s="251" t="n">
        <v>22</v>
      </c>
      <c r="DL891" s="95" t="n">
        <v>28</v>
      </c>
      <c r="DM891" s="251" t="n"/>
      <c r="DN891" s="95" t="n"/>
      <c r="DO891" s="95" t="n"/>
    </row>
    <row r="892" ht="13" customHeight="1">
      <c r="A892" s="203" t="inlineStr">
        <is>
          <t>RW-2</t>
        </is>
      </c>
      <c r="B892" s="305" t="inlineStr">
        <is>
          <t>RW-2 LIXIVIACIÓN</t>
        </is>
      </c>
      <c r="C892" s="7" t="n"/>
      <c r="D892" s="7" t="inlineStr">
        <is>
          <t>MONITOREO INTERNO</t>
        </is>
      </c>
      <c r="E892" s="7" t="inlineStr">
        <is>
          <t>NO</t>
        </is>
      </c>
      <c r="F892" s="7" t="inlineStr">
        <is>
          <t>NO</t>
        </is>
      </c>
      <c r="G892" s="7" t="inlineStr">
        <is>
          <t>NO</t>
        </is>
      </c>
      <c r="H892" s="7" t="n">
        <v>542651.549776</v>
      </c>
      <c r="I892" s="7" t="n">
        <v>7682426.42018</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2" t="inlineStr">
        <is>
          <t>532MARW</t>
        </is>
      </c>
      <c r="BL892" s="61" t="inlineStr">
        <is>
          <t>LIXIVIACIÓN</t>
        </is>
      </c>
      <c r="BM892" s="251" t="inlineStr">
        <is>
          <t>NF</t>
        </is>
      </c>
      <c r="BN892" s="337" t="inlineStr">
        <is>
          <t>Lixiviación</t>
        </is>
      </c>
      <c r="BO892" s="251" t="inlineStr">
        <is>
          <t>NO</t>
        </is>
      </c>
      <c r="BP892" s="106" t="inlineStr">
        <is>
          <t>RW-2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05" t="n"/>
      <c r="CR892" s="105" t="n"/>
      <c r="CS892" s="105" t="n"/>
      <c r="CT892" s="105" t="n"/>
      <c r="CU892" s="105" t="n"/>
      <c r="CV892" s="142" t="n">
        <v>1</v>
      </c>
      <c r="CW892" s="105" t="n"/>
      <c r="CX892" s="105" t="n"/>
      <c r="CY892" s="105" t="n"/>
      <c r="CZ892" s="124">
        <f>+COUNTA(BV892:CY892)</f>
        <v/>
      </c>
      <c r="DA892" s="251" t="n"/>
      <c r="DB892" s="251" t="n"/>
      <c r="DC892" s="251" t="n"/>
      <c r="DD892" s="251" t="n"/>
      <c r="DE892" s="251" t="n"/>
      <c r="DF892" s="251" t="n"/>
      <c r="DG892" s="251" t="n"/>
      <c r="DH892" s="251" t="n"/>
      <c r="DI892" s="251" t="n"/>
      <c r="DJ892" s="251" t="inlineStr">
        <is>
          <t>M</t>
        </is>
      </c>
      <c r="DK892" s="251" t="n">
        <v>22</v>
      </c>
      <c r="DL892" s="95" t="n">
        <v>28</v>
      </c>
      <c r="DM892" s="251" t="n"/>
      <c r="DN892" s="95" t="n"/>
      <c r="DO892" s="95" t="n"/>
    </row>
    <row r="893" ht="13" customHeight="1">
      <c r="A893" s="203" t="inlineStr">
        <is>
          <t>RW-3</t>
        </is>
      </c>
      <c r="B893" s="305" t="inlineStr">
        <is>
          <t>RW-3 LIXIVIACIÓN</t>
        </is>
      </c>
      <c r="C893" s="7" t="n"/>
      <c r="D893" s="7" t="inlineStr">
        <is>
          <t>MONITOREO INTERNO</t>
        </is>
      </c>
      <c r="E893" s="7" t="inlineStr">
        <is>
          <t>NO</t>
        </is>
      </c>
      <c r="F893" s="7" t="inlineStr">
        <is>
          <t>NO</t>
        </is>
      </c>
      <c r="G893" s="7" t="inlineStr">
        <is>
          <t>NO</t>
        </is>
      </c>
      <c r="H893" s="7" t="n">
        <v>545254.337774</v>
      </c>
      <c r="I893" s="7" t="n">
        <v>7682878.18691</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2" t="inlineStr">
        <is>
          <t>532MARW</t>
        </is>
      </c>
      <c r="BL893" s="61" t="inlineStr">
        <is>
          <t>LIXIVIACIÓN</t>
        </is>
      </c>
      <c r="BM893" s="251" t="inlineStr">
        <is>
          <t>NF</t>
        </is>
      </c>
      <c r="BN893" s="337" t="inlineStr">
        <is>
          <t>Lixiviación</t>
        </is>
      </c>
      <c r="BO893" s="251" t="inlineStr">
        <is>
          <t>NO</t>
        </is>
      </c>
      <c r="BP893" s="106" t="inlineStr">
        <is>
          <t>RW-3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05" t="n"/>
      <c r="CR893" s="105" t="n"/>
      <c r="CS893" s="105" t="n"/>
      <c r="CT893" s="105" t="n"/>
      <c r="CU893" s="105" t="n"/>
      <c r="CV893" s="142" t="n">
        <v>1</v>
      </c>
      <c r="CW893" s="105" t="n"/>
      <c r="CX893" s="105" t="n"/>
      <c r="CY893" s="105" t="n"/>
      <c r="CZ893" s="124">
        <f>+COUNTA(BV893:CY893)</f>
        <v/>
      </c>
      <c r="DA893" s="251" t="n"/>
      <c r="DB893" s="251" t="n"/>
      <c r="DC893" s="251" t="n"/>
      <c r="DD893" s="251" t="n"/>
      <c r="DE893" s="251" t="n"/>
      <c r="DF893" s="251" t="n"/>
      <c r="DG893" s="251" t="n"/>
      <c r="DH893" s="251" t="n"/>
      <c r="DI893" s="251" t="n"/>
      <c r="DJ893" s="251" t="inlineStr">
        <is>
          <t>M</t>
        </is>
      </c>
      <c r="DK893" s="251" t="n">
        <v>22</v>
      </c>
      <c r="DL893" s="95" t="n">
        <v>28</v>
      </c>
      <c r="DM893" s="251" t="n"/>
      <c r="DN893" s="95" t="n"/>
      <c r="DO893" s="95" t="n"/>
    </row>
    <row r="894" ht="13" customHeight="1">
      <c r="A894" s="203" t="inlineStr">
        <is>
          <t>RW-4</t>
        </is>
      </c>
      <c r="B894" s="305" t="inlineStr">
        <is>
          <t>RW-4 LIXIVIACIÓN</t>
        </is>
      </c>
      <c r="C894" s="7" t="n"/>
      <c r="D894" s="7" t="inlineStr">
        <is>
          <t>MONITOREO INTERNO</t>
        </is>
      </c>
      <c r="E894" s="7" t="inlineStr">
        <is>
          <t>NO</t>
        </is>
      </c>
      <c r="F894" s="7" t="inlineStr">
        <is>
          <t>NO</t>
        </is>
      </c>
      <c r="G894" s="7" t="inlineStr">
        <is>
          <t>NO</t>
        </is>
      </c>
      <c r="H894" s="7" t="n">
        <v>544649.321171</v>
      </c>
      <c r="I894" s="7" t="n">
        <v>7684138.60125</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2" t="inlineStr">
        <is>
          <t>532MARW</t>
        </is>
      </c>
      <c r="BL894" s="61" t="inlineStr">
        <is>
          <t>LIXIVIACIÓN</t>
        </is>
      </c>
      <c r="BM894" s="251" t="inlineStr">
        <is>
          <t>NF</t>
        </is>
      </c>
      <c r="BN894" s="337" t="inlineStr">
        <is>
          <t>Lixiviación</t>
        </is>
      </c>
      <c r="BO894" s="251" t="inlineStr">
        <is>
          <t>NO</t>
        </is>
      </c>
      <c r="BP894" s="106" t="inlineStr">
        <is>
          <t>RW-4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05" t="n"/>
      <c r="CR894" s="105" t="n"/>
      <c r="CS894" s="105" t="n"/>
      <c r="CT894" s="105" t="n"/>
      <c r="CU894" s="105" t="n"/>
      <c r="CV894" s="142" t="n">
        <v>1</v>
      </c>
      <c r="CW894" s="105" t="n"/>
      <c r="CX894" s="105" t="n"/>
      <c r="CY894" s="105" t="n"/>
      <c r="CZ894" s="124">
        <f>+COUNTA(BV894:CY894)</f>
        <v/>
      </c>
      <c r="DA894" s="251" t="n"/>
      <c r="DB894" s="251" t="n"/>
      <c r="DC894" s="251" t="n"/>
      <c r="DD894" s="251" t="n"/>
      <c r="DE894" s="251" t="n"/>
      <c r="DF894" s="251" t="n"/>
      <c r="DG894" s="251" t="n"/>
      <c r="DH894" s="251" t="n"/>
      <c r="DI894" s="251" t="n"/>
      <c r="DJ894" s="251" t="inlineStr">
        <is>
          <t>M</t>
        </is>
      </c>
      <c r="DK894" s="251" t="n">
        <v>22</v>
      </c>
      <c r="DL894" s="95" t="n">
        <v>28</v>
      </c>
      <c r="DM894" s="251" t="n"/>
      <c r="DN894" s="95" t="n"/>
      <c r="DO894" s="95" t="n"/>
    </row>
    <row r="895" ht="13" customHeight="1">
      <c r="A895" s="203" t="inlineStr">
        <is>
          <t>RW-5</t>
        </is>
      </c>
      <c r="B895" s="305" t="inlineStr">
        <is>
          <t>RW-5 LIXIVIACIÓN</t>
        </is>
      </c>
      <c r="C895" s="7" t="n"/>
      <c r="D895" s="7" t="inlineStr">
        <is>
          <t>MONITOREO INTERNO</t>
        </is>
      </c>
      <c r="E895" s="7" t="inlineStr">
        <is>
          <t>NO</t>
        </is>
      </c>
      <c r="F895" s="7" t="inlineStr">
        <is>
          <t>NO</t>
        </is>
      </c>
      <c r="G895" s="7" t="inlineStr">
        <is>
          <t>NO</t>
        </is>
      </c>
      <c r="H895" s="7" t="n">
        <v>544112.223033</v>
      </c>
      <c r="I895" s="7" t="n">
        <v>7682668.4584</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2" t="inlineStr">
        <is>
          <t>532MARW</t>
        </is>
      </c>
      <c r="BL895" s="61" t="inlineStr">
        <is>
          <t>LIXIVIACIÓN</t>
        </is>
      </c>
      <c r="BM895" s="251" t="inlineStr">
        <is>
          <t>NF</t>
        </is>
      </c>
      <c r="BN895" s="337" t="inlineStr">
        <is>
          <t>Lixiviación</t>
        </is>
      </c>
      <c r="BO895" s="251" t="inlineStr">
        <is>
          <t>NO</t>
        </is>
      </c>
      <c r="BP895" s="106" t="inlineStr">
        <is>
          <t>RW-5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05" t="n"/>
      <c r="CR895" s="105" t="n"/>
      <c r="CS895" s="105" t="n"/>
      <c r="CT895" s="105" t="n"/>
      <c r="CU895" s="105" t="n"/>
      <c r="CV895" s="142" t="n">
        <v>1</v>
      </c>
      <c r="CW895" s="105" t="n"/>
      <c r="CX895" s="105" t="n"/>
      <c r="CY895" s="105" t="n"/>
      <c r="CZ895" s="124">
        <f>+COUNTA(BV895:CY895)</f>
        <v/>
      </c>
      <c r="DA895" s="251" t="n"/>
      <c r="DB895" s="251" t="n"/>
      <c r="DC895" s="251" t="n"/>
      <c r="DD895" s="251" t="n"/>
      <c r="DE895" s="251" t="n"/>
      <c r="DF895" s="251" t="n"/>
      <c r="DG895" s="251" t="n"/>
      <c r="DH895" s="251" t="n"/>
      <c r="DI895" s="251" t="n"/>
      <c r="DJ895" s="251" t="inlineStr">
        <is>
          <t>M</t>
        </is>
      </c>
      <c r="DK895" s="251" t="n">
        <v>22</v>
      </c>
      <c r="DL895" s="95" t="n">
        <v>28</v>
      </c>
      <c r="DM895" s="251" t="n"/>
      <c r="DN895" s="95" t="n"/>
      <c r="DO895" s="95" t="n"/>
    </row>
    <row r="896" ht="13" customHeight="1">
      <c r="A896" s="205" t="inlineStr">
        <is>
          <t>SCE-01</t>
        </is>
      </c>
      <c r="B896" s="305" t="inlineStr">
        <is>
          <t>SCE-01 JACHUCOPOSA</t>
        </is>
      </c>
      <c r="C896" s="7" t="n"/>
      <c r="D896" s="7" t="inlineStr">
        <is>
          <t>SI</t>
        </is>
      </c>
      <c r="E896" s="7" t="inlineStr">
        <is>
          <t>SI</t>
        </is>
      </c>
      <c r="F896" s="7" t="inlineStr">
        <is>
          <t>NO</t>
        </is>
      </c>
      <c r="G896" s="7" t="inlineStr">
        <is>
          <t>NO</t>
        </is>
      </c>
      <c r="H896" s="7" t="n">
        <v>530602</v>
      </c>
      <c r="I896" s="7" t="n">
        <v>7714428</v>
      </c>
      <c r="J896" s="7" t="inlineStr">
        <is>
          <t>Construido</t>
        </is>
      </c>
      <c r="K896" s="7" t="inlineStr">
        <is>
          <t>-</t>
        </is>
      </c>
      <c r="L896" s="7" t="inlineStr">
        <is>
          <t>Agua Subterránea</t>
        </is>
      </c>
      <c r="M896" s="7" t="inlineStr">
        <is>
          <t>Cordillera</t>
        </is>
      </c>
      <c r="N896" s="7" t="inlineStr">
        <is>
          <t>Pozo</t>
        </is>
      </c>
      <c r="O896" s="7" t="inlineStr">
        <is>
          <t>Jachucoposa</t>
        </is>
      </c>
      <c r="P896" s="7" t="inlineStr">
        <is>
          <t>SI</t>
        </is>
      </c>
      <c r="Q896" s="7" t="inlineStr">
        <is>
          <t>Mensual</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SMA- Comunidad AIA Salar Coposa (Pág Web)</t>
        </is>
      </c>
      <c r="BG896" s="7" t="inlineStr">
        <is>
          <t>PAT Jachucoposa - PAF AIA Salar de Coposa - PSA - PMAP Coposa</t>
        </is>
      </c>
      <c r="BH896" s="7" t="inlineStr">
        <is>
          <t>RCA 20219900112</t>
        </is>
      </c>
      <c r="BI896" s="7" t="n"/>
      <c r="BJ896" s="7" t="n"/>
      <c r="BK896" s="252" t="inlineStr">
        <is>
          <t>532MASCE</t>
        </is>
      </c>
      <c r="BL896" s="61" t="inlineStr">
        <is>
          <t>GMAP-SIGA</t>
        </is>
      </c>
      <c r="BM896" s="251" t="inlineStr">
        <is>
          <t>NF</t>
        </is>
      </c>
      <c r="BN896" s="337" t="inlineStr">
        <is>
          <t>Jachucoposa</t>
        </is>
      </c>
      <c r="BO896" s="251" t="inlineStr">
        <is>
          <t>SI / PMAP /PAT JACHU-COPOSITO</t>
        </is>
      </c>
      <c r="BP896" s="106" t="inlineStr">
        <is>
          <t>SCE-01 JACHUCOPOSA/NF</t>
        </is>
      </c>
      <c r="BQ896" s="106">
        <f>VLOOKUP(BP896,[1]AGUA!$1:$1048576,2,FALSE)</f>
        <v/>
      </c>
      <c r="BR896" s="106">
        <f>VLOOKUP(BP896,[1]AGUA!$1:$1048576,6,FALSE)</f>
        <v/>
      </c>
      <c r="BS896" s="106">
        <f>VLOOKUP(BP896,[1]AGUA!$1:$1048576,7,FALSE)</f>
        <v/>
      </c>
      <c r="BT896" s="106" t="inlineStr">
        <is>
          <t>ACT. PAT</t>
        </is>
      </c>
      <c r="BU896" s="101" t="n"/>
      <c r="BV896" s="105" t="n"/>
      <c r="BW896" s="105" t="n"/>
      <c r="BX896" s="105" t="n"/>
      <c r="BY896" s="105" t="n"/>
      <c r="BZ896" s="105" t="n"/>
      <c r="CA896" s="105" t="n"/>
      <c r="CB896" s="105" t="n"/>
      <c r="CC896" s="105" t="n"/>
      <c r="CD896" s="242" t="n">
        <v>1</v>
      </c>
      <c r="CE896" s="105" t="n"/>
      <c r="CF896" s="105" t="n"/>
      <c r="CG896" s="105" t="n"/>
      <c r="CH896" s="105" t="n"/>
      <c r="CI896" s="105" t="n"/>
      <c r="CJ896" s="105" t="n"/>
      <c r="CK896" s="105" t="n"/>
      <c r="CL896" s="105" t="n"/>
      <c r="CM896" s="105" t="n"/>
      <c r="CN896" s="105" t="n"/>
      <c r="CO896" s="105" t="n"/>
      <c r="CP896" s="105" t="n"/>
      <c r="CQ896" s="242" t="n">
        <v>1</v>
      </c>
      <c r="CR896" s="105" t="n"/>
      <c r="CS896" s="105" t="n"/>
      <c r="CT896" s="105" t="n"/>
      <c r="CU896" s="105" t="n"/>
      <c r="CV896" s="105" t="n"/>
      <c r="CW896" s="105" t="n"/>
      <c r="CX896" s="105" t="n"/>
      <c r="CY896" s="105" t="n"/>
      <c r="CZ896" s="124">
        <f>+COUNTA(BV896:CY896)</f>
        <v/>
      </c>
      <c r="DA896" s="206" t="n"/>
      <c r="DB896" s="251" t="n"/>
      <c r="DC896" s="251" t="n"/>
      <c r="DD896" s="251" t="n"/>
      <c r="DE896" s="251" t="n"/>
      <c r="DF896" s="251" t="n"/>
      <c r="DG896" s="251" t="n"/>
      <c r="DH896" s="251" t="n"/>
      <c r="DI896" s="251" t="n"/>
      <c r="DJ896" s="251" t="inlineStr">
        <is>
          <t>M</t>
        </is>
      </c>
      <c r="DK896" s="251" t="n">
        <v>15</v>
      </c>
      <c r="DL896" s="95" t="n">
        <v>28</v>
      </c>
      <c r="DM896" s="251" t="n"/>
      <c r="DN896" s="95" t="n"/>
      <c r="DO896" s="95" t="n"/>
    </row>
    <row r="897" ht="12.65" customHeight="1">
      <c r="A897" s="205" t="inlineStr">
        <is>
          <t>SCE-02</t>
        </is>
      </c>
      <c r="B897" s="305" t="inlineStr">
        <is>
          <t>SCE-02 JACHUCOPOSA</t>
        </is>
      </c>
      <c r="C897" s="7" t="n"/>
      <c r="D897" s="7" t="inlineStr">
        <is>
          <t>SI</t>
        </is>
      </c>
      <c r="E897" s="7" t="inlineStr">
        <is>
          <t>SI</t>
        </is>
      </c>
      <c r="F897" s="7" t="inlineStr">
        <is>
          <t>NO</t>
        </is>
      </c>
      <c r="G897" s="7" t="inlineStr">
        <is>
          <t>NO</t>
        </is>
      </c>
      <c r="H897" s="7" t="n">
        <v>530820</v>
      </c>
      <c r="I897" s="7" t="n">
        <v>7711621</v>
      </c>
      <c r="J897" s="7" t="inlineStr">
        <is>
          <t>Construido</t>
        </is>
      </c>
      <c r="K897" s="7" t="inlineStr">
        <is>
          <t>-</t>
        </is>
      </c>
      <c r="L897" s="7" t="inlineStr">
        <is>
          <t>Agua Subterránea</t>
        </is>
      </c>
      <c r="M897" s="7" t="inlineStr">
        <is>
          <t>Cordillera</t>
        </is>
      </c>
      <c r="N897" s="7" t="inlineStr">
        <is>
          <t>Pozo</t>
        </is>
      </c>
      <c r="O897" s="7" t="inlineStr">
        <is>
          <t>Falla Pabellón</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Coposito - PAF AIA Salar de Coposa - PSA - PMAP Coposa</t>
        </is>
      </c>
      <c r="BH897" s="7" t="inlineStr">
        <is>
          <t>RCA 20219900112</t>
        </is>
      </c>
      <c r="BI897" s="7" t="n"/>
      <c r="BJ897" s="7" t="n"/>
      <c r="BK897" s="252" t="inlineStr">
        <is>
          <t>532MASCE</t>
        </is>
      </c>
      <c r="BL897" s="61" t="inlineStr">
        <is>
          <t>GMAP-SIGA</t>
        </is>
      </c>
      <c r="BM897" s="251" t="inlineStr">
        <is>
          <t>NF</t>
        </is>
      </c>
      <c r="BN897" s="337" t="inlineStr">
        <is>
          <t>Jachucoposa</t>
        </is>
      </c>
      <c r="BO897" s="251" t="inlineStr">
        <is>
          <t>SI / PMAP / PAT JACHU-COPOSITO</t>
        </is>
      </c>
      <c r="BP897" s="106" t="inlineStr">
        <is>
          <t>SCE-02 JACHUCOPOSA/NF</t>
        </is>
      </c>
      <c r="BQ897" s="106">
        <f>VLOOKUP(BP897,[1]AGUA!$1:$1048576,2,FALSE)</f>
        <v/>
      </c>
      <c r="BR897" s="106">
        <f>VLOOKUP(BP897,[1]AGUA!$1:$1048576,6,FALSE)</f>
        <v/>
      </c>
      <c r="BS897" s="106">
        <f>VLOOKUP(BP897,[1]AGUA!$1:$1048576,7,FALSE)</f>
        <v/>
      </c>
      <c r="BT897" s="106" t="n"/>
      <c r="BU897" s="101" t="n"/>
      <c r="BV897" s="105" t="n"/>
      <c r="BW897" s="105" t="n"/>
      <c r="BX897" s="105" t="n"/>
      <c r="BY897" s="105" t="n"/>
      <c r="BZ897" s="105" t="n"/>
      <c r="CA897" s="105" t="n"/>
      <c r="CB897" s="105" t="n"/>
      <c r="CC897" s="105" t="n"/>
      <c r="CD897" s="242" t="n">
        <v>1</v>
      </c>
      <c r="CE897" s="105" t="n"/>
      <c r="CF897" s="105" t="n"/>
      <c r="CG897" s="105" t="n"/>
      <c r="CH897" s="105" t="n"/>
      <c r="CI897" s="105" t="n"/>
      <c r="CJ897" s="105" t="n"/>
      <c r="CK897" s="105" t="n"/>
      <c r="CL897" s="105" t="n"/>
      <c r="CM897" s="105" t="n"/>
      <c r="CN897" s="105" t="n"/>
      <c r="CO897" s="105" t="n"/>
      <c r="CP897" s="105" t="n"/>
      <c r="CQ897" s="242" t="n">
        <v>1</v>
      </c>
      <c r="CR897" s="105" t="n"/>
      <c r="CS897" s="105" t="n"/>
      <c r="CT897" s="105" t="n"/>
      <c r="CU897" s="105" t="n"/>
      <c r="CV897" s="105" t="n"/>
      <c r="CW897" s="105" t="n"/>
      <c r="CX897" s="105" t="n"/>
      <c r="CY897" s="105" t="n"/>
      <c r="CZ897" s="124">
        <f>+COUNTA(BV897:CY897)</f>
        <v/>
      </c>
      <c r="DA897" s="206" t="n"/>
      <c r="DB897" s="251" t="n"/>
      <c r="DC897" s="251" t="n"/>
      <c r="DD897" s="251" t="n"/>
      <c r="DE897" s="251" t="n"/>
      <c r="DF897" s="251" t="n"/>
      <c r="DG897" s="251" t="n"/>
      <c r="DH897" s="251" t="n"/>
      <c r="DI897" s="251" t="n"/>
      <c r="DJ897" s="251" t="inlineStr">
        <is>
          <t>Q</t>
        </is>
      </c>
      <c r="DK897" s="226" t="inlineStr">
        <is>
          <t>1- 15</t>
        </is>
      </c>
      <c r="DL897" s="226" t="inlineStr">
        <is>
          <t>14-28</t>
        </is>
      </c>
      <c r="DM897" s="251" t="n"/>
      <c r="DN897" s="95" t="n"/>
      <c r="DO897" s="95" t="n"/>
    </row>
    <row r="898" ht="18.65" customHeight="1">
      <c r="A898" s="205" t="inlineStr">
        <is>
          <t>SCE-03</t>
        </is>
      </c>
      <c r="B898" s="305" t="inlineStr">
        <is>
          <t>SCE-03 COPOSA NORTE</t>
        </is>
      </c>
      <c r="C898" s="7" t="n"/>
      <c r="D898" s="7" t="inlineStr">
        <is>
          <t>SI</t>
        </is>
      </c>
      <c r="E898" s="7" t="inlineStr">
        <is>
          <t>SI</t>
        </is>
      </c>
      <c r="F898" s="7" t="inlineStr">
        <is>
          <t>NO</t>
        </is>
      </c>
      <c r="G898" s="7" t="inlineStr">
        <is>
          <t>SI</t>
        </is>
      </c>
      <c r="H898" s="7" t="n">
        <v>542062</v>
      </c>
      <c r="I898" s="7" t="n">
        <v>7726175</v>
      </c>
      <c r="J898" s="7" t="inlineStr">
        <is>
          <t>Construido</t>
        </is>
      </c>
      <c r="K898" s="7" t="inlineStr">
        <is>
          <t>Si</t>
        </is>
      </c>
      <c r="L898" s="7" t="inlineStr">
        <is>
          <t>Agua Subterránea</t>
        </is>
      </c>
      <c r="M898" s="7" t="inlineStr">
        <is>
          <t>Cordillera</t>
        </is>
      </c>
      <c r="N898" s="7" t="inlineStr">
        <is>
          <t>Pozo</t>
        </is>
      </c>
      <c r="O898" s="7" t="inlineStr">
        <is>
          <t>Coposa Norte</t>
        </is>
      </c>
      <c r="P898" s="7" t="inlineStr">
        <is>
          <t>SI</t>
        </is>
      </c>
      <c r="Q898" s="7" t="inlineStr">
        <is>
          <t>Mensual</t>
        </is>
      </c>
      <c r="R898" s="7" t="inlineStr">
        <is>
          <t>Continuo</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 PdC</t>
        </is>
      </c>
      <c r="BG898" s="7" t="inlineStr">
        <is>
          <t>PMA Frontera - PAT Frontera - PAF AIA Salar Coposa - PSA - PMAP Coposa - PAT PDC</t>
        </is>
      </c>
      <c r="BH898" s="7" t="inlineStr">
        <is>
          <t>RCA 20219900112</t>
        </is>
      </c>
      <c r="BI898" s="7" t="inlineStr">
        <is>
          <t>Medición diaria de nivel con sensor</t>
        </is>
      </c>
      <c r="BJ898" s="7" t="n"/>
      <c r="BK898" s="252" t="inlineStr">
        <is>
          <t>532MASCE</t>
        </is>
      </c>
      <c r="BL898" s="61" t="inlineStr">
        <is>
          <t>GMAP-SIGA</t>
        </is>
      </c>
      <c r="BM898" s="251" t="inlineStr">
        <is>
          <t>NF</t>
        </is>
      </c>
      <c r="BN898" s="337" t="inlineStr">
        <is>
          <t>Coposa Norte</t>
        </is>
      </c>
      <c r="BO898" s="251" t="inlineStr">
        <is>
          <t>SI / PMAP/ PAT FRONTERA</t>
        </is>
      </c>
      <c r="BP898" s="106" t="inlineStr">
        <is>
          <t>SCE-03 COPOSA NORTE/NF</t>
        </is>
      </c>
      <c r="BQ898" s="106">
        <f>VLOOKUP(BP898,[1]AGUA!$1:$1048576,2,FALSE)</f>
        <v/>
      </c>
      <c r="BR898" s="106">
        <f>VLOOKUP(BP898,[1]AGUA!$1:$1048576,6,FALSE)</f>
        <v/>
      </c>
      <c r="BS898" s="106">
        <f>VLOOKUP(BP898,[1]AGUA!$1:$1048576,7,FALSE)</f>
        <v/>
      </c>
      <c r="BT898" s="106" t="n"/>
      <c r="BU898" s="101" t="n"/>
      <c r="BV898" s="105" t="n"/>
      <c r="BW898" s="105" t="n"/>
      <c r="BX898" s="105" t="n"/>
      <c r="BY898" s="105" t="n"/>
      <c r="BZ898" s="105" t="n"/>
      <c r="CA898" s="105" t="n"/>
      <c r="CB898" s="105" t="n"/>
      <c r="CC898" s="105" t="n"/>
      <c r="CD898" s="105" t="n"/>
      <c r="CE898" s="105" t="n"/>
      <c r="CF898" s="105" t="n"/>
      <c r="CG898" s="105" t="n"/>
      <c r="CH898" s="105" t="n"/>
      <c r="CI898" s="105" t="n"/>
      <c r="CJ898" s="105" t="n"/>
      <c r="CK898" s="105" t="n"/>
      <c r="CL898" s="105" t="n"/>
      <c r="CM898" s="105" t="n"/>
      <c r="CN898" s="105" t="n"/>
      <c r="CO898" s="242" t="n">
        <v>1</v>
      </c>
      <c r="CP898" s="105" t="n"/>
      <c r="CQ898" s="105" t="n"/>
      <c r="CR898" s="105" t="n"/>
      <c r="CS898" s="105" t="n"/>
      <c r="CT898" s="105" t="n"/>
      <c r="CU898" s="105" t="n"/>
      <c r="CV898" s="105" t="n"/>
      <c r="CW898" s="105" t="n"/>
      <c r="CX898" s="105" t="n"/>
      <c r="CY898" s="105" t="n"/>
      <c r="CZ898" s="124">
        <f>+COUNTA(BV898:CY898)</f>
        <v/>
      </c>
      <c r="DA898" s="206" t="n"/>
      <c r="DB898" s="251" t="n"/>
      <c r="DC898" s="251" t="n"/>
      <c r="DD898" s="251" t="n"/>
      <c r="DE898" s="251" t="n"/>
      <c r="DF898" s="251" t="n"/>
      <c r="DG898" s="251" t="n"/>
      <c r="DH898" s="251" t="n"/>
      <c r="DI898" s="251" t="n"/>
      <c r="DJ898" s="251" t="inlineStr">
        <is>
          <t>M</t>
        </is>
      </c>
      <c r="DK898" s="251" t="n">
        <v>15</v>
      </c>
      <c r="DL898" s="95" t="n">
        <v>28</v>
      </c>
      <c r="DM898" s="251" t="n"/>
      <c r="DN898" s="95" t="n"/>
      <c r="DO898" s="95" t="n"/>
    </row>
    <row r="899" ht="12.5" customHeight="1">
      <c r="A899" s="203" t="inlineStr">
        <is>
          <t>SCE-04</t>
        </is>
      </c>
      <c r="B899" s="305" t="inlineStr">
        <is>
          <t>SCE-04 COPOSA CENTRO</t>
        </is>
      </c>
      <c r="C899" s="7" t="n"/>
      <c r="D899" s="7" t="inlineStr">
        <is>
          <t>MONITOREO INTERNO</t>
        </is>
      </c>
      <c r="E899" s="7" t="inlineStr">
        <is>
          <t>NO</t>
        </is>
      </c>
      <c r="F899" s="7" t="inlineStr">
        <is>
          <t>NO</t>
        </is>
      </c>
      <c r="G899" s="7" t="inlineStr">
        <is>
          <t>NO</t>
        </is>
      </c>
      <c r="H899" s="7" t="n">
        <v>529530.723622</v>
      </c>
      <c r="I899" s="7" t="n">
        <v>7724223.67668</v>
      </c>
      <c r="J899" s="7" t="inlineStr">
        <is>
          <t>Construido</t>
        </is>
      </c>
      <c r="K899" s="7" t="inlineStr">
        <is>
          <t>-</t>
        </is>
      </c>
      <c r="L899" s="7" t="inlineStr">
        <is>
          <t>Agua Subterránea</t>
        </is>
      </c>
      <c r="M899" s="7" t="inlineStr">
        <is>
          <t>Cordillera</t>
        </is>
      </c>
      <c r="N899" s="7" t="inlineStr">
        <is>
          <t>POZO</t>
        </is>
      </c>
      <c r="O899" s="7" t="inlineStr">
        <is>
          <t xml:space="preserve">Coposa Centro </t>
        </is>
      </c>
      <c r="P899" s="7" t="inlineStr">
        <is>
          <t>NO</t>
        </is>
      </c>
      <c r="Q899" s="7" t="inlineStr">
        <is>
          <t>-</t>
        </is>
      </c>
      <c r="R899" s="7" t="inlineStr">
        <is>
          <t>-</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No aplica</t>
        </is>
      </c>
      <c r="BG899" s="7" t="inlineStr">
        <is>
          <t>Monitoreo interno</t>
        </is>
      </c>
      <c r="BH899" s="7" t="inlineStr">
        <is>
          <t>No aplica</t>
        </is>
      </c>
      <c r="BI899" s="7" t="n"/>
      <c r="BJ899" s="7" t="n"/>
      <c r="BK899" s="252" t="inlineStr">
        <is>
          <t>532MASCE</t>
        </is>
      </c>
      <c r="BL899" s="61" t="inlineStr">
        <is>
          <t>GMAP-SIGA</t>
        </is>
      </c>
      <c r="BM899" s="251" t="inlineStr">
        <is>
          <t>NF</t>
        </is>
      </c>
      <c r="BN899" s="337" t="inlineStr">
        <is>
          <t>Jachucoposa</t>
        </is>
      </c>
      <c r="BO899" s="251" t="inlineStr">
        <is>
          <t>NO</t>
        </is>
      </c>
      <c r="BP899" s="193" t="inlineStr">
        <is>
          <t>SCE-04 COPOSA CENTRO/NF</t>
        </is>
      </c>
      <c r="BQ899" s="106">
        <f>VLOOKUP(BP899,[1]AGUA!$1:$1048576,2,FALSE)</f>
        <v/>
      </c>
      <c r="BR899" s="106">
        <f>VLOOKUP(BP899,[1]AGUA!$1:$1048576,6,FALSE)</f>
        <v/>
      </c>
      <c r="BS899" s="106">
        <f>VLOOKUP(BP899,[1]AGUA!$1:$1048576,7,FALSE)</f>
        <v/>
      </c>
      <c r="BT899" s="106" t="n"/>
      <c r="BU899" s="102" t="inlineStr">
        <is>
          <t>CAMBIO DE FRECUENCIA A PARTIR DE SEPTIEMBRE 2025 X CMDIC DE MENSUAL A TRIMESTRAL</t>
        </is>
      </c>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105" t="n"/>
      <c r="CP899" s="105" t="n"/>
      <c r="CQ899" s="105" t="n"/>
      <c r="CR899" s="105" t="n"/>
      <c r="CS899" s="105" t="n"/>
      <c r="CT899" s="105" t="n"/>
      <c r="CU899" s="105" t="n"/>
      <c r="CV899" s="105" t="n"/>
      <c r="CW899" s="105" t="n"/>
      <c r="CX899" s="105" t="n"/>
      <c r="CY899" s="105" t="n"/>
      <c r="CZ899" s="124">
        <f>+COUNTA(BV899:CY899)</f>
        <v/>
      </c>
      <c r="DA899" s="251" t="n"/>
      <c r="DB899" s="251" t="n"/>
      <c r="DC899" s="251" t="n"/>
      <c r="DD899" s="251" t="n"/>
      <c r="DE899" s="251" t="n"/>
      <c r="DF899" s="251" t="n"/>
      <c r="DG899" s="251" t="n"/>
      <c r="DH899" s="251" t="n"/>
      <c r="DI899" s="251" t="n"/>
      <c r="DJ899" s="251" t="inlineStr">
        <is>
          <t>M</t>
        </is>
      </c>
      <c r="DK899" s="251" t="n">
        <v>22</v>
      </c>
      <c r="DL899" s="95" t="n">
        <v>28</v>
      </c>
      <c r="DM899" s="251" t="n"/>
      <c r="DN899" s="95" t="n"/>
      <c r="DO899" s="95" t="n"/>
    </row>
    <row r="900" ht="11.5" customHeight="1">
      <c r="A900" s="204" t="inlineStr">
        <is>
          <t>SH-01</t>
        </is>
      </c>
      <c r="B900" s="305" t="inlineStr">
        <is>
          <t>SH-01 PUERTO COLLAHUASI</t>
        </is>
      </c>
      <c r="C900" s="251" t="n"/>
      <c r="D900" s="7" t="inlineStr">
        <is>
          <t>SI</t>
        </is>
      </c>
      <c r="E900" s="7" t="inlineStr">
        <is>
          <t>SI</t>
        </is>
      </c>
      <c r="F900" s="7" t="inlineStr">
        <is>
          <t>SI</t>
        </is>
      </c>
      <c r="G900" s="7" t="inlineStr">
        <is>
          <t>NO</t>
        </is>
      </c>
      <c r="H900" s="7" t="n">
        <v>377307</v>
      </c>
      <c r="I900" s="7" t="n">
        <v>7701643</v>
      </c>
      <c r="J900" s="7" t="inlineStr">
        <is>
          <t>Construido</t>
        </is>
      </c>
      <c r="K900" s="7" t="inlineStr">
        <is>
          <t>-</t>
        </is>
      </c>
      <c r="L900" s="7" t="inlineStr">
        <is>
          <t>Agua Subterránea</t>
        </is>
      </c>
      <c r="M900" s="7" t="inlineStr">
        <is>
          <t>Puerto</t>
        </is>
      </c>
      <c r="N900" s="7" t="inlineStr">
        <is>
          <t>Pozo</t>
        </is>
      </c>
      <c r="O900" s="7" t="inlineStr">
        <is>
          <t>Puerto Collahuasi</t>
        </is>
      </c>
      <c r="P900" s="7" t="inlineStr">
        <is>
          <t>SI</t>
        </is>
      </c>
      <c r="Q900" s="7" t="inlineStr">
        <is>
          <t>Mensual</t>
        </is>
      </c>
      <c r="R900" s="7" t="inlineStr">
        <is>
          <t>-</t>
        </is>
      </c>
      <c r="S900" s="7" t="inlineStr">
        <is>
          <t>-</t>
        </is>
      </c>
      <c r="T900" s="7" t="inlineStr">
        <is>
          <t>SI</t>
        </is>
      </c>
      <c r="U900" s="7" t="inlineStr">
        <is>
          <t>Trimestral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7" t="n"/>
      <c r="AL900" s="7" t="n"/>
      <c r="AM900" s="7" t="n"/>
      <c r="AN900" s="7" t="n"/>
      <c r="AO900" s="7" t="n"/>
      <c r="AP900" s="7" t="n"/>
      <c r="AQ900" s="7" t="n"/>
      <c r="AR900" s="7" t="n"/>
      <c r="AS900" s="7" t="n"/>
      <c r="AT900" s="7" t="n"/>
      <c r="AU900" s="7" t="n"/>
      <c r="AV900" s="7" t="n"/>
      <c r="AW900" s="7" t="n"/>
      <c r="AX900" s="7" t="n"/>
      <c r="AY900" s="7" t="n"/>
      <c r="AZ900" s="7" t="n"/>
      <c r="BA900" s="7" t="n"/>
      <c r="BB900" s="7" t="n"/>
      <c r="BC900" s="7" t="n"/>
      <c r="BD900" s="7" t="n"/>
      <c r="BE900" s="7" t="n"/>
      <c r="BF900" s="7" t="n"/>
      <c r="BG900" s="7" t="n"/>
      <c r="BH900" s="7" t="n"/>
      <c r="BI900" s="7" t="n"/>
      <c r="BJ900" s="7" t="n"/>
      <c r="BK900" s="331" t="inlineStr">
        <is>
          <t>532MASH</t>
        </is>
      </c>
      <c r="BL900" s="7" t="inlineStr">
        <is>
          <t>PUERTO</t>
        </is>
      </c>
      <c r="BM900" s="251" t="inlineStr">
        <is>
          <t>NF</t>
        </is>
      </c>
      <c r="BN900" s="337" t="inlineStr">
        <is>
          <t>Puerto Collahuasi</t>
        </is>
      </c>
      <c r="BO900" s="251" t="inlineStr">
        <is>
          <t>SI</t>
        </is>
      </c>
      <c r="BP900" s="106" t="inlineStr">
        <is>
          <t>SH-01 PUERTO COLLAHUASI/NF</t>
        </is>
      </c>
      <c r="BQ900" s="106">
        <f>VLOOKUP(BP900,[1]AGUA!$1:$1048576,2,FALSE)</f>
        <v/>
      </c>
      <c r="BR900" s="106">
        <f>VLOOKUP(BP900,[1]AGUA!$1:$1048576,6,FALSE)</f>
        <v/>
      </c>
      <c r="BS900" s="106">
        <f>VLOOKUP(BP900,[1]AGUA!$1:$1048576,7,FALSE)</f>
        <v/>
      </c>
      <c r="BT900" s="106" t="n"/>
      <c r="BU900" s="253" t="n"/>
      <c r="BV900" s="105" t="n"/>
      <c r="BW900" s="105" t="n"/>
      <c r="BX900" s="105" t="n"/>
      <c r="BY900" s="105" t="n"/>
      <c r="BZ900" s="105" t="n"/>
      <c r="CA900" s="105" t="n"/>
      <c r="CB900" s="105" t="n"/>
      <c r="CC900" s="142" t="n">
        <v>1</v>
      </c>
      <c r="CD900" s="12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05" t="n"/>
      <c r="CX900" s="105" t="n"/>
      <c r="CY900" s="105" t="n"/>
      <c r="CZ900" s="124">
        <f>+COUNTA(BV900:CY900)</f>
        <v/>
      </c>
      <c r="DA900" s="251" t="n"/>
      <c r="DB900" s="251" t="n"/>
      <c r="DC900" s="251" t="n"/>
      <c r="DD900" s="251" t="n"/>
      <c r="DE900" s="251" t="n"/>
      <c r="DF900" s="251" t="n"/>
      <c r="DG900" s="251" t="n"/>
      <c r="DH900" s="251" t="n"/>
      <c r="DI900" s="251" t="n"/>
      <c r="DJ900" s="251" t="inlineStr">
        <is>
          <t>M</t>
        </is>
      </c>
      <c r="DK900" s="251" t="n">
        <v>8</v>
      </c>
      <c r="DL900" s="95" t="n">
        <v>14</v>
      </c>
      <c r="DM900" s="251" t="n"/>
      <c r="DN900" s="95" t="n"/>
      <c r="DO900" s="95" t="n"/>
    </row>
    <row r="901" ht="12.5" customHeight="1">
      <c r="A901" s="204" t="inlineStr">
        <is>
          <t>SH-01</t>
        </is>
      </c>
      <c r="B901" s="376" t="n"/>
      <c r="C901" s="376"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c r="AE901" s="7" t="n"/>
      <c r="AF901" s="7" t="n"/>
      <c r="AG901" s="7" t="n"/>
      <c r="AH901" s="7" t="n"/>
      <c r="AI901" s="7" t="n"/>
      <c r="AJ901" s="7" t="n"/>
      <c r="AK901" s="60" t="inlineStr">
        <is>
          <t>Plan base + T° + Nitritos + amonio</t>
        </is>
      </c>
      <c r="AL901" s="7" t="inlineStr">
        <is>
          <t>Trimestral</t>
        </is>
      </c>
      <c r="AM901" s="7" t="inlineStr">
        <is>
          <t>-</t>
        </is>
      </c>
      <c r="AN901" s="60" t="inlineStr">
        <is>
          <t>Plan base+ Salinidad+ N Amoniacal + Cu disuelto</t>
        </is>
      </c>
      <c r="AO901" s="7" t="inlineStr">
        <is>
          <t>Trimestral</t>
        </is>
      </c>
      <c r="AP901" s="60" t="inlineStr">
        <is>
          <t>NO</t>
        </is>
      </c>
      <c r="AQ901" s="7" t="inlineStr">
        <is>
          <t>-</t>
        </is>
      </c>
      <c r="AR901" s="7" t="inlineStr">
        <is>
          <t>NO</t>
        </is>
      </c>
      <c r="AS901" s="7" t="inlineStr">
        <is>
          <t>-</t>
        </is>
      </c>
      <c r="AT901" s="7" t="inlineStr">
        <is>
          <t>SI</t>
        </is>
      </c>
      <c r="AU901" s="7" t="inlineStr">
        <is>
          <t>Trimestral</t>
        </is>
      </c>
      <c r="AV901" s="7" t="inlineStr">
        <is>
          <t>NO</t>
        </is>
      </c>
      <c r="AW901" s="7" t="inlineStr">
        <is>
          <t>-</t>
        </is>
      </c>
      <c r="AX901" s="7" t="inlineStr">
        <is>
          <t>NO</t>
        </is>
      </c>
      <c r="AY901" s="7" t="inlineStr">
        <is>
          <t>-</t>
        </is>
      </c>
      <c r="AZ901" s="7" t="inlineStr">
        <is>
          <t>NO</t>
        </is>
      </c>
      <c r="BA901" s="7" t="inlineStr">
        <is>
          <t>-</t>
        </is>
      </c>
      <c r="BB901" s="7" t="inlineStr">
        <is>
          <t>NO</t>
        </is>
      </c>
      <c r="BC901" s="7" t="inlineStr">
        <is>
          <t>-</t>
        </is>
      </c>
      <c r="BD901" s="7" t="inlineStr">
        <is>
          <t>NO</t>
        </is>
      </c>
      <c r="BE901" s="7" t="inlineStr">
        <is>
          <t>-</t>
        </is>
      </c>
      <c r="BF901" s="7" t="inlineStr">
        <is>
          <t>SMA</t>
        </is>
      </c>
      <c r="BG901" s="7" t="inlineStr">
        <is>
          <t>PSA</t>
        </is>
      </c>
      <c r="BH901" s="7" t="inlineStr">
        <is>
          <t>Res. Ex. N° 167/2001 - Res. Ex. N° 9/2010 Adenda 2, sección 2.1.7, pág. 11</t>
        </is>
      </c>
      <c r="BI901" s="7" t="n"/>
      <c r="BJ901" s="7" t="n"/>
      <c r="BK901" s="376" t="n"/>
      <c r="BL901" s="7" t="inlineStr">
        <is>
          <t>PUERTO</t>
        </is>
      </c>
      <c r="BM901" s="251" t="inlineStr">
        <is>
          <t>ASUB</t>
        </is>
      </c>
      <c r="BN901" s="337" t="inlineStr">
        <is>
          <t>Puerto Collahuasi</t>
        </is>
      </c>
      <c r="BO901" s="251" t="inlineStr">
        <is>
          <t>SI</t>
        </is>
      </c>
      <c r="BP901" s="106" t="inlineStr">
        <is>
          <t>SH-01 PUERTO COLLAHUASI/ASUB</t>
        </is>
      </c>
      <c r="BQ901" s="106">
        <f>VLOOKUP(BP901,[1]AGUA!$1:$1048576,2,FALSE)</f>
        <v/>
      </c>
      <c r="BR901" s="106">
        <f>VLOOKUP(BP901,[1]AGUA!$1:$1048576,6,FALSE)</f>
        <v/>
      </c>
      <c r="BS901" s="106">
        <f>VLOOKUP(BP901,[1]AGUA!$1:$1048576,7,FALSE)</f>
        <v/>
      </c>
      <c r="BT901" s="106" t="n"/>
      <c r="BU901" s="377" t="n"/>
      <c r="BV901" s="105" t="n"/>
      <c r="BW901" s="105" t="n"/>
      <c r="BX901" s="105" t="n"/>
      <c r="BY901" s="105" t="n"/>
      <c r="BZ901" s="105" t="n"/>
      <c r="CA901" s="105" t="n"/>
      <c r="CB901" s="105" t="n"/>
      <c r="CC901" s="107" t="n">
        <v>1</v>
      </c>
      <c r="CD901" s="105" t="n"/>
      <c r="CE901" s="105" t="n"/>
      <c r="CF901" s="105" t="n"/>
      <c r="CG901" s="105" t="n"/>
      <c r="CH901" s="105" t="n"/>
      <c r="CI901" s="106" t="n"/>
      <c r="CJ901" s="105" t="n"/>
      <c r="CK901" s="105" t="n"/>
      <c r="CL901" s="105" t="n"/>
      <c r="CM901" s="105" t="n"/>
      <c r="CN901" s="105" t="n"/>
      <c r="CO901" s="105" t="n"/>
      <c r="CP901" s="105" t="n"/>
      <c r="CQ901" s="105" t="n"/>
      <c r="CR901" s="105" t="n"/>
      <c r="CS901" s="105" t="n"/>
      <c r="CT901" s="105" t="n"/>
      <c r="CU901" s="125" t="n"/>
      <c r="CV901" s="125" t="n"/>
      <c r="CW901" s="105" t="n"/>
      <c r="CX901" s="105" t="n"/>
      <c r="CY901" s="105" t="n"/>
      <c r="CZ901" s="124">
        <f>+COUNTA(BV901:CY901)</f>
        <v/>
      </c>
      <c r="DA901" s="251" t="n"/>
      <c r="DB901" s="251" t="n"/>
      <c r="DC901" s="251" t="n"/>
      <c r="DD901" s="251" t="n"/>
      <c r="DE901" s="251" t="n"/>
      <c r="DF901" s="251" t="n"/>
      <c r="DG901" s="251" t="n"/>
      <c r="DH901" s="251" t="n"/>
      <c r="DI901" s="251" t="n"/>
      <c r="DJ901" s="251" t="n"/>
      <c r="DK901" s="251" t="n"/>
      <c r="DL901" s="95" t="n"/>
      <c r="DM901" s="251" t="inlineStr">
        <is>
          <t>T</t>
        </is>
      </c>
      <c r="DN901" s="95" t="n">
        <v>8</v>
      </c>
      <c r="DO901" s="95" t="n">
        <v>14</v>
      </c>
    </row>
    <row r="902" ht="12.5" customHeight="1">
      <c r="A902" s="204" t="inlineStr">
        <is>
          <t>SH-02B</t>
        </is>
      </c>
      <c r="B902" s="305" t="inlineStr">
        <is>
          <t>SH-02B PUERTO COLLAHUASI</t>
        </is>
      </c>
      <c r="C902" s="251" t="n"/>
      <c r="D902" s="7" t="inlineStr">
        <is>
          <t>SI</t>
        </is>
      </c>
      <c r="E902" s="7" t="inlineStr">
        <is>
          <t>SI</t>
        </is>
      </c>
      <c r="F902" s="7" t="inlineStr">
        <is>
          <t>SI</t>
        </is>
      </c>
      <c r="G902" s="7" t="inlineStr">
        <is>
          <t>NO</t>
        </is>
      </c>
      <c r="H902" s="7" t="n">
        <v>377907</v>
      </c>
      <c r="I902" s="7" t="n">
        <v>7702441</v>
      </c>
      <c r="J902" s="7" t="inlineStr">
        <is>
          <t>Construido ( Reemplaza SH-02)</t>
        </is>
      </c>
      <c r="K902" s="7" t="inlineStr">
        <is>
          <t>-</t>
        </is>
      </c>
      <c r="L902" s="7" t="inlineStr">
        <is>
          <t>Agua Subterránea</t>
        </is>
      </c>
      <c r="M902" s="7" t="inlineStr">
        <is>
          <t>Puerto</t>
        </is>
      </c>
      <c r="N902" s="7" t="inlineStr">
        <is>
          <t>Pozo</t>
        </is>
      </c>
      <c r="O902" s="7" t="inlineStr">
        <is>
          <t>Puerto Collahuasi</t>
        </is>
      </c>
      <c r="P902" s="7" t="inlineStr">
        <is>
          <t>SI</t>
        </is>
      </c>
      <c r="Q902" s="7" t="inlineStr">
        <is>
          <t>Mensual</t>
        </is>
      </c>
      <c r="R902" s="7" t="inlineStr">
        <is>
          <t>-</t>
        </is>
      </c>
      <c r="S902" s="7" t="inlineStr">
        <is>
          <t>-</t>
        </is>
      </c>
      <c r="T902" s="7" t="inlineStr">
        <is>
          <t>SI</t>
        </is>
      </c>
      <c r="U902" s="7" t="inlineStr">
        <is>
          <t>Semanal</t>
        </is>
      </c>
      <c r="V902" s="7" t="inlineStr">
        <is>
          <t>SI</t>
        </is>
      </c>
      <c r="W902" s="7" t="inlineStr">
        <is>
          <t>Semanal</t>
        </is>
      </c>
      <c r="X902" s="7" t="inlineStr">
        <is>
          <t>NO</t>
        </is>
      </c>
      <c r="Y902" s="7" t="inlineStr">
        <is>
          <t>-</t>
        </is>
      </c>
      <c r="Z902" s="7" t="inlineStr">
        <is>
          <t>NO</t>
        </is>
      </c>
      <c r="AA902" s="7" t="inlineStr">
        <is>
          <t>-</t>
        </is>
      </c>
      <c r="AB902" s="7" t="inlineStr">
        <is>
          <t>NO</t>
        </is>
      </c>
      <c r="AC902" s="7" t="inlineStr">
        <is>
          <t>-</t>
        </is>
      </c>
      <c r="AD902" s="7" t="inlineStr">
        <is>
          <t>NO</t>
        </is>
      </c>
      <c r="AE902" s="7" t="inlineStr">
        <is>
          <t>-</t>
        </is>
      </c>
      <c r="AF902" s="7" t="inlineStr">
        <is>
          <t>-</t>
        </is>
      </c>
      <c r="AG902" s="7" t="inlineStr">
        <is>
          <t>NO</t>
        </is>
      </c>
      <c r="AH902" s="7" t="inlineStr">
        <is>
          <t>-</t>
        </is>
      </c>
      <c r="AI902" s="7" t="inlineStr">
        <is>
          <t>NO</t>
        </is>
      </c>
      <c r="AJ902" s="7" t="inlineStr">
        <is>
          <t>-</t>
        </is>
      </c>
      <c r="AK902" s="60" t="n"/>
      <c r="AL902" s="7" t="n"/>
      <c r="AM902" s="7" t="n"/>
      <c r="AN902" s="60" t="n"/>
      <c r="AO902" s="7" t="n"/>
      <c r="AP902" s="60" t="n"/>
      <c r="AQ902" s="7" t="n"/>
      <c r="AR902" s="7" t="n"/>
      <c r="AS902" s="7" t="n"/>
      <c r="AT902" s="7" t="n"/>
      <c r="AU902" s="7" t="n"/>
      <c r="AV902" s="7" t="n"/>
      <c r="AW902" s="7" t="n"/>
      <c r="AX902" s="7" t="n"/>
      <c r="AY902" s="7" t="n"/>
      <c r="AZ902" s="7" t="n"/>
      <c r="BA902" s="7" t="n"/>
      <c r="BB902" s="7" t="n"/>
      <c r="BC902" s="7" t="n"/>
      <c r="BD902" s="7" t="n"/>
      <c r="BE902" s="7" t="n"/>
      <c r="BF902" s="7" t="n"/>
      <c r="BG902" s="7" t="n"/>
      <c r="BH902" s="7" t="n"/>
      <c r="BI902" s="7" t="n"/>
      <c r="BJ902" s="7" t="n"/>
      <c r="BK902" s="331" t="inlineStr">
        <is>
          <t>532MASH</t>
        </is>
      </c>
      <c r="BL902" s="7" t="inlineStr">
        <is>
          <t>PUERTO</t>
        </is>
      </c>
      <c r="BM902" s="251" t="inlineStr">
        <is>
          <t>NF</t>
        </is>
      </c>
      <c r="BN902" s="337" t="inlineStr">
        <is>
          <t>Puerto Collahuasi</t>
        </is>
      </c>
      <c r="BO902" s="251" t="inlineStr">
        <is>
          <t>SI</t>
        </is>
      </c>
      <c r="BP902" s="106" t="inlineStr">
        <is>
          <t>SH-02B PUERTO COLLAHUASI/NF</t>
        </is>
      </c>
      <c r="BQ902" s="106">
        <f>VLOOKUP(BP902,[1]AGUA!$1:$1048576,2,FALSE)</f>
        <v/>
      </c>
      <c r="BR902" s="106">
        <f>VLOOKUP(BP902,[1]AGUA!$1:$1048576,6,FALSE)</f>
        <v/>
      </c>
      <c r="BS902" s="106">
        <f>VLOOKUP(BP902,[1]AGUA!$1:$1048576,7,FALSE)</f>
        <v/>
      </c>
      <c r="BT902" s="106" t="n"/>
      <c r="BU902" s="253" t="n"/>
      <c r="BV902" s="142" t="inlineStr">
        <is>
          <t>R</t>
        </is>
      </c>
      <c r="BW902" s="105" t="n"/>
      <c r="BX902" s="105" t="n"/>
      <c r="BY902" s="105" t="n"/>
      <c r="BZ902" s="105" t="n"/>
      <c r="CA902" s="105" t="n"/>
      <c r="CB902" s="105" t="n"/>
      <c r="CC902" s="142" t="n">
        <v>1</v>
      </c>
      <c r="CD902" s="125" t="n"/>
      <c r="CE902" s="125" t="n"/>
      <c r="CF902" s="125" t="n"/>
      <c r="CG902" s="125" t="n"/>
      <c r="CH902" s="125" t="n"/>
      <c r="CI902" s="125" t="n"/>
      <c r="CJ902" s="142" t="n">
        <v>1</v>
      </c>
      <c r="CK902" s="125" t="n"/>
      <c r="CL902" s="125" t="n"/>
      <c r="CM902" s="125" t="n"/>
      <c r="CN902" s="125" t="n"/>
      <c r="CO902" s="125" t="n"/>
      <c r="CP902" s="125" t="n"/>
      <c r="CQ902" s="142" t="n">
        <v>1</v>
      </c>
      <c r="CR902" s="125" t="n"/>
      <c r="CS902" s="125" t="n"/>
      <c r="CT902" s="125" t="n"/>
      <c r="CU902" s="125" t="n"/>
      <c r="CV902" s="125" t="n"/>
      <c r="CW902" s="125" t="n"/>
      <c r="CX902" s="142" t="n">
        <v>1</v>
      </c>
      <c r="CY902" s="105" t="n"/>
      <c r="CZ902" s="124">
        <f>+COUNTA(BV902:CY902)</f>
        <v/>
      </c>
      <c r="DA902" s="251" t="n"/>
      <c r="DB902" s="251" t="n"/>
      <c r="DC902" s="251" t="n"/>
      <c r="DD902" s="251" t="n"/>
      <c r="DE902" s="251" t="n"/>
      <c r="DF902" s="251" t="n"/>
      <c r="DG902" s="251" t="n"/>
      <c r="DH902" s="251" t="n"/>
      <c r="DI902" s="251" t="n"/>
      <c r="DJ902" s="251" t="inlineStr">
        <is>
          <t>S</t>
        </is>
      </c>
      <c r="DK902" s="251" t="inlineStr">
        <is>
          <t>R</t>
        </is>
      </c>
      <c r="DL902" s="95" t="inlineStr">
        <is>
          <t>R</t>
        </is>
      </c>
      <c r="DM902" s="251" t="n"/>
      <c r="DN902" s="95" t="n"/>
      <c r="DO902" s="95" t="n"/>
    </row>
    <row r="903" ht="13" customHeight="1">
      <c r="A903" s="204" t="inlineStr">
        <is>
          <t>SH-02B</t>
        </is>
      </c>
      <c r="B903" s="376" t="n"/>
      <c r="C903" s="376"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c r="AE903" s="7" t="n"/>
      <c r="AF903" s="7" t="n"/>
      <c r="AG903" s="7" t="n"/>
      <c r="AH903" s="7" t="n"/>
      <c r="AI903" s="7" t="n"/>
      <c r="AJ903" s="7" t="n"/>
      <c r="AK903" s="60" t="inlineStr">
        <is>
          <t>Plan base + T° + Nitritos + amonio</t>
        </is>
      </c>
      <c r="AL903" s="7" t="inlineStr">
        <is>
          <t>Trimestral</t>
        </is>
      </c>
      <c r="AM903" s="7" t="inlineStr">
        <is>
          <t>-</t>
        </is>
      </c>
      <c r="AN903" s="60" t="inlineStr">
        <is>
          <t>Plan base+ Salinidad+ N Amoniacal + Cu disuelto</t>
        </is>
      </c>
      <c r="AO903" s="7" t="inlineStr">
        <is>
          <t>Trimestral</t>
        </is>
      </c>
      <c r="AP903" s="60" t="inlineStr">
        <is>
          <t>NO</t>
        </is>
      </c>
      <c r="AQ903" s="7" t="inlineStr">
        <is>
          <t>-</t>
        </is>
      </c>
      <c r="AR903" s="7" t="inlineStr">
        <is>
          <t>NO</t>
        </is>
      </c>
      <c r="AS903" s="7" t="inlineStr">
        <is>
          <t>-</t>
        </is>
      </c>
      <c r="AT903" s="7" t="inlineStr">
        <is>
          <t>SI</t>
        </is>
      </c>
      <c r="AU903" s="7" t="inlineStr">
        <is>
          <t>Trimestral</t>
        </is>
      </c>
      <c r="AV903" s="7" t="inlineStr">
        <is>
          <t>NO</t>
        </is>
      </c>
      <c r="AW903" s="7" t="inlineStr">
        <is>
          <t>-</t>
        </is>
      </c>
      <c r="AX903" s="7" t="inlineStr">
        <is>
          <t>NO</t>
        </is>
      </c>
      <c r="AY903" s="7" t="inlineStr">
        <is>
          <t>-</t>
        </is>
      </c>
      <c r="AZ903" s="7" t="inlineStr">
        <is>
          <t>NO</t>
        </is>
      </c>
      <c r="BA903" s="7" t="inlineStr">
        <is>
          <t>-</t>
        </is>
      </c>
      <c r="BB903" s="7" t="inlineStr">
        <is>
          <t>NO</t>
        </is>
      </c>
      <c r="BC903" s="7" t="inlineStr">
        <is>
          <t>-</t>
        </is>
      </c>
      <c r="BD903" s="7" t="inlineStr">
        <is>
          <t>NO</t>
        </is>
      </c>
      <c r="BE903" s="7" t="inlineStr">
        <is>
          <t>-</t>
        </is>
      </c>
      <c r="BF903" s="7" t="inlineStr">
        <is>
          <t>SMA</t>
        </is>
      </c>
      <c r="BG903" s="7" t="inlineStr">
        <is>
          <t>PSA</t>
        </is>
      </c>
      <c r="BH903" s="7" t="inlineStr">
        <is>
          <t>Res. Ex. N° 167/2001 - Res. Ex. N° 9/2010 Adenda 2, sección 2.1.7, pág. 11</t>
        </is>
      </c>
      <c r="BI903" s="7" t="inlineStr">
        <is>
          <t>Se realiza analisis de calidad semanal</t>
        </is>
      </c>
      <c r="BJ903" s="7" t="n"/>
      <c r="BK903" s="376" t="n"/>
      <c r="BL903" s="7" t="inlineStr">
        <is>
          <t>PUERTO</t>
        </is>
      </c>
      <c r="BM903" s="251" t="inlineStr">
        <is>
          <t>ASUB</t>
        </is>
      </c>
      <c r="BN903" s="337" t="inlineStr">
        <is>
          <t>Puerto Collahuasi</t>
        </is>
      </c>
      <c r="BO903" s="251" t="inlineStr">
        <is>
          <t>SI</t>
        </is>
      </c>
      <c r="BP903" s="106" t="inlineStr">
        <is>
          <t>SH-02B PUERTO COLLAHUASI/ASUB</t>
        </is>
      </c>
      <c r="BQ903" s="106">
        <f>VLOOKUP(BP903,[1]AGUA!$1:$1048576,2,FALSE)</f>
        <v/>
      </c>
      <c r="BR903" s="106">
        <f>VLOOKUP(BP903,[1]AGUA!$1:$1048576,6,FALSE)</f>
        <v/>
      </c>
      <c r="BS903" s="106">
        <f>VLOOKUP(BP903,[1]AGUA!$1:$1048576,7,FALSE)</f>
        <v/>
      </c>
      <c r="BT903" s="106" t="n"/>
      <c r="BU903" s="377" t="n"/>
      <c r="BV903" s="105" t="n"/>
      <c r="BW903" s="105" t="n"/>
      <c r="BX903" s="105" t="n"/>
      <c r="BY903" s="105" t="n"/>
      <c r="BZ903" s="105" t="n"/>
      <c r="CA903" s="105" t="n"/>
      <c r="CB903" s="105" t="n"/>
      <c r="CC903" s="107" t="n">
        <v>1</v>
      </c>
      <c r="CD903" s="105" t="n"/>
      <c r="CE903" s="105" t="n"/>
      <c r="CF903" s="105" t="n"/>
      <c r="CG903" s="106" t="n"/>
      <c r="CH903" s="105" t="n"/>
      <c r="CI903" s="106" t="n"/>
      <c r="CJ903" s="105" t="n"/>
      <c r="CK903" s="105" t="n"/>
      <c r="CL903" s="105" t="n"/>
      <c r="CM903" s="105" t="n"/>
      <c r="CN903" s="105" t="n"/>
      <c r="CO903" s="105" t="n"/>
      <c r="CP903" s="105" t="n"/>
      <c r="CQ903" s="105" t="n"/>
      <c r="CR903" s="105" t="n"/>
      <c r="CS903" s="105" t="n"/>
      <c r="CT903" s="105" t="n"/>
      <c r="CU903" s="105" t="n"/>
      <c r="CV903" s="105" t="n"/>
      <c r="CW903" s="105" t="n"/>
      <c r="CX903" s="105" t="n"/>
      <c r="CY903" s="105" t="n"/>
      <c r="CZ903" s="124">
        <f>+COUNTA(BV903:CY903)</f>
        <v/>
      </c>
      <c r="DA903" s="251" t="n"/>
      <c r="DB903" s="251" t="n"/>
      <c r="DC903" s="251" t="n"/>
      <c r="DD903" s="251" t="n"/>
      <c r="DE903" s="251" t="n"/>
      <c r="DF903" s="251" t="n"/>
      <c r="DG903" s="251" t="n"/>
      <c r="DH903" s="251" t="n"/>
      <c r="DI903" s="251" t="n"/>
      <c r="DJ903" s="251" t="n"/>
      <c r="DK903" s="251" t="n"/>
      <c r="DL903" s="95" t="n"/>
      <c r="DM903" s="251" t="inlineStr">
        <is>
          <t>T</t>
        </is>
      </c>
      <c r="DN903" s="95" t="n">
        <v>8</v>
      </c>
      <c r="DO903" s="95" t="n">
        <v>14</v>
      </c>
    </row>
    <row r="904" ht="13" customHeight="1">
      <c r="A904" s="204" t="inlineStr">
        <is>
          <t>SH-03</t>
        </is>
      </c>
      <c r="B904" s="305" t="inlineStr">
        <is>
          <t>SH-03 PUERTO COLLAHUASI</t>
        </is>
      </c>
      <c r="C904" s="251" t="n"/>
      <c r="D904" s="7" t="inlineStr">
        <is>
          <t>SI</t>
        </is>
      </c>
      <c r="E904" s="7" t="inlineStr">
        <is>
          <t>SI</t>
        </is>
      </c>
      <c r="F904" s="7" t="inlineStr">
        <is>
          <t>SI</t>
        </is>
      </c>
      <c r="G904" s="7" t="inlineStr">
        <is>
          <t>NO</t>
        </is>
      </c>
      <c r="H904" s="7" t="n">
        <v>377339</v>
      </c>
      <c r="I904" s="7" t="n">
        <v>7702430</v>
      </c>
      <c r="J904" s="7" t="inlineStr">
        <is>
          <t>Construido</t>
        </is>
      </c>
      <c r="K904" s="7" t="inlineStr">
        <is>
          <t>-</t>
        </is>
      </c>
      <c r="L904" s="7" t="inlineStr">
        <is>
          <t>Agua Subterránea</t>
        </is>
      </c>
      <c r="M904" s="7" t="inlineStr">
        <is>
          <t>Puerto</t>
        </is>
      </c>
      <c r="N904" s="7" t="inlineStr">
        <is>
          <t>Pozo</t>
        </is>
      </c>
      <c r="O904" s="7" t="inlineStr">
        <is>
          <t>Puerto Collahuasi</t>
        </is>
      </c>
      <c r="P904" s="7" t="inlineStr">
        <is>
          <t>SI</t>
        </is>
      </c>
      <c r="Q904" s="7" t="inlineStr">
        <is>
          <t>Mensual</t>
        </is>
      </c>
      <c r="R904" s="7" t="inlineStr">
        <is>
          <t>-</t>
        </is>
      </c>
      <c r="S904" s="7" t="inlineStr">
        <is>
          <t>-</t>
        </is>
      </c>
      <c r="T904" s="7" t="inlineStr">
        <is>
          <t>SI</t>
        </is>
      </c>
      <c r="U904" s="7" t="inlineStr">
        <is>
          <t>Trimestral</t>
        </is>
      </c>
      <c r="V904" s="7" t="inlineStr">
        <is>
          <t>SI</t>
        </is>
      </c>
      <c r="W904" s="7" t="inlineStr">
        <is>
          <t>Mensual</t>
        </is>
      </c>
      <c r="X904" s="7" t="inlineStr">
        <is>
          <t>NO</t>
        </is>
      </c>
      <c r="Y904" s="7" t="inlineStr">
        <is>
          <t>-</t>
        </is>
      </c>
      <c r="Z904" s="7" t="inlineStr">
        <is>
          <t>NO</t>
        </is>
      </c>
      <c r="AA904" s="7" t="inlineStr">
        <is>
          <t>-</t>
        </is>
      </c>
      <c r="AB904" s="7" t="inlineStr">
        <is>
          <t>NO</t>
        </is>
      </c>
      <c r="AC904" s="7" t="inlineStr">
        <is>
          <t>-</t>
        </is>
      </c>
      <c r="AD904" s="7" t="inlineStr">
        <is>
          <t>NO</t>
        </is>
      </c>
      <c r="AE904" s="7" t="inlineStr">
        <is>
          <t>-</t>
        </is>
      </c>
      <c r="AF904" s="7" t="inlineStr">
        <is>
          <t>-</t>
        </is>
      </c>
      <c r="AG904" s="7" t="inlineStr">
        <is>
          <t>NO</t>
        </is>
      </c>
      <c r="AH904" s="7" t="inlineStr">
        <is>
          <t>-</t>
        </is>
      </c>
      <c r="AI904" s="7" t="inlineStr">
        <is>
          <t>NO</t>
        </is>
      </c>
      <c r="AJ904" s="7" t="inlineStr">
        <is>
          <t>-</t>
        </is>
      </c>
      <c r="AK904" s="60" t="n"/>
      <c r="AL904" s="7" t="n"/>
      <c r="AM904" s="7" t="n"/>
      <c r="AN904" s="60" t="n"/>
      <c r="AO904" s="7" t="n"/>
      <c r="AP904" s="60" t="n"/>
      <c r="AQ904" s="7" t="n"/>
      <c r="AR904" s="7" t="n"/>
      <c r="AS904" s="7" t="n"/>
      <c r="AT904" s="7" t="n"/>
      <c r="AU904" s="7" t="n"/>
      <c r="AV904" s="7" t="n"/>
      <c r="AW904" s="7" t="n"/>
      <c r="AX904" s="7" t="n"/>
      <c r="AY904" s="7" t="n"/>
      <c r="AZ904" s="7" t="n"/>
      <c r="BA904" s="7" t="n"/>
      <c r="BB904" s="7" t="n"/>
      <c r="BC904" s="7" t="n"/>
      <c r="BD904" s="7" t="n"/>
      <c r="BE904" s="7" t="n"/>
      <c r="BF904" s="7" t="n"/>
      <c r="BG904" s="7" t="n"/>
      <c r="BH904" s="7" t="n"/>
      <c r="BI904" s="7" t="n"/>
      <c r="BJ904" s="7" t="n"/>
      <c r="BK904" s="331" t="inlineStr">
        <is>
          <t>532MASH</t>
        </is>
      </c>
      <c r="BL904" s="7" t="inlineStr">
        <is>
          <t>PUERTO</t>
        </is>
      </c>
      <c r="BM904" s="251" t="inlineStr">
        <is>
          <t>NF</t>
        </is>
      </c>
      <c r="BN904" s="337" t="inlineStr">
        <is>
          <t>Puerto Collahuasi</t>
        </is>
      </c>
      <c r="BO904" s="251" t="inlineStr">
        <is>
          <t>SI</t>
        </is>
      </c>
      <c r="BP904" s="106" t="inlineStr">
        <is>
          <t>SH-03 PUERTO COLLAHUASI/NF</t>
        </is>
      </c>
      <c r="BQ904" s="106">
        <f>VLOOKUP(BP904,[1]AGUA!$1:$1048576,2,FALSE)</f>
        <v/>
      </c>
      <c r="BR904" s="106">
        <f>VLOOKUP(BP904,[1]AGUA!$1:$1048576,6,FALSE)</f>
        <v/>
      </c>
      <c r="BS904" s="106">
        <f>VLOOKUP(BP904,[1]AGUA!$1:$1048576,7,FALSE)</f>
        <v/>
      </c>
      <c r="BT904" s="106" t="n"/>
      <c r="BU904" s="253" t="n"/>
      <c r="BV904" s="105" t="n"/>
      <c r="BW904" s="105" t="n"/>
      <c r="BX904" s="105" t="n"/>
      <c r="BY904" s="105" t="n"/>
      <c r="BZ904" s="105" t="n"/>
      <c r="CA904" s="105" t="n"/>
      <c r="CB904" s="105" t="n"/>
      <c r="CC904" s="105" t="n"/>
      <c r="CD904" s="105" t="n"/>
      <c r="CE904" s="105" t="n"/>
      <c r="CF904" s="105" t="n"/>
      <c r="CG904" s="105" t="n"/>
      <c r="CH904" s="105" t="n"/>
      <c r="CI904" s="105" t="n"/>
      <c r="CJ904" s="105" t="n"/>
      <c r="CK904" s="105" t="n"/>
      <c r="CL904" s="105" t="n"/>
      <c r="CM904" s="105" t="n"/>
      <c r="CN904" s="105" t="n"/>
      <c r="CO904" s="105" t="n"/>
      <c r="CP904" s="105" t="n"/>
      <c r="CQ904" s="142" t="n">
        <v>1</v>
      </c>
      <c r="CR904" s="105" t="n"/>
      <c r="CS904" s="105" t="n"/>
      <c r="CT904" s="105" t="n"/>
      <c r="CU904" s="105" t="n"/>
      <c r="CV904" s="105" t="n"/>
      <c r="CW904" s="105" t="n"/>
      <c r="CX904" s="105" t="n"/>
      <c r="CY904" s="105" t="n"/>
      <c r="CZ904" s="124">
        <f>+COUNTA(BV904:CY904)</f>
        <v/>
      </c>
      <c r="DA904" s="251" t="n"/>
      <c r="DB904" s="251" t="n"/>
      <c r="DC904" s="251" t="n"/>
      <c r="DD904" s="251" t="n"/>
      <c r="DE904" s="251" t="n"/>
      <c r="DF904" s="251" t="n"/>
      <c r="DG904" s="251" t="n"/>
      <c r="DH904" s="251" t="n"/>
      <c r="DI904" s="251" t="n"/>
      <c r="DJ904" s="251" t="inlineStr">
        <is>
          <t>M</t>
        </is>
      </c>
      <c r="DK904" s="251" t="n">
        <v>22</v>
      </c>
      <c r="DL904" s="95" t="n">
        <v>28</v>
      </c>
      <c r="DM904" s="251" t="n"/>
      <c r="DN904" s="95" t="n"/>
      <c r="DO904" s="95" t="n"/>
    </row>
    <row r="905" ht="13" customHeight="1">
      <c r="A905" s="204" t="inlineStr">
        <is>
          <t>SH-03</t>
        </is>
      </c>
      <c r="B905" s="376" t="n"/>
      <c r="C905" s="376"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c r="AE905" s="7" t="n"/>
      <c r="AF905" s="7" t="n"/>
      <c r="AG905" s="7" t="n"/>
      <c r="AH905" s="7" t="n"/>
      <c r="AI905" s="7" t="n"/>
      <c r="AJ905" s="7" t="n"/>
      <c r="AK905" s="60" t="inlineStr">
        <is>
          <t>Plan base + T° + Nitritos + amonio</t>
        </is>
      </c>
      <c r="AL905" s="7" t="inlineStr">
        <is>
          <t>Trimestral</t>
        </is>
      </c>
      <c r="AM905" s="7" t="inlineStr">
        <is>
          <t>-</t>
        </is>
      </c>
      <c r="AN905" s="60" t="inlineStr">
        <is>
          <t>Plan base+ Salinidad+ N Amoniacal + Cu disuelto</t>
        </is>
      </c>
      <c r="AO905" s="7" t="inlineStr">
        <is>
          <t>Trimestral</t>
        </is>
      </c>
      <c r="AP905" s="60" t="inlineStr">
        <is>
          <t>NO</t>
        </is>
      </c>
      <c r="AQ905" s="7" t="inlineStr">
        <is>
          <t>-</t>
        </is>
      </c>
      <c r="AR905" s="7" t="inlineStr">
        <is>
          <t>NO</t>
        </is>
      </c>
      <c r="AS905" s="7" t="inlineStr">
        <is>
          <t>-</t>
        </is>
      </c>
      <c r="AT905" s="7" t="inlineStr">
        <is>
          <t>SI</t>
        </is>
      </c>
      <c r="AU905" s="7" t="inlineStr">
        <is>
          <t>Trimestral</t>
        </is>
      </c>
      <c r="AV905" s="7" t="inlineStr">
        <is>
          <t>NO</t>
        </is>
      </c>
      <c r="AW905" s="7" t="inlineStr">
        <is>
          <t>-</t>
        </is>
      </c>
      <c r="AX905" s="7" t="inlineStr">
        <is>
          <t>NO</t>
        </is>
      </c>
      <c r="AY905" s="7" t="inlineStr">
        <is>
          <t>-</t>
        </is>
      </c>
      <c r="AZ905" s="7" t="inlineStr">
        <is>
          <t>NO</t>
        </is>
      </c>
      <c r="BA905" s="7" t="inlineStr">
        <is>
          <t>-</t>
        </is>
      </c>
      <c r="BB905" s="7" t="inlineStr">
        <is>
          <t>NO</t>
        </is>
      </c>
      <c r="BC905" s="7" t="inlineStr">
        <is>
          <t>-</t>
        </is>
      </c>
      <c r="BD905" s="7" t="inlineStr">
        <is>
          <t>NO</t>
        </is>
      </c>
      <c r="BE905" s="7" t="inlineStr">
        <is>
          <t>-</t>
        </is>
      </c>
      <c r="BF905" s="7" t="inlineStr">
        <is>
          <t>SMA</t>
        </is>
      </c>
      <c r="BG905" s="7" t="inlineStr">
        <is>
          <t>PSA</t>
        </is>
      </c>
      <c r="BH905" s="7" t="inlineStr">
        <is>
          <t>Res. Ex. N° 167/2001 - Res. Ex. N° 9/2010 EIA2001: Adenda 2, sección 2.1.7,pág. 11 - DIA2010: Adenda 2,pregunta 2.2</t>
        </is>
      </c>
      <c r="BI905" s="7" t="n"/>
      <c r="BJ905" s="7" t="n"/>
      <c r="BK905" s="376" t="n"/>
      <c r="BL905" s="7" t="inlineStr">
        <is>
          <t>PUERTO</t>
        </is>
      </c>
      <c r="BM905" s="251" t="inlineStr">
        <is>
          <t>ASUB</t>
        </is>
      </c>
      <c r="BN905" s="337" t="inlineStr">
        <is>
          <t>Puerto Collahuasi</t>
        </is>
      </c>
      <c r="BO905" s="251" t="inlineStr">
        <is>
          <t>SI</t>
        </is>
      </c>
      <c r="BP905" s="106" t="inlineStr">
        <is>
          <t>SH-03 PUERTO COLLAHUASI/ASUB</t>
        </is>
      </c>
      <c r="BQ905" s="106">
        <f>VLOOKUP(BP905,[1]AGUA!$1:$1048576,2,FALSE)</f>
        <v/>
      </c>
      <c r="BR905" s="106">
        <f>VLOOKUP(BP905,[1]AGUA!$1:$1048576,6,FALSE)</f>
        <v/>
      </c>
      <c r="BS905" s="106">
        <f>VLOOKUP(BP905,[1]AGUA!$1:$1048576,7,FALSE)</f>
        <v/>
      </c>
      <c r="BT905" s="106" t="n"/>
      <c r="BU905" s="37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07" t="n">
        <v>1</v>
      </c>
      <c r="CR905" s="105" t="n"/>
      <c r="CS905" s="105" t="n"/>
      <c r="CT905" s="105" t="n"/>
      <c r="CU905" s="105" t="n"/>
      <c r="CV905" s="105" t="n"/>
      <c r="CW905" s="105" t="n"/>
      <c r="CX905" s="105" t="n"/>
      <c r="CY905" s="106" t="n"/>
      <c r="CZ905" s="124">
        <f>+COUNTA(BV905:CY905)</f>
        <v/>
      </c>
      <c r="DA905" s="251" t="n"/>
      <c r="DB905" s="251" t="n"/>
      <c r="DC905" s="251" t="n"/>
      <c r="DD905" s="251" t="n"/>
      <c r="DE905" s="251" t="n"/>
      <c r="DF905" s="251" t="n"/>
      <c r="DG905" s="251" t="n"/>
      <c r="DH905" s="251" t="n"/>
      <c r="DI905" s="251" t="n"/>
      <c r="DJ905" s="251" t="n"/>
      <c r="DK905" s="251" t="n"/>
      <c r="DL905" s="95" t="n"/>
      <c r="DM905" s="251" t="inlineStr">
        <is>
          <t>T</t>
        </is>
      </c>
      <c r="DN905" s="95" t="n">
        <v>22</v>
      </c>
      <c r="DO905" s="95" t="n">
        <v>28</v>
      </c>
    </row>
    <row r="906" ht="13" customHeight="1">
      <c r="A906" s="204" t="inlineStr">
        <is>
          <t>SH-04</t>
        </is>
      </c>
      <c r="B906" s="305" t="inlineStr">
        <is>
          <t>SH-04 PUERTO COLLAHUASI</t>
        </is>
      </c>
      <c r="C906" s="251" t="n"/>
      <c r="D906" s="7" t="inlineStr">
        <is>
          <t>SI</t>
        </is>
      </c>
      <c r="E906" s="7" t="inlineStr">
        <is>
          <t>SI</t>
        </is>
      </c>
      <c r="F906" s="7" t="inlineStr">
        <is>
          <t>SI</t>
        </is>
      </c>
      <c r="G906" s="7" t="inlineStr">
        <is>
          <t>NO</t>
        </is>
      </c>
      <c r="H906" s="7" t="n">
        <v>377279</v>
      </c>
      <c r="I906" s="7" t="n">
        <v>7702061</v>
      </c>
      <c r="J906" s="7" t="inlineStr">
        <is>
          <t>Construido</t>
        </is>
      </c>
      <c r="K906" s="7" t="inlineStr">
        <is>
          <t>-</t>
        </is>
      </c>
      <c r="L906" s="7" t="inlineStr">
        <is>
          <t>Agua Subterránea</t>
        </is>
      </c>
      <c r="M906" s="7" t="inlineStr">
        <is>
          <t>Puerto</t>
        </is>
      </c>
      <c r="N906" s="7" t="inlineStr">
        <is>
          <t>Pozo</t>
        </is>
      </c>
      <c r="O906" s="7" t="inlineStr">
        <is>
          <t>Puerto Collahuasi</t>
        </is>
      </c>
      <c r="P906" s="7" t="inlineStr">
        <is>
          <t>SI</t>
        </is>
      </c>
      <c r="Q906" s="7" t="inlineStr">
        <is>
          <t>Mensual</t>
        </is>
      </c>
      <c r="R906" s="7" t="inlineStr">
        <is>
          <t>-</t>
        </is>
      </c>
      <c r="S906" s="7" t="inlineStr">
        <is>
          <t>-</t>
        </is>
      </c>
      <c r="T906" s="7" t="inlineStr">
        <is>
          <t>SI</t>
        </is>
      </c>
      <c r="U906" s="7" t="inlineStr">
        <is>
          <t>Trimestral</t>
        </is>
      </c>
      <c r="V906" s="7" t="inlineStr">
        <is>
          <t>SI</t>
        </is>
      </c>
      <c r="W906" s="7" t="inlineStr">
        <is>
          <t>Mensual</t>
        </is>
      </c>
      <c r="X906" s="7" t="inlineStr">
        <is>
          <t>NO</t>
        </is>
      </c>
      <c r="Y906" s="7" t="inlineStr">
        <is>
          <t>-</t>
        </is>
      </c>
      <c r="Z906" s="7" t="inlineStr">
        <is>
          <t>NO</t>
        </is>
      </c>
      <c r="AA906" s="7" t="inlineStr">
        <is>
          <t>-</t>
        </is>
      </c>
      <c r="AB906" s="7" t="inlineStr">
        <is>
          <t>NO</t>
        </is>
      </c>
      <c r="AC906" s="7" t="inlineStr">
        <is>
          <t>-</t>
        </is>
      </c>
      <c r="AD906" s="7" t="inlineStr">
        <is>
          <t>NO</t>
        </is>
      </c>
      <c r="AE906" s="7" t="inlineStr">
        <is>
          <t>-</t>
        </is>
      </c>
      <c r="AF906" s="7" t="inlineStr">
        <is>
          <t>-</t>
        </is>
      </c>
      <c r="AG906" s="7" t="inlineStr">
        <is>
          <t>NO</t>
        </is>
      </c>
      <c r="AH906" s="7" t="inlineStr">
        <is>
          <t>-</t>
        </is>
      </c>
      <c r="AI906" s="7" t="inlineStr">
        <is>
          <t>NO</t>
        </is>
      </c>
      <c r="AJ906" s="7" t="inlineStr">
        <is>
          <t>-</t>
        </is>
      </c>
      <c r="AK906" s="60" t="n"/>
      <c r="AL906" s="7" t="n"/>
      <c r="AM906" s="7" t="n"/>
      <c r="AN906" s="60" t="n"/>
      <c r="AO906" s="7" t="n"/>
      <c r="AP906" s="60" t="n"/>
      <c r="AQ906" s="7" t="n"/>
      <c r="AR906" s="7" t="n"/>
      <c r="AS906" s="7" t="n"/>
      <c r="AT906" s="7" t="n"/>
      <c r="AU906" s="7" t="n"/>
      <c r="AV906" s="7" t="n"/>
      <c r="AW906" s="7" t="n"/>
      <c r="AX906" s="7" t="n"/>
      <c r="AY906" s="7" t="n"/>
      <c r="AZ906" s="7" t="n"/>
      <c r="BA906" s="7" t="n"/>
      <c r="BB906" s="7" t="n"/>
      <c r="BC906" s="7" t="n"/>
      <c r="BD906" s="7" t="n"/>
      <c r="BE906" s="7" t="n"/>
      <c r="BF906" s="7" t="n"/>
      <c r="BG906" s="7" t="n"/>
      <c r="BH906" s="7" t="n"/>
      <c r="BI906" s="7" t="n"/>
      <c r="BJ906" s="7" t="n"/>
      <c r="BK906" s="331" t="inlineStr">
        <is>
          <t>532MASH</t>
        </is>
      </c>
      <c r="BL906" s="7" t="inlineStr">
        <is>
          <t>PUERTO</t>
        </is>
      </c>
      <c r="BM906" s="251" t="inlineStr">
        <is>
          <t>NF</t>
        </is>
      </c>
      <c r="BN906" s="337" t="inlineStr">
        <is>
          <t>Puerto Collahuasi</t>
        </is>
      </c>
      <c r="BO906" s="251" t="inlineStr">
        <is>
          <t>SI</t>
        </is>
      </c>
      <c r="BP906" s="106" t="inlineStr">
        <is>
          <t>SH-04 PUERTO COLLAHUASI/NF</t>
        </is>
      </c>
      <c r="BQ906" s="106">
        <f>VLOOKUP(BP906,[1]AGUA!$1:$1048576,2,FALSE)</f>
        <v/>
      </c>
      <c r="BR906" s="106">
        <f>VLOOKUP(BP906,[1]AGUA!$1:$1048576,6,FALSE)</f>
        <v/>
      </c>
      <c r="BS906" s="106">
        <f>VLOOKUP(BP906,[1]AGUA!$1:$1048576,7,FALSE)</f>
        <v/>
      </c>
      <c r="BT906" s="106" t="n"/>
      <c r="BU906" s="253"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42" t="n">
        <v>1</v>
      </c>
      <c r="CR906" s="105" t="n"/>
      <c r="CS906" s="105" t="n"/>
      <c r="CT906" s="105" t="n"/>
      <c r="CU906" s="105" t="n"/>
      <c r="CV906" s="105" t="n"/>
      <c r="CW906" s="105" t="n"/>
      <c r="CX906" s="105" t="n"/>
      <c r="CY906" s="105" t="n"/>
      <c r="CZ906" s="124">
        <f>+COUNTA(BV906:CY906)</f>
        <v/>
      </c>
      <c r="DA906" s="251" t="n"/>
      <c r="DB906" s="251" t="n"/>
      <c r="DC906" s="251" t="n"/>
      <c r="DD906" s="251" t="n"/>
      <c r="DE906" s="251" t="n"/>
      <c r="DF906" s="251" t="n"/>
      <c r="DG906" s="251" t="n"/>
      <c r="DH906" s="251" t="n"/>
      <c r="DI906" s="251" t="n"/>
      <c r="DJ906" s="251" t="inlineStr">
        <is>
          <t>M</t>
        </is>
      </c>
      <c r="DK906" s="251" t="n">
        <v>22</v>
      </c>
      <c r="DL906" s="95" t="n">
        <v>28</v>
      </c>
      <c r="DM906" s="251" t="n"/>
      <c r="DN906" s="95" t="n"/>
      <c r="DO906" s="95" t="n"/>
    </row>
    <row r="907" ht="13" customHeight="1">
      <c r="A907" s="204" t="inlineStr">
        <is>
          <t>SH-04</t>
        </is>
      </c>
      <c r="B907" s="376" t="n"/>
      <c r="C907" s="376"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c r="AE907" s="7" t="n"/>
      <c r="AF907" s="7" t="n"/>
      <c r="AG907" s="7" t="n"/>
      <c r="AH907" s="7" t="n"/>
      <c r="AI907" s="7" t="n"/>
      <c r="AJ907" s="7" t="n"/>
      <c r="AK907" s="60" t="inlineStr">
        <is>
          <t>Plan base + T° + Nitritos + amonio</t>
        </is>
      </c>
      <c r="AL907" s="7" t="inlineStr">
        <is>
          <t>Trimestral</t>
        </is>
      </c>
      <c r="AM907" s="7" t="inlineStr">
        <is>
          <t>-</t>
        </is>
      </c>
      <c r="AN907" s="60" t="inlineStr">
        <is>
          <t>Plan base+ Salinidad+ N Amoniacal + Cu disuelto</t>
        </is>
      </c>
      <c r="AO907" s="7" t="inlineStr">
        <is>
          <t>Trimestral</t>
        </is>
      </c>
      <c r="AP907" s="60" t="inlineStr">
        <is>
          <t>NO</t>
        </is>
      </c>
      <c r="AQ907" s="7" t="inlineStr">
        <is>
          <t>-</t>
        </is>
      </c>
      <c r="AR907" s="7" t="inlineStr">
        <is>
          <t>NO</t>
        </is>
      </c>
      <c r="AS907" s="7" t="inlineStr">
        <is>
          <t>-</t>
        </is>
      </c>
      <c r="AT907" s="7" t="inlineStr">
        <is>
          <t>SI</t>
        </is>
      </c>
      <c r="AU907" s="7" t="inlineStr">
        <is>
          <t>Trimestral</t>
        </is>
      </c>
      <c r="AV907" s="7" t="inlineStr">
        <is>
          <t>NO</t>
        </is>
      </c>
      <c r="AW907" s="7" t="inlineStr">
        <is>
          <t>-</t>
        </is>
      </c>
      <c r="AX907" s="7" t="inlineStr">
        <is>
          <t>NO</t>
        </is>
      </c>
      <c r="AY907" s="7" t="inlineStr">
        <is>
          <t>-</t>
        </is>
      </c>
      <c r="AZ907" s="7" t="inlineStr">
        <is>
          <t>NO</t>
        </is>
      </c>
      <c r="BA907" s="7" t="inlineStr">
        <is>
          <t>-</t>
        </is>
      </c>
      <c r="BB907" s="7" t="inlineStr">
        <is>
          <t>NO</t>
        </is>
      </c>
      <c r="BC907" s="7" t="inlineStr">
        <is>
          <t>-</t>
        </is>
      </c>
      <c r="BD907" s="7" t="inlineStr">
        <is>
          <t>NO</t>
        </is>
      </c>
      <c r="BE907" s="7" t="inlineStr">
        <is>
          <t>-</t>
        </is>
      </c>
      <c r="BF907" s="7" t="inlineStr">
        <is>
          <t>SMA</t>
        </is>
      </c>
      <c r="BG907" s="7" t="inlineStr">
        <is>
          <t>PSA</t>
        </is>
      </c>
      <c r="BH907" s="7" t="inlineStr">
        <is>
          <t>Res. Ex. N° 167/2001 - Res. Ex. N° 9/2010 EIA2001: Adenda 2, sección 2.1.7,pág. 11 - DIA2010: Adenda 2,pregunta 2.2</t>
        </is>
      </c>
      <c r="BI907" s="7" t="n"/>
      <c r="BJ907" s="7" t="n"/>
      <c r="BK907" s="376" t="n"/>
      <c r="BL907" s="7" t="inlineStr">
        <is>
          <t>PUERTO</t>
        </is>
      </c>
      <c r="BM907" s="251" t="inlineStr">
        <is>
          <t>ASUB</t>
        </is>
      </c>
      <c r="BN907" s="337" t="inlineStr">
        <is>
          <t>Puerto Collahuasi</t>
        </is>
      </c>
      <c r="BO907" s="251" t="inlineStr">
        <is>
          <t>SI</t>
        </is>
      </c>
      <c r="BP907" s="106" t="inlineStr">
        <is>
          <t>SH-04 PUERTO COLLAHUASI/ASUB</t>
        </is>
      </c>
      <c r="BQ907" s="106">
        <f>VLOOKUP(BP907,[1]AGUA!$1:$1048576,2,FALSE)</f>
        <v/>
      </c>
      <c r="BR907" s="106">
        <f>VLOOKUP(BP907,[1]AGUA!$1:$1048576,6,FALSE)</f>
        <v/>
      </c>
      <c r="BS907" s="106">
        <f>VLOOKUP(BP907,[1]AGUA!$1:$1048576,7,FALSE)</f>
        <v/>
      </c>
      <c r="BT907" s="106" t="n"/>
      <c r="BU907" s="37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07" t="n">
        <v>1</v>
      </c>
      <c r="CR907" s="105" t="n"/>
      <c r="CS907" s="105" t="n"/>
      <c r="CT907" s="105" t="n"/>
      <c r="CU907" s="105" t="n"/>
      <c r="CV907" s="105" t="n"/>
      <c r="CW907" s="105" t="n"/>
      <c r="CX907" s="105" t="n"/>
      <c r="CY907" s="106" t="n"/>
      <c r="CZ907" s="124">
        <f>+COUNTA(BV907:CY907)</f>
        <v/>
      </c>
      <c r="DA907" s="251" t="n"/>
      <c r="DB907" s="251" t="n"/>
      <c r="DC907" s="251" t="n"/>
      <c r="DD907" s="251" t="n"/>
      <c r="DE907" s="251" t="n"/>
      <c r="DF907" s="251" t="n"/>
      <c r="DG907" s="251" t="n"/>
      <c r="DH907" s="251" t="n"/>
      <c r="DI907" s="251" t="n"/>
      <c r="DJ907" s="251" t="n"/>
      <c r="DK907" s="251" t="n"/>
      <c r="DL907" s="95" t="n"/>
      <c r="DM907" s="251" t="inlineStr">
        <is>
          <t>T</t>
        </is>
      </c>
      <c r="DN907" s="95" t="n">
        <v>22</v>
      </c>
      <c r="DO907" s="95" t="n">
        <v>28</v>
      </c>
    </row>
    <row r="908" ht="13" customHeight="1">
      <c r="A908" s="204" t="inlineStr">
        <is>
          <t>SH-05</t>
        </is>
      </c>
      <c r="B908" s="305" t="inlineStr">
        <is>
          <t>SH-05 PUERTO COLLAHUASI</t>
        </is>
      </c>
      <c r="C908" s="251" t="n"/>
      <c r="D908" s="7" t="inlineStr">
        <is>
          <t>SI</t>
        </is>
      </c>
      <c r="E908" s="7" t="inlineStr">
        <is>
          <t>SI</t>
        </is>
      </c>
      <c r="F908" s="7" t="inlineStr">
        <is>
          <t>SI</t>
        </is>
      </c>
      <c r="G908" s="7" t="inlineStr">
        <is>
          <t>NO</t>
        </is>
      </c>
      <c r="H908" s="7" t="n">
        <v>377282</v>
      </c>
      <c r="I908" s="7" t="n">
        <v>7701083</v>
      </c>
      <c r="J908" s="7" t="inlineStr">
        <is>
          <t>Construido</t>
        </is>
      </c>
      <c r="K908" s="7" t="inlineStr">
        <is>
          <t>-</t>
        </is>
      </c>
      <c r="L908" s="7" t="inlineStr">
        <is>
          <t>Agua Subterránea</t>
        </is>
      </c>
      <c r="M908" s="7" t="inlineStr">
        <is>
          <t>Puerto</t>
        </is>
      </c>
      <c r="N908" s="7" t="inlineStr">
        <is>
          <t>Pozo</t>
        </is>
      </c>
      <c r="O908" s="7" t="inlineStr">
        <is>
          <t>Puerto Collahuasi</t>
        </is>
      </c>
      <c r="P908" s="7" t="inlineStr">
        <is>
          <t>SI</t>
        </is>
      </c>
      <c r="Q908" s="7" t="inlineStr">
        <is>
          <t>Mensual</t>
        </is>
      </c>
      <c r="R908" s="7" t="inlineStr">
        <is>
          <t>-</t>
        </is>
      </c>
      <c r="S908" s="7" t="inlineStr">
        <is>
          <t>-</t>
        </is>
      </c>
      <c r="T908" s="7" t="inlineStr">
        <is>
          <t>SI</t>
        </is>
      </c>
      <c r="U908" s="7" t="inlineStr">
        <is>
          <t>Trimestral</t>
        </is>
      </c>
      <c r="V908" s="7" t="inlineStr">
        <is>
          <t>SI</t>
        </is>
      </c>
      <c r="W908" s="7" t="inlineStr">
        <is>
          <t>Mensual</t>
        </is>
      </c>
      <c r="X908" s="7" t="inlineStr">
        <is>
          <t>NO</t>
        </is>
      </c>
      <c r="Y908" s="7" t="inlineStr">
        <is>
          <t>-</t>
        </is>
      </c>
      <c r="Z908" s="7" t="inlineStr">
        <is>
          <t>NO</t>
        </is>
      </c>
      <c r="AA908" s="7" t="inlineStr">
        <is>
          <t>-</t>
        </is>
      </c>
      <c r="AB908" s="7" t="inlineStr">
        <is>
          <t>NO</t>
        </is>
      </c>
      <c r="AC908" s="7" t="inlineStr">
        <is>
          <t>-</t>
        </is>
      </c>
      <c r="AD908" s="7" t="inlineStr">
        <is>
          <t>NO</t>
        </is>
      </c>
      <c r="AE908" s="7" t="inlineStr">
        <is>
          <t>-</t>
        </is>
      </c>
      <c r="AF908" s="7" t="inlineStr">
        <is>
          <t>-</t>
        </is>
      </c>
      <c r="AG908" s="7" t="inlineStr">
        <is>
          <t>NO</t>
        </is>
      </c>
      <c r="AH908" s="7" t="inlineStr">
        <is>
          <t>-</t>
        </is>
      </c>
      <c r="AI908" s="7" t="inlineStr">
        <is>
          <t>NO</t>
        </is>
      </c>
      <c r="AJ908" s="7" t="inlineStr">
        <is>
          <t>-</t>
        </is>
      </c>
      <c r="AK908" s="60" t="n"/>
      <c r="AL908" s="7" t="n"/>
      <c r="AM908" s="7" t="n"/>
      <c r="AN908" s="60" t="n"/>
      <c r="AO908" s="7" t="n"/>
      <c r="AP908" s="60" t="n"/>
      <c r="AQ908" s="7" t="n"/>
      <c r="AR908" s="7" t="n"/>
      <c r="AS908" s="7" t="n"/>
      <c r="AT908" s="7" t="n"/>
      <c r="AU908" s="7" t="n"/>
      <c r="AV908" s="7" t="n"/>
      <c r="AW908" s="7" t="n"/>
      <c r="AX908" s="7" t="n"/>
      <c r="AY908" s="7" t="n"/>
      <c r="AZ908" s="7" t="n"/>
      <c r="BA908" s="7" t="n"/>
      <c r="BB908" s="7" t="n"/>
      <c r="BC908" s="7" t="n"/>
      <c r="BD908" s="7" t="n"/>
      <c r="BE908" s="7" t="n"/>
      <c r="BF908" s="7" t="n"/>
      <c r="BG908" s="7" t="n"/>
      <c r="BH908" s="7" t="n"/>
      <c r="BI908" s="7" t="n"/>
      <c r="BJ908" s="7" t="n"/>
      <c r="BK908" s="331" t="inlineStr">
        <is>
          <t>532MASH</t>
        </is>
      </c>
      <c r="BL908" s="7" t="inlineStr">
        <is>
          <t>PUERTO</t>
        </is>
      </c>
      <c r="BM908" s="251" t="inlineStr">
        <is>
          <t>NF</t>
        </is>
      </c>
      <c r="BN908" s="337" t="inlineStr">
        <is>
          <t>Puerto Collahuasi</t>
        </is>
      </c>
      <c r="BO908" s="251" t="inlineStr">
        <is>
          <t>SI</t>
        </is>
      </c>
      <c r="BP908" s="106" t="inlineStr">
        <is>
          <t>SH-05 PUERTO COLLAHUASI/NF</t>
        </is>
      </c>
      <c r="BQ908" s="106">
        <f>VLOOKUP(BP908,[1]AGUA!$1:$1048576,2,FALSE)</f>
        <v/>
      </c>
      <c r="BR908" s="106">
        <f>VLOOKUP(BP908,[1]AGUA!$1:$1048576,6,FALSE)</f>
        <v/>
      </c>
      <c r="BS908" s="106">
        <f>VLOOKUP(BP908,[1]AGUA!$1:$1048576,7,FALSE)</f>
        <v/>
      </c>
      <c r="BT908" s="106" t="n"/>
      <c r="BU908" s="253"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42" t="n">
        <v>1</v>
      </c>
      <c r="CR908" s="105" t="n"/>
      <c r="CS908" s="105" t="n"/>
      <c r="CT908" s="105" t="n"/>
      <c r="CU908" s="105" t="n"/>
      <c r="CV908" s="105" t="n"/>
      <c r="CW908" s="105" t="n"/>
      <c r="CX908" s="105" t="n"/>
      <c r="CY908" s="105" t="n"/>
      <c r="CZ908" s="124">
        <f>+COUNTA(BV908:CY908)</f>
        <v/>
      </c>
      <c r="DA908" s="251" t="n"/>
      <c r="DB908" s="251" t="n"/>
      <c r="DC908" s="251" t="n"/>
      <c r="DD908" s="251" t="n"/>
      <c r="DE908" s="251" t="n"/>
      <c r="DF908" s="251" t="n"/>
      <c r="DG908" s="251" t="n"/>
      <c r="DH908" s="251" t="n"/>
      <c r="DI908" s="251" t="n"/>
      <c r="DJ908" s="251" t="inlineStr">
        <is>
          <t>M</t>
        </is>
      </c>
      <c r="DK908" s="251" t="n">
        <v>22</v>
      </c>
      <c r="DL908" s="95" t="n">
        <v>28</v>
      </c>
      <c r="DM908" s="251" t="n"/>
      <c r="DN908" s="95" t="n"/>
      <c r="DO908" s="95" t="n"/>
    </row>
    <row r="909" ht="17.15" customHeight="1">
      <c r="A909" s="204" t="inlineStr">
        <is>
          <t>SH-05</t>
        </is>
      </c>
      <c r="B909" s="376" t="n"/>
      <c r="C909" s="376"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c r="AE909" s="7" t="n"/>
      <c r="AF909" s="7" t="n"/>
      <c r="AG909" s="7" t="n"/>
      <c r="AH909" s="7" t="n"/>
      <c r="AI909" s="7" t="n"/>
      <c r="AJ909" s="7" t="n"/>
      <c r="AK909" s="60" t="inlineStr">
        <is>
          <t>Plan base + T° + Nitritos + amonio</t>
        </is>
      </c>
      <c r="AL909" s="7" t="inlineStr">
        <is>
          <t>Trimestral</t>
        </is>
      </c>
      <c r="AM909" s="7" t="inlineStr">
        <is>
          <t>-</t>
        </is>
      </c>
      <c r="AN909" s="60" t="inlineStr">
        <is>
          <t>Plan base+ Salinidad+ N Amoniacal + Cu disuelto</t>
        </is>
      </c>
      <c r="AO909" s="7" t="inlineStr">
        <is>
          <t>Trimestral</t>
        </is>
      </c>
      <c r="AP909" s="60" t="inlineStr">
        <is>
          <t>NO</t>
        </is>
      </c>
      <c r="AQ909" s="7" t="inlineStr">
        <is>
          <t>-</t>
        </is>
      </c>
      <c r="AR909" s="7" t="inlineStr">
        <is>
          <t>NO</t>
        </is>
      </c>
      <c r="AS909" s="7" t="inlineStr">
        <is>
          <t>-</t>
        </is>
      </c>
      <c r="AT909" s="7" t="inlineStr">
        <is>
          <t>SI</t>
        </is>
      </c>
      <c r="AU909" s="7" t="inlineStr">
        <is>
          <t>Trimestral</t>
        </is>
      </c>
      <c r="AV909" s="7" t="inlineStr">
        <is>
          <t>NO</t>
        </is>
      </c>
      <c r="AW909" s="7" t="inlineStr">
        <is>
          <t>-</t>
        </is>
      </c>
      <c r="AX909" s="7" t="inlineStr">
        <is>
          <t>NO</t>
        </is>
      </c>
      <c r="AY909" s="7" t="inlineStr">
        <is>
          <t>-</t>
        </is>
      </c>
      <c r="AZ909" s="7" t="inlineStr">
        <is>
          <t>NO</t>
        </is>
      </c>
      <c r="BA909" s="7" t="inlineStr">
        <is>
          <t>-</t>
        </is>
      </c>
      <c r="BB909" s="7" t="inlineStr">
        <is>
          <t>NO</t>
        </is>
      </c>
      <c r="BC909" s="7" t="inlineStr">
        <is>
          <t>-</t>
        </is>
      </c>
      <c r="BD909" s="7" t="inlineStr">
        <is>
          <t>NO</t>
        </is>
      </c>
      <c r="BE909" s="7" t="inlineStr">
        <is>
          <t>-</t>
        </is>
      </c>
      <c r="BF909" s="7" t="inlineStr">
        <is>
          <t>SMA</t>
        </is>
      </c>
      <c r="BG909" s="7" t="inlineStr">
        <is>
          <t>PSA</t>
        </is>
      </c>
      <c r="BH909" s="7" t="inlineStr">
        <is>
          <t>Res. Ex. N° 167/2001 - Res. Ex. N° 9/2010 EIA2001: Adenda 2, sección 2.1.7,pág. 11 - DIA2010: Adenda 2,pregunta 2.2</t>
        </is>
      </c>
      <c r="BI909" s="7" t="n"/>
      <c r="BJ909" s="7" t="n"/>
      <c r="BK909" s="376" t="n"/>
      <c r="BL909" s="7" t="inlineStr">
        <is>
          <t>PUERTO</t>
        </is>
      </c>
      <c r="BM909" s="251" t="inlineStr">
        <is>
          <t>ASUB</t>
        </is>
      </c>
      <c r="BN909" s="337" t="inlineStr">
        <is>
          <t>Puerto Collahuasi</t>
        </is>
      </c>
      <c r="BO909" s="251" t="inlineStr">
        <is>
          <t>SI</t>
        </is>
      </c>
      <c r="BP909" s="106" t="inlineStr">
        <is>
          <t>SH-05 PUERTO COLLAHUASI/ASUB</t>
        </is>
      </c>
      <c r="BQ909" s="106">
        <f>VLOOKUP(BP909,[1]AGUA!$1:$1048576,2,FALSE)</f>
        <v/>
      </c>
      <c r="BR909" s="106">
        <f>VLOOKUP(BP909,[1]AGUA!$1:$1048576,6,FALSE)</f>
        <v/>
      </c>
      <c r="BS909" s="106">
        <f>VLOOKUP(BP909,[1]AGUA!$1:$1048576,7,FALSE)</f>
        <v/>
      </c>
      <c r="BT909" s="106" t="n"/>
      <c r="BU909" s="37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07" t="n">
        <v>1</v>
      </c>
      <c r="CR909" s="105" t="n"/>
      <c r="CS909" s="105" t="n"/>
      <c r="CT909" s="105" t="n"/>
      <c r="CU909" s="105" t="n"/>
      <c r="CV909" s="105" t="n"/>
      <c r="CW909" s="105" t="n"/>
      <c r="CX909" s="105" t="n"/>
      <c r="CY909" s="106" t="n"/>
      <c r="CZ909" s="124">
        <f>+COUNTA(BV909:CY909)</f>
        <v/>
      </c>
      <c r="DA909" s="251" t="n"/>
      <c r="DB909" s="251" t="n"/>
      <c r="DC909" s="251" t="n"/>
      <c r="DD909" s="251" t="n"/>
      <c r="DE909" s="251" t="n"/>
      <c r="DF909" s="251" t="n"/>
      <c r="DG909" s="251" t="n"/>
      <c r="DH909" s="251" t="n"/>
      <c r="DI909" s="251" t="n"/>
      <c r="DJ909" s="251" t="n"/>
      <c r="DK909" s="251" t="n"/>
      <c r="DL909" s="95" t="n"/>
      <c r="DM909" s="251" t="inlineStr">
        <is>
          <t>T</t>
        </is>
      </c>
      <c r="DN909" s="95" t="n">
        <v>22</v>
      </c>
      <c r="DO909" s="95" t="n">
        <v>28</v>
      </c>
    </row>
    <row r="910" ht="13" customHeight="1">
      <c r="A910" s="204" t="inlineStr">
        <is>
          <t>SH-06</t>
        </is>
      </c>
      <c r="B910" s="305" t="inlineStr">
        <is>
          <t>SH-06 PUERTO COLLAHUASI</t>
        </is>
      </c>
      <c r="C910" s="251" t="n"/>
      <c r="D910" s="7" t="inlineStr">
        <is>
          <t>SI</t>
        </is>
      </c>
      <c r="E910" s="7" t="inlineStr">
        <is>
          <t>SI</t>
        </is>
      </c>
      <c r="F910" s="7" t="inlineStr">
        <is>
          <t>SI</t>
        </is>
      </c>
      <c r="G910" s="7" t="inlineStr">
        <is>
          <t>NO</t>
        </is>
      </c>
      <c r="H910" s="7" t="n">
        <v>378350</v>
      </c>
      <c r="I910" s="7" t="n">
        <v>7702462</v>
      </c>
      <c r="J910" s="7" t="inlineStr">
        <is>
          <t>Construido</t>
        </is>
      </c>
      <c r="K910" s="7" t="inlineStr">
        <is>
          <t>-</t>
        </is>
      </c>
      <c r="L910" s="7" t="inlineStr">
        <is>
          <t>Agua Subterránea</t>
        </is>
      </c>
      <c r="M910" s="7" t="inlineStr">
        <is>
          <t>Puerto</t>
        </is>
      </c>
      <c r="N910" s="7" t="inlineStr">
        <is>
          <t>Pozo</t>
        </is>
      </c>
      <c r="O910" s="7" t="inlineStr">
        <is>
          <t>Puerto Collahuasi</t>
        </is>
      </c>
      <c r="P910" s="7" t="inlineStr">
        <is>
          <t>SI</t>
        </is>
      </c>
      <c r="Q910" s="7" t="inlineStr">
        <is>
          <t>Mensual</t>
        </is>
      </c>
      <c r="R910" s="7" t="inlineStr">
        <is>
          <t>-</t>
        </is>
      </c>
      <c r="S910" s="7" t="inlineStr">
        <is>
          <t>-</t>
        </is>
      </c>
      <c r="T910" s="7" t="inlineStr">
        <is>
          <t>SI</t>
        </is>
      </c>
      <c r="U910" s="7" t="inlineStr">
        <is>
          <t>Semanal</t>
        </is>
      </c>
      <c r="V910" s="7" t="inlineStr">
        <is>
          <t>SI</t>
        </is>
      </c>
      <c r="W910" s="7" t="inlineStr">
        <is>
          <t>Semanal</t>
        </is>
      </c>
      <c r="X910" s="7" t="inlineStr">
        <is>
          <t>NO</t>
        </is>
      </c>
      <c r="Y910" s="7" t="inlineStr">
        <is>
          <t>-</t>
        </is>
      </c>
      <c r="Z910" s="7" t="inlineStr">
        <is>
          <t>NO</t>
        </is>
      </c>
      <c r="AA910" s="7" t="inlineStr">
        <is>
          <t>-</t>
        </is>
      </c>
      <c r="AB910" s="7" t="inlineStr">
        <is>
          <t>NO</t>
        </is>
      </c>
      <c r="AC910" s="7" t="inlineStr">
        <is>
          <t>-</t>
        </is>
      </c>
      <c r="AD910" s="7" t="inlineStr">
        <is>
          <t>NO</t>
        </is>
      </c>
      <c r="AE910" s="7" t="inlineStr">
        <is>
          <t>-</t>
        </is>
      </c>
      <c r="AF910" s="7" t="inlineStr">
        <is>
          <t>-</t>
        </is>
      </c>
      <c r="AG910" s="7" t="inlineStr">
        <is>
          <t>NO</t>
        </is>
      </c>
      <c r="AH910" s="7" t="inlineStr">
        <is>
          <t>-</t>
        </is>
      </c>
      <c r="AI910" s="7" t="inlineStr">
        <is>
          <t>NO</t>
        </is>
      </c>
      <c r="AJ910" s="7" t="inlineStr">
        <is>
          <t>-</t>
        </is>
      </c>
      <c r="AK910" s="60" t="n"/>
      <c r="AL910" s="7" t="n"/>
      <c r="AM910" s="7" t="n"/>
      <c r="AN910" s="60" t="n"/>
      <c r="AO910" s="7" t="n"/>
      <c r="AP910" s="60" t="n"/>
      <c r="AQ910" s="7" t="n"/>
      <c r="AR910" s="7" t="n"/>
      <c r="AS910" s="7" t="n"/>
      <c r="AT910" s="7" t="n"/>
      <c r="AU910" s="7" t="n"/>
      <c r="AV910" s="7" t="n"/>
      <c r="AW910" s="7" t="n"/>
      <c r="AX910" s="7" t="n"/>
      <c r="AY910" s="7" t="n"/>
      <c r="AZ910" s="7" t="n"/>
      <c r="BA910" s="7" t="n"/>
      <c r="BB910" s="7" t="n"/>
      <c r="BC910" s="7" t="n"/>
      <c r="BD910" s="7" t="n"/>
      <c r="BE910" s="7" t="n"/>
      <c r="BF910" s="7" t="n"/>
      <c r="BG910" s="7" t="n"/>
      <c r="BH910" s="7" t="n"/>
      <c r="BI910" s="7" t="n"/>
      <c r="BJ910" s="7" t="n"/>
      <c r="BK910" s="331" t="inlineStr">
        <is>
          <t>532MASH</t>
        </is>
      </c>
      <c r="BL910" s="7" t="inlineStr">
        <is>
          <t>PUERTO</t>
        </is>
      </c>
      <c r="BM910" s="251" t="inlineStr">
        <is>
          <t>NF</t>
        </is>
      </c>
      <c r="BN910" s="337" t="inlineStr">
        <is>
          <t>Puerto Collahuasi</t>
        </is>
      </c>
      <c r="BO910" s="251" t="inlineStr">
        <is>
          <t>SI</t>
        </is>
      </c>
      <c r="BP910" s="106" t="inlineStr">
        <is>
          <t>SH-06 PUERTO COLLAHUASI/NF</t>
        </is>
      </c>
      <c r="BQ910" s="106">
        <f>VLOOKUP(BP910,[1]AGUA!$1:$1048576,2,FALSE)</f>
        <v/>
      </c>
      <c r="BR910" s="106">
        <f>VLOOKUP(BP910,[1]AGUA!$1:$1048576,6,FALSE)</f>
        <v/>
      </c>
      <c r="BS910" s="106">
        <f>VLOOKUP(BP910,[1]AGUA!$1:$1048576,7,FALSE)</f>
        <v/>
      </c>
      <c r="BT910" s="106" t="n"/>
      <c r="BU910" s="253" t="n"/>
      <c r="BV910" s="142" t="inlineStr">
        <is>
          <t>R</t>
        </is>
      </c>
      <c r="BW910" s="105" t="n"/>
      <c r="BX910" s="105" t="n"/>
      <c r="BY910" s="105" t="n"/>
      <c r="BZ910" s="105" t="n"/>
      <c r="CA910" s="105" t="n"/>
      <c r="CB910" s="105" t="n"/>
      <c r="CC910" s="142" t="n">
        <v>1</v>
      </c>
      <c r="CD910" s="125" t="n"/>
      <c r="CE910" s="125" t="n"/>
      <c r="CF910" s="125" t="n"/>
      <c r="CG910" s="125" t="n"/>
      <c r="CH910" s="125" t="n"/>
      <c r="CI910" s="125" t="n"/>
      <c r="CJ910" s="142" t="n">
        <v>1</v>
      </c>
      <c r="CK910" s="125" t="n"/>
      <c r="CL910" s="125" t="n"/>
      <c r="CM910" s="125" t="n"/>
      <c r="CN910" s="125" t="n"/>
      <c r="CO910" s="125" t="n"/>
      <c r="CP910" s="125" t="n"/>
      <c r="CQ910" s="142" t="n">
        <v>1</v>
      </c>
      <c r="CR910" s="125" t="n"/>
      <c r="CS910" s="125" t="n"/>
      <c r="CT910" s="125" t="n"/>
      <c r="CU910" s="125" t="n"/>
      <c r="CV910" s="125" t="n"/>
      <c r="CW910" s="125" t="n"/>
      <c r="CX910" s="142" t="n">
        <v>1</v>
      </c>
      <c r="CY910" s="105" t="n"/>
      <c r="CZ910" s="124">
        <f>+COUNTA(BV910:CY910)</f>
        <v/>
      </c>
      <c r="DA910" s="251" t="n"/>
      <c r="DB910" s="251" t="n"/>
      <c r="DC910" s="251" t="n"/>
      <c r="DD910" s="251" t="n"/>
      <c r="DE910" s="251" t="n"/>
      <c r="DF910" s="251" t="n"/>
      <c r="DG910" s="251" t="n"/>
      <c r="DH910" s="251" t="n"/>
      <c r="DI910" s="251" t="n"/>
      <c r="DJ910" s="251" t="inlineStr">
        <is>
          <t>S</t>
        </is>
      </c>
      <c r="DK910" s="251" t="inlineStr">
        <is>
          <t>R</t>
        </is>
      </c>
      <c r="DL910" s="95" t="inlineStr">
        <is>
          <t>R</t>
        </is>
      </c>
      <c r="DM910" s="251" t="n"/>
      <c r="DN910" s="95" t="n"/>
      <c r="DO910" s="95" t="n"/>
    </row>
    <row r="911" ht="13" customHeight="1">
      <c r="A911" s="204" t="inlineStr">
        <is>
          <t>SH-06</t>
        </is>
      </c>
      <c r="B911" s="376" t="n"/>
      <c r="C911" s="376"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c r="AE911" s="7" t="n"/>
      <c r="AF911" s="7" t="n"/>
      <c r="AG911" s="7" t="n"/>
      <c r="AH911" s="7" t="n"/>
      <c r="AI911" s="7" t="n"/>
      <c r="AJ911" s="7" t="n"/>
      <c r="AK911" s="60" t="inlineStr">
        <is>
          <t>Plan base + T° + Nitritos + amonio</t>
        </is>
      </c>
      <c r="AL911" s="7" t="inlineStr">
        <is>
          <t>Trimestral</t>
        </is>
      </c>
      <c r="AM911" s="7" t="inlineStr">
        <is>
          <t>-</t>
        </is>
      </c>
      <c r="AN911" s="60" t="inlineStr">
        <is>
          <t>Plan base+ Salinidad+ N Amoniacal + Cu disuelto</t>
        </is>
      </c>
      <c r="AO911" s="7" t="inlineStr">
        <is>
          <t>Trimestral</t>
        </is>
      </c>
      <c r="AP911" s="60" t="inlineStr">
        <is>
          <t>NO</t>
        </is>
      </c>
      <c r="AQ911" s="7" t="inlineStr">
        <is>
          <t>-</t>
        </is>
      </c>
      <c r="AR911" s="7" t="inlineStr">
        <is>
          <t>NO</t>
        </is>
      </c>
      <c r="AS911" s="7" t="inlineStr">
        <is>
          <t>-</t>
        </is>
      </c>
      <c r="AT911" s="7" t="inlineStr">
        <is>
          <t>SI</t>
        </is>
      </c>
      <c r="AU911" s="7" t="inlineStr">
        <is>
          <t>Trimestral</t>
        </is>
      </c>
      <c r="AV911" s="7" t="inlineStr">
        <is>
          <t>NO</t>
        </is>
      </c>
      <c r="AW911" s="7" t="inlineStr">
        <is>
          <t>-</t>
        </is>
      </c>
      <c r="AX911" s="7" t="inlineStr">
        <is>
          <t>NO</t>
        </is>
      </c>
      <c r="AY911" s="7" t="inlineStr">
        <is>
          <t>-</t>
        </is>
      </c>
      <c r="AZ911" s="7" t="inlineStr">
        <is>
          <t>NO</t>
        </is>
      </c>
      <c r="BA911" s="7" t="inlineStr">
        <is>
          <t>-</t>
        </is>
      </c>
      <c r="BB911" s="7" t="inlineStr">
        <is>
          <t>NO</t>
        </is>
      </c>
      <c r="BC911" s="7" t="inlineStr">
        <is>
          <t>-</t>
        </is>
      </c>
      <c r="BD911" s="7" t="inlineStr">
        <is>
          <t>NO</t>
        </is>
      </c>
      <c r="BE911" s="7" t="inlineStr">
        <is>
          <t>-</t>
        </is>
      </c>
      <c r="BF911" s="7" t="inlineStr">
        <is>
          <t>SMA</t>
        </is>
      </c>
      <c r="BG911" s="7" t="inlineStr">
        <is>
          <t>PSA</t>
        </is>
      </c>
      <c r="BH911" s="7" t="inlineStr">
        <is>
          <t>Res. Ex. N° 167/2001 - Res. Ex. N° 9/2010 EIA2001: Adenda 2, sección 2.1.7,pág. 11 - DIA2010: Adenda 2,pregunta 2.2</t>
        </is>
      </c>
      <c r="BI911" s="7" t="inlineStr">
        <is>
          <t>Se realiza analisis de calidad semanal</t>
        </is>
      </c>
      <c r="BJ911" s="7" t="n"/>
      <c r="BK911" s="376" t="n"/>
      <c r="BL911" s="7" t="inlineStr">
        <is>
          <t>PUERTO</t>
        </is>
      </c>
      <c r="BM911" s="251" t="inlineStr">
        <is>
          <t>ASUB</t>
        </is>
      </c>
      <c r="BN911" s="337" t="inlineStr">
        <is>
          <t>Puerto Collahuasi</t>
        </is>
      </c>
      <c r="BO911" s="251" t="inlineStr">
        <is>
          <t>SI</t>
        </is>
      </c>
      <c r="BP911" s="106" t="inlineStr">
        <is>
          <t>SH-06 PUERTO COLLAHUASI/ASUB</t>
        </is>
      </c>
      <c r="BQ911" s="106">
        <f>VLOOKUP(BP911,[1]AGUA!$1:$1048576,2,FALSE)</f>
        <v/>
      </c>
      <c r="BR911" s="106">
        <f>VLOOKUP(BP911,[1]AGUA!$1:$1048576,6,FALSE)</f>
        <v/>
      </c>
      <c r="BS911" s="106">
        <f>VLOOKUP(BP911,[1]AGUA!$1:$1048576,7,FALSE)</f>
        <v/>
      </c>
      <c r="BT911" s="106" t="n"/>
      <c r="BU911" s="377" t="n"/>
      <c r="BV911" s="105" t="n"/>
      <c r="BW911" s="105" t="n"/>
      <c r="BX911" s="105" t="n"/>
      <c r="BY911" s="105" t="n"/>
      <c r="BZ911" s="105" t="n"/>
      <c r="CA911" s="105" t="n"/>
      <c r="CB911" s="105" t="n"/>
      <c r="CC911" s="107" t="n">
        <v>1</v>
      </c>
      <c r="CD911" s="105" t="n"/>
      <c r="CE911" s="105" t="n"/>
      <c r="CF911" s="105" t="n"/>
      <c r="CG911" s="106" t="n"/>
      <c r="CH911" s="105" t="n"/>
      <c r="CI911" s="106" t="n"/>
      <c r="CJ911" s="105" t="n"/>
      <c r="CK911" s="105" t="n"/>
      <c r="CL911" s="105" t="n"/>
      <c r="CM911" s="105" t="n"/>
      <c r="CN911" s="105" t="n"/>
      <c r="CO911" s="105" t="n"/>
      <c r="CP911" s="105" t="n"/>
      <c r="CQ911" s="105" t="n"/>
      <c r="CR911" s="105" t="n"/>
      <c r="CS911" s="105" t="n"/>
      <c r="CT911" s="105" t="n"/>
      <c r="CU911" s="105" t="n"/>
      <c r="CV911" s="105" t="n"/>
      <c r="CW911" s="105" t="n"/>
      <c r="CX911" s="105" t="n"/>
      <c r="CY911" s="105" t="n"/>
      <c r="CZ911" s="124">
        <f>+COUNTA(BV911:CY911)</f>
        <v/>
      </c>
      <c r="DA911" s="251" t="n"/>
      <c r="DB911" s="251" t="n"/>
      <c r="DC911" s="251" t="n"/>
      <c r="DD911" s="251" t="n"/>
      <c r="DE911" s="251" t="n"/>
      <c r="DF911" s="251" t="n"/>
      <c r="DG911" s="251" t="n"/>
      <c r="DH911" s="251" t="n"/>
      <c r="DI911" s="251" t="n"/>
      <c r="DJ911" s="251" t="n"/>
      <c r="DK911" s="251" t="n"/>
      <c r="DL911" s="95" t="n"/>
      <c r="DM911" s="251" t="inlineStr">
        <is>
          <t>T</t>
        </is>
      </c>
      <c r="DN911" s="95" t="n">
        <v>8</v>
      </c>
      <c r="DO911" s="95" t="n">
        <v>14</v>
      </c>
    </row>
    <row r="912" ht="13" customHeight="1">
      <c r="A912" s="204" t="inlineStr">
        <is>
          <t>SH-07</t>
        </is>
      </c>
      <c r="B912" s="305" t="inlineStr">
        <is>
          <t>SH-07 PUERTO COLLAHUASI</t>
        </is>
      </c>
      <c r="C912" s="251" t="n"/>
      <c r="D912" s="7" t="inlineStr">
        <is>
          <t>SI</t>
        </is>
      </c>
      <c r="E912" s="7" t="inlineStr">
        <is>
          <t>SI</t>
        </is>
      </c>
      <c r="F912" s="7" t="inlineStr">
        <is>
          <t>SI</t>
        </is>
      </c>
      <c r="G912" s="7" t="inlineStr">
        <is>
          <t>NO</t>
        </is>
      </c>
      <c r="H912" s="7" t="n">
        <v>378321</v>
      </c>
      <c r="I912" s="7" t="n">
        <v>7702462</v>
      </c>
      <c r="J912" s="7" t="inlineStr">
        <is>
          <t>Construido</t>
        </is>
      </c>
      <c r="K912" s="7" t="inlineStr">
        <is>
          <t>-</t>
        </is>
      </c>
      <c r="L912" s="7" t="inlineStr">
        <is>
          <t>Agua Subterránea</t>
        </is>
      </c>
      <c r="M912" s="7" t="inlineStr">
        <is>
          <t>Puerto</t>
        </is>
      </c>
      <c r="N912" s="7" t="inlineStr">
        <is>
          <t>Pozo</t>
        </is>
      </c>
      <c r="O912" s="7" t="inlineStr">
        <is>
          <t>Puerto Collahuasi</t>
        </is>
      </c>
      <c r="P912" s="7" t="inlineStr">
        <is>
          <t>SI</t>
        </is>
      </c>
      <c r="Q912" s="7" t="inlineStr">
        <is>
          <t>Mensual</t>
        </is>
      </c>
      <c r="R912" s="7" t="inlineStr">
        <is>
          <t>-</t>
        </is>
      </c>
      <c r="S912" s="7" t="inlineStr">
        <is>
          <t>-</t>
        </is>
      </c>
      <c r="T912" s="7" t="inlineStr">
        <is>
          <t>SI</t>
        </is>
      </c>
      <c r="U912" s="7" t="inlineStr">
        <is>
          <t>Semanal</t>
        </is>
      </c>
      <c r="V912" s="7" t="inlineStr">
        <is>
          <t>SI</t>
        </is>
      </c>
      <c r="W912" s="7" t="inlineStr">
        <is>
          <t>Semanal</t>
        </is>
      </c>
      <c r="X912" s="7" t="inlineStr">
        <is>
          <t>NO</t>
        </is>
      </c>
      <c r="Y912" s="7" t="inlineStr">
        <is>
          <t>-</t>
        </is>
      </c>
      <c r="Z912" s="7" t="inlineStr">
        <is>
          <t>NO</t>
        </is>
      </c>
      <c r="AA912" s="7" t="inlineStr">
        <is>
          <t>-</t>
        </is>
      </c>
      <c r="AB912" s="7" t="inlineStr">
        <is>
          <t>NO</t>
        </is>
      </c>
      <c r="AC912" s="7" t="inlineStr">
        <is>
          <t>-</t>
        </is>
      </c>
      <c r="AD912" s="7" t="inlineStr">
        <is>
          <t>NO</t>
        </is>
      </c>
      <c r="AE912" s="7" t="inlineStr">
        <is>
          <t>-</t>
        </is>
      </c>
      <c r="AF912" s="7" t="inlineStr">
        <is>
          <t>-</t>
        </is>
      </c>
      <c r="AG912" s="7" t="inlineStr">
        <is>
          <t>NO</t>
        </is>
      </c>
      <c r="AH912" s="7" t="inlineStr">
        <is>
          <t>-</t>
        </is>
      </c>
      <c r="AI912" s="7" t="inlineStr">
        <is>
          <t>NO</t>
        </is>
      </c>
      <c r="AJ912" s="7" t="inlineStr">
        <is>
          <t>-</t>
        </is>
      </c>
      <c r="AK912" s="60" t="n"/>
      <c r="AL912" s="7" t="n"/>
      <c r="AM912" s="7" t="n"/>
      <c r="AN912" s="60" t="n"/>
      <c r="AO912" s="7" t="n"/>
      <c r="AP912" s="60" t="n"/>
      <c r="AQ912" s="7" t="n"/>
      <c r="AR912" s="7" t="n"/>
      <c r="AS912" s="7" t="n"/>
      <c r="AT912" s="7" t="n"/>
      <c r="AU912" s="7" t="n"/>
      <c r="AV912" s="7" t="n"/>
      <c r="AW912" s="7" t="n"/>
      <c r="AX912" s="7" t="n"/>
      <c r="AY912" s="7" t="n"/>
      <c r="AZ912" s="7" t="n"/>
      <c r="BA912" s="7" t="n"/>
      <c r="BB912" s="7" t="n"/>
      <c r="BC912" s="7" t="n"/>
      <c r="BD912" s="7" t="n"/>
      <c r="BE912" s="7" t="n"/>
      <c r="BF912" s="7" t="n"/>
      <c r="BG912" s="7" t="n"/>
      <c r="BH912" s="7" t="n"/>
      <c r="BI912" s="7" t="n"/>
      <c r="BJ912" s="7" t="n"/>
      <c r="BK912" s="331" t="inlineStr">
        <is>
          <t>532MASH</t>
        </is>
      </c>
      <c r="BL912" s="7" t="inlineStr">
        <is>
          <t>PUERTO</t>
        </is>
      </c>
      <c r="BM912" s="251" t="inlineStr">
        <is>
          <t>NF</t>
        </is>
      </c>
      <c r="BN912" s="337" t="inlineStr">
        <is>
          <t>Puerto Collahuasi</t>
        </is>
      </c>
      <c r="BO912" s="251" t="inlineStr">
        <is>
          <t>SI</t>
        </is>
      </c>
      <c r="BP912" s="106" t="inlineStr">
        <is>
          <t>SH-07 PUERTO COLLAHUASI/NF</t>
        </is>
      </c>
      <c r="BQ912" s="106">
        <f>VLOOKUP(BP912,[1]AGUA!$1:$1048576,2,FALSE)</f>
        <v/>
      </c>
      <c r="BR912" s="106">
        <f>VLOOKUP(BP912,[1]AGUA!$1:$1048576,6,FALSE)</f>
        <v/>
      </c>
      <c r="BS912" s="106">
        <f>VLOOKUP(BP912,[1]AGUA!$1:$1048576,7,FALSE)</f>
        <v/>
      </c>
      <c r="BT912" s="106" t="n"/>
      <c r="BU912" s="253" t="n"/>
      <c r="BV912" s="142" t="inlineStr">
        <is>
          <t>R</t>
        </is>
      </c>
      <c r="BW912" s="105" t="n"/>
      <c r="BX912" s="105" t="n"/>
      <c r="BY912" s="105" t="n"/>
      <c r="BZ912" s="105" t="n"/>
      <c r="CA912" s="105" t="n"/>
      <c r="CB912" s="105" t="n"/>
      <c r="CC912" s="142" t="n">
        <v>1</v>
      </c>
      <c r="CD912" s="125" t="n"/>
      <c r="CE912" s="125" t="n"/>
      <c r="CF912" s="125" t="n"/>
      <c r="CG912" s="125" t="n"/>
      <c r="CH912" s="125" t="n"/>
      <c r="CI912" s="125" t="n"/>
      <c r="CJ912" s="142" t="n">
        <v>1</v>
      </c>
      <c r="CK912" s="125" t="n"/>
      <c r="CL912" s="125" t="n"/>
      <c r="CM912" s="125" t="n"/>
      <c r="CN912" s="125" t="n"/>
      <c r="CO912" s="125" t="n"/>
      <c r="CP912" s="125" t="n"/>
      <c r="CQ912" s="142" t="n">
        <v>1</v>
      </c>
      <c r="CR912" s="125" t="n"/>
      <c r="CS912" s="125" t="n"/>
      <c r="CT912" s="125" t="n"/>
      <c r="CU912" s="125" t="n"/>
      <c r="CV912" s="125" t="n"/>
      <c r="CW912" s="125" t="n"/>
      <c r="CX912" s="142" t="n">
        <v>1</v>
      </c>
      <c r="CY912" s="105" t="n"/>
      <c r="CZ912" s="124">
        <f>+COUNTA(BV912:CY912)</f>
        <v/>
      </c>
      <c r="DA912" s="251" t="n"/>
      <c r="DB912" s="251" t="n"/>
      <c r="DC912" s="251" t="n"/>
      <c r="DD912" s="251" t="n"/>
      <c r="DE912" s="251" t="n"/>
      <c r="DF912" s="251" t="n"/>
      <c r="DG912" s="251" t="n"/>
      <c r="DH912" s="251" t="n"/>
      <c r="DI912" s="251" t="n"/>
      <c r="DJ912" s="251" t="inlineStr">
        <is>
          <t>S</t>
        </is>
      </c>
      <c r="DK912" s="251" t="inlineStr">
        <is>
          <t>R</t>
        </is>
      </c>
      <c r="DL912" s="95" t="inlineStr">
        <is>
          <t>R</t>
        </is>
      </c>
      <c r="DM912" s="251" t="n"/>
      <c r="DN912" s="95" t="n"/>
      <c r="DO912" s="95" t="n"/>
    </row>
    <row r="913" ht="13" customHeight="1">
      <c r="A913" s="204" t="inlineStr">
        <is>
          <t>SH-07</t>
        </is>
      </c>
      <c r="B913" s="376" t="n"/>
      <c r="C913" s="376"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c r="AE913" s="7" t="n"/>
      <c r="AF913" s="7" t="n"/>
      <c r="AG913" s="7" t="n"/>
      <c r="AH913" s="7" t="n"/>
      <c r="AI913" s="7" t="n"/>
      <c r="AJ913" s="7" t="n"/>
      <c r="AK913" s="60" t="inlineStr">
        <is>
          <t>Plan base + T° + Nitritos + amonio</t>
        </is>
      </c>
      <c r="AL913" s="7" t="inlineStr">
        <is>
          <t>Trimestral</t>
        </is>
      </c>
      <c r="AM913" s="7" t="inlineStr">
        <is>
          <t>-</t>
        </is>
      </c>
      <c r="AN913" s="60" t="inlineStr">
        <is>
          <t>Plan base+ Salinidad+ N Amoniacal + Cu disuelto</t>
        </is>
      </c>
      <c r="AO913" s="7" t="inlineStr">
        <is>
          <t>Trimestral</t>
        </is>
      </c>
      <c r="AP913" s="60" t="inlineStr">
        <is>
          <t>NO</t>
        </is>
      </c>
      <c r="AQ913" s="7" t="inlineStr">
        <is>
          <t>-</t>
        </is>
      </c>
      <c r="AR913" s="7" t="inlineStr">
        <is>
          <t>NO</t>
        </is>
      </c>
      <c r="AS913" s="7" t="inlineStr">
        <is>
          <t>-</t>
        </is>
      </c>
      <c r="AT913" s="7" t="inlineStr">
        <is>
          <t>SI</t>
        </is>
      </c>
      <c r="AU913" s="7" t="inlineStr">
        <is>
          <t>Trimestral</t>
        </is>
      </c>
      <c r="AV913" s="7" t="inlineStr">
        <is>
          <t>NO</t>
        </is>
      </c>
      <c r="AW913" s="7" t="inlineStr">
        <is>
          <t>-</t>
        </is>
      </c>
      <c r="AX913" s="7" t="inlineStr">
        <is>
          <t>NO</t>
        </is>
      </c>
      <c r="AY913" s="7" t="inlineStr">
        <is>
          <t>-</t>
        </is>
      </c>
      <c r="AZ913" s="7" t="inlineStr">
        <is>
          <t>NO</t>
        </is>
      </c>
      <c r="BA913" s="7" t="inlineStr">
        <is>
          <t>-</t>
        </is>
      </c>
      <c r="BB913" s="7" t="inlineStr">
        <is>
          <t>NO</t>
        </is>
      </c>
      <c r="BC913" s="7" t="inlineStr">
        <is>
          <t>-</t>
        </is>
      </c>
      <c r="BD913" s="7" t="inlineStr">
        <is>
          <t>NO</t>
        </is>
      </c>
      <c r="BE913" s="7" t="inlineStr">
        <is>
          <t>-</t>
        </is>
      </c>
      <c r="BF913" s="7" t="inlineStr">
        <is>
          <t>SMA</t>
        </is>
      </c>
      <c r="BG913" s="7" t="inlineStr">
        <is>
          <t>PSA</t>
        </is>
      </c>
      <c r="BH913" s="7" t="inlineStr">
        <is>
          <t>Res. Ex. N° 9/2010 Adenda 2, pregunta 2.2</t>
        </is>
      </c>
      <c r="BI913" s="7" t="inlineStr">
        <is>
          <t>Se realiza analisis de calidad semanal</t>
        </is>
      </c>
      <c r="BJ913" s="7" t="n"/>
      <c r="BK913" s="376" t="n"/>
      <c r="BL913" s="7" t="inlineStr">
        <is>
          <t>PUERTO</t>
        </is>
      </c>
      <c r="BM913" s="251" t="inlineStr">
        <is>
          <t>ASUB</t>
        </is>
      </c>
      <c r="BN913" s="337" t="inlineStr">
        <is>
          <t>Puerto Collahuasi</t>
        </is>
      </c>
      <c r="BO913" s="251" t="inlineStr">
        <is>
          <t>SI</t>
        </is>
      </c>
      <c r="BP913" s="106" t="inlineStr">
        <is>
          <t>SH-07 PUERTO COLLAHUASI/ASUB</t>
        </is>
      </c>
      <c r="BQ913" s="106">
        <f>VLOOKUP(BP913,[1]AGUA!$1:$1048576,2,FALSE)</f>
        <v/>
      </c>
      <c r="BR913" s="106">
        <f>VLOOKUP(BP913,[1]AGUA!$1:$1048576,6,FALSE)</f>
        <v/>
      </c>
      <c r="BS913" s="106">
        <f>VLOOKUP(BP913,[1]AGUA!$1:$1048576,7,FALSE)</f>
        <v/>
      </c>
      <c r="BT913" s="106" t="n"/>
      <c r="BU913" s="377" t="n"/>
      <c r="BV913" s="105" t="n"/>
      <c r="BW913" s="105" t="n"/>
      <c r="BX913" s="105" t="n"/>
      <c r="BY913" s="105" t="n"/>
      <c r="BZ913" s="105" t="n"/>
      <c r="CA913" s="105" t="n"/>
      <c r="CB913" s="105" t="n"/>
      <c r="CC913" s="107" t="n">
        <v>1</v>
      </c>
      <c r="CD913" s="105" t="n"/>
      <c r="CE913" s="105" t="n"/>
      <c r="CF913" s="105" t="n"/>
      <c r="CG913" s="106" t="n"/>
      <c r="CH913" s="105" t="n"/>
      <c r="CI913" s="106" t="n"/>
      <c r="CJ913" s="105" t="n"/>
      <c r="CK913" s="105" t="n"/>
      <c r="CL913" s="105" t="n"/>
      <c r="CM913" s="105" t="n"/>
      <c r="CN913" s="105" t="n"/>
      <c r="CO913" s="105" t="n"/>
      <c r="CP913" s="105" t="n"/>
      <c r="CQ913" s="105" t="n"/>
      <c r="CR913" s="105" t="n"/>
      <c r="CS913" s="125" t="n"/>
      <c r="CT913" s="105" t="n"/>
      <c r="CU913" s="105" t="n"/>
      <c r="CV913" s="105" t="n"/>
      <c r="CW913" s="105" t="n"/>
      <c r="CX913" s="105" t="n"/>
      <c r="CY913" s="105" t="n"/>
      <c r="CZ913" s="124">
        <f>+COUNTA(BV913:CY913)</f>
        <v/>
      </c>
      <c r="DA913" s="251" t="n"/>
      <c r="DB913" s="251" t="n"/>
      <c r="DC913" s="251" t="n"/>
      <c r="DD913" s="251" t="n"/>
      <c r="DE913" s="251" t="n"/>
      <c r="DF913" s="251" t="n"/>
      <c r="DG913" s="251" t="n"/>
      <c r="DH913" s="251" t="n"/>
      <c r="DI913" s="251" t="n"/>
      <c r="DJ913" s="251" t="n"/>
      <c r="DK913" s="251" t="n"/>
      <c r="DL913" s="95" t="n"/>
      <c r="DM913" s="251" t="inlineStr">
        <is>
          <t>T</t>
        </is>
      </c>
      <c r="DN913" s="95" t="n">
        <v>8</v>
      </c>
      <c r="DO913" s="95" t="n">
        <v>14</v>
      </c>
    </row>
    <row r="914" ht="15.65" customHeight="1">
      <c r="A914" s="204" t="inlineStr">
        <is>
          <t>SH-08</t>
        </is>
      </c>
      <c r="B914" s="305" t="inlineStr">
        <is>
          <t>SH-08 PUERTO COLLAHUASI</t>
        </is>
      </c>
      <c r="C914" s="251" t="n"/>
      <c r="D914" s="7" t="inlineStr">
        <is>
          <t>SI</t>
        </is>
      </c>
      <c r="E914" s="7" t="inlineStr">
        <is>
          <t>SI</t>
        </is>
      </c>
      <c r="F914" s="7" t="inlineStr">
        <is>
          <t>SI</t>
        </is>
      </c>
      <c r="G914" s="7" t="inlineStr">
        <is>
          <t>NO</t>
        </is>
      </c>
      <c r="H914" s="7" t="n">
        <v>378291</v>
      </c>
      <c r="I914" s="7" t="n">
        <v>7702462</v>
      </c>
      <c r="J914" s="7" t="inlineStr">
        <is>
          <t>Construido</t>
        </is>
      </c>
      <c r="K914" s="7" t="inlineStr">
        <is>
          <t>-</t>
        </is>
      </c>
      <c r="L914" s="7" t="inlineStr">
        <is>
          <t>Agua Subterránea</t>
        </is>
      </c>
      <c r="M914" s="7" t="inlineStr">
        <is>
          <t>Puerto</t>
        </is>
      </c>
      <c r="N914" s="7" t="inlineStr">
        <is>
          <t>Pozo</t>
        </is>
      </c>
      <c r="O914" s="7" t="inlineStr">
        <is>
          <t>Puerto Collahuasi</t>
        </is>
      </c>
      <c r="P914" s="7" t="inlineStr">
        <is>
          <t>SI</t>
        </is>
      </c>
      <c r="Q914" s="7" t="inlineStr">
        <is>
          <t>Mensual</t>
        </is>
      </c>
      <c r="R914" s="7" t="inlineStr">
        <is>
          <t>-</t>
        </is>
      </c>
      <c r="S914" s="7" t="inlineStr">
        <is>
          <t>-</t>
        </is>
      </c>
      <c r="T914" s="7" t="inlineStr">
        <is>
          <t>SI</t>
        </is>
      </c>
      <c r="U914" s="7" t="inlineStr">
        <is>
          <t>Semanal</t>
        </is>
      </c>
      <c r="V914" s="7" t="inlineStr">
        <is>
          <t>SI</t>
        </is>
      </c>
      <c r="W914" s="7" t="inlineStr">
        <is>
          <t>Semanal</t>
        </is>
      </c>
      <c r="X914" s="7" t="inlineStr">
        <is>
          <t>NO</t>
        </is>
      </c>
      <c r="Y914" s="7" t="inlineStr">
        <is>
          <t>-</t>
        </is>
      </c>
      <c r="Z914" s="7" t="inlineStr">
        <is>
          <t>NO</t>
        </is>
      </c>
      <c r="AA914" s="7" t="inlineStr">
        <is>
          <t>-</t>
        </is>
      </c>
      <c r="AB914" s="7" t="inlineStr">
        <is>
          <t>NO</t>
        </is>
      </c>
      <c r="AC914" s="7" t="inlineStr">
        <is>
          <t>-</t>
        </is>
      </c>
      <c r="AD914" s="7" t="inlineStr">
        <is>
          <t>NO</t>
        </is>
      </c>
      <c r="AE914" s="7" t="inlineStr">
        <is>
          <t>-</t>
        </is>
      </c>
      <c r="AF914" s="7" t="inlineStr">
        <is>
          <t>-</t>
        </is>
      </c>
      <c r="AG914" s="7" t="inlineStr">
        <is>
          <t>NO</t>
        </is>
      </c>
      <c r="AH914" s="7" t="inlineStr">
        <is>
          <t>-</t>
        </is>
      </c>
      <c r="AI914" s="7" t="inlineStr">
        <is>
          <t>NO</t>
        </is>
      </c>
      <c r="AJ914" s="7" t="inlineStr">
        <is>
          <t>-</t>
        </is>
      </c>
      <c r="AK914" s="60" t="n"/>
      <c r="AL914" s="7" t="n"/>
      <c r="AM914" s="7" t="n"/>
      <c r="AN914" s="60" t="n"/>
      <c r="AO914" s="7" t="n"/>
      <c r="AP914" s="60" t="n"/>
      <c r="AQ914" s="7" t="n"/>
      <c r="AR914" s="7" t="n"/>
      <c r="AS914" s="7" t="n"/>
      <c r="AT914" s="7" t="n"/>
      <c r="AU914" s="7" t="n"/>
      <c r="AV914" s="7" t="n"/>
      <c r="AW914" s="7" t="n"/>
      <c r="AX914" s="7" t="n"/>
      <c r="AY914" s="7" t="n"/>
      <c r="AZ914" s="7" t="n"/>
      <c r="BA914" s="7" t="n"/>
      <c r="BB914" s="7" t="n"/>
      <c r="BC914" s="7" t="n"/>
      <c r="BD914" s="7" t="n"/>
      <c r="BE914" s="7" t="n"/>
      <c r="BF914" s="7" t="n"/>
      <c r="BG914" s="7" t="n"/>
      <c r="BH914" s="7" t="n"/>
      <c r="BI914" s="7" t="n"/>
      <c r="BJ914" s="7" t="n"/>
      <c r="BK914" s="331" t="inlineStr">
        <is>
          <t>532MASH</t>
        </is>
      </c>
      <c r="BL914" s="7" t="inlineStr">
        <is>
          <t>PUERTO</t>
        </is>
      </c>
      <c r="BM914" s="251" t="inlineStr">
        <is>
          <t>NF</t>
        </is>
      </c>
      <c r="BN914" s="337" t="inlineStr">
        <is>
          <t>Puerto Collahuasi</t>
        </is>
      </c>
      <c r="BO914" s="251" t="inlineStr">
        <is>
          <t>SI</t>
        </is>
      </c>
      <c r="BP914" s="106" t="inlineStr">
        <is>
          <t>SH-08 PUERTO COLLAHUASI/NF</t>
        </is>
      </c>
      <c r="BQ914" s="106">
        <f>VLOOKUP(BP914,[1]AGUA!$1:$1048576,2,FALSE)</f>
        <v/>
      </c>
      <c r="BR914" s="106">
        <f>VLOOKUP(BP914,[1]AGUA!$1:$1048576,6,FALSE)</f>
        <v/>
      </c>
      <c r="BS914" s="106">
        <f>VLOOKUP(BP914,[1]AGUA!$1:$1048576,7,FALSE)</f>
        <v/>
      </c>
      <c r="BT914" s="106" t="n"/>
      <c r="BU914" s="253" t="n"/>
      <c r="BV914" s="142" t="inlineStr">
        <is>
          <t>R</t>
        </is>
      </c>
      <c r="BW914" s="105" t="n"/>
      <c r="BX914" s="105" t="n"/>
      <c r="BY914" s="105" t="n"/>
      <c r="BZ914" s="105" t="n"/>
      <c r="CA914" s="105" t="n"/>
      <c r="CB914" s="105" t="n"/>
      <c r="CC914" s="142" t="n">
        <v>1</v>
      </c>
      <c r="CD914" s="125" t="n"/>
      <c r="CE914" s="125" t="n"/>
      <c r="CF914" s="125" t="n"/>
      <c r="CG914" s="125" t="n"/>
      <c r="CH914" s="125" t="n"/>
      <c r="CI914" s="125" t="n"/>
      <c r="CJ914" s="142" t="n">
        <v>1</v>
      </c>
      <c r="CK914" s="125" t="n"/>
      <c r="CL914" s="125" t="n"/>
      <c r="CM914" s="125" t="n"/>
      <c r="CN914" s="125" t="n"/>
      <c r="CO914" s="125" t="n"/>
      <c r="CP914" s="125" t="n"/>
      <c r="CQ914" s="142" t="n">
        <v>1</v>
      </c>
      <c r="CR914" s="125" t="n"/>
      <c r="CS914" s="125" t="n"/>
      <c r="CT914" s="125" t="n"/>
      <c r="CU914" s="125" t="n"/>
      <c r="CV914" s="125" t="n"/>
      <c r="CW914" s="125" t="n"/>
      <c r="CX914" s="142" t="n">
        <v>1</v>
      </c>
      <c r="CY914" s="105" t="n"/>
      <c r="CZ914" s="124">
        <f>+COUNTA(BV914:CY914)</f>
        <v/>
      </c>
      <c r="DA914" s="251" t="n"/>
      <c r="DB914" s="251" t="n"/>
      <c r="DC914" s="251" t="n"/>
      <c r="DD914" s="251" t="n"/>
      <c r="DE914" s="251" t="n"/>
      <c r="DF914" s="251" t="n"/>
      <c r="DG914" s="251" t="n"/>
      <c r="DH914" s="251" t="n"/>
      <c r="DI914" s="251" t="n"/>
      <c r="DJ914" s="251" t="inlineStr">
        <is>
          <t>S</t>
        </is>
      </c>
      <c r="DK914" s="251" t="inlineStr">
        <is>
          <t>R</t>
        </is>
      </c>
      <c r="DL914" s="95" t="inlineStr">
        <is>
          <t>R</t>
        </is>
      </c>
      <c r="DM914" s="251" t="n"/>
      <c r="DN914" s="95" t="n"/>
      <c r="DO914" s="95" t="n"/>
    </row>
    <row r="915" ht="13" customHeight="1">
      <c r="A915" s="204" t="inlineStr">
        <is>
          <t>SH-08</t>
        </is>
      </c>
      <c r="B915" s="376" t="n"/>
      <c r="C915" s="376"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c r="AE915" s="7" t="n"/>
      <c r="AF915" s="7" t="n"/>
      <c r="AG915" s="7" t="n"/>
      <c r="AH915" s="7" t="n"/>
      <c r="AI915" s="7" t="n"/>
      <c r="AJ915" s="7" t="n"/>
      <c r="AK915" s="60" t="inlineStr">
        <is>
          <t>Plan base + T° + Nitritos + amonio</t>
        </is>
      </c>
      <c r="AL915" s="7" t="inlineStr">
        <is>
          <t>Trimestral</t>
        </is>
      </c>
      <c r="AM915" s="7" t="inlineStr">
        <is>
          <t>-</t>
        </is>
      </c>
      <c r="AN915" s="60" t="inlineStr">
        <is>
          <t>Plan base+ Salinidad+ N Amoniacal + Cu disuelto</t>
        </is>
      </c>
      <c r="AO915" s="7" t="inlineStr">
        <is>
          <t>Trimestral</t>
        </is>
      </c>
      <c r="AP915" s="60" t="inlineStr">
        <is>
          <t>NO</t>
        </is>
      </c>
      <c r="AQ915" s="7" t="inlineStr">
        <is>
          <t>-</t>
        </is>
      </c>
      <c r="AR915" s="7" t="inlineStr">
        <is>
          <t>NO</t>
        </is>
      </c>
      <c r="AS915" s="7" t="inlineStr">
        <is>
          <t>-</t>
        </is>
      </c>
      <c r="AT915" s="7" t="inlineStr">
        <is>
          <t>SI</t>
        </is>
      </c>
      <c r="AU915" s="7" t="inlineStr">
        <is>
          <t>Trimestral</t>
        </is>
      </c>
      <c r="AV915" s="7" t="inlineStr">
        <is>
          <t>NO</t>
        </is>
      </c>
      <c r="AW915" s="7" t="inlineStr">
        <is>
          <t>-</t>
        </is>
      </c>
      <c r="AX915" s="7" t="inlineStr">
        <is>
          <t>NO</t>
        </is>
      </c>
      <c r="AY915" s="7" t="inlineStr">
        <is>
          <t>-</t>
        </is>
      </c>
      <c r="AZ915" s="7" t="inlineStr">
        <is>
          <t>NO</t>
        </is>
      </c>
      <c r="BA915" s="7" t="inlineStr">
        <is>
          <t>-</t>
        </is>
      </c>
      <c r="BB915" s="7" t="inlineStr">
        <is>
          <t>NO</t>
        </is>
      </c>
      <c r="BC915" s="7" t="inlineStr">
        <is>
          <t>-</t>
        </is>
      </c>
      <c r="BD915" s="7" t="inlineStr">
        <is>
          <t>NO</t>
        </is>
      </c>
      <c r="BE915" s="7" t="inlineStr">
        <is>
          <t>-</t>
        </is>
      </c>
      <c r="BF915" s="7" t="inlineStr">
        <is>
          <t>SMA</t>
        </is>
      </c>
      <c r="BG915" s="7" t="inlineStr">
        <is>
          <t>PSA</t>
        </is>
      </c>
      <c r="BH915" s="7" t="inlineStr">
        <is>
          <t>Res. Ex. N° 9/2010 Adenda 2, pregunta 2.2</t>
        </is>
      </c>
      <c r="BI915" s="7" t="inlineStr">
        <is>
          <t>Se realiza analisis de calidad semanal</t>
        </is>
      </c>
      <c r="BJ915" s="7" t="n"/>
      <c r="BK915" s="376" t="n"/>
      <c r="BL915" s="7" t="inlineStr">
        <is>
          <t>PUERTO</t>
        </is>
      </c>
      <c r="BM915" s="251" t="inlineStr">
        <is>
          <t>ASUB</t>
        </is>
      </c>
      <c r="BN915" s="337" t="inlineStr">
        <is>
          <t>Puerto Collahuasi</t>
        </is>
      </c>
      <c r="BO915" s="251" t="inlineStr">
        <is>
          <t>SI</t>
        </is>
      </c>
      <c r="BP915" s="106" t="inlineStr">
        <is>
          <t>SH-08 PUERTO COLLAHUASI/ASUB</t>
        </is>
      </c>
      <c r="BQ915" s="106">
        <f>VLOOKUP(BP915,[1]AGUA!$1:$1048576,2,FALSE)</f>
        <v/>
      </c>
      <c r="BR915" s="106">
        <f>VLOOKUP(BP915,[1]AGUA!$1:$1048576,6,FALSE)</f>
        <v/>
      </c>
      <c r="BS915" s="106">
        <f>VLOOKUP(BP915,[1]AGUA!$1:$1048576,7,FALSE)</f>
        <v/>
      </c>
      <c r="BT915" s="106" t="n"/>
      <c r="BU915" s="377" t="n"/>
      <c r="BV915" s="105" t="n"/>
      <c r="BW915" s="105" t="n"/>
      <c r="BX915" s="105" t="n"/>
      <c r="BY915" s="105" t="n"/>
      <c r="BZ915" s="105" t="n"/>
      <c r="CA915" s="105" t="n"/>
      <c r="CB915" s="105" t="n"/>
      <c r="CC915" s="107" t="n">
        <v>1</v>
      </c>
      <c r="CD915" s="105" t="n"/>
      <c r="CE915" s="105" t="n"/>
      <c r="CF915" s="105" t="n"/>
      <c r="CG915" s="106" t="n"/>
      <c r="CH915" s="105" t="n"/>
      <c r="CI915" s="106" t="n"/>
      <c r="CJ915" s="105" t="n"/>
      <c r="CK915" s="105" t="n"/>
      <c r="CL915" s="105" t="n"/>
      <c r="CM915" s="105" t="n"/>
      <c r="CN915" s="105" t="n"/>
      <c r="CO915" s="105" t="n"/>
      <c r="CP915" s="105" t="n"/>
      <c r="CQ915" s="105" t="n"/>
      <c r="CR915" s="105" t="n"/>
      <c r="CS915" s="105" t="n"/>
      <c r="CT915" s="105" t="n"/>
      <c r="CU915" s="105" t="n"/>
      <c r="CV915" s="105" t="n"/>
      <c r="CW915" s="105" t="n"/>
      <c r="CX915" s="105" t="n"/>
      <c r="CY915" s="105" t="n"/>
      <c r="CZ915" s="124">
        <f>+COUNTA(BV915:CY915)</f>
        <v/>
      </c>
      <c r="DA915" s="251" t="n"/>
      <c r="DB915" s="251" t="n"/>
      <c r="DC915" s="251" t="n"/>
      <c r="DD915" s="251" t="n"/>
      <c r="DE915" s="251" t="n"/>
      <c r="DF915" s="251" t="n"/>
      <c r="DG915" s="251" t="n"/>
      <c r="DH915" s="251" t="n"/>
      <c r="DI915" s="251" t="n"/>
      <c r="DJ915" s="251" t="n"/>
      <c r="DK915" s="251" t="n"/>
      <c r="DL915" s="95" t="n"/>
      <c r="DM915" s="251" t="inlineStr">
        <is>
          <t>T</t>
        </is>
      </c>
      <c r="DN915" s="95" t="n">
        <v>8</v>
      </c>
      <c r="DO915" s="95" t="n">
        <v>14</v>
      </c>
    </row>
    <row r="916" ht="13.5" customHeight="1">
      <c r="A916" s="204" t="inlineStr">
        <is>
          <t>SH-09</t>
        </is>
      </c>
      <c r="B916" s="305" t="inlineStr">
        <is>
          <t>SH-09 PUERTO COLLAHUASI</t>
        </is>
      </c>
      <c r="C916" s="251" t="n"/>
      <c r="D916" s="7" t="inlineStr">
        <is>
          <t>SI</t>
        </is>
      </c>
      <c r="E916" s="7" t="inlineStr">
        <is>
          <t>SI</t>
        </is>
      </c>
      <c r="F916" s="7" t="inlineStr">
        <is>
          <t>SI</t>
        </is>
      </c>
      <c r="G916" s="7" t="inlineStr">
        <is>
          <t>NO</t>
        </is>
      </c>
      <c r="H916" s="7" t="n">
        <v>377743</v>
      </c>
      <c r="I916" s="7" t="n">
        <v>7700954</v>
      </c>
      <c r="J916" s="7" t="inlineStr">
        <is>
          <t>Construido</t>
        </is>
      </c>
      <c r="K916" s="7" t="inlineStr">
        <is>
          <t>-</t>
        </is>
      </c>
      <c r="L916" s="7" t="inlineStr">
        <is>
          <t>Agua Subterránea</t>
        </is>
      </c>
      <c r="M916" s="7" t="inlineStr">
        <is>
          <t>Puerto</t>
        </is>
      </c>
      <c r="N916" s="7" t="inlineStr">
        <is>
          <t>Pozo</t>
        </is>
      </c>
      <c r="O916" s="7" t="inlineStr">
        <is>
          <t>Puerto Collahuasi</t>
        </is>
      </c>
      <c r="P916" s="7" t="inlineStr">
        <is>
          <t>SI</t>
        </is>
      </c>
      <c r="Q916" s="7" t="inlineStr">
        <is>
          <t>Mensual</t>
        </is>
      </c>
      <c r="R916" s="7" t="inlineStr">
        <is>
          <t>-</t>
        </is>
      </c>
      <c r="S916" s="7" t="inlineStr">
        <is>
          <t>-</t>
        </is>
      </c>
      <c r="T916" s="7" t="inlineStr">
        <is>
          <t>SI</t>
        </is>
      </c>
      <c r="U916" s="7" t="inlineStr">
        <is>
          <t>Trimestral</t>
        </is>
      </c>
      <c r="V916" s="7" t="inlineStr">
        <is>
          <t>SI</t>
        </is>
      </c>
      <c r="W916" s="7" t="inlineStr">
        <is>
          <t>Mensual</t>
        </is>
      </c>
      <c r="X916" s="7" t="inlineStr">
        <is>
          <t>NO</t>
        </is>
      </c>
      <c r="Y916" s="7" t="inlineStr">
        <is>
          <t>-</t>
        </is>
      </c>
      <c r="Z916" s="7" t="inlineStr">
        <is>
          <t>NO</t>
        </is>
      </c>
      <c r="AA916" s="7" t="inlineStr">
        <is>
          <t>-</t>
        </is>
      </c>
      <c r="AB916" s="7" t="inlineStr">
        <is>
          <t>NO</t>
        </is>
      </c>
      <c r="AC916" s="7" t="inlineStr">
        <is>
          <t>-</t>
        </is>
      </c>
      <c r="AD916" s="7" t="inlineStr">
        <is>
          <t>NO</t>
        </is>
      </c>
      <c r="AE916" s="7" t="inlineStr">
        <is>
          <t>-</t>
        </is>
      </c>
      <c r="AF916" s="7" t="inlineStr">
        <is>
          <t>-</t>
        </is>
      </c>
      <c r="AG916" s="7" t="inlineStr">
        <is>
          <t>NO</t>
        </is>
      </c>
      <c r="AH916" s="7" t="inlineStr">
        <is>
          <t>-</t>
        </is>
      </c>
      <c r="AI916" s="7" t="inlineStr">
        <is>
          <t>NO</t>
        </is>
      </c>
      <c r="AJ916" s="7" t="inlineStr">
        <is>
          <t>-</t>
        </is>
      </c>
      <c r="AK916" s="60" t="n"/>
      <c r="AL916" s="7" t="n"/>
      <c r="AM916" s="7" t="n"/>
      <c r="AN916" s="60" t="n"/>
      <c r="AO916" s="7" t="n"/>
      <c r="AP916" s="60" t="n"/>
      <c r="AQ916" s="7" t="n"/>
      <c r="AR916" s="7" t="n"/>
      <c r="AS916" s="7" t="n"/>
      <c r="AT916" s="7" t="n"/>
      <c r="AU916" s="7" t="n"/>
      <c r="AV916" s="7" t="n"/>
      <c r="AW916" s="7" t="n"/>
      <c r="AX916" s="7" t="n"/>
      <c r="AY916" s="7" t="n"/>
      <c r="AZ916" s="7" t="n"/>
      <c r="BA916" s="7" t="n"/>
      <c r="BB916" s="7" t="n"/>
      <c r="BC916" s="7" t="n"/>
      <c r="BD916" s="7" t="n"/>
      <c r="BE916" s="7" t="n"/>
      <c r="BF916" s="7" t="n"/>
      <c r="BG916" s="7" t="n"/>
      <c r="BH916" s="7" t="n"/>
      <c r="BI916" s="7" t="n"/>
      <c r="BJ916" s="7" t="n"/>
      <c r="BK916" s="331" t="inlineStr">
        <is>
          <t>532MASH</t>
        </is>
      </c>
      <c r="BL916" s="7" t="inlineStr">
        <is>
          <t>PUERTO</t>
        </is>
      </c>
      <c r="BM916" s="251" t="inlineStr">
        <is>
          <t>NF</t>
        </is>
      </c>
      <c r="BN916" s="337" t="inlineStr">
        <is>
          <t>Puerto Collahuasi</t>
        </is>
      </c>
      <c r="BO916" s="251" t="inlineStr">
        <is>
          <t>SI</t>
        </is>
      </c>
      <c r="BP916" s="106" t="inlineStr">
        <is>
          <t>SH-09 PUERTO COLLAHUASI/NF</t>
        </is>
      </c>
      <c r="BQ916" s="106">
        <f>VLOOKUP(BP916,[1]AGUA!$1:$1048576,2,FALSE)</f>
        <v/>
      </c>
      <c r="BR916" s="106">
        <f>VLOOKUP(BP916,[1]AGUA!$1:$1048576,6,FALSE)</f>
        <v/>
      </c>
      <c r="BS916" s="106">
        <f>VLOOKUP(BP916,[1]AGUA!$1:$1048576,7,FALSE)</f>
        <v/>
      </c>
      <c r="BT916" s="106" t="n"/>
      <c r="BU916" s="253" t="n"/>
      <c r="BV916" s="105" t="n"/>
      <c r="BW916" s="105" t="n"/>
      <c r="BX916" s="105" t="n"/>
      <c r="BY916" s="105" t="n"/>
      <c r="BZ916" s="105" t="n"/>
      <c r="CA916" s="105" t="n"/>
      <c r="CB916" s="105" t="n"/>
      <c r="CC916" s="105" t="n"/>
      <c r="CD916" s="105" t="n"/>
      <c r="CE916" s="105" t="n"/>
      <c r="CF916" s="105" t="n"/>
      <c r="CG916" s="105" t="n"/>
      <c r="CH916" s="105" t="n"/>
      <c r="CI916" s="105" t="n"/>
      <c r="CJ916" s="105" t="n"/>
      <c r="CK916" s="105" t="n"/>
      <c r="CL916" s="105" t="n"/>
      <c r="CM916" s="105" t="n"/>
      <c r="CN916" s="105" t="n"/>
      <c r="CO916" s="105" t="n"/>
      <c r="CP916" s="105" t="n"/>
      <c r="CQ916" s="142" t="n">
        <v>1</v>
      </c>
      <c r="CR916" s="105" t="n"/>
      <c r="CS916" s="105" t="n"/>
      <c r="CT916" s="105" t="n"/>
      <c r="CU916" s="105" t="n"/>
      <c r="CV916" s="105" t="n"/>
      <c r="CW916" s="105" t="n"/>
      <c r="CX916" s="105" t="n"/>
      <c r="CY916" s="105" t="n"/>
      <c r="CZ916" s="124">
        <f>+COUNTA(BV916:CY916)</f>
        <v/>
      </c>
      <c r="DA916" s="251" t="n"/>
      <c r="DB916" s="251" t="n"/>
      <c r="DC916" s="251" t="n"/>
      <c r="DD916" s="251" t="n"/>
      <c r="DE916" s="251" t="n"/>
      <c r="DF916" s="251" t="n"/>
      <c r="DG916" s="251" t="n"/>
      <c r="DH916" s="251" t="n"/>
      <c r="DI916" s="251" t="n"/>
      <c r="DJ916" s="251" t="inlineStr">
        <is>
          <t>M</t>
        </is>
      </c>
      <c r="DK916" s="251" t="n">
        <v>22</v>
      </c>
      <c r="DL916" s="95" t="n">
        <v>28</v>
      </c>
      <c r="DM916" s="251" t="n"/>
      <c r="DN916" s="95" t="n"/>
      <c r="DO916" s="95" t="n"/>
    </row>
    <row r="917" ht="13" customHeight="1">
      <c r="A917" s="204" t="inlineStr">
        <is>
          <t>SH-09</t>
        </is>
      </c>
      <c r="B917" s="376" t="n"/>
      <c r="C917" s="376"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c r="AE917" s="7" t="n"/>
      <c r="AF917" s="7" t="n"/>
      <c r="AG917" s="7" t="n"/>
      <c r="AH917" s="7" t="n"/>
      <c r="AI917" s="7" t="n"/>
      <c r="AJ917" s="7" t="n"/>
      <c r="AK917" s="60" t="inlineStr">
        <is>
          <t>Plan base + T° + Nitritos + amonio</t>
        </is>
      </c>
      <c r="AL917" s="7" t="inlineStr">
        <is>
          <t>Trimestral</t>
        </is>
      </c>
      <c r="AM917" s="7" t="inlineStr">
        <is>
          <t>-</t>
        </is>
      </c>
      <c r="AN917" s="60" t="inlineStr">
        <is>
          <t>Plan base+ Salinidad+ N Amoniacal + Cu disuelto</t>
        </is>
      </c>
      <c r="AO917" s="7" t="inlineStr">
        <is>
          <t>Trimestral</t>
        </is>
      </c>
      <c r="AP917" s="60" t="inlineStr">
        <is>
          <t>NO</t>
        </is>
      </c>
      <c r="AQ917" s="7" t="inlineStr">
        <is>
          <t>-</t>
        </is>
      </c>
      <c r="AR917" s="7" t="inlineStr">
        <is>
          <t>NO</t>
        </is>
      </c>
      <c r="AS917" s="7" t="inlineStr">
        <is>
          <t>-</t>
        </is>
      </c>
      <c r="AT917" s="7" t="inlineStr">
        <is>
          <t>SI</t>
        </is>
      </c>
      <c r="AU917" s="7" t="inlineStr">
        <is>
          <t>Trimestral</t>
        </is>
      </c>
      <c r="AV917" s="7" t="inlineStr">
        <is>
          <t>NO</t>
        </is>
      </c>
      <c r="AW917" s="7" t="inlineStr">
        <is>
          <t>-</t>
        </is>
      </c>
      <c r="AX917" s="7" t="inlineStr">
        <is>
          <t>NO</t>
        </is>
      </c>
      <c r="AY917" s="7" t="inlineStr">
        <is>
          <t>-</t>
        </is>
      </c>
      <c r="AZ917" s="7" t="inlineStr">
        <is>
          <t>NO</t>
        </is>
      </c>
      <c r="BA917" s="7" t="inlineStr">
        <is>
          <t>-</t>
        </is>
      </c>
      <c r="BB917" s="7" t="inlineStr">
        <is>
          <t>NO</t>
        </is>
      </c>
      <c r="BC917" s="7" t="inlineStr">
        <is>
          <t>-</t>
        </is>
      </c>
      <c r="BD917" s="7" t="inlineStr">
        <is>
          <t>NO</t>
        </is>
      </c>
      <c r="BE917" s="7" t="inlineStr">
        <is>
          <t>-</t>
        </is>
      </c>
      <c r="BF917" s="7" t="inlineStr">
        <is>
          <t>SMA</t>
        </is>
      </c>
      <c r="BG917" s="7" t="inlineStr">
        <is>
          <t>PSA</t>
        </is>
      </c>
      <c r="BH917" s="7" t="inlineStr">
        <is>
          <t>Res. Ex. N° 9/2010 Adenda 2, pregunta 2.2</t>
        </is>
      </c>
      <c r="BI917" s="7" t="n"/>
      <c r="BJ917" s="7" t="n"/>
      <c r="BK917" s="376" t="n"/>
      <c r="BL917" s="7" t="inlineStr">
        <is>
          <t>PUERTO</t>
        </is>
      </c>
      <c r="BM917" s="251" t="inlineStr">
        <is>
          <t>ASUB</t>
        </is>
      </c>
      <c r="BN917" s="337" t="inlineStr">
        <is>
          <t>Puerto Collahuasi</t>
        </is>
      </c>
      <c r="BO917" s="251" t="inlineStr">
        <is>
          <t>SI</t>
        </is>
      </c>
      <c r="BP917" s="106" t="inlineStr">
        <is>
          <t>SH-09 PUERTO COLLAHUASI/ASUB</t>
        </is>
      </c>
      <c r="BQ917" s="106">
        <f>VLOOKUP(BP917,[1]AGUA!$1:$1048576,2,FALSE)</f>
        <v/>
      </c>
      <c r="BR917" s="106">
        <f>VLOOKUP(BP917,[1]AGUA!$1:$1048576,6,FALSE)</f>
        <v/>
      </c>
      <c r="BS917" s="106">
        <f>VLOOKUP(BP917,[1]AGUA!$1:$1048576,7,FALSE)</f>
        <v/>
      </c>
      <c r="BT917" s="106" t="n"/>
      <c r="BU917" s="37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07" t="n">
        <v>1</v>
      </c>
      <c r="CR917" s="105" t="n"/>
      <c r="CS917" s="105" t="n"/>
      <c r="CT917" s="105" t="n"/>
      <c r="CU917" s="105" t="n"/>
      <c r="CV917" s="105" t="n"/>
      <c r="CW917" s="105" t="n"/>
      <c r="CX917" s="105" t="n"/>
      <c r="CY917" s="106" t="n"/>
      <c r="CZ917" s="124">
        <f>+COUNTA(BV917:CY917)</f>
        <v/>
      </c>
      <c r="DA917" s="251" t="n"/>
      <c r="DB917" s="251" t="n"/>
      <c r="DC917" s="251" t="n"/>
      <c r="DD917" s="251" t="n"/>
      <c r="DE917" s="251" t="n"/>
      <c r="DF917" s="251" t="n"/>
      <c r="DG917" s="251" t="n"/>
      <c r="DH917" s="251" t="n"/>
      <c r="DI917" s="251" t="n"/>
      <c r="DJ917" s="251" t="n"/>
      <c r="DK917" s="251" t="n"/>
      <c r="DL917" s="95" t="n"/>
      <c r="DM917" s="251" t="inlineStr">
        <is>
          <t>T</t>
        </is>
      </c>
      <c r="DN917" s="95" t="n">
        <v>22</v>
      </c>
      <c r="DO917" s="95" t="n">
        <v>28</v>
      </c>
    </row>
    <row r="918" ht="13" customHeight="1">
      <c r="A918" s="204" t="inlineStr">
        <is>
          <t>SH-12B</t>
        </is>
      </c>
      <c r="B918" s="305" t="inlineStr">
        <is>
          <t>SH-12B PUERTO COLLAHUASI</t>
        </is>
      </c>
      <c r="C918" s="251" t="n"/>
      <c r="D918" s="7" t="inlineStr">
        <is>
          <t>SI</t>
        </is>
      </c>
      <c r="E918" s="7" t="inlineStr">
        <is>
          <t>SI</t>
        </is>
      </c>
      <c r="F918" s="7" t="inlineStr">
        <is>
          <t>SI</t>
        </is>
      </c>
      <c r="G918" s="7" t="inlineStr">
        <is>
          <t>NO</t>
        </is>
      </c>
      <c r="H918" s="7" t="n">
        <v>377540</v>
      </c>
      <c r="I918" s="7" t="n">
        <v>7701471</v>
      </c>
      <c r="J918" s="7" t="inlineStr">
        <is>
          <t>Construido</t>
        </is>
      </c>
      <c r="K918" s="7" t="inlineStr">
        <is>
          <t>-</t>
        </is>
      </c>
      <c r="L918" s="7" t="inlineStr">
        <is>
          <t>Agua Subterránea</t>
        </is>
      </c>
      <c r="M918" s="7" t="inlineStr">
        <is>
          <t>Puerto</t>
        </is>
      </c>
      <c r="N918" s="7" t="inlineStr">
        <is>
          <t>Pozo</t>
        </is>
      </c>
      <c r="O918" s="7" t="inlineStr">
        <is>
          <t>Puerto Collahuasi</t>
        </is>
      </c>
      <c r="P918" s="7" t="inlineStr">
        <is>
          <t>SI</t>
        </is>
      </c>
      <c r="Q918" s="7" t="inlineStr">
        <is>
          <t>Mensual</t>
        </is>
      </c>
      <c r="R918" s="7" t="inlineStr">
        <is>
          <t>-</t>
        </is>
      </c>
      <c r="S918" s="7" t="inlineStr">
        <is>
          <t>-</t>
        </is>
      </c>
      <c r="T918" s="7" t="inlineStr">
        <is>
          <t>SI</t>
        </is>
      </c>
      <c r="U918" s="7" t="inlineStr">
        <is>
          <t>Trimestral</t>
        </is>
      </c>
      <c r="V918" s="7" t="inlineStr">
        <is>
          <t>SI</t>
        </is>
      </c>
      <c r="W918" s="7" t="inlineStr">
        <is>
          <t>Mensual</t>
        </is>
      </c>
      <c r="X918" s="7" t="inlineStr">
        <is>
          <t>NO</t>
        </is>
      </c>
      <c r="Y918" s="7" t="inlineStr">
        <is>
          <t>-</t>
        </is>
      </c>
      <c r="Z918" s="7" t="inlineStr">
        <is>
          <t>NO</t>
        </is>
      </c>
      <c r="AA918" s="7" t="inlineStr">
        <is>
          <t>-</t>
        </is>
      </c>
      <c r="AB918" s="7" t="inlineStr">
        <is>
          <t>NO</t>
        </is>
      </c>
      <c r="AC918" s="7" t="inlineStr">
        <is>
          <t>-</t>
        </is>
      </c>
      <c r="AD918" s="7" t="inlineStr">
        <is>
          <t>NO</t>
        </is>
      </c>
      <c r="AE918" s="7" t="inlineStr">
        <is>
          <t>-</t>
        </is>
      </c>
      <c r="AF918" s="7" t="inlineStr">
        <is>
          <t>-</t>
        </is>
      </c>
      <c r="AG918" s="7" t="inlineStr">
        <is>
          <t>NO</t>
        </is>
      </c>
      <c r="AH918" s="7" t="inlineStr">
        <is>
          <t>-</t>
        </is>
      </c>
      <c r="AI918" s="7" t="inlineStr">
        <is>
          <t>NO</t>
        </is>
      </c>
      <c r="AJ918" s="7" t="inlineStr">
        <is>
          <t>-</t>
        </is>
      </c>
      <c r="AK918" s="60" t="n"/>
      <c r="AL918" s="7" t="n"/>
      <c r="AM918" s="7" t="n"/>
      <c r="AN918" s="60" t="n"/>
      <c r="AO918" s="7" t="n"/>
      <c r="AP918" s="60" t="n"/>
      <c r="AQ918" s="7" t="n"/>
      <c r="AR918" s="7" t="n"/>
      <c r="AS918" s="7" t="n"/>
      <c r="AT918" s="7" t="n"/>
      <c r="AU918" s="7" t="n"/>
      <c r="AV918" s="7" t="n"/>
      <c r="AW918" s="7" t="n"/>
      <c r="AX918" s="7" t="n"/>
      <c r="AY918" s="7" t="n"/>
      <c r="AZ918" s="7" t="n"/>
      <c r="BA918" s="7" t="n"/>
      <c r="BB918" s="7" t="n"/>
      <c r="BC918" s="7" t="n"/>
      <c r="BD918" s="7" t="n"/>
      <c r="BE918" s="7" t="n"/>
      <c r="BF918" s="7" t="n"/>
      <c r="BG918" s="7" t="n"/>
      <c r="BH918" s="7" t="n"/>
      <c r="BI918" s="7" t="n"/>
      <c r="BJ918" s="7" t="n"/>
      <c r="BK918" s="331" t="inlineStr">
        <is>
          <t>532MASH</t>
        </is>
      </c>
      <c r="BL918" s="7" t="inlineStr">
        <is>
          <t>PUERTO</t>
        </is>
      </c>
      <c r="BM918" s="251" t="inlineStr">
        <is>
          <t>NF</t>
        </is>
      </c>
      <c r="BN918" s="337" t="inlineStr">
        <is>
          <t>Puerto Collahuasi</t>
        </is>
      </c>
      <c r="BO918" s="251" t="inlineStr">
        <is>
          <t>SI</t>
        </is>
      </c>
      <c r="BP918" s="106" t="inlineStr">
        <is>
          <t>SH-12B PUERTO COLLAHUASI/NF</t>
        </is>
      </c>
      <c r="BQ918" s="106">
        <f>VLOOKUP(BP918,[1]AGUA!$1:$1048576,2,FALSE)</f>
        <v/>
      </c>
      <c r="BR918" s="106">
        <f>VLOOKUP(BP918,[1]AGUA!$1:$1048576,6,FALSE)</f>
        <v/>
      </c>
      <c r="BS918" s="106">
        <f>VLOOKUP(BP918,[1]AGUA!$1:$1048576,7,FALSE)</f>
        <v/>
      </c>
      <c r="BT918" s="106" t="n"/>
      <c r="BU918" s="253"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42" t="n">
        <v>1</v>
      </c>
      <c r="CR918" s="105" t="n"/>
      <c r="CS918" s="105" t="n"/>
      <c r="CT918" s="105" t="n"/>
      <c r="CU918" s="105" t="n"/>
      <c r="CV918" s="105" t="n"/>
      <c r="CW918" s="105" t="n"/>
      <c r="CX918" s="105" t="n"/>
      <c r="CY918" s="105" t="n"/>
      <c r="CZ918" s="124">
        <f>+COUNTA(BV918:CY918)</f>
        <v/>
      </c>
      <c r="DA918" s="251" t="n"/>
      <c r="DB918" s="251" t="n"/>
      <c r="DC918" s="251" t="n"/>
      <c r="DD918" s="251" t="n"/>
      <c r="DE918" s="251" t="n"/>
      <c r="DF918" s="251" t="n"/>
      <c r="DG918" s="251" t="n"/>
      <c r="DH918" s="251" t="n"/>
      <c r="DI918" s="251" t="n"/>
      <c r="DJ918" s="251" t="inlineStr">
        <is>
          <t>M</t>
        </is>
      </c>
      <c r="DK918" s="251" t="n">
        <v>22</v>
      </c>
      <c r="DL918" s="95" t="n">
        <v>28</v>
      </c>
      <c r="DM918" s="251" t="n"/>
      <c r="DN918" s="95" t="n"/>
      <c r="DO918" s="95" t="n"/>
    </row>
    <row r="919" ht="13" customHeight="1">
      <c r="A919" s="204" t="inlineStr">
        <is>
          <t>SH-12B</t>
        </is>
      </c>
      <c r="B919" s="376" t="n"/>
      <c r="C919" s="376"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c r="AE919" s="7" t="n"/>
      <c r="AF919" s="7" t="n"/>
      <c r="AG919" s="7" t="n"/>
      <c r="AH919" s="7" t="n"/>
      <c r="AI919" s="7" t="n"/>
      <c r="AJ919" s="7" t="n"/>
      <c r="AK919" s="60" t="inlineStr">
        <is>
          <t>Plan base + T° + Nitritos + amonio</t>
        </is>
      </c>
      <c r="AL919" s="7" t="inlineStr">
        <is>
          <t>Trimestral</t>
        </is>
      </c>
      <c r="AM919" s="7" t="inlineStr">
        <is>
          <t>-</t>
        </is>
      </c>
      <c r="AN919" s="60" t="inlineStr">
        <is>
          <t>Plan base+ Salinidad+ N Amoniacal + Cu disuelto</t>
        </is>
      </c>
      <c r="AO919" s="7" t="inlineStr">
        <is>
          <t>Trimestral</t>
        </is>
      </c>
      <c r="AP919" s="60" t="inlineStr">
        <is>
          <t>NO</t>
        </is>
      </c>
      <c r="AQ919" s="7" t="inlineStr">
        <is>
          <t>-</t>
        </is>
      </c>
      <c r="AR919" s="7" t="inlineStr">
        <is>
          <t>NO</t>
        </is>
      </c>
      <c r="AS919" s="7" t="inlineStr">
        <is>
          <t>-</t>
        </is>
      </c>
      <c r="AT919" s="7" t="inlineStr">
        <is>
          <t>SI</t>
        </is>
      </c>
      <c r="AU919" s="7" t="inlineStr">
        <is>
          <t>Trimestral</t>
        </is>
      </c>
      <c r="AV919" s="7" t="inlineStr">
        <is>
          <t>NO</t>
        </is>
      </c>
      <c r="AW919" s="7" t="inlineStr">
        <is>
          <t>-</t>
        </is>
      </c>
      <c r="AX919" s="7" t="inlineStr">
        <is>
          <t>NO</t>
        </is>
      </c>
      <c r="AY919" s="7" t="inlineStr">
        <is>
          <t>-</t>
        </is>
      </c>
      <c r="AZ919" s="7" t="inlineStr">
        <is>
          <t>NO</t>
        </is>
      </c>
      <c r="BA919" s="7" t="inlineStr">
        <is>
          <t>-</t>
        </is>
      </c>
      <c r="BB919" s="7" t="inlineStr">
        <is>
          <t>NO</t>
        </is>
      </c>
      <c r="BC919" s="7" t="inlineStr">
        <is>
          <t>-</t>
        </is>
      </c>
      <c r="BD919" s="7" t="inlineStr">
        <is>
          <t>NO</t>
        </is>
      </c>
      <c r="BE919" s="7" t="inlineStr">
        <is>
          <t>-</t>
        </is>
      </c>
      <c r="BF919" s="7" t="inlineStr">
        <is>
          <t>SMA</t>
        </is>
      </c>
      <c r="BG919" s="7" t="inlineStr">
        <is>
          <t>PSA</t>
        </is>
      </c>
      <c r="BH919" s="7" t="inlineStr">
        <is>
          <t>Res. Ex. N° 9/2010 Adenda 2, pregunta 2.2</t>
        </is>
      </c>
      <c r="BI919" s="7" t="n"/>
      <c r="BJ919" s="7" t="n"/>
      <c r="BK919" s="376" t="n"/>
      <c r="BL919" s="7" t="inlineStr">
        <is>
          <t>PUERTO</t>
        </is>
      </c>
      <c r="BM919" s="251" t="inlineStr">
        <is>
          <t>ASUB</t>
        </is>
      </c>
      <c r="BN919" s="337" t="inlineStr">
        <is>
          <t>Puerto Collahuasi</t>
        </is>
      </c>
      <c r="BO919" s="251" t="inlineStr">
        <is>
          <t>SI</t>
        </is>
      </c>
      <c r="BP919" s="106" t="inlineStr">
        <is>
          <t>SH-12B PUERTO COLLAHUASI/ASUB</t>
        </is>
      </c>
      <c r="BQ919" s="106">
        <f>VLOOKUP(BP919,[1]AGUA!$1:$1048576,2,FALSE)</f>
        <v/>
      </c>
      <c r="BR919" s="106">
        <f>VLOOKUP(BP919,[1]AGUA!$1:$1048576,6,FALSE)</f>
        <v/>
      </c>
      <c r="BS919" s="106">
        <f>VLOOKUP(BP919,[1]AGUA!$1:$1048576,7,FALSE)</f>
        <v/>
      </c>
      <c r="BT919" s="106" t="n"/>
      <c r="BU919" s="37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07" t="n">
        <v>1</v>
      </c>
      <c r="CR919" s="105" t="n"/>
      <c r="CS919" s="105" t="n"/>
      <c r="CT919" s="105" t="n"/>
      <c r="CU919" s="105" t="n"/>
      <c r="CV919" s="105" t="n"/>
      <c r="CW919" s="105" t="n"/>
      <c r="CX919" s="105" t="n"/>
      <c r="CY919" s="106" t="n"/>
      <c r="CZ919" s="124">
        <f>+COUNTA(BV919:CY919)</f>
        <v/>
      </c>
      <c r="DA919" s="251" t="n"/>
      <c r="DB919" s="251" t="n"/>
      <c r="DC919" s="251" t="n"/>
      <c r="DD919" s="251" t="n"/>
      <c r="DE919" s="251" t="n"/>
      <c r="DF919" s="251" t="n"/>
      <c r="DG919" s="251" t="n"/>
      <c r="DH919" s="251" t="n"/>
      <c r="DI919" s="251" t="n"/>
      <c r="DJ919" s="251" t="n"/>
      <c r="DK919" s="251" t="n"/>
      <c r="DL919" s="95" t="n"/>
      <c r="DM919" s="251" t="inlineStr">
        <is>
          <t>T</t>
        </is>
      </c>
      <c r="DN919" s="95" t="n">
        <v>22</v>
      </c>
      <c r="DO919" s="95" t="n">
        <v>28</v>
      </c>
    </row>
    <row r="920" ht="13" customHeight="1">
      <c r="A920" s="203" t="inlineStr">
        <is>
          <t>SH-13</t>
        </is>
      </c>
      <c r="B920" s="305" t="inlineStr">
        <is>
          <t>SH-13 PUERTO COLLAHUASI</t>
        </is>
      </c>
      <c r="C920" s="7" t="n"/>
      <c r="D920" s="7" t="inlineStr">
        <is>
          <t>MONITOREO INTERNO</t>
        </is>
      </c>
      <c r="E920" s="7" t="inlineStr">
        <is>
          <t>NO</t>
        </is>
      </c>
      <c r="F920" s="7" t="inlineStr">
        <is>
          <t>NO</t>
        </is>
      </c>
      <c r="G920" s="7" t="inlineStr">
        <is>
          <t>NO</t>
        </is>
      </c>
      <c r="H920" s="7" t="inlineStr">
        <is>
          <t>REVISAR</t>
        </is>
      </c>
      <c r="I920" s="7" t="inlineStr">
        <is>
          <t>REVISAR</t>
        </is>
      </c>
      <c r="J920" s="7" t="inlineStr">
        <is>
          <t>Construido</t>
        </is>
      </c>
      <c r="K920" s="7" t="inlineStr">
        <is>
          <t>-</t>
        </is>
      </c>
      <c r="L920" s="7" t="inlineStr">
        <is>
          <t>Agua Subterránea</t>
        </is>
      </c>
      <c r="M920" s="7" t="inlineStr">
        <is>
          <t>Puerto</t>
        </is>
      </c>
      <c r="N920" s="7" t="inlineStr">
        <is>
          <t>POZO</t>
        </is>
      </c>
      <c r="O920" s="7" t="inlineStr">
        <is>
          <t>Puerto Collahuasi</t>
        </is>
      </c>
      <c r="P920" s="7" t="inlineStr">
        <is>
          <t>NO</t>
        </is>
      </c>
      <c r="Q920" s="7" t="inlineStr">
        <is>
          <t>-</t>
        </is>
      </c>
      <c r="R920" s="7" t="inlineStr">
        <is>
          <t>-</t>
        </is>
      </c>
      <c r="S920" s="7" t="inlineStr">
        <is>
          <t>-</t>
        </is>
      </c>
      <c r="T920" s="7" t="inlineStr">
        <is>
          <t>SI</t>
        </is>
      </c>
      <c r="U920" s="7" t="inlineStr">
        <is>
          <t>Mensual</t>
        </is>
      </c>
      <c r="V920" s="7" t="inlineStr">
        <is>
          <t>SI</t>
        </is>
      </c>
      <c r="W920" s="7" t="inlineStr">
        <is>
          <t>Trimestral</t>
        </is>
      </c>
      <c r="X920" s="7" t="inlineStr">
        <is>
          <t>NO</t>
        </is>
      </c>
      <c r="Y920" s="7" t="inlineStr">
        <is>
          <t>-</t>
        </is>
      </c>
      <c r="Z920" s="7" t="inlineStr">
        <is>
          <t>NO</t>
        </is>
      </c>
      <c r="AA920" s="7" t="inlineStr">
        <is>
          <t>-</t>
        </is>
      </c>
      <c r="AB920" s="7" t="inlineStr">
        <is>
          <t>NO</t>
        </is>
      </c>
      <c r="AC920" s="7" t="inlineStr">
        <is>
          <t>-</t>
        </is>
      </c>
      <c r="AD920" s="7" t="inlineStr">
        <is>
          <t>NO</t>
        </is>
      </c>
      <c r="AE920" s="7" t="inlineStr">
        <is>
          <t>-</t>
        </is>
      </c>
      <c r="AF920" s="7" t="inlineStr">
        <is>
          <t>-</t>
        </is>
      </c>
      <c r="AG920" s="7" t="inlineStr">
        <is>
          <t>NO</t>
        </is>
      </c>
      <c r="AH920" s="7" t="inlineStr">
        <is>
          <t>-</t>
        </is>
      </c>
      <c r="AI920" s="7" t="inlineStr">
        <is>
          <t>NO</t>
        </is>
      </c>
      <c r="AJ920" s="7" t="inlineStr">
        <is>
          <t>-</t>
        </is>
      </c>
      <c r="AK920" s="60" t="inlineStr">
        <is>
          <t>NO</t>
        </is>
      </c>
      <c r="AL920" s="7" t="inlineStr">
        <is>
          <t>-</t>
        </is>
      </c>
      <c r="AM920" s="7" t="inlineStr">
        <is>
          <t>-</t>
        </is>
      </c>
      <c r="AN920" s="60" t="inlineStr">
        <is>
          <t>NO</t>
        </is>
      </c>
      <c r="AO920" s="7" t="inlineStr">
        <is>
          <t>-</t>
        </is>
      </c>
      <c r="AP920" s="60" t="inlineStr">
        <is>
          <t>NO</t>
        </is>
      </c>
      <c r="AQ920" s="7" t="inlineStr">
        <is>
          <t>-</t>
        </is>
      </c>
      <c r="AR920" s="7" t="inlineStr">
        <is>
          <t>NO</t>
        </is>
      </c>
      <c r="AS920" s="7" t="inlineStr">
        <is>
          <t>-</t>
        </is>
      </c>
      <c r="AT920" s="7" t="inlineStr">
        <is>
          <t>NO</t>
        </is>
      </c>
      <c r="AU920" s="7" t="inlineStr">
        <is>
          <t>-</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No aplica</t>
        </is>
      </c>
      <c r="BG920" s="7" t="inlineStr">
        <is>
          <t>Monitoreo interno</t>
        </is>
      </c>
      <c r="BH920" s="7" t="inlineStr">
        <is>
          <t>No aplica</t>
        </is>
      </c>
      <c r="BI920" s="7" t="n"/>
      <c r="BJ920" s="7" t="n"/>
      <c r="BK920" s="331" t="inlineStr">
        <is>
          <t>532MASH</t>
        </is>
      </c>
      <c r="BL920" s="61" t="inlineStr">
        <is>
          <t>PUERTO</t>
        </is>
      </c>
      <c r="BM920" s="251" t="inlineStr">
        <is>
          <t>NF</t>
        </is>
      </c>
      <c r="BN920" s="337" t="inlineStr">
        <is>
          <t>Puerto Collahuasi</t>
        </is>
      </c>
      <c r="BO920" s="251" t="inlineStr">
        <is>
          <t>SI</t>
        </is>
      </c>
      <c r="BP920" s="106" t="inlineStr">
        <is>
          <t>SH-13 PUERTO COLLAHUASI/NF</t>
        </is>
      </c>
      <c r="BQ920" s="106">
        <f>VLOOKUP(BP920,[1]AGUA!$1:$1048576,2,FALSE)</f>
        <v/>
      </c>
      <c r="BR920" s="106">
        <f>VLOOKUP(BP920,[1]AGUA!$1:$1048576,6,FALSE)</f>
        <v/>
      </c>
      <c r="BS920" s="106">
        <f>VLOOKUP(BP920,[1]AGUA!$1:$1048576,7,FALSE)</f>
        <v/>
      </c>
      <c r="BT920" s="106" t="n"/>
      <c r="BU920" s="101" t="inlineStr">
        <is>
          <t>chequear coordenadas</t>
        </is>
      </c>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42" t="n">
        <v>1</v>
      </c>
      <c r="CR920" s="105" t="n"/>
      <c r="CS920" s="105" t="n"/>
      <c r="CT920" s="105" t="n"/>
      <c r="CU920" s="105" t="n"/>
      <c r="CV920" s="105" t="n"/>
      <c r="CW920" s="105" t="n"/>
      <c r="CX920" s="105" t="n"/>
      <c r="CY920" s="105" t="n"/>
      <c r="CZ920" s="124">
        <f>+COUNTA(BV920:CY920)</f>
        <v/>
      </c>
      <c r="DA920" s="251" t="n"/>
      <c r="DB920" s="251" t="n"/>
      <c r="DC920" s="251" t="n"/>
      <c r="DD920" s="251" t="n"/>
      <c r="DE920" s="251" t="n"/>
      <c r="DF920" s="251" t="n"/>
      <c r="DG920" s="251" t="n"/>
      <c r="DH920" s="251" t="n"/>
      <c r="DI920" s="251" t="n"/>
      <c r="DJ920" s="251" t="inlineStr">
        <is>
          <t>T</t>
        </is>
      </c>
      <c r="DK920" s="251" t="n">
        <v>22</v>
      </c>
      <c r="DL920" s="95" t="n">
        <v>28</v>
      </c>
      <c r="DM920" s="251" t="n"/>
      <c r="DN920" s="95" t="n"/>
      <c r="DO920" s="95" t="n"/>
    </row>
    <row r="921" ht="12.65" customHeight="1">
      <c r="A921" s="203" t="inlineStr">
        <is>
          <t>SH-14</t>
        </is>
      </c>
      <c r="B921" s="305" t="inlineStr">
        <is>
          <t>SH-14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1" t="inlineStr">
        <is>
          <t>532MASH</t>
        </is>
      </c>
      <c r="BL921" s="61" t="inlineStr">
        <is>
          <t>PUERTO</t>
        </is>
      </c>
      <c r="BM921" s="251" t="inlineStr">
        <is>
          <t>NF</t>
        </is>
      </c>
      <c r="BN921" s="337" t="inlineStr">
        <is>
          <t>Puerto Collahuasi</t>
        </is>
      </c>
      <c r="BO921" s="251" t="inlineStr">
        <is>
          <t>SI</t>
        </is>
      </c>
      <c r="BP921" s="106" t="inlineStr">
        <is>
          <t>SH-14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42" t="n">
        <v>1</v>
      </c>
      <c r="CR921" s="105" t="n"/>
      <c r="CS921" s="105" t="n"/>
      <c r="CT921" s="105" t="n"/>
      <c r="CU921" s="105" t="n"/>
      <c r="CV921" s="105" t="n"/>
      <c r="CW921" s="105" t="n"/>
      <c r="CX921" s="105" t="n"/>
      <c r="CY921" s="105" t="n"/>
      <c r="CZ921" s="124">
        <f>+COUNTA(BV921:CY921)</f>
        <v/>
      </c>
      <c r="DA921" s="251" t="n"/>
      <c r="DB921" s="251" t="n"/>
      <c r="DC921" s="251" t="n"/>
      <c r="DD921" s="251" t="n"/>
      <c r="DE921" s="251" t="n"/>
      <c r="DF921" s="251" t="n"/>
      <c r="DG921" s="251" t="n"/>
      <c r="DH921" s="251" t="n"/>
      <c r="DI921" s="251" t="n"/>
      <c r="DJ921" s="251" t="inlineStr">
        <is>
          <t>T</t>
        </is>
      </c>
      <c r="DK921" s="251" t="n">
        <v>22</v>
      </c>
      <c r="DL921" s="95" t="n">
        <v>28</v>
      </c>
      <c r="DM921" s="251" t="n"/>
      <c r="DN921" s="95" t="n"/>
      <c r="DO921" s="95" t="n"/>
    </row>
    <row r="922" ht="13" customHeight="1">
      <c r="A922" s="203" t="inlineStr">
        <is>
          <t>SH-15</t>
        </is>
      </c>
      <c r="B922" s="305" t="inlineStr">
        <is>
          <t>SH-15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1" t="inlineStr">
        <is>
          <t>532MASH</t>
        </is>
      </c>
      <c r="BL922" s="61" t="inlineStr">
        <is>
          <t>PUERTO</t>
        </is>
      </c>
      <c r="BM922" s="251" t="inlineStr">
        <is>
          <t>NF</t>
        </is>
      </c>
      <c r="BN922" s="337" t="inlineStr">
        <is>
          <t>Puerto Collahuasi</t>
        </is>
      </c>
      <c r="BO922" s="251" t="inlineStr">
        <is>
          <t>SI</t>
        </is>
      </c>
      <c r="BP922" s="106" t="inlineStr">
        <is>
          <t>SH-15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42" t="n">
        <v>1</v>
      </c>
      <c r="CR922" s="105" t="n"/>
      <c r="CS922" s="105" t="n"/>
      <c r="CT922" s="105" t="n"/>
      <c r="CU922" s="105" t="n"/>
      <c r="CV922" s="105" t="n"/>
      <c r="CW922" s="105" t="n"/>
      <c r="CX922" s="105" t="n"/>
      <c r="CY922" s="105" t="n"/>
      <c r="CZ922" s="124">
        <f>+COUNTA(BV922:CY922)</f>
        <v/>
      </c>
      <c r="DA922" s="251" t="n"/>
      <c r="DB922" s="251" t="n"/>
      <c r="DC922" s="251" t="n"/>
      <c r="DD922" s="251" t="n"/>
      <c r="DE922" s="251" t="n"/>
      <c r="DF922" s="251" t="n"/>
      <c r="DG922" s="251" t="n"/>
      <c r="DH922" s="251" t="n"/>
      <c r="DI922" s="251" t="n"/>
      <c r="DJ922" s="251" t="inlineStr">
        <is>
          <t>T</t>
        </is>
      </c>
      <c r="DK922" s="251" t="n">
        <v>22</v>
      </c>
      <c r="DL922" s="95" t="n">
        <v>28</v>
      </c>
      <c r="DM922" s="251" t="n"/>
      <c r="DN922" s="95" t="n"/>
      <c r="DO922" s="95" t="n"/>
    </row>
    <row r="923" ht="13" customHeight="1">
      <c r="A923" s="203" t="inlineStr">
        <is>
          <t>SH-16</t>
        </is>
      </c>
      <c r="B923" s="305" t="inlineStr">
        <is>
          <t>SH-16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1" t="inlineStr">
        <is>
          <t>532MASH</t>
        </is>
      </c>
      <c r="BL923" s="61" t="inlineStr">
        <is>
          <t>PUERTO</t>
        </is>
      </c>
      <c r="BM923" s="251" t="inlineStr">
        <is>
          <t>NF</t>
        </is>
      </c>
      <c r="BN923" s="337" t="inlineStr">
        <is>
          <t>Puerto Collahuasi</t>
        </is>
      </c>
      <c r="BO923" s="251" t="inlineStr">
        <is>
          <t>SI</t>
        </is>
      </c>
      <c r="BP923" s="106" t="inlineStr">
        <is>
          <t>SH-16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42" t="n">
        <v>1</v>
      </c>
      <c r="CR923" s="105" t="n"/>
      <c r="CS923" s="105" t="n"/>
      <c r="CT923" s="105" t="n"/>
      <c r="CU923" s="105" t="n"/>
      <c r="CV923" s="105" t="n"/>
      <c r="CW923" s="105" t="n"/>
      <c r="CX923" s="105" t="n"/>
      <c r="CY923" s="105" t="n"/>
      <c r="CZ923" s="124">
        <f>+COUNTA(BV923:CY923)</f>
        <v/>
      </c>
      <c r="DA923" s="251" t="n"/>
      <c r="DB923" s="251" t="n"/>
      <c r="DC923" s="251" t="n"/>
      <c r="DD923" s="251" t="n"/>
      <c r="DE923" s="251" t="n"/>
      <c r="DF923" s="251" t="n"/>
      <c r="DG923" s="251" t="n"/>
      <c r="DH923" s="251" t="n"/>
      <c r="DI923" s="251" t="n"/>
      <c r="DJ923" s="251" t="inlineStr">
        <is>
          <t>T</t>
        </is>
      </c>
      <c r="DK923" s="251" t="n">
        <v>22</v>
      </c>
      <c r="DL923" s="95" t="n">
        <v>28</v>
      </c>
      <c r="DM923" s="251" t="n"/>
      <c r="DN923" s="95" t="n"/>
      <c r="DO923" s="95" t="n"/>
    </row>
    <row r="924" ht="13" customHeight="1">
      <c r="A924" s="203" t="inlineStr">
        <is>
          <t>SH-17A</t>
        </is>
      </c>
      <c r="B924" s="305" t="inlineStr">
        <is>
          <t>SH-17A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1" t="inlineStr">
        <is>
          <t>532MASH</t>
        </is>
      </c>
      <c r="BL924" s="61" t="inlineStr">
        <is>
          <t>PUERTO</t>
        </is>
      </c>
      <c r="BM924" s="251" t="inlineStr">
        <is>
          <t>NF</t>
        </is>
      </c>
      <c r="BN924" s="337" t="inlineStr">
        <is>
          <t>Puerto Collahuasi</t>
        </is>
      </c>
      <c r="BO924" s="251" t="inlineStr">
        <is>
          <t>SI</t>
        </is>
      </c>
      <c r="BP924" s="106" t="inlineStr">
        <is>
          <t>SH-17A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42" t="n">
        <v>1</v>
      </c>
      <c r="CR924" s="105" t="n"/>
      <c r="CS924" s="105" t="n"/>
      <c r="CT924" s="105" t="n"/>
      <c r="CU924" s="105" t="n"/>
      <c r="CV924" s="105" t="n"/>
      <c r="CW924" s="105" t="n"/>
      <c r="CX924" s="105" t="n"/>
      <c r="CY924" s="105" t="n"/>
      <c r="CZ924" s="124">
        <f>+COUNTA(BV924:CY924)</f>
        <v/>
      </c>
      <c r="DA924" s="251" t="n"/>
      <c r="DB924" s="251" t="n"/>
      <c r="DC924" s="251" t="n"/>
      <c r="DD924" s="251" t="n"/>
      <c r="DE924" s="251" t="n"/>
      <c r="DF924" s="251" t="n"/>
      <c r="DG924" s="251" t="n"/>
      <c r="DH924" s="251" t="n"/>
      <c r="DI924" s="251" t="n"/>
      <c r="DJ924" s="251" t="inlineStr">
        <is>
          <t>T</t>
        </is>
      </c>
      <c r="DK924" s="251" t="n">
        <v>22</v>
      </c>
      <c r="DL924" s="95" t="n">
        <v>28</v>
      </c>
      <c r="DM924" s="251" t="n"/>
      <c r="DN924" s="95" t="n"/>
      <c r="DO924" s="95" t="n"/>
    </row>
    <row r="925" ht="13" customHeight="1">
      <c r="A925" s="203" t="inlineStr">
        <is>
          <t>SH-17B</t>
        </is>
      </c>
      <c r="B925" s="305" t="inlineStr">
        <is>
          <t>SH-17B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1" t="inlineStr">
        <is>
          <t>532MASH</t>
        </is>
      </c>
      <c r="BL925" s="61" t="inlineStr">
        <is>
          <t>PUERTO</t>
        </is>
      </c>
      <c r="BM925" s="251" t="inlineStr">
        <is>
          <t>NF</t>
        </is>
      </c>
      <c r="BN925" s="337" t="inlineStr">
        <is>
          <t>Puerto Collahuasi</t>
        </is>
      </c>
      <c r="BO925" s="251" t="inlineStr">
        <is>
          <t>SI</t>
        </is>
      </c>
      <c r="BP925" s="106" t="inlineStr">
        <is>
          <t>SH-17B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42" t="n">
        <v>1</v>
      </c>
      <c r="CR925" s="105" t="n"/>
      <c r="CS925" s="105" t="n"/>
      <c r="CT925" s="105" t="n"/>
      <c r="CU925" s="105" t="n"/>
      <c r="CV925" s="105" t="n"/>
      <c r="CW925" s="105" t="n"/>
      <c r="CX925" s="105" t="n"/>
      <c r="CY925" s="105" t="n"/>
      <c r="CZ925" s="124">
        <f>+COUNTA(BV925:CY925)</f>
        <v/>
      </c>
      <c r="DA925" s="251" t="n"/>
      <c r="DB925" s="251" t="n"/>
      <c r="DC925" s="251" t="n"/>
      <c r="DD925" s="251" t="n"/>
      <c r="DE925" s="251" t="n"/>
      <c r="DF925" s="251" t="n"/>
      <c r="DG925" s="251" t="n"/>
      <c r="DH925" s="251" t="n"/>
      <c r="DI925" s="251" t="n"/>
      <c r="DJ925" s="251" t="inlineStr">
        <is>
          <t>T</t>
        </is>
      </c>
      <c r="DK925" s="251" t="n">
        <v>22</v>
      </c>
      <c r="DL925" s="95" t="n">
        <v>28</v>
      </c>
      <c r="DM925" s="251" t="n"/>
      <c r="DN925" s="95" t="n"/>
      <c r="DO925" s="95" t="n"/>
    </row>
    <row r="926" ht="13" customHeight="1">
      <c r="A926" s="203" t="inlineStr">
        <is>
          <t>SH-18</t>
        </is>
      </c>
      <c r="B926" s="305" t="inlineStr">
        <is>
          <t>SH-18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1" t="inlineStr">
        <is>
          <t>532MASH</t>
        </is>
      </c>
      <c r="BL926" s="61" t="inlineStr">
        <is>
          <t>PUERTO</t>
        </is>
      </c>
      <c r="BM926" s="251" t="inlineStr">
        <is>
          <t>NF</t>
        </is>
      </c>
      <c r="BN926" s="337" t="inlineStr">
        <is>
          <t>Puerto Collahuasi</t>
        </is>
      </c>
      <c r="BO926" s="251" t="inlineStr">
        <is>
          <t>SI</t>
        </is>
      </c>
      <c r="BP926" s="106" t="inlineStr">
        <is>
          <t>SH-18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42" t="n">
        <v>1</v>
      </c>
      <c r="CR926" s="105" t="n"/>
      <c r="CS926" s="105" t="n"/>
      <c r="CT926" s="105" t="n"/>
      <c r="CU926" s="105" t="n"/>
      <c r="CV926" s="105" t="n"/>
      <c r="CW926" s="105" t="n"/>
      <c r="CX926" s="105" t="n"/>
      <c r="CY926" s="105" t="n"/>
      <c r="CZ926" s="124">
        <f>+COUNTA(BV926:CY926)</f>
        <v/>
      </c>
      <c r="DA926" s="251" t="n"/>
      <c r="DB926" s="251" t="n"/>
      <c r="DC926" s="251" t="n"/>
      <c r="DD926" s="251" t="n"/>
      <c r="DE926" s="251" t="n"/>
      <c r="DF926" s="251" t="n"/>
      <c r="DG926" s="251" t="n"/>
      <c r="DH926" s="251" t="n"/>
      <c r="DI926" s="251" t="n"/>
      <c r="DJ926" s="251" t="inlineStr">
        <is>
          <t>T</t>
        </is>
      </c>
      <c r="DK926" s="251" t="n">
        <v>22</v>
      </c>
      <c r="DL926" s="95" t="n">
        <v>28</v>
      </c>
      <c r="DM926" s="251" t="n"/>
      <c r="DN926" s="95" t="n"/>
      <c r="DO926" s="95" t="n"/>
    </row>
    <row r="927" ht="13" customHeight="1">
      <c r="A927" s="204" t="inlineStr">
        <is>
          <t>SH-19</t>
        </is>
      </c>
      <c r="B927" s="305" t="inlineStr">
        <is>
          <t>SH-19 PUERTO COLLAHUASI</t>
        </is>
      </c>
      <c r="C927" s="251" t="n"/>
      <c r="D927" s="7" t="inlineStr">
        <is>
          <t>SI</t>
        </is>
      </c>
      <c r="E927" s="7" t="inlineStr">
        <is>
          <t>SI</t>
        </is>
      </c>
      <c r="F927" s="7" t="inlineStr">
        <is>
          <t>SI</t>
        </is>
      </c>
      <c r="G927" s="7" t="inlineStr">
        <is>
          <t>NO</t>
        </is>
      </c>
      <c r="H927" s="7" t="n">
        <v>378355</v>
      </c>
      <c r="I927" s="7" t="n">
        <v>7702333</v>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SI</t>
        </is>
      </c>
      <c r="Q927" s="7" t="inlineStr">
        <is>
          <t>Mensual</t>
        </is>
      </c>
      <c r="R927" s="7" t="inlineStr">
        <is>
          <t>-</t>
        </is>
      </c>
      <c r="S927" s="7" t="inlineStr">
        <is>
          <t>-</t>
        </is>
      </c>
      <c r="T927" s="7" t="inlineStr">
        <is>
          <t>SI</t>
        </is>
      </c>
      <c r="U927" s="7" t="inlineStr">
        <is>
          <t>Semanal</t>
        </is>
      </c>
      <c r="V927" s="7" t="inlineStr">
        <is>
          <t>SI</t>
        </is>
      </c>
      <c r="W927" s="7" t="inlineStr">
        <is>
          <t>Semanal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7" t="n"/>
      <c r="AL927" s="7" t="n"/>
      <c r="AM927" s="7" t="n"/>
      <c r="AN927" s="7" t="n"/>
      <c r="AO927" s="7" t="n"/>
      <c r="AP927" s="7" t="n"/>
      <c r="AQ927" s="7" t="n"/>
      <c r="AR927" s="7" t="n"/>
      <c r="AS927" s="7" t="n"/>
      <c r="AT927" s="7" t="n"/>
      <c r="AU927" s="7" t="n"/>
      <c r="AV927" s="7" t="n"/>
      <c r="AW927" s="7" t="n"/>
      <c r="AX927" s="7" t="n"/>
      <c r="AY927" s="7" t="n"/>
      <c r="AZ927" s="7" t="n"/>
      <c r="BA927" s="7" t="n"/>
      <c r="BB927" s="7" t="n"/>
      <c r="BC927" s="7" t="n"/>
      <c r="BD927" s="7" t="n"/>
      <c r="BE927" s="7" t="n"/>
      <c r="BF927" s="7" t="n"/>
      <c r="BG927" s="7" t="n"/>
      <c r="BH927" s="7" t="n"/>
      <c r="BI927" s="7" t="n"/>
      <c r="BJ927" s="7" t="n"/>
      <c r="BK927" s="331" t="inlineStr">
        <is>
          <t>532MASH</t>
        </is>
      </c>
      <c r="BL927" s="7" t="inlineStr">
        <is>
          <t>PUERTO</t>
        </is>
      </c>
      <c r="BM927" s="251" t="inlineStr">
        <is>
          <t>NF</t>
        </is>
      </c>
      <c r="BN927" s="337" t="inlineStr">
        <is>
          <t>Puerto Collahuasi</t>
        </is>
      </c>
      <c r="BO927" s="251" t="inlineStr">
        <is>
          <t>SI</t>
        </is>
      </c>
      <c r="BP927" s="106" t="inlineStr">
        <is>
          <t>SH-19 PUERTO COLLAHUASI/NF</t>
        </is>
      </c>
      <c r="BQ927" s="106">
        <f>VLOOKUP(BP927,[1]AGUA!$1:$1048576,2,FALSE)</f>
        <v/>
      </c>
      <c r="BR927" s="106">
        <f>VLOOKUP(BP927,[1]AGUA!$1:$1048576,6,FALSE)</f>
        <v/>
      </c>
      <c r="BS927" s="106">
        <f>VLOOKUP(BP927,[1]AGUA!$1:$1048576,7,FALSE)</f>
        <v/>
      </c>
      <c r="BT927" s="106" t="n"/>
      <c r="BU927" s="253" t="n"/>
      <c r="BV927" s="142" t="inlineStr">
        <is>
          <t>R</t>
        </is>
      </c>
      <c r="BW927" s="105" t="n"/>
      <c r="BX927" s="105" t="n"/>
      <c r="BY927" s="105" t="n"/>
      <c r="BZ927" s="105" t="n"/>
      <c r="CA927" s="105" t="n"/>
      <c r="CB927" s="105" t="n"/>
      <c r="CC927" s="142" t="n">
        <v>1</v>
      </c>
      <c r="CD927" s="125" t="n"/>
      <c r="CE927" s="125" t="n"/>
      <c r="CF927" s="125" t="n"/>
      <c r="CG927" s="125" t="n"/>
      <c r="CH927" s="125" t="n"/>
      <c r="CI927" s="125" t="n"/>
      <c r="CJ927" s="142" t="n">
        <v>1</v>
      </c>
      <c r="CK927" s="125" t="n"/>
      <c r="CL927" s="125" t="n"/>
      <c r="CM927" s="125" t="n"/>
      <c r="CN927" s="125" t="n"/>
      <c r="CO927" s="125" t="n"/>
      <c r="CP927" s="125" t="n"/>
      <c r="CQ927" s="142" t="n">
        <v>1</v>
      </c>
      <c r="CR927" s="125" t="n"/>
      <c r="CS927" s="125" t="n"/>
      <c r="CT927" s="125" t="n"/>
      <c r="CU927" s="125" t="n"/>
      <c r="CV927" s="125" t="n"/>
      <c r="CW927" s="125" t="n"/>
      <c r="CX927" s="142" t="n">
        <v>1</v>
      </c>
      <c r="CY927" s="105" t="n"/>
      <c r="CZ927" s="124">
        <f>+COUNTA(BV927:CY927)</f>
        <v/>
      </c>
      <c r="DA927" s="251" t="n"/>
      <c r="DB927" s="251" t="n"/>
      <c r="DC927" s="251" t="n"/>
      <c r="DD927" s="251" t="n"/>
      <c r="DE927" s="251" t="n"/>
      <c r="DF927" s="251" t="n"/>
      <c r="DG927" s="251" t="n"/>
      <c r="DH927" s="251" t="n"/>
      <c r="DI927" s="251" t="n"/>
      <c r="DJ927" s="251" t="inlineStr">
        <is>
          <t>S</t>
        </is>
      </c>
      <c r="DK927" s="251" t="inlineStr">
        <is>
          <t>R</t>
        </is>
      </c>
      <c r="DL927" s="95" t="inlineStr">
        <is>
          <t>R</t>
        </is>
      </c>
      <c r="DM927" s="251" t="n"/>
      <c r="DN927" s="95" t="n"/>
      <c r="DO927" s="95" t="n"/>
    </row>
    <row r="928" ht="13" customHeight="1">
      <c r="A928" s="204" t="inlineStr">
        <is>
          <t>SH-19</t>
        </is>
      </c>
      <c r="B928" s="376" t="n"/>
      <c r="C928" s="376"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c r="AE928" s="7" t="n"/>
      <c r="AF928" s="7" t="n"/>
      <c r="AG928" s="7" t="n"/>
      <c r="AH928" s="7" t="n"/>
      <c r="AI928" s="7" t="n"/>
      <c r="AJ928" s="7" t="n"/>
      <c r="AK928" s="60" t="inlineStr">
        <is>
          <t>Plan base + T° + Nitritos + amonio</t>
        </is>
      </c>
      <c r="AL928" s="7" t="inlineStr">
        <is>
          <t>Trimestral</t>
        </is>
      </c>
      <c r="AM928" s="7" t="inlineStr">
        <is>
          <t>-</t>
        </is>
      </c>
      <c r="AN928" s="60" t="inlineStr">
        <is>
          <t>Plan base+ Salinidad+ N Amoniacal + Cu disuelto</t>
        </is>
      </c>
      <c r="AO928" s="7" t="inlineStr">
        <is>
          <t>Trimestral</t>
        </is>
      </c>
      <c r="AP928" s="60" t="inlineStr">
        <is>
          <t>Plan base+ Salinidad + N Amoniacal + Cu disuelto</t>
        </is>
      </c>
      <c r="AQ928" s="7" t="inlineStr">
        <is>
          <t>Mensual</t>
        </is>
      </c>
      <c r="AR928" s="7" t="inlineStr">
        <is>
          <t>NO</t>
        </is>
      </c>
      <c r="AS928" s="7" t="inlineStr">
        <is>
          <t>-</t>
        </is>
      </c>
      <c r="AT928" s="7" t="inlineStr">
        <is>
          <t>SI</t>
        </is>
      </c>
      <c r="AU928" s="7" t="inlineStr">
        <is>
          <t>Mensual</t>
        </is>
      </c>
      <c r="AV928" s="7" t="inlineStr">
        <is>
          <t>NO</t>
        </is>
      </c>
      <c r="AW928" s="7" t="inlineStr">
        <is>
          <t>-</t>
        </is>
      </c>
      <c r="AX928" s="7" t="inlineStr">
        <is>
          <t>NO</t>
        </is>
      </c>
      <c r="AY928" s="7" t="inlineStr">
        <is>
          <t>-</t>
        </is>
      </c>
      <c r="AZ928" s="7" t="inlineStr">
        <is>
          <t>NO</t>
        </is>
      </c>
      <c r="BA928" s="7" t="inlineStr">
        <is>
          <t>-</t>
        </is>
      </c>
      <c r="BB928" s="7" t="inlineStr">
        <is>
          <t>NO</t>
        </is>
      </c>
      <c r="BC928" s="7" t="inlineStr">
        <is>
          <t>-</t>
        </is>
      </c>
      <c r="BD928" s="7" t="inlineStr">
        <is>
          <t>NO</t>
        </is>
      </c>
      <c r="BE928" s="7" t="inlineStr">
        <is>
          <t>-</t>
        </is>
      </c>
      <c r="BF928" s="7" t="inlineStr">
        <is>
          <t>SMA</t>
        </is>
      </c>
      <c r="BG928" s="7" t="inlineStr">
        <is>
          <t>PSA</t>
        </is>
      </c>
      <c r="BH928" s="7" t="inlineStr">
        <is>
          <t>Res. Ex. 170/2014 Carta GMA-071/14: Respuesta a carta SEA-COR Nº 00398</t>
        </is>
      </c>
      <c r="BI928" s="7" t="inlineStr">
        <is>
          <t>Se realiza analisis de calidad semanal</t>
        </is>
      </c>
      <c r="BJ928" s="7" t="n"/>
      <c r="BK928" s="376" t="n"/>
      <c r="BL928" s="7" t="inlineStr">
        <is>
          <t>PUERTO</t>
        </is>
      </c>
      <c r="BM928" s="168" t="inlineStr">
        <is>
          <t>ASUB</t>
        </is>
      </c>
      <c r="BN928" s="337" t="inlineStr">
        <is>
          <t>Puerto Collahuasi</t>
        </is>
      </c>
      <c r="BO928" s="251" t="inlineStr">
        <is>
          <t>SI</t>
        </is>
      </c>
      <c r="BP928" s="106" t="inlineStr">
        <is>
          <t>SH-19 PUERTO COLLAHUASI/ASUB</t>
        </is>
      </c>
      <c r="BQ928" s="106">
        <f>VLOOKUP(BP928,[1]AGUA!$1:$1048576,2,FALSE)</f>
        <v/>
      </c>
      <c r="BR928" s="106">
        <f>VLOOKUP(BP928,[1]AGUA!$1:$1048576,6,FALSE)</f>
        <v/>
      </c>
      <c r="BS928" s="106">
        <f>VLOOKUP(BP928,[1]AGUA!$1:$1048576,7,FALSE)</f>
        <v/>
      </c>
      <c r="BT928" s="106" t="n"/>
      <c r="BU928" s="377" t="n"/>
      <c r="BV928" s="105" t="n"/>
      <c r="BW928" s="105" t="n"/>
      <c r="BX928" s="105" t="n"/>
      <c r="BY928" s="105" t="n"/>
      <c r="BZ928" s="105" t="n"/>
      <c r="CA928" s="105" t="n"/>
      <c r="CB928" s="105" t="n"/>
      <c r="CC928" s="105" t="n"/>
      <c r="CD928" s="105" t="n"/>
      <c r="CE928" s="105" t="n"/>
      <c r="CF928" s="105" t="n"/>
      <c r="CG928" s="105" t="n"/>
      <c r="CH928" s="105" t="n"/>
      <c r="CI928" s="105" t="n"/>
      <c r="CJ928" s="107" t="n">
        <v>1</v>
      </c>
      <c r="CK928" s="106" t="n"/>
      <c r="CL928" s="106" t="n"/>
      <c r="CN928" s="106" t="n"/>
      <c r="CO928" s="106" t="n"/>
      <c r="CP928" s="106" t="n"/>
      <c r="CQ928" s="105" t="n"/>
      <c r="CR928" s="105" t="n"/>
      <c r="CS928" s="105" t="n"/>
      <c r="CT928" s="105" t="n"/>
      <c r="CU928" s="105" t="n"/>
      <c r="CV928" s="105" t="n"/>
      <c r="CW928" s="105" t="n"/>
      <c r="CX928" s="105" t="n"/>
      <c r="CY928" s="105" t="n"/>
      <c r="CZ928" s="124">
        <f>+COUNTA(BV928:CY928)</f>
        <v/>
      </c>
      <c r="DA928" s="251" t="n"/>
      <c r="DB928" s="251" t="n"/>
      <c r="DC928" s="251" t="n"/>
      <c r="DD928" s="251" t="n"/>
      <c r="DE928" s="251" t="n"/>
      <c r="DF928" s="251" t="n"/>
      <c r="DG928" s="251" t="n"/>
      <c r="DH928" s="251" t="n"/>
      <c r="DI928" s="251" t="n"/>
      <c r="DJ928" s="251" t="n"/>
      <c r="DK928" s="251" t="n"/>
      <c r="DL928" s="95" t="n"/>
      <c r="DM928" s="251" t="inlineStr">
        <is>
          <t>M</t>
        </is>
      </c>
      <c r="DN928" s="95" t="n">
        <v>15</v>
      </c>
      <c r="DO928" s="95" t="n">
        <v>21</v>
      </c>
    </row>
    <row r="929" ht="13" customHeight="1">
      <c r="A929" s="204" t="inlineStr">
        <is>
          <t>SH-20</t>
        </is>
      </c>
      <c r="B929" s="305" t="inlineStr">
        <is>
          <t>SH-20 PUERTO COLLAHUASI</t>
        </is>
      </c>
      <c r="C929" s="251" t="n"/>
      <c r="D929" s="7" t="inlineStr">
        <is>
          <t>SI</t>
        </is>
      </c>
      <c r="E929" s="7" t="inlineStr">
        <is>
          <t>SI</t>
        </is>
      </c>
      <c r="F929" s="7" t="inlineStr">
        <is>
          <t>SI</t>
        </is>
      </c>
      <c r="G929" s="7" t="inlineStr">
        <is>
          <t>NO</t>
        </is>
      </c>
      <c r="H929" s="7" t="n">
        <v>378386</v>
      </c>
      <c r="I929" s="7" t="n">
        <v>7701309</v>
      </c>
      <c r="J929" s="7" t="inlineStr">
        <is>
          <t>Construido</t>
        </is>
      </c>
      <c r="K929" s="7" t="inlineStr">
        <is>
          <t>-</t>
        </is>
      </c>
      <c r="L929" s="7" t="inlineStr">
        <is>
          <t>Agua Subterránea</t>
        </is>
      </c>
      <c r="M929" s="7" t="inlineStr">
        <is>
          <t>Puerto</t>
        </is>
      </c>
      <c r="N929" s="7" t="inlineStr">
        <is>
          <t>Pozo</t>
        </is>
      </c>
      <c r="O929" s="7" t="inlineStr">
        <is>
          <t>Puerto Collahuasi</t>
        </is>
      </c>
      <c r="P929" s="7" t="inlineStr">
        <is>
          <t>SI</t>
        </is>
      </c>
      <c r="Q929" s="7" t="inlineStr">
        <is>
          <t>Mensual</t>
        </is>
      </c>
      <c r="R929" s="7" t="inlineStr">
        <is>
          <t>-</t>
        </is>
      </c>
      <c r="S929" s="7" t="inlineStr">
        <is>
          <t>-</t>
        </is>
      </c>
      <c r="T929" s="7" t="inlineStr">
        <is>
          <t>SI</t>
        </is>
      </c>
      <c r="U929" s="7" t="inlineStr">
        <is>
          <t>Trimestral</t>
        </is>
      </c>
      <c r="V929" s="7" t="inlineStr">
        <is>
          <t>SI</t>
        </is>
      </c>
      <c r="W929" s="7" t="inlineStr">
        <is>
          <t>Mensual</t>
        </is>
      </c>
      <c r="X929" s="7" t="inlineStr">
        <is>
          <t>NO</t>
        </is>
      </c>
      <c r="Y929" s="7" t="inlineStr">
        <is>
          <t>-</t>
        </is>
      </c>
      <c r="Z929" s="7" t="inlineStr">
        <is>
          <t>NO</t>
        </is>
      </c>
      <c r="AA929" s="7" t="inlineStr">
        <is>
          <t>-</t>
        </is>
      </c>
      <c r="AB929" s="7" t="inlineStr">
        <is>
          <t>NO</t>
        </is>
      </c>
      <c r="AC929" s="7" t="inlineStr">
        <is>
          <t>-</t>
        </is>
      </c>
      <c r="AD929" s="7" t="inlineStr">
        <is>
          <t>NO</t>
        </is>
      </c>
      <c r="AE929" s="7" t="inlineStr">
        <is>
          <t>-</t>
        </is>
      </c>
      <c r="AF929" s="7" t="inlineStr">
        <is>
          <t>-</t>
        </is>
      </c>
      <c r="AG929" s="7" t="inlineStr">
        <is>
          <t>NO</t>
        </is>
      </c>
      <c r="AH929" s="7" t="inlineStr">
        <is>
          <t>-</t>
        </is>
      </c>
      <c r="AI929" s="7" t="inlineStr">
        <is>
          <t>NO</t>
        </is>
      </c>
      <c r="AJ929" s="7" t="inlineStr">
        <is>
          <t>-</t>
        </is>
      </c>
      <c r="AK929" s="60" t="n"/>
      <c r="AL929" s="7" t="n"/>
      <c r="AM929" s="7" t="n"/>
      <c r="AN929" s="60" t="n"/>
      <c r="AO929" s="7" t="n"/>
      <c r="AP929" s="60" t="n"/>
      <c r="AQ929" s="7" t="n"/>
      <c r="AR929" s="7" t="n"/>
      <c r="AS929" s="7" t="n"/>
      <c r="AT929" s="7" t="n"/>
      <c r="AU929" s="7" t="n"/>
      <c r="AV929" s="7" t="n"/>
      <c r="AW929" s="7" t="n"/>
      <c r="AX929" s="7" t="n"/>
      <c r="AY929" s="7" t="n"/>
      <c r="AZ929" s="7" t="n"/>
      <c r="BA929" s="7" t="n"/>
      <c r="BB929" s="7" t="n"/>
      <c r="BC929" s="7" t="n"/>
      <c r="BD929" s="7" t="n"/>
      <c r="BE929" s="7" t="n"/>
      <c r="BF929" s="7" t="n"/>
      <c r="BG929" s="7" t="n"/>
      <c r="BH929" s="7" t="n"/>
      <c r="BI929" s="7" t="n"/>
      <c r="BJ929" s="7" t="n"/>
      <c r="BK929" s="331" t="inlineStr">
        <is>
          <t>532MASH</t>
        </is>
      </c>
      <c r="BL929" s="7" t="inlineStr">
        <is>
          <t>PUERTO</t>
        </is>
      </c>
      <c r="BM929" s="251" t="inlineStr">
        <is>
          <t>NF</t>
        </is>
      </c>
      <c r="BN929" s="337" t="inlineStr">
        <is>
          <t>Puerto Collahuasi</t>
        </is>
      </c>
      <c r="BO929" s="251" t="inlineStr">
        <is>
          <t>SI</t>
        </is>
      </c>
      <c r="BP929" s="106" t="inlineStr">
        <is>
          <t>SH-20 PUERTO COLLAHUASI/NF</t>
        </is>
      </c>
      <c r="BQ929" s="106">
        <f>VLOOKUP(BP929,[1]AGUA!$1:$1048576,2,FALSE)</f>
        <v/>
      </c>
      <c r="BR929" s="106">
        <f>VLOOKUP(BP929,[1]AGUA!$1:$1048576,6,FALSE)</f>
        <v/>
      </c>
      <c r="BS929" s="106">
        <f>VLOOKUP(BP929,[1]AGUA!$1:$1048576,7,FALSE)</f>
        <v/>
      </c>
      <c r="BT929" s="106" t="n"/>
      <c r="BU929" s="253" t="n"/>
      <c r="BV929" s="105" t="n"/>
      <c r="BW929" s="105" t="n"/>
      <c r="BX929" s="105" t="n"/>
      <c r="BY929" s="105" t="n"/>
      <c r="BZ929" s="105" t="n"/>
      <c r="CA929" s="105" t="n"/>
      <c r="CB929" s="105" t="n"/>
      <c r="CC929" s="105" t="n"/>
      <c r="CD929" s="105" t="n"/>
      <c r="CE929" s="105" t="n"/>
      <c r="CF929" s="105" t="n"/>
      <c r="CG929" s="105" t="n"/>
      <c r="CH929" s="105" t="n"/>
      <c r="CI929" s="105" t="n"/>
      <c r="CJ929" s="142" t="n">
        <v>1</v>
      </c>
      <c r="CK929" s="105" t="n"/>
      <c r="CL929" s="105" t="n"/>
      <c r="CM929" s="105" t="n"/>
      <c r="CN929" s="105" t="n"/>
      <c r="CO929" s="105" t="n"/>
      <c r="CP929" s="105" t="n"/>
      <c r="CQ929" s="105" t="n"/>
      <c r="CR929" s="105" t="n"/>
      <c r="CS929" s="105" t="n"/>
      <c r="CT929" s="105" t="n"/>
      <c r="CU929" s="105" t="n"/>
      <c r="CV929" s="105" t="n"/>
      <c r="CW929" s="105" t="n"/>
      <c r="CX929" s="105" t="n"/>
      <c r="CY929" s="105" t="n"/>
      <c r="CZ929" s="124">
        <f>+COUNTA(BV929:CY929)</f>
        <v/>
      </c>
      <c r="DA929" s="251" t="n"/>
      <c r="DB929" s="251" t="n"/>
      <c r="DC929" s="251" t="n"/>
      <c r="DD929" s="251" t="n"/>
      <c r="DE929" s="251" t="n"/>
      <c r="DF929" s="251" t="n"/>
      <c r="DG929" s="251" t="n"/>
      <c r="DH929" s="251" t="n"/>
      <c r="DI929" s="251" t="n"/>
      <c r="DJ929" s="251" t="inlineStr">
        <is>
          <t>M</t>
        </is>
      </c>
      <c r="DK929" s="251" t="n">
        <v>15</v>
      </c>
      <c r="DL929" s="95" t="n">
        <v>21</v>
      </c>
      <c r="DM929" s="251" t="n"/>
      <c r="DN929" s="95" t="n"/>
      <c r="DO929" s="95" t="n"/>
    </row>
    <row r="930" ht="12.65" customHeight="1">
      <c r="A930" s="204" t="inlineStr">
        <is>
          <t>SH-20</t>
        </is>
      </c>
      <c r="B930" s="376" t="n"/>
      <c r="C930" s="376"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c r="AE930" s="7" t="n"/>
      <c r="AF930" s="7" t="n"/>
      <c r="AG930" s="7" t="n"/>
      <c r="AH930" s="7" t="n"/>
      <c r="AI930" s="7" t="n"/>
      <c r="AJ930" s="7" t="n"/>
      <c r="AK930" s="60" t="inlineStr">
        <is>
          <t>Plan base + T° + Nitritos + amonio</t>
        </is>
      </c>
      <c r="AL930" s="7" t="inlineStr">
        <is>
          <t>Trimestral</t>
        </is>
      </c>
      <c r="AM930" s="7" t="inlineStr">
        <is>
          <t>-</t>
        </is>
      </c>
      <c r="AN930" s="60" t="inlineStr">
        <is>
          <t>Plan base+ Salinidad+ N Amoniacal + Cu disuelto</t>
        </is>
      </c>
      <c r="AO930" s="7" t="inlineStr">
        <is>
          <t>Trimestral</t>
        </is>
      </c>
      <c r="AP930" s="60" t="inlineStr">
        <is>
          <t>Plan base+ Salinidad + N Amoniacal + Cu disuelto</t>
        </is>
      </c>
      <c r="AQ930" s="7" t="inlineStr">
        <is>
          <t>Mensual</t>
        </is>
      </c>
      <c r="AR930" s="7" t="inlineStr">
        <is>
          <t>NO</t>
        </is>
      </c>
      <c r="AS930" s="7" t="inlineStr">
        <is>
          <t>-</t>
        </is>
      </c>
      <c r="AT930" s="7" t="inlineStr">
        <is>
          <t>SI</t>
        </is>
      </c>
      <c r="AU930" s="7" t="inlineStr">
        <is>
          <t>Mensual</t>
        </is>
      </c>
      <c r="AV930" s="7" t="inlineStr">
        <is>
          <t>NO</t>
        </is>
      </c>
      <c r="AW930" s="7" t="inlineStr">
        <is>
          <t>-</t>
        </is>
      </c>
      <c r="AX930" s="7" t="inlineStr">
        <is>
          <t>NO</t>
        </is>
      </c>
      <c r="AY930" s="7" t="inlineStr">
        <is>
          <t>-</t>
        </is>
      </c>
      <c r="AZ930" s="7" t="inlineStr">
        <is>
          <t>NO</t>
        </is>
      </c>
      <c r="BA930" s="7" t="inlineStr">
        <is>
          <t>-</t>
        </is>
      </c>
      <c r="BB930" s="7" t="inlineStr">
        <is>
          <t>NO</t>
        </is>
      </c>
      <c r="BC930" s="7" t="inlineStr">
        <is>
          <t>-</t>
        </is>
      </c>
      <c r="BD930" s="7" t="inlineStr">
        <is>
          <t>NO</t>
        </is>
      </c>
      <c r="BE930" s="7" t="inlineStr">
        <is>
          <t>-</t>
        </is>
      </c>
      <c r="BF930" s="7" t="inlineStr">
        <is>
          <t>SMA</t>
        </is>
      </c>
      <c r="BG930" s="7" t="inlineStr">
        <is>
          <t>PSA</t>
        </is>
      </c>
      <c r="BH930" s="7" t="inlineStr">
        <is>
          <t>Res. Ex. 170/2014 Carta GMA-071/14: Respuesta a carta SEA-COR Nº 00399</t>
        </is>
      </c>
      <c r="BI930" s="7" t="n"/>
      <c r="BJ930" s="7" t="n"/>
      <c r="BK930" s="376" t="n"/>
      <c r="BL930" s="7" t="inlineStr">
        <is>
          <t>PUERTO</t>
        </is>
      </c>
      <c r="BM930" s="168" t="inlineStr">
        <is>
          <t>ASUB</t>
        </is>
      </c>
      <c r="BN930" s="337" t="inlineStr">
        <is>
          <t>Puerto Collahuasi</t>
        </is>
      </c>
      <c r="BO930" s="251" t="inlineStr">
        <is>
          <t>SI</t>
        </is>
      </c>
      <c r="BP930" s="106" t="inlineStr">
        <is>
          <t>SH-20 PUERTO COLLAHUASI/ASUB</t>
        </is>
      </c>
      <c r="BQ930" s="106">
        <f>VLOOKUP(BP930,[1]AGUA!$1:$1048576,2,FALSE)</f>
        <v/>
      </c>
      <c r="BR930" s="106">
        <f>VLOOKUP(BP930,[1]AGUA!$1:$1048576,6,FALSE)</f>
        <v/>
      </c>
      <c r="BS930" s="106">
        <f>VLOOKUP(BP930,[1]AGUA!$1:$1048576,7,FALSE)</f>
        <v/>
      </c>
      <c r="BT930" s="106" t="n"/>
      <c r="BU930" s="377" t="n"/>
      <c r="BV930" s="105" t="n"/>
      <c r="BW930" s="105" t="n"/>
      <c r="BX930" s="105" t="n"/>
      <c r="BY930" s="105" t="n"/>
      <c r="BZ930" s="105" t="n"/>
      <c r="CA930" s="105" t="n"/>
      <c r="CB930" s="105" t="n"/>
      <c r="CC930" s="105" t="n"/>
      <c r="CD930" s="105" t="n"/>
      <c r="CE930" s="105" t="n"/>
      <c r="CF930" s="105" t="n"/>
      <c r="CG930" s="105" t="n"/>
      <c r="CH930" s="105" t="n"/>
      <c r="CI930" s="105" t="n"/>
      <c r="CJ930" s="107" t="n">
        <v>1</v>
      </c>
      <c r="CK930" s="106" t="n"/>
      <c r="CL930" s="106" t="n"/>
      <c r="CM930" s="106" t="n"/>
      <c r="CN930" s="106" t="n"/>
      <c r="CO930" s="106" t="n"/>
      <c r="CP930" s="106" t="n"/>
      <c r="CQ930" s="105" t="n"/>
      <c r="CR930" s="105" t="n"/>
      <c r="CS930" s="105" t="n"/>
      <c r="CT930" s="105" t="n"/>
      <c r="CU930" s="105" t="n"/>
      <c r="CV930" s="105" t="n"/>
      <c r="CW930" s="105" t="n"/>
      <c r="CX930" s="105" t="n"/>
      <c r="CY930" s="105" t="n"/>
      <c r="CZ930" s="124">
        <f>+COUNTA(BV930:CY930)</f>
        <v/>
      </c>
      <c r="DA930" s="251" t="n"/>
      <c r="DB930" s="251" t="n"/>
      <c r="DC930" s="251" t="n"/>
      <c r="DD930" s="251" t="n"/>
      <c r="DE930" s="251" t="n"/>
      <c r="DF930" s="251" t="n"/>
      <c r="DG930" s="251" t="n"/>
      <c r="DH930" s="251" t="n"/>
      <c r="DI930" s="251" t="n"/>
      <c r="DJ930" s="251" t="n"/>
      <c r="DK930" s="251" t="n"/>
      <c r="DL930" s="95" t="n"/>
      <c r="DM930" s="251" t="inlineStr">
        <is>
          <t>M</t>
        </is>
      </c>
      <c r="DN930" s="95" t="n">
        <v>15</v>
      </c>
      <c r="DO930" s="95" t="n">
        <v>21</v>
      </c>
    </row>
    <row r="931" ht="13" customHeight="1">
      <c r="A931" s="204" t="inlineStr">
        <is>
          <t>SH-21</t>
        </is>
      </c>
      <c r="B931" s="305" t="inlineStr">
        <is>
          <t>SH-21 PUERTO COLLAHUASI</t>
        </is>
      </c>
      <c r="C931" s="251" t="n"/>
      <c r="D931" s="7" t="inlineStr">
        <is>
          <t>SI</t>
        </is>
      </c>
      <c r="E931" s="7" t="inlineStr">
        <is>
          <t>SI</t>
        </is>
      </c>
      <c r="F931" s="7" t="inlineStr">
        <is>
          <t>SI</t>
        </is>
      </c>
      <c r="G931" s="7" t="inlineStr">
        <is>
          <t>NO</t>
        </is>
      </c>
      <c r="H931" s="7" t="n">
        <v>378381</v>
      </c>
      <c r="I931" s="7" t="n">
        <v>7700567</v>
      </c>
      <c r="J931" s="7" t="inlineStr">
        <is>
          <t>Construido ( (reemplaza SH-21B)</t>
        </is>
      </c>
      <c r="K931" s="7" t="inlineStr">
        <is>
          <t>-</t>
        </is>
      </c>
      <c r="L931" s="7" t="inlineStr">
        <is>
          <t>Agua Subterránea</t>
        </is>
      </c>
      <c r="M931" s="7" t="inlineStr">
        <is>
          <t>Puerto</t>
        </is>
      </c>
      <c r="N931" s="7" t="inlineStr">
        <is>
          <t>Pozo</t>
        </is>
      </c>
      <c r="O931" s="7" t="inlineStr">
        <is>
          <t>Puerto Collahuasi</t>
        </is>
      </c>
      <c r="P931" s="7" t="inlineStr">
        <is>
          <t>SI</t>
        </is>
      </c>
      <c r="Q931" s="7" t="inlineStr">
        <is>
          <t>Mensual</t>
        </is>
      </c>
      <c r="R931" s="7" t="inlineStr">
        <is>
          <t>-</t>
        </is>
      </c>
      <c r="S931" s="7" t="inlineStr">
        <is>
          <t>-</t>
        </is>
      </c>
      <c r="T931" s="7" t="inlineStr">
        <is>
          <t>SI</t>
        </is>
      </c>
      <c r="U931" s="7" t="inlineStr">
        <is>
          <t>Trimestral</t>
        </is>
      </c>
      <c r="V931" s="7" t="inlineStr">
        <is>
          <t>SI</t>
        </is>
      </c>
      <c r="W931" s="7" t="inlineStr">
        <is>
          <t>Mensual</t>
        </is>
      </c>
      <c r="X931" s="7" t="inlineStr">
        <is>
          <t>NO</t>
        </is>
      </c>
      <c r="Y931" s="7" t="inlineStr">
        <is>
          <t>-</t>
        </is>
      </c>
      <c r="Z931" s="7" t="inlineStr">
        <is>
          <t>NO</t>
        </is>
      </c>
      <c r="AA931" s="7" t="inlineStr">
        <is>
          <t>-</t>
        </is>
      </c>
      <c r="AB931" s="7" t="inlineStr">
        <is>
          <t>NO</t>
        </is>
      </c>
      <c r="AC931" s="7" t="inlineStr">
        <is>
          <t>-</t>
        </is>
      </c>
      <c r="AD931" s="7" t="inlineStr">
        <is>
          <t>NO</t>
        </is>
      </c>
      <c r="AE931" s="7" t="inlineStr">
        <is>
          <t>-</t>
        </is>
      </c>
      <c r="AF931" s="7" t="inlineStr">
        <is>
          <t>-</t>
        </is>
      </c>
      <c r="AG931" s="7" t="inlineStr">
        <is>
          <t>NO</t>
        </is>
      </c>
      <c r="AH931" s="7" t="inlineStr">
        <is>
          <t>-</t>
        </is>
      </c>
      <c r="AI931" s="7" t="inlineStr">
        <is>
          <t>NO</t>
        </is>
      </c>
      <c r="AJ931" s="7" t="inlineStr">
        <is>
          <t>-</t>
        </is>
      </c>
      <c r="AK931" s="60" t="n"/>
      <c r="AL931" s="7" t="n"/>
      <c r="AM931" s="7" t="n"/>
      <c r="AN931" s="60" t="n"/>
      <c r="AO931" s="7" t="n"/>
      <c r="AP931" s="60" t="n"/>
      <c r="AQ931" s="7" t="n"/>
      <c r="AR931" s="7" t="n"/>
      <c r="AS931" s="7" t="n"/>
      <c r="AT931" s="7" t="n"/>
      <c r="AU931" s="7" t="n"/>
      <c r="AV931" s="7" t="n"/>
      <c r="AW931" s="7" t="n"/>
      <c r="AX931" s="7" t="n"/>
      <c r="AY931" s="7" t="n"/>
      <c r="AZ931" s="7" t="n"/>
      <c r="BA931" s="7" t="n"/>
      <c r="BB931" s="7" t="n"/>
      <c r="BC931" s="7" t="n"/>
      <c r="BD931" s="7" t="n"/>
      <c r="BE931" s="7" t="n"/>
      <c r="BF931" s="7" t="n"/>
      <c r="BG931" s="7" t="n"/>
      <c r="BH931" s="7" t="n"/>
      <c r="BI931" s="7" t="n"/>
      <c r="BJ931" s="7" t="n"/>
      <c r="BK931" s="331" t="inlineStr">
        <is>
          <t>532MASH</t>
        </is>
      </c>
      <c r="BL931" s="7" t="inlineStr">
        <is>
          <t>PUERTO</t>
        </is>
      </c>
      <c r="BM931" s="251" t="inlineStr">
        <is>
          <t>NF</t>
        </is>
      </c>
      <c r="BN931" s="337" t="inlineStr">
        <is>
          <t>Puerto Collahuasi</t>
        </is>
      </c>
      <c r="BO931" s="251" t="inlineStr">
        <is>
          <t>SI</t>
        </is>
      </c>
      <c r="BP931" s="106" t="inlineStr">
        <is>
          <t>SH-21 PUERTO COLLAHUASI/NF</t>
        </is>
      </c>
      <c r="BQ931" s="106">
        <f>VLOOKUP(BP931,[1]AGUA!$1:$1048576,2,FALSE)</f>
        <v/>
      </c>
      <c r="BR931" s="106">
        <f>VLOOKUP(BP931,[1]AGUA!$1:$1048576,6,FALSE)</f>
        <v/>
      </c>
      <c r="BS931" s="106">
        <f>VLOOKUP(BP931,[1]AGUA!$1:$1048576,7,FALSE)</f>
        <v/>
      </c>
      <c r="BT931" s="106" t="n"/>
      <c r="BU931" s="253" t="n"/>
      <c r="BV931" s="105" t="n"/>
      <c r="BW931" s="105" t="n"/>
      <c r="BX931" s="105" t="n"/>
      <c r="BY931" s="105" t="n"/>
      <c r="BZ931" s="105" t="n"/>
      <c r="CA931" s="105" t="n"/>
      <c r="CB931" s="105" t="n"/>
      <c r="CC931" s="142" t="n">
        <v>1</v>
      </c>
      <c r="CD931" s="125" t="n"/>
      <c r="CE931" s="105" t="n"/>
      <c r="CF931" s="105" t="n"/>
      <c r="CG931" s="105" t="n"/>
      <c r="CH931" s="105" t="n"/>
      <c r="CI931" s="105" t="n"/>
      <c r="CJ931" s="105" t="n"/>
      <c r="CK931" s="105" t="n"/>
      <c r="CL931" s="105" t="n"/>
      <c r="CM931" s="105" t="n"/>
      <c r="CN931" s="105" t="n"/>
      <c r="CO931" s="105" t="n"/>
      <c r="CP931" s="105" t="n"/>
      <c r="CQ931" s="105" t="n"/>
      <c r="CR931" s="105" t="n"/>
      <c r="CS931" s="105" t="n"/>
      <c r="CT931" s="105" t="n"/>
      <c r="CU931" s="105" t="n"/>
      <c r="CV931" s="105" t="n"/>
      <c r="CW931" s="105" t="n"/>
      <c r="CX931" s="105" t="n"/>
      <c r="CY931" s="105" t="n"/>
      <c r="CZ931" s="124">
        <f>+COUNTA(BV931:CY931)</f>
        <v/>
      </c>
      <c r="DA931" s="251" t="n"/>
      <c r="DB931" s="251" t="n"/>
      <c r="DC931" s="251" t="n"/>
      <c r="DD931" s="251" t="n"/>
      <c r="DE931" s="251" t="n"/>
      <c r="DF931" s="251" t="n"/>
      <c r="DG931" s="251" t="n"/>
      <c r="DH931" s="251" t="n"/>
      <c r="DI931" s="251" t="n"/>
      <c r="DJ931" s="251" t="inlineStr">
        <is>
          <t>M</t>
        </is>
      </c>
      <c r="DK931" s="251" t="n">
        <v>8</v>
      </c>
      <c r="DL931" s="95" t="n">
        <v>14</v>
      </c>
      <c r="DM931" s="251" t="n"/>
      <c r="DN931" s="95" t="n"/>
      <c r="DO931" s="95" t="n"/>
    </row>
    <row r="932" ht="13" customHeight="1">
      <c r="A932" s="204" t="inlineStr">
        <is>
          <t>SH-21</t>
        </is>
      </c>
      <c r="B932" s="376" t="n"/>
      <c r="C932" s="376"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c r="AE932" s="7" t="n"/>
      <c r="AF932" s="7" t="n"/>
      <c r="AG932" s="7" t="n"/>
      <c r="AH932" s="7" t="n"/>
      <c r="AI932" s="7" t="n"/>
      <c r="AJ932" s="7" t="n"/>
      <c r="AK932" s="60" t="inlineStr">
        <is>
          <t>Plan base + T° + Nitritos + amonio</t>
        </is>
      </c>
      <c r="AL932" s="7" t="inlineStr">
        <is>
          <t>Trimestral</t>
        </is>
      </c>
      <c r="AM932" s="7" t="inlineStr">
        <is>
          <t>-</t>
        </is>
      </c>
      <c r="AN932" s="60" t="inlineStr">
        <is>
          <t>Plan base+ Salinidad+ N Amoniacal + Cu disuelto</t>
        </is>
      </c>
      <c r="AO932" s="7" t="inlineStr">
        <is>
          <t>Trimestral</t>
        </is>
      </c>
      <c r="AP932" s="60" t="inlineStr">
        <is>
          <t>Plan base+ Salinidad + N Amoniacal + Cu disuelto</t>
        </is>
      </c>
      <c r="AQ932" s="7" t="inlineStr">
        <is>
          <t>Mensual</t>
        </is>
      </c>
      <c r="AR932" s="7" t="inlineStr">
        <is>
          <t>NO</t>
        </is>
      </c>
      <c r="AS932" s="7" t="inlineStr">
        <is>
          <t>-</t>
        </is>
      </c>
      <c r="AT932" s="7" t="inlineStr">
        <is>
          <t>SI</t>
        </is>
      </c>
      <c r="AU932" s="7" t="inlineStr">
        <is>
          <t>Mensual</t>
        </is>
      </c>
      <c r="AV932" s="7" t="inlineStr">
        <is>
          <t>NO</t>
        </is>
      </c>
      <c r="AW932" s="7" t="inlineStr">
        <is>
          <t>-</t>
        </is>
      </c>
      <c r="AX932" s="7" t="inlineStr">
        <is>
          <t>NO</t>
        </is>
      </c>
      <c r="AY932" s="7" t="inlineStr">
        <is>
          <t>-</t>
        </is>
      </c>
      <c r="AZ932" s="7" t="inlineStr">
        <is>
          <t>NO</t>
        </is>
      </c>
      <c r="BA932" s="7" t="inlineStr">
        <is>
          <t>-</t>
        </is>
      </c>
      <c r="BB932" s="7" t="inlineStr">
        <is>
          <t>NO</t>
        </is>
      </c>
      <c r="BC932" s="7" t="inlineStr">
        <is>
          <t>-</t>
        </is>
      </c>
      <c r="BD932" s="7" t="inlineStr">
        <is>
          <t>NO</t>
        </is>
      </c>
      <c r="BE932" s="7" t="inlineStr">
        <is>
          <t>-</t>
        </is>
      </c>
      <c r="BF932" s="7" t="inlineStr">
        <is>
          <t>SMA</t>
        </is>
      </c>
      <c r="BG932" s="7" t="inlineStr">
        <is>
          <t>PSA</t>
        </is>
      </c>
      <c r="BH932" s="7" t="inlineStr">
        <is>
          <t>Res. Ex. 170/2014 Carta GMA-071/14: Respuesta a carta SEA-COR Nº 00400</t>
        </is>
      </c>
      <c r="BI932" s="7" t="n"/>
      <c r="BJ932" s="7" t="n"/>
      <c r="BK932" s="376" t="n"/>
      <c r="BL932" s="7" t="inlineStr">
        <is>
          <t>PUERTO</t>
        </is>
      </c>
      <c r="BM932" s="251" t="inlineStr">
        <is>
          <t>ASUB</t>
        </is>
      </c>
      <c r="BN932" s="337" t="inlineStr">
        <is>
          <t>Puerto Collahuasi</t>
        </is>
      </c>
      <c r="BO932" s="251" t="inlineStr">
        <is>
          <t>SI</t>
        </is>
      </c>
      <c r="BP932" s="106" t="inlineStr">
        <is>
          <t>SH-21 PUERTO COLLAHUASI/ASUB</t>
        </is>
      </c>
      <c r="BQ932" s="106">
        <f>VLOOKUP(BP932,[1]AGUA!$1:$1048576,2,FALSE)</f>
        <v/>
      </c>
      <c r="BR932" s="106">
        <f>VLOOKUP(BP932,[1]AGUA!$1:$1048576,6,FALSE)</f>
        <v/>
      </c>
      <c r="BS932" s="106">
        <f>VLOOKUP(BP932,[1]AGUA!$1:$1048576,7,FALSE)</f>
        <v/>
      </c>
      <c r="BT932" s="106" t="n"/>
      <c r="BU932" s="377" t="n"/>
      <c r="BV932" s="105" t="n"/>
      <c r="BW932" s="105" t="n"/>
      <c r="BX932" s="105" t="n"/>
      <c r="BY932" s="105" t="n"/>
      <c r="BZ932" s="105" t="n"/>
      <c r="CA932" s="105" t="n"/>
      <c r="CB932" s="105" t="n"/>
      <c r="CC932" s="107" t="n">
        <v>1</v>
      </c>
      <c r="CD932" s="125" t="n"/>
      <c r="CE932" s="106" t="n"/>
      <c r="CF932" s="105" t="n"/>
      <c r="CG932" s="106" t="n"/>
      <c r="CH932" s="106" t="n"/>
      <c r="CI932" s="106"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24">
        <f>+COUNTA(BV932:CY932)</f>
        <v/>
      </c>
      <c r="DA932" s="251" t="n"/>
      <c r="DB932" s="251" t="n"/>
      <c r="DC932" s="251" t="n"/>
      <c r="DD932" s="251" t="n"/>
      <c r="DE932" s="251" t="n"/>
      <c r="DF932" s="251" t="n"/>
      <c r="DG932" s="251" t="n"/>
      <c r="DH932" s="251" t="n"/>
      <c r="DI932" s="251" t="n"/>
      <c r="DJ932" s="251" t="n"/>
      <c r="DK932" s="251" t="n"/>
      <c r="DL932" s="95" t="n"/>
      <c r="DM932" s="251" t="inlineStr">
        <is>
          <t>M</t>
        </is>
      </c>
      <c r="DN932" s="95" t="n">
        <v>8</v>
      </c>
      <c r="DO932" s="95" t="n">
        <v>14</v>
      </c>
    </row>
    <row r="933" ht="17.15" customHeight="1">
      <c r="A933" s="204" t="inlineStr">
        <is>
          <t>SH-22</t>
        </is>
      </c>
      <c r="B933" s="305" t="inlineStr">
        <is>
          <t>SH-22 PUERTO COLLAHUASI</t>
        </is>
      </c>
      <c r="C933" s="251" t="n"/>
      <c r="D933" s="7" t="inlineStr">
        <is>
          <t>SI</t>
        </is>
      </c>
      <c r="E933" s="7" t="inlineStr">
        <is>
          <t>SI</t>
        </is>
      </c>
      <c r="F933" s="7" t="inlineStr">
        <is>
          <t>SI</t>
        </is>
      </c>
      <c r="G933" s="7" t="inlineStr">
        <is>
          <t>NO</t>
        </is>
      </c>
      <c r="H933" s="7" t="n">
        <v>378113</v>
      </c>
      <c r="I933" s="7" t="n">
        <v>7700707</v>
      </c>
      <c r="J933" s="7" t="inlineStr">
        <is>
          <t>Construido</t>
        </is>
      </c>
      <c r="K933" s="7" t="inlineStr">
        <is>
          <t>-</t>
        </is>
      </c>
      <c r="L933" s="7" t="inlineStr">
        <is>
          <t>Agua Subterránea</t>
        </is>
      </c>
      <c r="M933" s="7" t="inlineStr">
        <is>
          <t>Puerto</t>
        </is>
      </c>
      <c r="N933" s="7" t="inlineStr">
        <is>
          <t>Pozo</t>
        </is>
      </c>
      <c r="O933" s="7" t="inlineStr">
        <is>
          <t>Puerto Collahuasi</t>
        </is>
      </c>
      <c r="P933" s="7" t="inlineStr">
        <is>
          <t>SI</t>
        </is>
      </c>
      <c r="Q933" s="7" t="inlineStr">
        <is>
          <t>Mensual</t>
        </is>
      </c>
      <c r="R933" s="7" t="inlineStr">
        <is>
          <t>-</t>
        </is>
      </c>
      <c r="S933" s="7" t="inlineStr">
        <is>
          <t>-</t>
        </is>
      </c>
      <c r="T933" s="7" t="inlineStr">
        <is>
          <t>SI</t>
        </is>
      </c>
      <c r="U933" s="7" t="inlineStr">
        <is>
          <t>Trimestral</t>
        </is>
      </c>
      <c r="V933" s="7" t="inlineStr">
        <is>
          <t>SI</t>
        </is>
      </c>
      <c r="W933" s="7" t="inlineStr">
        <is>
          <t>Mensual</t>
        </is>
      </c>
      <c r="X933" s="7" t="inlineStr">
        <is>
          <t>NO</t>
        </is>
      </c>
      <c r="Y933" s="7" t="inlineStr">
        <is>
          <t>-</t>
        </is>
      </c>
      <c r="Z933" s="7" t="inlineStr">
        <is>
          <t>NO</t>
        </is>
      </c>
      <c r="AA933" s="7" t="inlineStr">
        <is>
          <t>-</t>
        </is>
      </c>
      <c r="AB933" s="7" t="inlineStr">
        <is>
          <t>NO</t>
        </is>
      </c>
      <c r="AC933" s="7" t="inlineStr">
        <is>
          <t>-</t>
        </is>
      </c>
      <c r="AD933" s="7" t="inlineStr">
        <is>
          <t>NO</t>
        </is>
      </c>
      <c r="AE933" s="7" t="inlineStr">
        <is>
          <t>-</t>
        </is>
      </c>
      <c r="AF933" s="7" t="inlineStr">
        <is>
          <t>-</t>
        </is>
      </c>
      <c r="AG933" s="7" t="inlineStr">
        <is>
          <t>NO</t>
        </is>
      </c>
      <c r="AH933" s="7" t="inlineStr">
        <is>
          <t>-</t>
        </is>
      </c>
      <c r="AI933" s="7" t="inlineStr">
        <is>
          <t>NO</t>
        </is>
      </c>
      <c r="AJ933" s="7" t="inlineStr">
        <is>
          <t>-</t>
        </is>
      </c>
      <c r="AK933" s="60" t="n"/>
      <c r="AL933" s="7" t="n"/>
      <c r="AM933" s="7" t="n"/>
      <c r="AN933" s="60" t="n"/>
      <c r="AO933" s="7" t="n"/>
      <c r="AP933" s="60" t="n"/>
      <c r="AQ933" s="7" t="n"/>
      <c r="AR933" s="7" t="n"/>
      <c r="AS933" s="7" t="n"/>
      <c r="AT933" s="7" t="n"/>
      <c r="AU933" s="7" t="n"/>
      <c r="AV933" s="7" t="n"/>
      <c r="AW933" s="7" t="n"/>
      <c r="AX933" s="7" t="n"/>
      <c r="AY933" s="7" t="n"/>
      <c r="AZ933" s="7" t="n"/>
      <c r="BA933" s="7" t="n"/>
      <c r="BB933" s="7" t="n"/>
      <c r="BC933" s="7" t="n"/>
      <c r="BD933" s="7" t="n"/>
      <c r="BE933" s="7" t="n"/>
      <c r="BF933" s="7" t="n"/>
      <c r="BG933" s="7" t="n"/>
      <c r="BH933" s="7" t="n"/>
      <c r="BI933" s="7" t="n"/>
      <c r="BJ933" s="7" t="n"/>
      <c r="BK933" s="331" t="inlineStr">
        <is>
          <t>532MASH</t>
        </is>
      </c>
      <c r="BL933" s="7" t="inlineStr">
        <is>
          <t>PUERTO</t>
        </is>
      </c>
      <c r="BM933" s="251" t="inlineStr">
        <is>
          <t>NF</t>
        </is>
      </c>
      <c r="BN933" s="337" t="inlineStr">
        <is>
          <t>Puerto Collahuasi</t>
        </is>
      </c>
      <c r="BO933" s="251" t="inlineStr">
        <is>
          <t>SI</t>
        </is>
      </c>
      <c r="BP933" s="106" t="inlineStr">
        <is>
          <t>SH-22 PUERTO COLLAHUASI/NF</t>
        </is>
      </c>
      <c r="BQ933" s="106">
        <f>VLOOKUP(BP933,[1]AGUA!$1:$1048576,2,FALSE)</f>
        <v/>
      </c>
      <c r="BR933" s="106">
        <f>VLOOKUP(BP933,[1]AGUA!$1:$1048576,6,FALSE)</f>
        <v/>
      </c>
      <c r="BS933" s="106">
        <f>VLOOKUP(BP933,[1]AGUA!$1:$1048576,7,FALSE)</f>
        <v/>
      </c>
      <c r="BT933" s="106" t="n"/>
      <c r="BU933" s="253" t="n"/>
      <c r="BV933" s="105" t="n"/>
      <c r="BW933" s="105" t="n"/>
      <c r="BX933" s="105" t="n"/>
      <c r="BY933" s="105" t="n"/>
      <c r="BZ933" s="105" t="n"/>
      <c r="CA933" s="105" t="n"/>
      <c r="CB933" s="105" t="n"/>
      <c r="CC933" s="105" t="n"/>
      <c r="CD933" s="105" t="n"/>
      <c r="CE933" s="105" t="n"/>
      <c r="CF933" s="105" t="n"/>
      <c r="CG933" s="105" t="n"/>
      <c r="CH933" s="105" t="n"/>
      <c r="CI933" s="105" t="n"/>
      <c r="CJ933" s="142" t="n">
        <v>1</v>
      </c>
      <c r="CK933" s="105" t="n"/>
      <c r="CL933" s="105" t="n"/>
      <c r="CM933" s="105" t="n"/>
      <c r="CN933" s="105" t="n"/>
      <c r="CO933" s="105" t="n"/>
      <c r="CP933" s="105" t="n"/>
      <c r="CQ933" s="105" t="n"/>
      <c r="CR933" s="105" t="n"/>
      <c r="CS933" s="105" t="n"/>
      <c r="CT933" s="105" t="n"/>
      <c r="CU933" s="105" t="n"/>
      <c r="CV933" s="105" t="n"/>
      <c r="CW933" s="105" t="n"/>
      <c r="CX933" s="105" t="n"/>
      <c r="CY933" s="105" t="n"/>
      <c r="CZ933" s="124">
        <f>+COUNTA(BV933:CY933)</f>
        <v/>
      </c>
      <c r="DA933" s="251" t="n"/>
      <c r="DB933" s="251" t="n"/>
      <c r="DC933" s="251" t="n"/>
      <c r="DD933" s="251" t="n"/>
      <c r="DE933" s="251" t="n"/>
      <c r="DF933" s="251" t="n"/>
      <c r="DG933" s="251" t="n"/>
      <c r="DH933" s="251" t="n"/>
      <c r="DI933" s="251" t="n"/>
      <c r="DJ933" s="251" t="inlineStr">
        <is>
          <t>M</t>
        </is>
      </c>
      <c r="DK933" s="251" t="n">
        <v>15</v>
      </c>
      <c r="DL933" s="95" t="n">
        <v>21</v>
      </c>
      <c r="DM933" s="251" t="n"/>
      <c r="DN933" s="95" t="n"/>
      <c r="DO933" s="95" t="n"/>
    </row>
    <row r="934" ht="13" customHeight="1">
      <c r="A934" s="204" t="inlineStr">
        <is>
          <t>SH-22</t>
        </is>
      </c>
      <c r="B934" s="376" t="n"/>
      <c r="C934" s="376"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c r="AE934" s="7" t="n"/>
      <c r="AF934" s="7" t="n"/>
      <c r="AG934" s="7" t="n"/>
      <c r="AH934" s="7" t="n"/>
      <c r="AI934" s="7" t="n"/>
      <c r="AJ934" s="7" t="n"/>
      <c r="AK934" s="60" t="inlineStr">
        <is>
          <t>Plan base + T° + Nitritos + amonio</t>
        </is>
      </c>
      <c r="AL934" s="7" t="inlineStr">
        <is>
          <t>Trimestral</t>
        </is>
      </c>
      <c r="AM934" s="7" t="inlineStr">
        <is>
          <t>-</t>
        </is>
      </c>
      <c r="AN934" s="60" t="inlineStr">
        <is>
          <t>Plan base+ Salinidad+ N Amoniacal + Cu disuelto</t>
        </is>
      </c>
      <c r="AO934" s="7" t="inlineStr">
        <is>
          <t>Trimestral</t>
        </is>
      </c>
      <c r="AP934" s="60" t="inlineStr">
        <is>
          <t>Plan base+ Salinidad + N Amoniacal + Cu disuelto</t>
        </is>
      </c>
      <c r="AQ934" s="7" t="inlineStr">
        <is>
          <t>Mensual</t>
        </is>
      </c>
      <c r="AR934" s="7" t="inlineStr">
        <is>
          <t>NO</t>
        </is>
      </c>
      <c r="AS934" s="7" t="inlineStr">
        <is>
          <t>-</t>
        </is>
      </c>
      <c r="AT934" s="7" t="inlineStr">
        <is>
          <t>SI</t>
        </is>
      </c>
      <c r="AU934" s="7" t="inlineStr">
        <is>
          <t>Mensual</t>
        </is>
      </c>
      <c r="AV934" s="7" t="inlineStr">
        <is>
          <t>NO</t>
        </is>
      </c>
      <c r="AW934" s="7" t="inlineStr">
        <is>
          <t>-</t>
        </is>
      </c>
      <c r="AX934" s="7" t="inlineStr">
        <is>
          <t>NO</t>
        </is>
      </c>
      <c r="AY934" s="7" t="inlineStr">
        <is>
          <t>-</t>
        </is>
      </c>
      <c r="AZ934" s="7" t="inlineStr">
        <is>
          <t>NO</t>
        </is>
      </c>
      <c r="BA934" s="7" t="inlineStr">
        <is>
          <t>-</t>
        </is>
      </c>
      <c r="BB934" s="7" t="inlineStr">
        <is>
          <t>NO</t>
        </is>
      </c>
      <c r="BC934" s="7" t="inlineStr">
        <is>
          <t>-</t>
        </is>
      </c>
      <c r="BD934" s="7" t="inlineStr">
        <is>
          <t>NO</t>
        </is>
      </c>
      <c r="BE934" s="7" t="inlineStr">
        <is>
          <t>-</t>
        </is>
      </c>
      <c r="BF934" s="7" t="inlineStr">
        <is>
          <t>SMA</t>
        </is>
      </c>
      <c r="BG934" s="7" t="inlineStr">
        <is>
          <t>PSA</t>
        </is>
      </c>
      <c r="BH934" s="7" t="inlineStr">
        <is>
          <t>Res. Ex. 170/2014 Carta GMA-071/14: Respuesta a carta SEA-COR Nº 00401</t>
        </is>
      </c>
      <c r="BI934" s="7" t="n"/>
      <c r="BJ934" s="7" t="n"/>
      <c r="BK934" s="376" t="n"/>
      <c r="BL934" s="7" t="inlineStr">
        <is>
          <t>PUERTO</t>
        </is>
      </c>
      <c r="BM934" s="168" t="inlineStr">
        <is>
          <t>ASUB</t>
        </is>
      </c>
      <c r="BN934" s="337" t="inlineStr">
        <is>
          <t>Puerto Collahuasi</t>
        </is>
      </c>
      <c r="BO934" s="251" t="inlineStr">
        <is>
          <t>SI</t>
        </is>
      </c>
      <c r="BP934" s="106" t="inlineStr">
        <is>
          <t>SH-22 PUERTO COLLAHUASI/ASUB</t>
        </is>
      </c>
      <c r="BQ934" s="106">
        <f>VLOOKUP(BP934,[1]AGUA!$1:$1048576,2,FALSE)</f>
        <v/>
      </c>
      <c r="BR934" s="106">
        <f>VLOOKUP(BP934,[1]AGUA!$1:$1048576,6,FALSE)</f>
        <v/>
      </c>
      <c r="BS934" s="106">
        <f>VLOOKUP(BP934,[1]AGUA!$1:$1048576,7,FALSE)</f>
        <v/>
      </c>
      <c r="BT934" s="106" t="n"/>
      <c r="BU934" s="377" t="n"/>
      <c r="BV934" s="105" t="n"/>
      <c r="BW934" s="105" t="n"/>
      <c r="BX934" s="105" t="n"/>
      <c r="BY934" s="105" t="n"/>
      <c r="BZ934" s="105" t="n"/>
      <c r="CA934" s="105" t="n"/>
      <c r="CB934" s="105" t="n"/>
      <c r="CC934" s="105" t="n"/>
      <c r="CD934" s="105" t="n"/>
      <c r="CE934" s="105" t="n"/>
      <c r="CF934" s="105" t="n"/>
      <c r="CG934" s="105" t="n"/>
      <c r="CH934" s="105" t="n"/>
      <c r="CI934" s="105" t="n"/>
      <c r="CJ934" s="107" t="n">
        <v>1</v>
      </c>
      <c r="CK934" s="106" t="n"/>
      <c r="CL934" s="106" t="n"/>
      <c r="CM934" s="106" t="n"/>
      <c r="CN934" s="106" t="n"/>
      <c r="CO934" s="106" t="n"/>
      <c r="CP934" s="106" t="n"/>
      <c r="CQ934" s="105" t="n"/>
      <c r="CR934" s="105" t="n"/>
      <c r="CS934" s="105" t="n"/>
      <c r="CT934" s="105" t="n"/>
      <c r="CU934" s="105" t="n"/>
      <c r="CV934" s="105" t="n"/>
      <c r="CW934" s="105" t="n"/>
      <c r="CX934" s="105" t="n"/>
      <c r="CY934" s="105" t="n"/>
      <c r="CZ934" s="124">
        <f>+COUNTA(BV934:CY934)</f>
        <v/>
      </c>
      <c r="DA934" s="251" t="n"/>
      <c r="DB934" s="251" t="n"/>
      <c r="DC934" s="251" t="n"/>
      <c r="DD934" s="251" t="n"/>
      <c r="DE934" s="251" t="n"/>
      <c r="DF934" s="251" t="n"/>
      <c r="DG934" s="251" t="n"/>
      <c r="DH934" s="251" t="n"/>
      <c r="DI934" s="251" t="n"/>
      <c r="DJ934" s="251" t="n"/>
      <c r="DK934" s="251" t="n"/>
      <c r="DL934" s="95" t="n"/>
      <c r="DM934" s="251" t="inlineStr">
        <is>
          <t>M</t>
        </is>
      </c>
      <c r="DN934" s="95" t="n">
        <v>15</v>
      </c>
      <c r="DO934" s="95" t="n">
        <v>21</v>
      </c>
    </row>
    <row r="935" ht="13" customHeight="1">
      <c r="A935" s="204" t="inlineStr">
        <is>
          <t>SH-23</t>
        </is>
      </c>
      <c r="B935" s="305" t="inlineStr">
        <is>
          <t>SH-23 PUERTO COLLAHUASI</t>
        </is>
      </c>
      <c r="C935" s="251" t="n"/>
      <c r="D935" s="7" t="inlineStr">
        <is>
          <t>SI</t>
        </is>
      </c>
      <c r="E935" s="7" t="inlineStr">
        <is>
          <t>SI</t>
        </is>
      </c>
      <c r="F935" s="7" t="inlineStr">
        <is>
          <t>SI</t>
        </is>
      </c>
      <c r="G935" s="7" t="inlineStr">
        <is>
          <t>NO</t>
        </is>
      </c>
      <c r="H935" s="7" t="n">
        <v>377991</v>
      </c>
      <c r="I935" s="7" t="n">
        <v>7701194</v>
      </c>
      <c r="J935" s="7" t="inlineStr">
        <is>
          <t>Construido</t>
        </is>
      </c>
      <c r="K935" s="7" t="inlineStr">
        <is>
          <t>-</t>
        </is>
      </c>
      <c r="L935" s="7" t="inlineStr">
        <is>
          <t>Agua Subterránea</t>
        </is>
      </c>
      <c r="M935" s="7" t="inlineStr">
        <is>
          <t>Puerto</t>
        </is>
      </c>
      <c r="N935" s="7" t="inlineStr">
        <is>
          <t>Pozo</t>
        </is>
      </c>
      <c r="O935" s="7" t="inlineStr">
        <is>
          <t>Puerto Collahuasi</t>
        </is>
      </c>
      <c r="P935" s="7" t="inlineStr">
        <is>
          <t>SI</t>
        </is>
      </c>
      <c r="Q935" s="7" t="inlineStr">
        <is>
          <t>Mensual</t>
        </is>
      </c>
      <c r="R935" s="7" t="inlineStr">
        <is>
          <t>-</t>
        </is>
      </c>
      <c r="S935" s="7" t="inlineStr">
        <is>
          <t>-</t>
        </is>
      </c>
      <c r="T935" s="7" t="inlineStr">
        <is>
          <t>SI</t>
        </is>
      </c>
      <c r="U935" s="7" t="inlineStr">
        <is>
          <t>Trimestral</t>
        </is>
      </c>
      <c r="V935" s="7" t="inlineStr">
        <is>
          <t>SI</t>
        </is>
      </c>
      <c r="W935" s="7" t="inlineStr">
        <is>
          <t>Mensual</t>
        </is>
      </c>
      <c r="X935" s="7" t="inlineStr">
        <is>
          <t>NO</t>
        </is>
      </c>
      <c r="Y935" s="7" t="inlineStr">
        <is>
          <t>-</t>
        </is>
      </c>
      <c r="Z935" s="7" t="inlineStr">
        <is>
          <t>NO</t>
        </is>
      </c>
      <c r="AA935" s="7" t="inlineStr">
        <is>
          <t>-</t>
        </is>
      </c>
      <c r="AB935" s="7" t="inlineStr">
        <is>
          <t>NO</t>
        </is>
      </c>
      <c r="AC935" s="7" t="inlineStr">
        <is>
          <t>-</t>
        </is>
      </c>
      <c r="AD935" s="7" t="inlineStr">
        <is>
          <t>NO</t>
        </is>
      </c>
      <c r="AE935" s="7" t="inlineStr">
        <is>
          <t>-</t>
        </is>
      </c>
      <c r="AF935" s="7" t="inlineStr">
        <is>
          <t>-</t>
        </is>
      </c>
      <c r="AG935" s="7" t="inlineStr">
        <is>
          <t>NO</t>
        </is>
      </c>
      <c r="AH935" s="7" t="inlineStr">
        <is>
          <t>-</t>
        </is>
      </c>
      <c r="AI935" s="7" t="inlineStr">
        <is>
          <t>NO</t>
        </is>
      </c>
      <c r="AJ935" s="7" t="inlineStr">
        <is>
          <t>-</t>
        </is>
      </c>
      <c r="AK935" s="60" t="n"/>
      <c r="AL935" s="7" t="n"/>
      <c r="AM935" s="7" t="n"/>
      <c r="AN935" s="60" t="n"/>
      <c r="AO935" s="7" t="n"/>
      <c r="AP935" s="60" t="n"/>
      <c r="AQ935" s="7" t="n"/>
      <c r="AR935" s="7" t="n"/>
      <c r="AS935" s="7" t="n"/>
      <c r="AT935" s="7" t="n"/>
      <c r="AU935" s="7" t="n"/>
      <c r="AV935" s="7" t="n"/>
      <c r="AW935" s="7" t="n"/>
      <c r="AX935" s="7" t="n"/>
      <c r="AY935" s="7" t="n"/>
      <c r="AZ935" s="7" t="n"/>
      <c r="BA935" s="7" t="n"/>
      <c r="BB935" s="7" t="n"/>
      <c r="BC935" s="7" t="n"/>
      <c r="BD935" s="7" t="n"/>
      <c r="BE935" s="7" t="n"/>
      <c r="BF935" s="7" t="n"/>
      <c r="BG935" s="7" t="n"/>
      <c r="BH935" s="7" t="n"/>
      <c r="BI935" s="7" t="n"/>
      <c r="BJ935" s="7" t="n"/>
      <c r="BK935" s="331" t="inlineStr">
        <is>
          <t>532MASH</t>
        </is>
      </c>
      <c r="BL935" s="7" t="inlineStr">
        <is>
          <t>PUERTO</t>
        </is>
      </c>
      <c r="BM935" s="251" t="inlineStr">
        <is>
          <t>NF</t>
        </is>
      </c>
      <c r="BN935" s="337" t="inlineStr">
        <is>
          <t>Puerto Collahuasi</t>
        </is>
      </c>
      <c r="BO935" s="251" t="inlineStr">
        <is>
          <t>SI</t>
        </is>
      </c>
      <c r="BP935" s="106" t="inlineStr">
        <is>
          <t>SH-23 PUERTO COLLAHUASI/NF</t>
        </is>
      </c>
      <c r="BQ935" s="106">
        <f>VLOOKUP(BP935,[1]AGUA!$1:$1048576,2,FALSE)</f>
        <v/>
      </c>
      <c r="BR935" s="106">
        <f>VLOOKUP(BP935,[1]AGUA!$1:$1048576,6,FALSE)</f>
        <v/>
      </c>
      <c r="BS935" s="106">
        <f>VLOOKUP(BP935,[1]AGUA!$1:$1048576,7,FALSE)</f>
        <v/>
      </c>
      <c r="BT935" s="106" t="n"/>
      <c r="BU935" s="253" t="n"/>
      <c r="BV935" s="105" t="n"/>
      <c r="BW935" s="105" t="n"/>
      <c r="BX935" s="105" t="n"/>
      <c r="BY935" s="105" t="n"/>
      <c r="BZ935" s="105" t="n"/>
      <c r="CA935" s="105" t="n"/>
      <c r="CB935" s="105" t="n"/>
      <c r="CC935" s="105" t="n"/>
      <c r="CD935" s="105" t="n"/>
      <c r="CE935" s="105" t="n"/>
      <c r="CF935" s="105" t="n"/>
      <c r="CG935" s="105" t="n"/>
      <c r="CH935" s="105" t="n"/>
      <c r="CI935" s="105" t="n"/>
      <c r="CJ935" s="142" t="n">
        <v>1</v>
      </c>
      <c r="CK935" s="105" t="n"/>
      <c r="CL935" s="105" t="n"/>
      <c r="CM935" s="105" t="n"/>
      <c r="CN935" s="105" t="n"/>
      <c r="CO935" s="105" t="n"/>
      <c r="CP935" s="105" t="n"/>
      <c r="CQ935" s="105" t="n"/>
      <c r="CR935" s="105" t="n"/>
      <c r="CS935" s="105" t="n"/>
      <c r="CT935" s="105" t="n"/>
      <c r="CU935" s="105" t="n"/>
      <c r="CV935" s="105" t="n"/>
      <c r="CW935" s="105" t="n"/>
      <c r="CX935" s="105" t="n"/>
      <c r="CY935" s="105" t="n"/>
      <c r="CZ935" s="124">
        <f>+COUNTA(BV935:CY935)</f>
        <v/>
      </c>
      <c r="DA935" s="251" t="n"/>
      <c r="DB935" s="251" t="n"/>
      <c r="DC935" s="251" t="n"/>
      <c r="DD935" s="251" t="n"/>
      <c r="DE935" s="251" t="n"/>
      <c r="DF935" s="251" t="n"/>
      <c r="DG935" s="251" t="n"/>
      <c r="DH935" s="251" t="n"/>
      <c r="DI935" s="251" t="n"/>
      <c r="DJ935" s="251" t="inlineStr">
        <is>
          <t>M</t>
        </is>
      </c>
      <c r="DK935" s="251" t="n">
        <v>15</v>
      </c>
      <c r="DL935" s="95" t="n">
        <v>21</v>
      </c>
      <c r="DM935" s="251" t="n"/>
      <c r="DN935" s="95" t="n"/>
      <c r="DO935" s="95" t="n"/>
    </row>
    <row r="936" ht="13" customHeight="1">
      <c r="A936" s="204" t="inlineStr">
        <is>
          <t>SH-23</t>
        </is>
      </c>
      <c r="B936" s="376" t="n"/>
      <c r="C936" s="376"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c r="AE936" s="7" t="n"/>
      <c r="AF936" s="7" t="n"/>
      <c r="AG936" s="7" t="n"/>
      <c r="AH936" s="7" t="n"/>
      <c r="AI936" s="7" t="n"/>
      <c r="AJ936" s="7" t="n"/>
      <c r="AK936" s="60" t="inlineStr">
        <is>
          <t>Plan base + T° + Nitritos + amonio</t>
        </is>
      </c>
      <c r="AL936" s="7" t="inlineStr">
        <is>
          <t>Trimestral</t>
        </is>
      </c>
      <c r="AM936" s="7" t="inlineStr">
        <is>
          <t>-</t>
        </is>
      </c>
      <c r="AN936" s="60" t="inlineStr">
        <is>
          <t>Plan base+ Salinidad+ N Amoniacal + Cu disuelto</t>
        </is>
      </c>
      <c r="AO936" s="7" t="inlineStr">
        <is>
          <t>Trimestral</t>
        </is>
      </c>
      <c r="AP936" s="60" t="inlineStr">
        <is>
          <t>Plan base+ Salinidad + N Amoniacal + Cu disuelto</t>
        </is>
      </c>
      <c r="AQ936" s="7" t="inlineStr">
        <is>
          <t>Mensual</t>
        </is>
      </c>
      <c r="AR936" s="7" t="inlineStr">
        <is>
          <t>NO</t>
        </is>
      </c>
      <c r="AS936" s="7" t="inlineStr">
        <is>
          <t>-</t>
        </is>
      </c>
      <c r="AT936" s="7" t="inlineStr">
        <is>
          <t>SI</t>
        </is>
      </c>
      <c r="AU936" s="7" t="inlineStr">
        <is>
          <t>Mensual</t>
        </is>
      </c>
      <c r="AV936" s="7" t="inlineStr">
        <is>
          <t>NO</t>
        </is>
      </c>
      <c r="AW936" s="7" t="inlineStr">
        <is>
          <t>-</t>
        </is>
      </c>
      <c r="AX936" s="7" t="inlineStr">
        <is>
          <t>NO</t>
        </is>
      </c>
      <c r="AY936" s="7" t="inlineStr">
        <is>
          <t>-</t>
        </is>
      </c>
      <c r="AZ936" s="7" t="inlineStr">
        <is>
          <t>NO</t>
        </is>
      </c>
      <c r="BA936" s="7" t="inlineStr">
        <is>
          <t>-</t>
        </is>
      </c>
      <c r="BB936" s="7" t="inlineStr">
        <is>
          <t>NO</t>
        </is>
      </c>
      <c r="BC936" s="7" t="inlineStr">
        <is>
          <t>-</t>
        </is>
      </c>
      <c r="BD936" s="7" t="inlineStr">
        <is>
          <t>NO</t>
        </is>
      </c>
      <c r="BE936" s="7" t="inlineStr">
        <is>
          <t>-</t>
        </is>
      </c>
      <c r="BF936" s="7" t="inlineStr">
        <is>
          <t>SMA</t>
        </is>
      </c>
      <c r="BG936" s="7" t="inlineStr">
        <is>
          <t>PSA</t>
        </is>
      </c>
      <c r="BH936" s="7" t="inlineStr">
        <is>
          <t>Res. Ex. 170/2014 Carta GMA-071/14: Respuesta a carta SEA-COR Nº 00402</t>
        </is>
      </c>
      <c r="BI936" s="7" t="n"/>
      <c r="BJ936" s="7" t="n"/>
      <c r="BK936" s="376" t="n"/>
      <c r="BL936" s="7" t="inlineStr">
        <is>
          <t>PUERTO</t>
        </is>
      </c>
      <c r="BM936" s="168" t="inlineStr">
        <is>
          <t>ASUB</t>
        </is>
      </c>
      <c r="BN936" s="337" t="inlineStr">
        <is>
          <t>Puerto Collahuasi</t>
        </is>
      </c>
      <c r="BO936" s="251" t="inlineStr">
        <is>
          <t>SI</t>
        </is>
      </c>
      <c r="BP936" s="106" t="inlineStr">
        <is>
          <t>SH-23 PUERTO COLLAHUASI/ASUB</t>
        </is>
      </c>
      <c r="BQ936" s="106">
        <f>VLOOKUP(BP936,[1]AGUA!$1:$1048576,2,FALSE)</f>
        <v/>
      </c>
      <c r="BR936" s="106">
        <f>VLOOKUP(BP936,[1]AGUA!$1:$1048576,6,FALSE)</f>
        <v/>
      </c>
      <c r="BS936" s="106">
        <f>VLOOKUP(BP936,[1]AGUA!$1:$1048576,7,FALSE)</f>
        <v/>
      </c>
      <c r="BT936" s="106" t="n"/>
      <c r="BU936" s="377" t="n"/>
      <c r="BV936" s="105" t="n"/>
      <c r="BW936" s="105" t="n"/>
      <c r="BX936" s="105" t="n"/>
      <c r="BY936" s="105" t="n"/>
      <c r="BZ936" s="105" t="n"/>
      <c r="CA936" s="105" t="n"/>
      <c r="CB936" s="105" t="n"/>
      <c r="CC936" s="105" t="n"/>
      <c r="CD936" s="105" t="n"/>
      <c r="CE936" s="105" t="n"/>
      <c r="CF936" s="105" t="n"/>
      <c r="CG936" s="105" t="n"/>
      <c r="CH936" s="105" t="n"/>
      <c r="CI936" s="105" t="n"/>
      <c r="CJ936" s="107" t="n">
        <v>1</v>
      </c>
      <c r="CK936" s="106" t="n"/>
      <c r="CL936" s="106" t="n"/>
      <c r="CM936" s="106" t="n"/>
      <c r="CN936" s="106" t="n"/>
      <c r="CO936" s="106" t="n"/>
      <c r="CP936" s="106" t="n"/>
      <c r="CQ936" s="105" t="n"/>
      <c r="CR936" s="105" t="n"/>
      <c r="CS936" s="105" t="n"/>
      <c r="CT936" s="105" t="n"/>
      <c r="CU936" s="105" t="n"/>
      <c r="CV936" s="105" t="n"/>
      <c r="CW936" s="105" t="n"/>
      <c r="CX936" s="105" t="n"/>
      <c r="CY936" s="105" t="n"/>
      <c r="CZ936" s="124">
        <f>+COUNTA(BV936:CY936)</f>
        <v/>
      </c>
      <c r="DA936" s="251" t="n"/>
      <c r="DB936" s="251" t="n"/>
      <c r="DC936" s="251" t="n"/>
      <c r="DD936" s="251" t="n"/>
      <c r="DE936" s="251" t="n"/>
      <c r="DF936" s="251" t="n"/>
      <c r="DG936" s="251" t="n"/>
      <c r="DH936" s="251" t="n"/>
      <c r="DI936" s="251" t="n"/>
      <c r="DJ936" s="251" t="n"/>
      <c r="DK936" s="251" t="n"/>
      <c r="DL936" s="95" t="n"/>
      <c r="DM936" s="251" t="inlineStr">
        <is>
          <t>M</t>
        </is>
      </c>
      <c r="DN936" s="95" t="n">
        <v>15</v>
      </c>
      <c r="DO936" s="95" t="n">
        <v>21</v>
      </c>
    </row>
    <row r="937" ht="13" customHeight="1">
      <c r="A937" s="203" t="inlineStr">
        <is>
          <t>SHA-E01</t>
        </is>
      </c>
      <c r="B937" s="305" t="inlineStr">
        <is>
          <t>SHA-E01 SALAR DEL HUASCO</t>
        </is>
      </c>
      <c r="C937" s="7" t="n"/>
      <c r="D937" s="7" t="inlineStr">
        <is>
          <t>MONITOREO INTERNO</t>
        </is>
      </c>
      <c r="E937" s="7" t="inlineStr">
        <is>
          <t>NO</t>
        </is>
      </c>
      <c r="F937" s="7" t="inlineStr">
        <is>
          <t>NO</t>
        </is>
      </c>
      <c r="G937" s="7" t="inlineStr">
        <is>
          <t>NO</t>
        </is>
      </c>
      <c r="H937" s="7" t="n">
        <v>520317.19122</v>
      </c>
      <c r="I937" s="7" t="n">
        <v>7764974.55235</v>
      </c>
      <c r="J937" s="7" t="inlineStr">
        <is>
          <t>Construido</t>
        </is>
      </c>
      <c r="K937" s="7" t="inlineStr">
        <is>
          <t>-</t>
        </is>
      </c>
      <c r="L937" s="7" t="inlineStr">
        <is>
          <t>Agua Subterránea</t>
        </is>
      </c>
      <c r="M937" s="7" t="inlineStr">
        <is>
          <t>Cordillera</t>
        </is>
      </c>
      <c r="N937" s="7" t="inlineStr">
        <is>
          <t>POZO</t>
        </is>
      </c>
      <c r="O937" s="7" t="inlineStr">
        <is>
          <t>Huasco</t>
        </is>
      </c>
      <c r="P937" s="7" t="inlineStr">
        <is>
          <t>NO</t>
        </is>
      </c>
      <c r="Q937" s="7" t="inlineStr">
        <is>
          <t>-</t>
        </is>
      </c>
      <c r="R937" s="7" t="inlineStr">
        <is>
          <t>-</t>
        </is>
      </c>
      <c r="S937" s="7" t="inlineStr">
        <is>
          <t>-</t>
        </is>
      </c>
      <c r="T937" s="7" t="inlineStr">
        <is>
          <t>SI</t>
        </is>
      </c>
      <c r="U937" s="7" t="inlineStr">
        <is>
          <t>Trimestral</t>
        </is>
      </c>
      <c r="V937" s="7" t="inlineStr">
        <is>
          <t>SI</t>
        </is>
      </c>
      <c r="W937" s="7" t="inlineStr">
        <is>
          <t>Trimestral</t>
        </is>
      </c>
      <c r="X937" s="7" t="inlineStr">
        <is>
          <t>NO</t>
        </is>
      </c>
      <c r="Y937" s="7" t="inlineStr">
        <is>
          <t>-</t>
        </is>
      </c>
      <c r="Z937" s="7" t="inlineStr">
        <is>
          <t>NO</t>
        </is>
      </c>
      <c r="AA937" s="7" t="inlineStr">
        <is>
          <t>-</t>
        </is>
      </c>
      <c r="AB937" s="7" t="inlineStr">
        <is>
          <t>NO</t>
        </is>
      </c>
      <c r="AC937" s="7" t="inlineStr">
        <is>
          <t>-</t>
        </is>
      </c>
      <c r="AD937" s="7" t="inlineStr">
        <is>
          <t>NO</t>
        </is>
      </c>
      <c r="AE937" s="7" t="inlineStr">
        <is>
          <t>-</t>
        </is>
      </c>
      <c r="AF937" s="7" t="inlineStr">
        <is>
          <t>-</t>
        </is>
      </c>
      <c r="AG937" s="7" t="inlineStr">
        <is>
          <t>NO</t>
        </is>
      </c>
      <c r="AH937" s="7" t="inlineStr">
        <is>
          <t>-</t>
        </is>
      </c>
      <c r="AI937" s="7" t="inlineStr">
        <is>
          <t>NO</t>
        </is>
      </c>
      <c r="AJ937" s="7" t="inlineStr">
        <is>
          <t>-</t>
        </is>
      </c>
      <c r="AK937" s="60" t="inlineStr">
        <is>
          <t>NO</t>
        </is>
      </c>
      <c r="AL937" s="7" t="inlineStr">
        <is>
          <t>-</t>
        </is>
      </c>
      <c r="AM937" s="7" t="inlineStr">
        <is>
          <t>-</t>
        </is>
      </c>
      <c r="AN937" s="60" t="inlineStr">
        <is>
          <t>NO</t>
        </is>
      </c>
      <c r="AO937" s="7" t="inlineStr">
        <is>
          <t>-</t>
        </is>
      </c>
      <c r="AP937" s="60" t="inlineStr">
        <is>
          <t>NO</t>
        </is>
      </c>
      <c r="AQ937" s="7" t="inlineStr">
        <is>
          <t>-</t>
        </is>
      </c>
      <c r="AR937" s="7" t="inlineStr">
        <is>
          <t>NO</t>
        </is>
      </c>
      <c r="AS937" s="7" t="inlineStr">
        <is>
          <t>-</t>
        </is>
      </c>
      <c r="AT937" s="7" t="inlineStr">
        <is>
          <t>NO</t>
        </is>
      </c>
      <c r="AU937" s="7" t="inlineStr">
        <is>
          <t>-</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No aplica</t>
        </is>
      </c>
      <c r="BG937" s="7" t="inlineStr">
        <is>
          <t>Monitoreo interno</t>
        </is>
      </c>
      <c r="BH937" s="7" t="inlineStr">
        <is>
          <t>No aplica</t>
        </is>
      </c>
      <c r="BI937" s="7" t="n"/>
      <c r="BJ937" s="7" t="n"/>
      <c r="BK937" s="331" t="inlineStr">
        <is>
          <t>532MASHA</t>
        </is>
      </c>
      <c r="BL937" s="61" t="inlineStr">
        <is>
          <t>GMAP-SIGA</t>
        </is>
      </c>
      <c r="BM937" s="251" t="inlineStr">
        <is>
          <t>NF</t>
        </is>
      </c>
      <c r="BN937" s="337" t="inlineStr">
        <is>
          <t>Huasco</t>
        </is>
      </c>
      <c r="BO937" s="251" t="inlineStr">
        <is>
          <t>NO</t>
        </is>
      </c>
      <c r="BP937" s="106" t="inlineStr">
        <is>
          <t>SHA-E01 SALAR DEL HUASCO/NF</t>
        </is>
      </c>
      <c r="BQ937" s="106">
        <f>VLOOKUP(BP937,[1]AGUA!$1:$1048576,2,FALSE)</f>
        <v/>
      </c>
      <c r="BR937" s="106">
        <f>VLOOKUP(BP937,[1]AGUA!$1:$1048576,6,FALSE)</f>
        <v/>
      </c>
      <c r="BS937" s="106">
        <f>VLOOKUP(BP937,[1]AGUA!$1:$1048576,7,FALSE)</f>
        <v/>
      </c>
      <c r="BT937" s="106" t="n"/>
      <c r="BU937" s="102" t="inlineStr">
        <is>
          <t>CAMBIO DE FRECUENCIA A PARTIR DE SEPTIEMBRE 2025 X CMDIC DE TRIMESTRAL A SEMESTRAL</t>
        </is>
      </c>
      <c r="BV937" s="105" t="n"/>
      <c r="BW937" s="105" t="n"/>
      <c r="BX937" s="105" t="n"/>
      <c r="BY937" s="105" t="n"/>
      <c r="BZ937" s="105" t="n"/>
      <c r="CA937" s="105" t="n"/>
      <c r="CB937" s="105" t="n"/>
      <c r="CC937" s="105" t="n"/>
      <c r="CD937" s="105" t="n"/>
      <c r="CE937" s="105" t="n"/>
      <c r="CF937" s="105" t="n"/>
      <c r="CG937" s="105" t="n"/>
      <c r="CH937" s="105" t="n"/>
      <c r="CI937" s="105" t="n"/>
      <c r="CJ937" s="105" t="n"/>
      <c r="CK937" s="105" t="n"/>
      <c r="CL937" s="105" t="n"/>
      <c r="CM937" s="105" t="n"/>
      <c r="CN937" s="105" t="n"/>
      <c r="CO937" s="105" t="n"/>
      <c r="CP937" s="105" t="n"/>
      <c r="CQ937" s="105" t="n"/>
      <c r="CR937" s="105" t="n"/>
      <c r="CS937" s="105" t="n"/>
      <c r="CT937" s="105" t="n"/>
      <c r="CU937" s="105" t="n"/>
      <c r="CV937" s="105" t="n"/>
      <c r="CW937" s="105" t="n"/>
      <c r="CX937" s="105" t="n"/>
      <c r="CY937" s="105" t="n"/>
      <c r="CZ937" s="124">
        <f>+COUNTA(BV937:CY937)</f>
        <v/>
      </c>
      <c r="DA937" s="251" t="n"/>
      <c r="DB937" s="251" t="n"/>
      <c r="DC937" s="251" t="n"/>
      <c r="DD937" s="251" t="n"/>
      <c r="DE937" s="251" t="n"/>
      <c r="DF937" s="251" t="n"/>
      <c r="DG937" s="251" t="n"/>
      <c r="DH937" s="251" t="n"/>
      <c r="DI937" s="251" t="n"/>
      <c r="DJ937" s="251" t="inlineStr">
        <is>
          <t>STRAL</t>
        </is>
      </c>
      <c r="DK937" s="251" t="n">
        <v>15</v>
      </c>
      <c r="DL937" s="95" t="n">
        <v>28</v>
      </c>
      <c r="DM937" s="251" t="n"/>
      <c r="DN937" s="95" t="n"/>
      <c r="DO937" s="95" t="n"/>
    </row>
    <row r="938" ht="13" customHeight="1">
      <c r="A938" s="203" t="inlineStr">
        <is>
          <t>SHA-E02</t>
        </is>
      </c>
      <c r="B938" s="305" t="inlineStr">
        <is>
          <t>SHA-E02 SALAR DEL HUASCO</t>
        </is>
      </c>
      <c r="C938" s="7" t="n"/>
      <c r="D938" s="7" t="inlineStr">
        <is>
          <t>MONITOREO INTERNO</t>
        </is>
      </c>
      <c r="E938" s="7" t="inlineStr">
        <is>
          <t>NO</t>
        </is>
      </c>
      <c r="F938" s="7" t="inlineStr">
        <is>
          <t>NO</t>
        </is>
      </c>
      <c r="G938" s="7" t="inlineStr">
        <is>
          <t>NO</t>
        </is>
      </c>
      <c r="H938" s="7" t="n">
        <v>521430.857048</v>
      </c>
      <c r="I938" s="7" t="n">
        <v>7765591.25973</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1" t="inlineStr">
        <is>
          <t>532MASHA</t>
        </is>
      </c>
      <c r="BL938" s="61" t="inlineStr">
        <is>
          <t>GMAP-SIGA</t>
        </is>
      </c>
      <c r="BM938" s="251" t="inlineStr">
        <is>
          <t>NF</t>
        </is>
      </c>
      <c r="BN938" s="337" t="inlineStr">
        <is>
          <t>Huasco</t>
        </is>
      </c>
      <c r="BO938" s="251" t="inlineStr">
        <is>
          <t>NO</t>
        </is>
      </c>
      <c r="BP938" s="106" t="inlineStr">
        <is>
          <t>SHA-E02 SALAR DEL HUASCO/NF</t>
        </is>
      </c>
      <c r="BQ938" s="106">
        <f>VLOOKUP(BP938,[1]AGUA!$1:$1048576,2,FALSE)</f>
        <v/>
      </c>
      <c r="BR938" s="106">
        <f>VLOOKUP(BP938,[1]AGUA!$1:$1048576,6,FALSE)</f>
        <v/>
      </c>
      <c r="BS938" s="106">
        <f>VLOOKUP(BP938,[1]AGUA!$1:$1048576,7,FALSE)</f>
        <v/>
      </c>
      <c r="BT938" s="106" t="n"/>
      <c r="BU938" s="102" t="inlineStr">
        <is>
          <t>SE ELIMINA A PARTIR DE SEPTIEMBRE 2025 X CMDIC</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24">
        <f>+COUNTA(BV938:CY938)</f>
        <v/>
      </c>
      <c r="DA938" s="251" t="n"/>
      <c r="DB938" s="251" t="n"/>
      <c r="DC938" s="251" t="n"/>
      <c r="DD938" s="251" t="n"/>
      <c r="DE938" s="251" t="n"/>
      <c r="DF938" s="251" t="n"/>
      <c r="DG938" s="251" t="n"/>
      <c r="DH938" s="251" t="n"/>
      <c r="DI938" s="251" t="n"/>
      <c r="DJ938" s="251" t="inlineStr">
        <is>
          <t>TF</t>
        </is>
      </c>
      <c r="DK938" s="251" t="n">
        <v>15</v>
      </c>
      <c r="DL938" s="95" t="n">
        <v>28</v>
      </c>
      <c r="DM938" s="251" t="n"/>
      <c r="DN938" s="95" t="n"/>
      <c r="DO938" s="95" t="n"/>
    </row>
    <row r="939" ht="13" customHeight="1">
      <c r="A939" s="203" t="inlineStr">
        <is>
          <t>SHA-E03</t>
        </is>
      </c>
      <c r="B939" s="305" t="inlineStr">
        <is>
          <t>SHA-E03 SALAR DEL HUASCO</t>
        </is>
      </c>
      <c r="C939" s="7" t="n"/>
      <c r="D939" s="7" t="inlineStr">
        <is>
          <t>MONITOREO INTERNO</t>
        </is>
      </c>
      <c r="E939" s="7" t="inlineStr">
        <is>
          <t>NO</t>
        </is>
      </c>
      <c r="F939" s="7" t="inlineStr">
        <is>
          <t>NO</t>
        </is>
      </c>
      <c r="G939" s="7" t="inlineStr">
        <is>
          <t>NO</t>
        </is>
      </c>
      <c r="H939" s="7" t="n">
        <v>520800.789114</v>
      </c>
      <c r="I939" s="7" t="n">
        <v>7763828.12671</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1" t="inlineStr">
        <is>
          <t>532MASHA</t>
        </is>
      </c>
      <c r="BL939" s="61" t="inlineStr">
        <is>
          <t>GMAP-SIGA</t>
        </is>
      </c>
      <c r="BM939" s="251" t="inlineStr">
        <is>
          <t>NF</t>
        </is>
      </c>
      <c r="BN939" s="337" t="inlineStr">
        <is>
          <t>Huasco</t>
        </is>
      </c>
      <c r="BO939" s="251" t="inlineStr">
        <is>
          <t>NO</t>
        </is>
      </c>
      <c r="BP939" s="106" t="inlineStr">
        <is>
          <t>SHA-E03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24">
        <f>+COUNTA(BV939:CY939)</f>
        <v/>
      </c>
      <c r="DA939" s="251" t="n"/>
      <c r="DB939" s="251" t="n"/>
      <c r="DC939" s="251" t="n"/>
      <c r="DD939" s="251" t="n"/>
      <c r="DE939" s="251" t="n"/>
      <c r="DF939" s="251" t="n"/>
      <c r="DG939" s="251" t="n"/>
      <c r="DH939" s="251" t="n"/>
      <c r="DI939" s="251" t="n"/>
      <c r="DJ939" s="251" t="inlineStr">
        <is>
          <t>TF</t>
        </is>
      </c>
      <c r="DK939" s="251" t="n">
        <v>15</v>
      </c>
      <c r="DL939" s="95" t="n">
        <v>28</v>
      </c>
      <c r="DM939" s="251" t="n"/>
      <c r="DN939" s="95" t="n"/>
      <c r="DO939" s="95" t="n"/>
    </row>
    <row r="940" ht="13" customHeight="1">
      <c r="A940" s="203" t="inlineStr">
        <is>
          <t>SHA-E04</t>
        </is>
      </c>
      <c r="B940" s="305" t="inlineStr">
        <is>
          <t>SHA-E04 SALAR DEL HUASCO</t>
        </is>
      </c>
      <c r="C940" s="7" t="n"/>
      <c r="D940" s="7" t="inlineStr">
        <is>
          <t>MONITOREO INTERNO</t>
        </is>
      </c>
      <c r="E940" s="7" t="inlineStr">
        <is>
          <t>NO</t>
        </is>
      </c>
      <c r="F940" s="7" t="inlineStr">
        <is>
          <t>NO</t>
        </is>
      </c>
      <c r="G940" s="7" t="inlineStr">
        <is>
          <t>NO</t>
        </is>
      </c>
      <c r="H940" s="7" t="n">
        <v>521291.836974</v>
      </c>
      <c r="I940" s="7" t="n">
        <v>7762711.44097</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1" t="inlineStr">
        <is>
          <t>532MASHA</t>
        </is>
      </c>
      <c r="BL940" s="61" t="inlineStr">
        <is>
          <t>GMAP-SIGA</t>
        </is>
      </c>
      <c r="BM940" s="251" t="inlineStr">
        <is>
          <t>NF</t>
        </is>
      </c>
      <c r="BN940" s="337" t="inlineStr">
        <is>
          <t>Huasco</t>
        </is>
      </c>
      <c r="BO940" s="251" t="inlineStr">
        <is>
          <t>NO</t>
        </is>
      </c>
      <c r="BP940" s="106" t="inlineStr">
        <is>
          <t>SHA-E04 SALAR DEL HUASCO/NF</t>
        </is>
      </c>
      <c r="BQ940" s="106">
        <f>VLOOKUP(BP940,[1]AGUA!$1:$1048576,2,FALSE)</f>
        <v/>
      </c>
      <c r="BR940" s="106">
        <f>VLOOKUP(BP940,[1]AGUA!$1:$1048576,6,FALSE)</f>
        <v/>
      </c>
      <c r="BS940" s="106">
        <f>VLOOKUP(BP940,[1]AGUA!$1:$1048576,7,FALSE)</f>
        <v/>
      </c>
      <c r="BT940" s="106" t="n"/>
      <c r="BU940" s="102" t="inlineStr">
        <is>
          <t>CAMBIO DE FRECUENCIA A PARTIR DE SEPTIEMBRE 2025 X CMDIC DE TRIMESTRAL A SEMESTRAL</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24">
        <f>+COUNTA(BV940:CY940)</f>
        <v/>
      </c>
      <c r="DA940" s="251" t="n"/>
      <c r="DB940" s="251" t="n"/>
      <c r="DC940" s="251" t="n"/>
      <c r="DD940" s="251" t="n"/>
      <c r="DE940" s="251" t="n"/>
      <c r="DF940" s="251" t="n"/>
      <c r="DG940" s="251" t="n"/>
      <c r="DH940" s="251" t="n"/>
      <c r="DI940" s="251" t="n"/>
      <c r="DJ940" s="251" t="inlineStr">
        <is>
          <t>STRAL</t>
        </is>
      </c>
      <c r="DK940" s="251" t="n">
        <v>15</v>
      </c>
      <c r="DL940" s="95" t="n">
        <v>28</v>
      </c>
      <c r="DM940" s="251" t="n"/>
      <c r="DN940" s="95" t="n"/>
      <c r="DO940" s="95" t="n"/>
    </row>
    <row r="941" ht="13" customHeight="1">
      <c r="A941" s="203" t="inlineStr">
        <is>
          <t>SHA-E05</t>
        </is>
      </c>
      <c r="B941" s="305" t="inlineStr">
        <is>
          <t>SHA-E05 SALAR DEL HUASCO</t>
        </is>
      </c>
      <c r="C941" s="7" t="n"/>
      <c r="D941" s="7" t="inlineStr">
        <is>
          <t>MONITOREO INTERNO</t>
        </is>
      </c>
      <c r="E941" s="7" t="inlineStr">
        <is>
          <t>NO</t>
        </is>
      </c>
      <c r="F941" s="7" t="inlineStr">
        <is>
          <t>NO</t>
        </is>
      </c>
      <c r="G941" s="7" t="inlineStr">
        <is>
          <t>NO</t>
        </is>
      </c>
      <c r="H941" s="7" t="n">
        <v>520173.362007</v>
      </c>
      <c r="I941" s="7" t="n">
        <v>7766123.47792</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1" t="inlineStr">
        <is>
          <t>532MASHA</t>
        </is>
      </c>
      <c r="BL941" s="61" t="inlineStr">
        <is>
          <t>GMAP-SIGA</t>
        </is>
      </c>
      <c r="BM941" s="251" t="inlineStr">
        <is>
          <t>NF</t>
        </is>
      </c>
      <c r="BN941" s="337" t="inlineStr">
        <is>
          <t>Huasco</t>
        </is>
      </c>
      <c r="BO941" s="251" t="inlineStr">
        <is>
          <t>NO</t>
        </is>
      </c>
      <c r="BP941" s="106" t="inlineStr">
        <is>
          <t>SHA-E05 SALAR DEL HUASCO/NF</t>
        </is>
      </c>
      <c r="BQ941" s="106">
        <f>VLOOKUP(BP941,[1]AGUA!$1:$1048576,2,FALSE)</f>
        <v/>
      </c>
      <c r="BR941" s="106">
        <f>VLOOKUP(BP941,[1]AGUA!$1:$1048576,6,FALSE)</f>
        <v/>
      </c>
      <c r="BS941" s="106">
        <f>VLOOKUP(BP941,[1]AGUA!$1:$1048576,7,FALSE)</f>
        <v/>
      </c>
      <c r="BT941" s="106" t="n"/>
      <c r="BU941" s="102" t="inlineStr">
        <is>
          <t>SE ELIMINA A PARTIR DE SEPTIEMBRE 2025 X CMDIC</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24">
        <f>+COUNTA(BV941:CY941)</f>
        <v/>
      </c>
      <c r="DA941" s="251" t="n"/>
      <c r="DB941" s="251" t="n"/>
      <c r="DC941" s="251" t="n"/>
      <c r="DD941" s="251" t="n"/>
      <c r="DE941" s="251" t="n"/>
      <c r="DF941" s="251" t="n"/>
      <c r="DG941" s="251" t="n"/>
      <c r="DH941" s="251" t="n"/>
      <c r="DI941" s="251" t="n"/>
      <c r="DJ941" s="251" t="inlineStr">
        <is>
          <t>TF</t>
        </is>
      </c>
      <c r="DK941" s="251" t="n">
        <v>15</v>
      </c>
      <c r="DL941" s="95" t="n">
        <v>28</v>
      </c>
      <c r="DM941" s="251" t="n"/>
      <c r="DN941" s="95" t="n"/>
      <c r="DO941" s="95" t="n"/>
    </row>
    <row r="942" ht="13" customHeight="1">
      <c r="A942" s="203" t="inlineStr">
        <is>
          <t>SHA-E06</t>
        </is>
      </c>
      <c r="B942" s="305" t="inlineStr">
        <is>
          <t>SHA-E06 SALAR DEL HUASCO</t>
        </is>
      </c>
      <c r="C942" s="7" t="n"/>
      <c r="D942" s="7" t="inlineStr">
        <is>
          <t>MONITOREO INTERNO</t>
        </is>
      </c>
      <c r="E942" s="7" t="inlineStr">
        <is>
          <t>NO</t>
        </is>
      </c>
      <c r="F942" s="7" t="inlineStr">
        <is>
          <t>NO</t>
        </is>
      </c>
      <c r="G942" s="7" t="inlineStr">
        <is>
          <t>NO</t>
        </is>
      </c>
      <c r="H942" s="7" t="n">
        <v>520032.492778</v>
      </c>
      <c r="I942" s="7" t="n">
        <v>7767272.38351</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1" t="inlineStr">
        <is>
          <t>532MASHA</t>
        </is>
      </c>
      <c r="BL942" s="61" t="inlineStr">
        <is>
          <t>GMAP-SIGA</t>
        </is>
      </c>
      <c r="BM942" s="251" t="inlineStr">
        <is>
          <t>NF</t>
        </is>
      </c>
      <c r="BN942" s="337" t="inlineStr">
        <is>
          <t>Huasco</t>
        </is>
      </c>
      <c r="BO942" s="251" t="inlineStr">
        <is>
          <t>NO</t>
        </is>
      </c>
      <c r="BP942" s="106" t="inlineStr">
        <is>
          <t>SHA-E06 SALAR DEL HUASCO/NF</t>
        </is>
      </c>
      <c r="BQ942" s="106">
        <f>VLOOKUP(BP942,[1]AGUA!$1:$1048576,2,FALSE)</f>
        <v/>
      </c>
      <c r="BR942" s="106">
        <f>VLOOKUP(BP942,[1]AGUA!$1:$1048576,6,FALSE)</f>
        <v/>
      </c>
      <c r="BS942" s="106">
        <f>VLOOKUP(BP942,[1]AGUA!$1:$1048576,7,FALSE)</f>
        <v/>
      </c>
      <c r="BT942" s="106" t="n"/>
      <c r="BU942" s="102" t="inlineStr">
        <is>
          <t>CAMBIO DE FRECUENCIA A PARTIR DE SEPTIEMBRE 2025 X CMDIC DE TRIMESTRAL A SEMESTRAL</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24">
        <f>+COUNTA(BV942:CY942)</f>
        <v/>
      </c>
      <c r="DA942" s="251" t="n"/>
      <c r="DB942" s="251" t="n"/>
      <c r="DC942" s="251" t="n"/>
      <c r="DD942" s="251" t="n"/>
      <c r="DE942" s="251" t="n"/>
      <c r="DF942" s="251" t="n"/>
      <c r="DG942" s="251" t="n"/>
      <c r="DH942" s="251" t="n"/>
      <c r="DI942" s="251" t="n"/>
      <c r="DJ942" s="251" t="inlineStr">
        <is>
          <t>STRAL</t>
        </is>
      </c>
      <c r="DK942" s="251" t="n">
        <v>15</v>
      </c>
      <c r="DL942" s="95" t="n">
        <v>28</v>
      </c>
      <c r="DM942" s="251" t="n"/>
      <c r="DN942" s="95" t="n"/>
      <c r="DO942" s="95" t="n"/>
    </row>
    <row r="943" ht="13" customHeight="1">
      <c r="A943" s="203" t="inlineStr">
        <is>
          <t>SHA-E07</t>
        </is>
      </c>
      <c r="B943" s="305" t="inlineStr">
        <is>
          <t>SHA-E07 SALAR DEL HUASCO</t>
        </is>
      </c>
      <c r="C943" s="7" t="n"/>
      <c r="D943" s="7" t="inlineStr">
        <is>
          <t>MONITOREO INTERNO</t>
        </is>
      </c>
      <c r="E943" s="7" t="inlineStr">
        <is>
          <t>NO</t>
        </is>
      </c>
      <c r="F943" s="7" t="inlineStr">
        <is>
          <t>NO</t>
        </is>
      </c>
      <c r="G943" s="7" t="inlineStr">
        <is>
          <t>NO</t>
        </is>
      </c>
      <c r="H943" s="7" t="n">
        <v>525619.57755</v>
      </c>
      <c r="I943" s="7" t="n">
        <v>7752513.60032</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1" t="inlineStr">
        <is>
          <t>532MASHA</t>
        </is>
      </c>
      <c r="BL943" s="61" t="inlineStr">
        <is>
          <t>GMAP-SIGA</t>
        </is>
      </c>
      <c r="BM943" s="251" t="inlineStr">
        <is>
          <t>NF</t>
        </is>
      </c>
      <c r="BN943" s="337" t="inlineStr">
        <is>
          <t>Huasco</t>
        </is>
      </c>
      <c r="BO943" s="251" t="inlineStr">
        <is>
          <t>NO</t>
        </is>
      </c>
      <c r="BP943" s="106" t="inlineStr">
        <is>
          <t>SHA-E07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24">
        <f>+COUNTA(BV943:CY943)</f>
        <v/>
      </c>
      <c r="DA943" s="251" t="n"/>
      <c r="DB943" s="251" t="n"/>
      <c r="DC943" s="251" t="n"/>
      <c r="DD943" s="251" t="n"/>
      <c r="DE943" s="251" t="n"/>
      <c r="DF943" s="251" t="n"/>
      <c r="DG943" s="251" t="n"/>
      <c r="DH943" s="251" t="n"/>
      <c r="DI943" s="251" t="n"/>
      <c r="DJ943" s="251" t="inlineStr">
        <is>
          <t>STRAL</t>
        </is>
      </c>
      <c r="DK943" s="251" t="n">
        <v>15</v>
      </c>
      <c r="DL943" s="95" t="n">
        <v>28</v>
      </c>
      <c r="DM943" s="251" t="n"/>
      <c r="DN943" s="95" t="n"/>
      <c r="DO943" s="95" t="n"/>
    </row>
    <row r="944" ht="13" customHeight="1">
      <c r="A944" s="203" t="inlineStr">
        <is>
          <t>SHA-E08</t>
        </is>
      </c>
      <c r="B944" s="305" t="inlineStr">
        <is>
          <t>SHA-E08 SALAR DEL HUASCO</t>
        </is>
      </c>
      <c r="C944" s="7" t="n"/>
      <c r="D944" s="7" t="inlineStr">
        <is>
          <t>MONITOREO INTERNO</t>
        </is>
      </c>
      <c r="E944" s="7" t="inlineStr">
        <is>
          <t>NO</t>
        </is>
      </c>
      <c r="F944" s="7" t="inlineStr">
        <is>
          <t>NO</t>
        </is>
      </c>
      <c r="G944" s="7" t="inlineStr">
        <is>
          <t>NO</t>
        </is>
      </c>
      <c r="H944" s="7" t="n">
        <v>525729.296862</v>
      </c>
      <c r="I944" s="7" t="n">
        <v>7751537.35421</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1" t="inlineStr">
        <is>
          <t>532MASHA</t>
        </is>
      </c>
      <c r="BL944" s="61" t="inlineStr">
        <is>
          <t>GMAP-SIGA</t>
        </is>
      </c>
      <c r="BM944" s="251" t="inlineStr">
        <is>
          <t>NF</t>
        </is>
      </c>
      <c r="BN944" s="337" t="inlineStr">
        <is>
          <t>Huasco</t>
        </is>
      </c>
      <c r="BO944" s="251" t="inlineStr">
        <is>
          <t>NO</t>
        </is>
      </c>
      <c r="BP944" s="106" t="inlineStr">
        <is>
          <t>SHA-E08 SALAR DEL HUASCO/NF</t>
        </is>
      </c>
      <c r="BQ944" s="106">
        <f>VLOOKUP(BP944,[1]AGUA!$1:$1048576,2,FALSE)</f>
        <v/>
      </c>
      <c r="BR944" s="106">
        <f>VLOOKUP(BP944,[1]AGUA!$1:$1048576,6,FALSE)</f>
        <v/>
      </c>
      <c r="BS944" s="106">
        <f>VLOOKUP(BP944,[1]AGUA!$1:$1048576,7,FALSE)</f>
        <v/>
      </c>
      <c r="BT944" s="106" t="n"/>
      <c r="BU944" s="102" t="inlineStr">
        <is>
          <t>SE ELIMINA A PARTIR DE SEPTIEMBRE 2025 X CMDIC</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24">
        <f>+COUNTA(BV944:CY944)</f>
        <v/>
      </c>
      <c r="DA944" s="251" t="n"/>
      <c r="DB944" s="251" t="n"/>
      <c r="DC944" s="251" t="n"/>
      <c r="DD944" s="251" t="n"/>
      <c r="DE944" s="251" t="n"/>
      <c r="DF944" s="251" t="n"/>
      <c r="DG944" s="251" t="n"/>
      <c r="DH944" s="251" t="n"/>
      <c r="DI944" s="251" t="n"/>
      <c r="DJ944" s="251" t="inlineStr">
        <is>
          <t>TF</t>
        </is>
      </c>
      <c r="DK944" s="251" t="n">
        <v>15</v>
      </c>
      <c r="DL944" s="95" t="n">
        <v>28</v>
      </c>
      <c r="DM944" s="251" t="n"/>
      <c r="DN944" s="95" t="n"/>
      <c r="DO944" s="95" t="n"/>
    </row>
    <row r="945" ht="13" customHeight="1">
      <c r="A945" s="203" t="inlineStr">
        <is>
          <t>SHA-E09</t>
        </is>
      </c>
      <c r="B945" s="305" t="inlineStr">
        <is>
          <t>SHA-E09 SALAR DEL HUASCO</t>
        </is>
      </c>
      <c r="C945" s="7" t="n"/>
      <c r="D945" s="7" t="inlineStr">
        <is>
          <t>MONITOREO INTERNO</t>
        </is>
      </c>
      <c r="E945" s="7" t="inlineStr">
        <is>
          <t>NO</t>
        </is>
      </c>
      <c r="F945" s="7" t="inlineStr">
        <is>
          <t>NO</t>
        </is>
      </c>
      <c r="G945" s="7" t="inlineStr">
        <is>
          <t>NO</t>
        </is>
      </c>
      <c r="H945" s="7" t="n">
        <v>525517.30819</v>
      </c>
      <c r="I945" s="7" t="n">
        <v>7753424.82669</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1" t="inlineStr">
        <is>
          <t>532MASHA</t>
        </is>
      </c>
      <c r="BL945" s="61" t="inlineStr">
        <is>
          <t>GMAP-SIGA</t>
        </is>
      </c>
      <c r="BM945" s="251" t="inlineStr">
        <is>
          <t>NF</t>
        </is>
      </c>
      <c r="BN945" s="337" t="inlineStr">
        <is>
          <t>Huasco</t>
        </is>
      </c>
      <c r="BO945" s="251" t="inlineStr">
        <is>
          <t>NO</t>
        </is>
      </c>
      <c r="BP945" s="106" t="inlineStr">
        <is>
          <t>SHA-E09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24">
        <f>+COUNTA(BV945:CY945)</f>
        <v/>
      </c>
      <c r="DA945" s="251" t="n"/>
      <c r="DB945" s="251" t="n"/>
      <c r="DC945" s="251" t="n"/>
      <c r="DD945" s="251" t="n"/>
      <c r="DE945" s="251" t="n"/>
      <c r="DF945" s="251" t="n"/>
      <c r="DG945" s="251" t="n"/>
      <c r="DH945" s="251" t="n"/>
      <c r="DI945" s="251" t="n"/>
      <c r="DJ945" s="251" t="inlineStr">
        <is>
          <t>TF</t>
        </is>
      </c>
      <c r="DK945" s="251" t="n">
        <v>15</v>
      </c>
      <c r="DL945" s="95" t="n">
        <v>28</v>
      </c>
      <c r="DM945" s="251" t="n"/>
      <c r="DN945" s="95" t="n"/>
      <c r="DO945" s="95" t="n"/>
    </row>
    <row r="946" ht="13" customHeight="1">
      <c r="A946" s="203" t="inlineStr">
        <is>
          <t>SHA-E10</t>
        </is>
      </c>
      <c r="B946" s="305" t="inlineStr">
        <is>
          <t>SHA-E10 SALAR DEL HUASCO</t>
        </is>
      </c>
      <c r="C946" s="7" t="n"/>
      <c r="D946" s="7" t="inlineStr">
        <is>
          <t>MONITOREO INTERNO</t>
        </is>
      </c>
      <c r="E946" s="7" t="inlineStr">
        <is>
          <t>NO</t>
        </is>
      </c>
      <c r="F946" s="7" t="inlineStr">
        <is>
          <t>NO</t>
        </is>
      </c>
      <c r="G946" s="7" t="inlineStr">
        <is>
          <t>NO</t>
        </is>
      </c>
      <c r="H946" s="7" t="n">
        <v>525406.368886</v>
      </c>
      <c r="I946" s="7" t="n">
        <v>7754434.45269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1" t="inlineStr">
        <is>
          <t>532MASHA</t>
        </is>
      </c>
      <c r="BL946" s="61" t="inlineStr">
        <is>
          <t>GMAP-SIGA</t>
        </is>
      </c>
      <c r="BM946" s="251" t="inlineStr">
        <is>
          <t>NF</t>
        </is>
      </c>
      <c r="BN946" s="337" t="inlineStr">
        <is>
          <t>Huasco</t>
        </is>
      </c>
      <c r="BO946" s="251" t="inlineStr">
        <is>
          <t>NO</t>
        </is>
      </c>
      <c r="BP946" s="106" t="inlineStr">
        <is>
          <t>SHA-E10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24">
        <f>+COUNTA(BV946:CY946)</f>
        <v/>
      </c>
      <c r="DA946" s="251" t="n"/>
      <c r="DB946" s="251" t="n"/>
      <c r="DC946" s="251" t="n"/>
      <c r="DD946" s="251" t="n"/>
      <c r="DE946" s="251" t="n"/>
      <c r="DF946" s="251" t="n"/>
      <c r="DG946" s="251" t="n"/>
      <c r="DH946" s="251" t="n"/>
      <c r="DI946" s="251" t="n"/>
      <c r="DJ946" s="251" t="inlineStr">
        <is>
          <t>TF</t>
        </is>
      </c>
      <c r="DK946" s="251" t="n">
        <v>15</v>
      </c>
      <c r="DL946" s="95" t="n">
        <v>28</v>
      </c>
      <c r="DM946" s="251" t="n"/>
      <c r="DN946" s="95" t="n"/>
      <c r="DO946" s="95" t="n"/>
    </row>
    <row r="947" ht="13" customHeight="1">
      <c r="A947" s="203" t="inlineStr">
        <is>
          <t>SHA-E11</t>
        </is>
      </c>
      <c r="B947" s="305" t="inlineStr">
        <is>
          <t>SHA-E11 SALAR DEL HUASCO</t>
        </is>
      </c>
      <c r="C947" s="7" t="n"/>
      <c r="D947" s="7" t="inlineStr">
        <is>
          <t>MONITOREO INTERNO</t>
        </is>
      </c>
      <c r="E947" s="7" t="inlineStr">
        <is>
          <t>NO</t>
        </is>
      </c>
      <c r="F947" s="7" t="inlineStr">
        <is>
          <t>NO</t>
        </is>
      </c>
      <c r="G947" s="7" t="inlineStr">
        <is>
          <t>NO</t>
        </is>
      </c>
      <c r="H947" s="7" t="n">
        <v>516573.996632</v>
      </c>
      <c r="I947" s="7" t="n">
        <v>7770717.0609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1" t="inlineStr">
        <is>
          <t>532MASHA</t>
        </is>
      </c>
      <c r="BL947" s="61" t="inlineStr">
        <is>
          <t>GMAP-SIGA</t>
        </is>
      </c>
      <c r="BM947" s="251" t="inlineStr">
        <is>
          <t>NF</t>
        </is>
      </c>
      <c r="BN947" s="337" t="inlineStr">
        <is>
          <t>Huasco</t>
        </is>
      </c>
      <c r="BO947" s="251" t="inlineStr">
        <is>
          <t>NO</t>
        </is>
      </c>
      <c r="BP947" s="106" t="inlineStr">
        <is>
          <t>SHA-E11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24">
        <f>+COUNTA(BV947:CY947)</f>
        <v/>
      </c>
      <c r="DA947" s="251" t="n"/>
      <c r="DB947" s="251" t="n"/>
      <c r="DC947" s="251" t="n"/>
      <c r="DD947" s="251" t="n"/>
      <c r="DE947" s="251" t="n"/>
      <c r="DF947" s="251" t="n"/>
      <c r="DG947" s="251" t="n"/>
      <c r="DH947" s="251" t="n"/>
      <c r="DI947" s="251" t="n"/>
      <c r="DJ947" s="251" t="inlineStr">
        <is>
          <t>TF</t>
        </is>
      </c>
      <c r="DK947" s="251" t="n">
        <v>15</v>
      </c>
      <c r="DL947" s="95" t="n">
        <v>28</v>
      </c>
      <c r="DM947" s="251" t="n"/>
      <c r="DN947" s="95" t="n"/>
      <c r="DO947" s="95" t="n"/>
    </row>
    <row r="948" ht="13" customHeight="1">
      <c r="A948" s="203" t="inlineStr">
        <is>
          <t>SHA-E12</t>
        </is>
      </c>
      <c r="B948" s="305" t="inlineStr">
        <is>
          <t>SHA-E12 SALAR DEL HUASCO</t>
        </is>
      </c>
      <c r="C948" s="7" t="n"/>
      <c r="D948" s="7" t="inlineStr">
        <is>
          <t>MONITOREO INTERNO</t>
        </is>
      </c>
      <c r="E948" s="7" t="inlineStr">
        <is>
          <t>NO</t>
        </is>
      </c>
      <c r="F948" s="7" t="inlineStr">
        <is>
          <t>NO</t>
        </is>
      </c>
      <c r="G948" s="7" t="inlineStr">
        <is>
          <t>NO</t>
        </is>
      </c>
      <c r="H948" s="7" t="n">
        <v>516588.896575</v>
      </c>
      <c r="I948" s="7" t="n">
        <v>7770717.5709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1" t="inlineStr">
        <is>
          <t>532MASHA</t>
        </is>
      </c>
      <c r="BL948" s="61" t="inlineStr">
        <is>
          <t>GMAP-SIGA</t>
        </is>
      </c>
      <c r="BM948" s="251" t="inlineStr">
        <is>
          <t>NF</t>
        </is>
      </c>
      <c r="BN948" s="337" t="inlineStr">
        <is>
          <t>Huasco</t>
        </is>
      </c>
      <c r="BO948" s="251" t="inlineStr">
        <is>
          <t>NO</t>
        </is>
      </c>
      <c r="BP948" s="106" t="inlineStr">
        <is>
          <t>SHA-E12 SALAR DEL HUASCO/NF</t>
        </is>
      </c>
      <c r="BQ948" s="106">
        <f>VLOOKUP(BP948,[1]AGUA!$1:$1048576,2,FALSE)</f>
        <v/>
      </c>
      <c r="BR948" s="106">
        <f>VLOOKUP(BP948,[1]AGUA!$1:$1048576,6,FALSE)</f>
        <v/>
      </c>
      <c r="BS948" s="106">
        <f>VLOOKUP(BP948,[1]AGUA!$1:$1048576,7,FALSE)</f>
        <v/>
      </c>
      <c r="BT948" s="106" t="n"/>
      <c r="BU948" s="102" t="inlineStr">
        <is>
          <t>CAMBIO DE FRECUENCIA A PARTIR DE SEPTIEMBRE 2025 X CMDIC DE TRIMESTRAL A SEMESTRAL</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24">
        <f>+COUNTA(BV948:CY948)</f>
        <v/>
      </c>
      <c r="DA948" s="251" t="n"/>
      <c r="DB948" s="251" t="n"/>
      <c r="DC948" s="251" t="n"/>
      <c r="DD948" s="251" t="n"/>
      <c r="DE948" s="251" t="n"/>
      <c r="DF948" s="251" t="n"/>
      <c r="DG948" s="251" t="n"/>
      <c r="DH948" s="251" t="n"/>
      <c r="DI948" s="251" t="n"/>
      <c r="DJ948" s="251" t="inlineStr">
        <is>
          <t>STRAL</t>
        </is>
      </c>
      <c r="DK948" s="251" t="n">
        <v>15</v>
      </c>
      <c r="DL948" s="95" t="n">
        <v>28</v>
      </c>
      <c r="DM948" s="251" t="n"/>
      <c r="DN948" s="95" t="n"/>
      <c r="DO948" s="95" t="n"/>
    </row>
    <row r="949" ht="13" customHeight="1">
      <c r="A949" s="203" t="inlineStr">
        <is>
          <t>SHA-E13</t>
        </is>
      </c>
      <c r="B949" s="305" t="inlineStr">
        <is>
          <t>SHA-E13 SALAR DEL HUASCO</t>
        </is>
      </c>
      <c r="C949" s="7" t="n"/>
      <c r="D949" s="7" t="inlineStr">
        <is>
          <t>MONITOREO INTERNO</t>
        </is>
      </c>
      <c r="E949" s="7" t="inlineStr">
        <is>
          <t>NO</t>
        </is>
      </c>
      <c r="F949" s="7" t="inlineStr">
        <is>
          <t>NO</t>
        </is>
      </c>
      <c r="G949" s="7" t="inlineStr">
        <is>
          <t>NO</t>
        </is>
      </c>
      <c r="H949" s="7" t="n">
        <v>517601.422724</v>
      </c>
      <c r="I949" s="7" t="n">
        <v>7770735.14066</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1" t="inlineStr">
        <is>
          <t>532MASHA</t>
        </is>
      </c>
      <c r="BL949" s="61" t="inlineStr">
        <is>
          <t>GMAP-SIGA</t>
        </is>
      </c>
      <c r="BM949" s="251" t="inlineStr">
        <is>
          <t>NF</t>
        </is>
      </c>
      <c r="BN949" s="337" t="inlineStr">
        <is>
          <t>Huasco</t>
        </is>
      </c>
      <c r="BO949" s="251" t="inlineStr">
        <is>
          <t>NO</t>
        </is>
      </c>
      <c r="BP949" s="106" t="inlineStr">
        <is>
          <t>SHA-E13 SALAR DEL HUASCO/NF</t>
        </is>
      </c>
      <c r="BQ949" s="106">
        <f>VLOOKUP(BP949,[1]AGUA!$1:$1048576,2,FALSE)</f>
        <v/>
      </c>
      <c r="BR949" s="106">
        <f>VLOOKUP(BP949,[1]AGUA!$1:$1048576,6,FALSE)</f>
        <v/>
      </c>
      <c r="BS949" s="106">
        <f>VLOOKUP(BP949,[1]AGUA!$1:$1048576,7,FALSE)</f>
        <v/>
      </c>
      <c r="BT949" s="106" t="n"/>
      <c r="BU949" s="102" t="inlineStr">
        <is>
          <t>SE ELIMINA A PARTIR DE SEPTIEMBRE 2025 X CMDIC</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24">
        <f>+COUNTA(BV949:CY949)</f>
        <v/>
      </c>
      <c r="DA949" s="251" t="n"/>
      <c r="DB949" s="251" t="n"/>
      <c r="DC949" s="251" t="n"/>
      <c r="DD949" s="251" t="n"/>
      <c r="DE949" s="251" t="n"/>
      <c r="DF949" s="251" t="n"/>
      <c r="DG949" s="251" t="n"/>
      <c r="DH949" s="251" t="n"/>
      <c r="DI949" s="251" t="n"/>
      <c r="DJ949" s="251" t="inlineStr">
        <is>
          <t>TF</t>
        </is>
      </c>
      <c r="DK949" s="251" t="n">
        <v>15</v>
      </c>
      <c r="DL949" s="95" t="n">
        <v>28</v>
      </c>
      <c r="DM949" s="251" t="n"/>
      <c r="DN949" s="95" t="n"/>
      <c r="DO949" s="95" t="n"/>
    </row>
    <row r="950" ht="13" customHeight="1">
      <c r="A950" s="203" t="inlineStr">
        <is>
          <t>SHA-E14</t>
        </is>
      </c>
      <c r="B950" s="305" t="inlineStr">
        <is>
          <t>SHA-E14 SALAR DEL HUASCO</t>
        </is>
      </c>
      <c r="C950" s="7" t="n"/>
      <c r="D950" s="7" t="inlineStr">
        <is>
          <t>MONITOREO INTERNO</t>
        </is>
      </c>
      <c r="E950" s="7" t="inlineStr">
        <is>
          <t>NO</t>
        </is>
      </c>
      <c r="F950" s="7" t="inlineStr">
        <is>
          <t>NO</t>
        </is>
      </c>
      <c r="G950" s="7" t="inlineStr">
        <is>
          <t>NO</t>
        </is>
      </c>
      <c r="H950" s="7" t="n">
        <v>516490.597139</v>
      </c>
      <c r="I950" s="7" t="n">
        <v>7771874.07649</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1" t="inlineStr">
        <is>
          <t>532MASHA</t>
        </is>
      </c>
      <c r="BL950" s="61" t="inlineStr">
        <is>
          <t>GMAP-SIGA</t>
        </is>
      </c>
      <c r="BM950" s="251" t="inlineStr">
        <is>
          <t>NF</t>
        </is>
      </c>
      <c r="BN950" s="337" t="inlineStr">
        <is>
          <t>Huasco</t>
        </is>
      </c>
      <c r="BO950" s="251" t="inlineStr">
        <is>
          <t>NO</t>
        </is>
      </c>
      <c r="BP950" s="106" t="inlineStr">
        <is>
          <t>SHA-E14 SALAR DEL HUASCO/NF</t>
        </is>
      </c>
      <c r="BQ950" s="106">
        <f>VLOOKUP(BP950,[1]AGUA!$1:$1048576,2,FALSE)</f>
        <v/>
      </c>
      <c r="BR950" s="106">
        <f>VLOOKUP(BP950,[1]AGUA!$1:$1048576,6,FALSE)</f>
        <v/>
      </c>
      <c r="BS950" s="106">
        <f>VLOOKUP(BP950,[1]AGUA!$1:$1048576,7,FALSE)</f>
        <v/>
      </c>
      <c r="BT950" s="106" t="n"/>
      <c r="BU950" s="102" t="inlineStr">
        <is>
          <t>CAMBIO DE FRECUENCIA A PARTIR DE SEPTIEMBRE 2025 X CMDIC DE TRIMESTRAL A SEMESTRAL</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24">
        <f>+COUNTA(BV950:CY950)</f>
        <v/>
      </c>
      <c r="DA950" s="251" t="n"/>
      <c r="DB950" s="251" t="n"/>
      <c r="DC950" s="251" t="n"/>
      <c r="DD950" s="251" t="n"/>
      <c r="DE950" s="251" t="n"/>
      <c r="DF950" s="251" t="n"/>
      <c r="DG950" s="251" t="n"/>
      <c r="DH950" s="251" t="n"/>
      <c r="DI950" s="251" t="n"/>
      <c r="DJ950" s="251" t="inlineStr">
        <is>
          <t>STRAL</t>
        </is>
      </c>
      <c r="DK950" s="251" t="n">
        <v>15</v>
      </c>
      <c r="DL950" s="95" t="n">
        <v>28</v>
      </c>
      <c r="DM950" s="251" t="n"/>
      <c r="DN950" s="95" t="n"/>
      <c r="DO950" s="95" t="n"/>
    </row>
    <row r="951" ht="13" customHeight="1">
      <c r="A951" s="203" t="inlineStr">
        <is>
          <t>SHA-E15</t>
        </is>
      </c>
      <c r="B951" s="305" t="inlineStr">
        <is>
          <t>SHA-E15 SALAR DEL HUASCO</t>
        </is>
      </c>
      <c r="C951" s="7" t="n"/>
      <c r="D951" s="7" t="inlineStr">
        <is>
          <t>MONITOREO INTERNO</t>
        </is>
      </c>
      <c r="E951" s="7" t="inlineStr">
        <is>
          <t>NO</t>
        </is>
      </c>
      <c r="F951" s="7" t="inlineStr">
        <is>
          <t>NO</t>
        </is>
      </c>
      <c r="G951" s="7" t="inlineStr">
        <is>
          <t>NO</t>
        </is>
      </c>
      <c r="H951" s="7" t="n">
        <v>516490.527137</v>
      </c>
      <c r="I951" s="7" t="n">
        <v>7771858.46655</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1" t="inlineStr">
        <is>
          <t>532MASHA</t>
        </is>
      </c>
      <c r="BL951" s="61" t="inlineStr">
        <is>
          <t>GMAP-SIGA</t>
        </is>
      </c>
      <c r="BM951" s="251" t="inlineStr">
        <is>
          <t>NF</t>
        </is>
      </c>
      <c r="BN951" s="337" t="inlineStr">
        <is>
          <t>Huasco</t>
        </is>
      </c>
      <c r="BO951" s="251" t="inlineStr">
        <is>
          <t>NO</t>
        </is>
      </c>
      <c r="BP951" s="106" t="inlineStr">
        <is>
          <t>SHA-E15 SALAR DEL HUASCO/NF</t>
        </is>
      </c>
      <c r="BQ951" s="106">
        <f>VLOOKUP(BP951,[1]AGUA!$1:$1048576,2,FALSE)</f>
        <v/>
      </c>
      <c r="BR951" s="106">
        <f>VLOOKUP(BP951,[1]AGUA!$1:$1048576,6,FALSE)</f>
        <v/>
      </c>
      <c r="BS951" s="106">
        <f>VLOOKUP(BP951,[1]AGUA!$1:$1048576,7,FALSE)</f>
        <v/>
      </c>
      <c r="BT951" s="106" t="n"/>
      <c r="BU951" s="102" t="inlineStr">
        <is>
          <t>SE ELIMINA A PARTIR DE SEPTIEMBRE 2025 X CMDIC</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24">
        <f>+COUNTA(BV951:CY951)</f>
        <v/>
      </c>
      <c r="DA951" s="251" t="n"/>
      <c r="DB951" s="251" t="n"/>
      <c r="DC951" s="251" t="n"/>
      <c r="DD951" s="251" t="n"/>
      <c r="DE951" s="251" t="n"/>
      <c r="DF951" s="251" t="n"/>
      <c r="DG951" s="251" t="n"/>
      <c r="DH951" s="251" t="n"/>
      <c r="DI951" s="251" t="n"/>
      <c r="DJ951" s="251" t="inlineStr">
        <is>
          <t>TF</t>
        </is>
      </c>
      <c r="DK951" s="251" t="n">
        <v>15</v>
      </c>
      <c r="DL951" s="95" t="n">
        <v>28</v>
      </c>
      <c r="DM951" s="251" t="n"/>
      <c r="DN951" s="95" t="n"/>
      <c r="DO951" s="95" t="n"/>
    </row>
    <row r="952" ht="13" customHeight="1">
      <c r="A952" s="203" t="inlineStr">
        <is>
          <t>SHA-E16</t>
        </is>
      </c>
      <c r="B952" s="305" t="inlineStr">
        <is>
          <t>SHA-E16 SALAR DEL HUASCO</t>
        </is>
      </c>
      <c r="C952" s="7" t="n"/>
      <c r="D952" s="7" t="inlineStr">
        <is>
          <t>MONITOREO INTERNO</t>
        </is>
      </c>
      <c r="E952" s="7" t="inlineStr">
        <is>
          <t>NO</t>
        </is>
      </c>
      <c r="F952" s="7" t="inlineStr">
        <is>
          <t>NO</t>
        </is>
      </c>
      <c r="G952" s="7" t="inlineStr">
        <is>
          <t>NO</t>
        </is>
      </c>
      <c r="H952" s="7" t="n">
        <v>516603.65689</v>
      </c>
      <c r="I952" s="7" t="n">
        <v>7772965.04232</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1" t="inlineStr">
        <is>
          <t>532MASHA</t>
        </is>
      </c>
      <c r="BL952" s="61" t="inlineStr">
        <is>
          <t>GMAP-SIGA</t>
        </is>
      </c>
      <c r="BM952" s="251" t="inlineStr">
        <is>
          <t>NF</t>
        </is>
      </c>
      <c r="BN952" s="337" t="inlineStr">
        <is>
          <t>Huasco</t>
        </is>
      </c>
      <c r="BO952" s="251" t="inlineStr">
        <is>
          <t>NO</t>
        </is>
      </c>
      <c r="BP952" s="106" t="inlineStr">
        <is>
          <t>SHA-E16 SALAR DEL HUASCO/NF</t>
        </is>
      </c>
      <c r="BQ952" s="106">
        <f>VLOOKUP(BP952,[1]AGUA!$1:$1048576,2,FALSE)</f>
        <v/>
      </c>
      <c r="BR952" s="106">
        <f>VLOOKUP(BP952,[1]AGUA!$1:$1048576,6,FALSE)</f>
        <v/>
      </c>
      <c r="BS952" s="106">
        <f>VLOOKUP(BP952,[1]AGUA!$1:$1048576,7,FALSE)</f>
        <v/>
      </c>
      <c r="BT952" s="106" t="n"/>
      <c r="BU952" s="102" t="inlineStr">
        <is>
          <t>CAMBIO DE FRECUENCIA A PARTIR DE SEPTIEMBRE 2025 X CMDIC DE TRIMESTRAL A SEMESTRAL</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24">
        <f>+COUNTA(BV952:CY952)</f>
        <v/>
      </c>
      <c r="DA952" s="251" t="n"/>
      <c r="DB952" s="251" t="n"/>
      <c r="DC952" s="251" t="n"/>
      <c r="DD952" s="251" t="n"/>
      <c r="DE952" s="251" t="n"/>
      <c r="DF952" s="251" t="n"/>
      <c r="DG952" s="251" t="n"/>
      <c r="DH952" s="251" t="n"/>
      <c r="DI952" s="251" t="n"/>
      <c r="DJ952" s="251" t="inlineStr">
        <is>
          <t>STRAL</t>
        </is>
      </c>
      <c r="DK952" s="251" t="n">
        <v>15</v>
      </c>
      <c r="DL952" s="95" t="n">
        <v>28</v>
      </c>
      <c r="DM952" s="251" t="n"/>
      <c r="DN952" s="95" t="n"/>
      <c r="DO952" s="95" t="n"/>
    </row>
    <row r="953" ht="13" customHeight="1">
      <c r="A953" s="203" t="inlineStr">
        <is>
          <t>SHA-E17</t>
        </is>
      </c>
      <c r="B953" s="305" t="inlineStr">
        <is>
          <t>SHA-E17 SALAR DEL HUASCO</t>
        </is>
      </c>
      <c r="C953" s="7" t="n"/>
      <c r="D953" s="7" t="inlineStr">
        <is>
          <t>MONITOREO INTERNO</t>
        </is>
      </c>
      <c r="E953" s="7" t="inlineStr">
        <is>
          <t>NO</t>
        </is>
      </c>
      <c r="F953" s="7" t="inlineStr">
        <is>
          <t>NO</t>
        </is>
      </c>
      <c r="G953" s="7" t="inlineStr">
        <is>
          <t>NO</t>
        </is>
      </c>
      <c r="H953" s="7" t="n">
        <v>517633.002883</v>
      </c>
      <c r="I953" s="7" t="n">
        <v>7772327.98457</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1" t="inlineStr">
        <is>
          <t>532MASHA</t>
        </is>
      </c>
      <c r="BL953" s="61" t="inlineStr">
        <is>
          <t>GMAP-SIGA</t>
        </is>
      </c>
      <c r="BM953" s="251" t="inlineStr">
        <is>
          <t>NF</t>
        </is>
      </c>
      <c r="BN953" s="337" t="inlineStr">
        <is>
          <t>Huasco</t>
        </is>
      </c>
      <c r="BO953" s="251" t="inlineStr">
        <is>
          <t>NO</t>
        </is>
      </c>
      <c r="BP953" s="106" t="inlineStr">
        <is>
          <t>SHA-E17 SALAR DEL HUASCO/NF</t>
        </is>
      </c>
      <c r="BQ953" s="106">
        <f>VLOOKUP(BP953,[1]AGUA!$1:$1048576,2,FALSE)</f>
        <v/>
      </c>
      <c r="BR953" s="106">
        <f>VLOOKUP(BP953,[1]AGUA!$1:$1048576,6,FALSE)</f>
        <v/>
      </c>
      <c r="BS953" s="106">
        <f>VLOOKUP(BP953,[1]AGUA!$1:$1048576,7,FALSE)</f>
        <v/>
      </c>
      <c r="BT953" s="106" t="n"/>
      <c r="BU953" s="102" t="inlineStr">
        <is>
          <t>SE ELIMINA A PARTIR DE SEPTIEMBRE 2025 X CMDIC</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24">
        <f>+COUNTA(BV953:CY953)</f>
        <v/>
      </c>
      <c r="DA953" s="251" t="n"/>
      <c r="DB953" s="251" t="n"/>
      <c r="DC953" s="251" t="n"/>
      <c r="DD953" s="251" t="n"/>
      <c r="DE953" s="251" t="n"/>
      <c r="DF953" s="251" t="n"/>
      <c r="DG953" s="251" t="n"/>
      <c r="DH953" s="251" t="n"/>
      <c r="DI953" s="251" t="n"/>
      <c r="DJ953" s="251" t="inlineStr">
        <is>
          <t>TF</t>
        </is>
      </c>
      <c r="DK953" s="251" t="n">
        <v>15</v>
      </c>
      <c r="DL953" s="95" t="n">
        <v>28</v>
      </c>
      <c r="DM953" s="251" t="n"/>
      <c r="DN953" s="95" t="n"/>
      <c r="DO953" s="95" t="n"/>
    </row>
    <row r="954" ht="13" customHeight="1">
      <c r="A954" s="203" t="inlineStr">
        <is>
          <t>SHA-E18</t>
        </is>
      </c>
      <c r="B954" s="305" t="inlineStr">
        <is>
          <t>SHA-E18 SALAR DEL HUASCO</t>
        </is>
      </c>
      <c r="C954" s="7" t="n"/>
      <c r="D954" s="7" t="inlineStr">
        <is>
          <t>MONITOREO INTERNO</t>
        </is>
      </c>
      <c r="E954" s="7" t="inlineStr">
        <is>
          <t>NO</t>
        </is>
      </c>
      <c r="F954" s="7" t="inlineStr">
        <is>
          <t>NO</t>
        </is>
      </c>
      <c r="G954" s="7" t="inlineStr">
        <is>
          <t>NO</t>
        </is>
      </c>
      <c r="H954" s="7" t="n">
        <v>516572.497756</v>
      </c>
      <c r="I954" s="7" t="n">
        <v>7777505.15516</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1" t="inlineStr">
        <is>
          <t>532MASHA</t>
        </is>
      </c>
      <c r="BL954" s="61" t="inlineStr">
        <is>
          <t>GMAP-SIGA</t>
        </is>
      </c>
      <c r="BM954" s="251" t="inlineStr">
        <is>
          <t>NF</t>
        </is>
      </c>
      <c r="BN954" s="337" t="inlineStr">
        <is>
          <t>Huasco</t>
        </is>
      </c>
      <c r="BO954" s="251" t="inlineStr">
        <is>
          <t>NO</t>
        </is>
      </c>
      <c r="BP954" s="106" t="inlineStr">
        <is>
          <t>SHA-E18 SALAR DEL HUASCO/NF</t>
        </is>
      </c>
      <c r="BQ954" s="106">
        <f>VLOOKUP(BP954,[1]AGUA!$1:$1048576,2,FALSE)</f>
        <v/>
      </c>
      <c r="BR954" s="106">
        <f>VLOOKUP(BP954,[1]AGUA!$1:$1048576,6,FALSE)</f>
        <v/>
      </c>
      <c r="BS954" s="106">
        <f>VLOOKUP(BP954,[1]AGUA!$1:$1048576,7,FALSE)</f>
        <v/>
      </c>
      <c r="BT954" s="106" t="n"/>
      <c r="BU954" s="102" t="inlineStr">
        <is>
          <t>CAMBIO DE FRECUENCIA A PARTIR DE SEPTIEMBRE 2025 X CMDIC DE TRIMESTRAL A SEMESTRAL</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24">
        <f>+COUNTA(BV954:CY954)</f>
        <v/>
      </c>
      <c r="DA954" s="251" t="n"/>
      <c r="DB954" s="251" t="n"/>
      <c r="DC954" s="251" t="n"/>
      <c r="DD954" s="251" t="n"/>
      <c r="DE954" s="251" t="n"/>
      <c r="DF954" s="251" t="n"/>
      <c r="DG954" s="251" t="n"/>
      <c r="DH954" s="251" t="n"/>
      <c r="DI954" s="251" t="n"/>
      <c r="DJ954" s="251" t="inlineStr">
        <is>
          <t>STRAL</t>
        </is>
      </c>
      <c r="DK954" s="251" t="n">
        <v>15</v>
      </c>
      <c r="DL954" s="95" t="n">
        <v>28</v>
      </c>
      <c r="DM954" s="251" t="n"/>
      <c r="DN954" s="95" t="n"/>
      <c r="DO954" s="95" t="n"/>
    </row>
    <row r="955" ht="13" customHeight="1">
      <c r="A955" s="203" t="inlineStr">
        <is>
          <t>SHA-E19</t>
        </is>
      </c>
      <c r="B955" s="305" t="inlineStr">
        <is>
          <t>SHA-E19 SALAR DEL HUASCO</t>
        </is>
      </c>
      <c r="C955" s="7" t="n"/>
      <c r="D955" s="7" t="inlineStr">
        <is>
          <t>MONITOREO INTERNO</t>
        </is>
      </c>
      <c r="E955" s="7" t="inlineStr">
        <is>
          <t>NO</t>
        </is>
      </c>
      <c r="F955" s="7" t="inlineStr">
        <is>
          <t>NO</t>
        </is>
      </c>
      <c r="G955" s="7" t="inlineStr">
        <is>
          <t>NO</t>
        </is>
      </c>
      <c r="H955" s="7" t="n">
        <v>515857.590775</v>
      </c>
      <c r="I955" s="7" t="n">
        <v>7779698.51705</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1" t="inlineStr">
        <is>
          <t>532MASHA</t>
        </is>
      </c>
      <c r="BL955" s="61" t="inlineStr">
        <is>
          <t>GMAP-SIGA</t>
        </is>
      </c>
      <c r="BM955" s="251" t="inlineStr">
        <is>
          <t>NF</t>
        </is>
      </c>
      <c r="BN955" s="337" t="inlineStr">
        <is>
          <t>Huasco</t>
        </is>
      </c>
      <c r="BO955" s="251" t="inlineStr">
        <is>
          <t>NO</t>
        </is>
      </c>
      <c r="BP955" s="106" t="inlineStr">
        <is>
          <t>SHA-E19 SALAR DEL HUASCO/NF</t>
        </is>
      </c>
      <c r="BQ955" s="106">
        <f>VLOOKUP(BP955,[1]AGUA!$1:$1048576,2,FALSE)</f>
        <v/>
      </c>
      <c r="BR955" s="106">
        <f>VLOOKUP(BP955,[1]AGUA!$1:$1048576,6,FALSE)</f>
        <v/>
      </c>
      <c r="BS955" s="106">
        <f>VLOOKUP(BP955,[1]AGUA!$1:$1048576,7,FALSE)</f>
        <v/>
      </c>
      <c r="BT955" s="106" t="n"/>
      <c r="BU955" s="102" t="inlineStr">
        <is>
          <t>SE ELIMINA A PARTIR DE SEPTIEMBRE 2025 X CMDIC</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24">
        <f>+COUNTA(BV955:CY955)</f>
        <v/>
      </c>
      <c r="DA955" s="251" t="n"/>
      <c r="DB955" s="251" t="n"/>
      <c r="DC955" s="251" t="n"/>
      <c r="DD955" s="251" t="n"/>
      <c r="DE955" s="251" t="n"/>
      <c r="DF955" s="251" t="n"/>
      <c r="DG955" s="251" t="n"/>
      <c r="DH955" s="251" t="n"/>
      <c r="DI955" s="251" t="n"/>
      <c r="DJ955" s="251" t="inlineStr">
        <is>
          <t>TF</t>
        </is>
      </c>
      <c r="DK955" s="251" t="n">
        <v>15</v>
      </c>
      <c r="DL955" s="95" t="n">
        <v>28</v>
      </c>
      <c r="DM955" s="251" t="n"/>
      <c r="DN955" s="95" t="n"/>
      <c r="DO955" s="95" t="n"/>
    </row>
    <row r="956" ht="13" customHeight="1">
      <c r="A956" s="203" t="inlineStr">
        <is>
          <t>SHA-E20</t>
        </is>
      </c>
      <c r="B956" s="305" t="inlineStr">
        <is>
          <t>SHA-E20 SALAR DEL HUASCO</t>
        </is>
      </c>
      <c r="C956" s="7" t="n"/>
      <c r="D956" s="7" t="inlineStr">
        <is>
          <t>MONITOREO INTERNO</t>
        </is>
      </c>
      <c r="E956" s="7" t="inlineStr">
        <is>
          <t>NO</t>
        </is>
      </c>
      <c r="F956" s="7" t="inlineStr">
        <is>
          <t>NO</t>
        </is>
      </c>
      <c r="G956" s="7" t="inlineStr">
        <is>
          <t>NO</t>
        </is>
      </c>
      <c r="H956" s="7" t="n">
        <v>518762.639318</v>
      </c>
      <c r="I956" s="7" t="n">
        <v>7776174.93978</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1" t="inlineStr">
        <is>
          <t>532MASHA</t>
        </is>
      </c>
      <c r="BL956" s="61" t="inlineStr">
        <is>
          <t>GMAP-SIGA</t>
        </is>
      </c>
      <c r="BM956" s="251" t="inlineStr">
        <is>
          <t>NF</t>
        </is>
      </c>
      <c r="BN956" s="337" t="inlineStr">
        <is>
          <t>Huasco</t>
        </is>
      </c>
      <c r="BO956" s="251" t="inlineStr">
        <is>
          <t>NO</t>
        </is>
      </c>
      <c r="BP956" s="106" t="inlineStr">
        <is>
          <t>SHA-E20 SALAR DEL HUASCO/NF</t>
        </is>
      </c>
      <c r="BQ956" s="106">
        <f>VLOOKUP(BP956,[1]AGUA!$1:$1048576,2,FALSE)</f>
        <v/>
      </c>
      <c r="BR956" s="106">
        <f>VLOOKUP(BP956,[1]AGUA!$1:$1048576,6,FALSE)</f>
        <v/>
      </c>
      <c r="BS956" s="106">
        <f>VLOOKUP(BP956,[1]AGUA!$1:$1048576,7,FALSE)</f>
        <v/>
      </c>
      <c r="BT956" s="106" t="n"/>
      <c r="BU956" s="102" t="inlineStr">
        <is>
          <t>CAMBIO DE FRECUENCIA A PARTIR DE SEPTIEMBRE 2025 X CMDIC DE TRIMESTRAL A SEMESTRAL</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24">
        <f>+COUNTA(BV956:CY956)</f>
        <v/>
      </c>
      <c r="DA956" s="251" t="n"/>
      <c r="DB956" s="251" t="n"/>
      <c r="DC956" s="251" t="n"/>
      <c r="DD956" s="251" t="n"/>
      <c r="DE956" s="251" t="n"/>
      <c r="DF956" s="251" t="n"/>
      <c r="DG956" s="251" t="n"/>
      <c r="DH956" s="251" t="n"/>
      <c r="DI956" s="251" t="n"/>
      <c r="DJ956" s="251" t="inlineStr">
        <is>
          <t>STRAL</t>
        </is>
      </c>
      <c r="DK956" s="251" t="n">
        <v>15</v>
      </c>
      <c r="DL956" s="95" t="n">
        <v>28</v>
      </c>
      <c r="DM956" s="251" t="n"/>
      <c r="DN956" s="95" t="n"/>
      <c r="DO956" s="95" t="n"/>
    </row>
    <row r="957" ht="13" customHeight="1">
      <c r="A957" s="203" t="inlineStr">
        <is>
          <t>SHA-E22</t>
        </is>
      </c>
      <c r="B957" s="305" t="inlineStr">
        <is>
          <t>SHA-E22 COLLACAGUA</t>
        </is>
      </c>
      <c r="C957" s="7" t="n"/>
      <c r="D957" s="7" t="inlineStr">
        <is>
          <t>MONITOREO INTERNO</t>
        </is>
      </c>
      <c r="E957" s="7" t="inlineStr">
        <is>
          <t>NO</t>
        </is>
      </c>
      <c r="F957" s="7" t="inlineStr">
        <is>
          <t>NO</t>
        </is>
      </c>
      <c r="G957" s="7" t="inlineStr">
        <is>
          <t>NO</t>
        </is>
      </c>
      <c r="H957" s="7" t="n">
        <v>520078.805671</v>
      </c>
      <c r="I957" s="7" t="n">
        <v>7782644.75533</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1" t="inlineStr">
        <is>
          <t>532MASHA</t>
        </is>
      </c>
      <c r="BL957" s="61" t="inlineStr">
        <is>
          <t>GMAP-SIGA</t>
        </is>
      </c>
      <c r="BM957" s="251" t="inlineStr">
        <is>
          <t>NF</t>
        </is>
      </c>
      <c r="BN957" s="337" t="inlineStr">
        <is>
          <t>Collacagua</t>
        </is>
      </c>
      <c r="BO957" s="251" t="inlineStr">
        <is>
          <t>NO</t>
        </is>
      </c>
      <c r="BP957" s="106" t="inlineStr">
        <is>
          <t>SHA-E22 COLLACAGUA/NF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24">
        <f>+COUNTA(BV957:CY957)</f>
        <v/>
      </c>
      <c r="DA957" s="251" t="n"/>
      <c r="DB957" s="251" t="n"/>
      <c r="DC957" s="251" t="n"/>
      <c r="DD957" s="251" t="n"/>
      <c r="DE957" s="251" t="n"/>
      <c r="DF957" s="251" t="n"/>
      <c r="DG957" s="251" t="n"/>
      <c r="DH957" s="251" t="n"/>
      <c r="DI957" s="251" t="n"/>
      <c r="DJ957" s="251" t="inlineStr">
        <is>
          <t>STRAL</t>
        </is>
      </c>
      <c r="DK957" s="251" t="n">
        <v>15</v>
      </c>
      <c r="DL957" s="95" t="n">
        <v>28</v>
      </c>
      <c r="DM957" s="251" t="n"/>
      <c r="DN957" s="95" t="n"/>
      <c r="DO957" s="95" t="n"/>
    </row>
    <row r="958" ht="13" customHeight="1">
      <c r="A958" s="203" t="inlineStr">
        <is>
          <t>SHA-E23</t>
        </is>
      </c>
      <c r="B958" s="305" t="inlineStr">
        <is>
          <t>SHA-E23 COLLACAGUA</t>
        </is>
      </c>
      <c r="C958" s="7" t="n"/>
      <c r="D958" s="7" t="inlineStr">
        <is>
          <t>MONITOREO INTERNO</t>
        </is>
      </c>
      <c r="E958" s="7" t="inlineStr">
        <is>
          <t>NO</t>
        </is>
      </c>
      <c r="F958" s="7" t="inlineStr">
        <is>
          <t>NO</t>
        </is>
      </c>
      <c r="G958" s="7" t="inlineStr">
        <is>
          <t>NO</t>
        </is>
      </c>
      <c r="H958" s="7" t="n">
        <v>517198.276441</v>
      </c>
      <c r="I958" s="7" t="n">
        <v>7783503.66269</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1" t="inlineStr">
        <is>
          <t>532MASHA</t>
        </is>
      </c>
      <c r="BL958" s="61" t="inlineStr">
        <is>
          <t>GMAP-SIGA</t>
        </is>
      </c>
      <c r="BM958" s="251" t="inlineStr">
        <is>
          <t>NF</t>
        </is>
      </c>
      <c r="BN958" s="337" t="inlineStr">
        <is>
          <t>Collacagua</t>
        </is>
      </c>
      <c r="BO958" s="251" t="inlineStr">
        <is>
          <t>NO</t>
        </is>
      </c>
      <c r="BP958" s="106" t="inlineStr">
        <is>
          <t>SHA-E23 COLLACAGUA/NF</t>
        </is>
      </c>
      <c r="BQ958" s="106">
        <f>VLOOKUP(BP958,[1]AGUA!$1:$1048576,2,FALSE)</f>
        <v/>
      </c>
      <c r="BR958" s="106">
        <f>VLOOKUP(BP958,[1]AGUA!$1:$1048576,6,FALSE)</f>
        <v/>
      </c>
      <c r="BS958" s="106">
        <f>VLOOKUP(BP958,[1]AGUA!$1:$1048576,7,FALSE)</f>
        <v/>
      </c>
      <c r="BT958" s="106" t="n"/>
      <c r="BU958" s="102" t="inlineStr">
        <is>
          <t>SE ELIMINA A PARTIR DE SEPTIEMBRE 2025 X CMDIC</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24">
        <f>+COUNTA(BV958:CY958)</f>
        <v/>
      </c>
      <c r="DA958" s="251" t="n"/>
      <c r="DB958" s="251" t="n"/>
      <c r="DC958" s="251" t="n"/>
      <c r="DD958" s="251" t="n"/>
      <c r="DE958" s="251" t="n"/>
      <c r="DF958" s="251" t="n"/>
      <c r="DG958" s="251" t="n"/>
      <c r="DH958" s="251" t="n"/>
      <c r="DI958" s="251" t="n"/>
      <c r="DJ958" s="251" t="inlineStr">
        <is>
          <t>TF</t>
        </is>
      </c>
      <c r="DK958" s="251" t="n">
        <v>15</v>
      </c>
      <c r="DL958" s="95" t="n">
        <v>28</v>
      </c>
      <c r="DM958" s="251" t="n"/>
      <c r="DN958" s="95" t="n"/>
      <c r="DO958" s="95" t="n"/>
    </row>
    <row r="959" ht="13" customHeight="1">
      <c r="A959" s="203" t="inlineStr">
        <is>
          <t>SHA-E24</t>
        </is>
      </c>
      <c r="B959" s="305" t="inlineStr">
        <is>
          <t>SHA-E24 SALAR DEL HUASCO</t>
        </is>
      </c>
      <c r="C959" s="7" t="n"/>
      <c r="D959" s="7" t="inlineStr">
        <is>
          <t>MONITOREO INTERNO</t>
        </is>
      </c>
      <c r="E959" s="7" t="inlineStr">
        <is>
          <t>NO</t>
        </is>
      </c>
      <c r="F959" s="7" t="inlineStr">
        <is>
          <t>NO</t>
        </is>
      </c>
      <c r="G959" s="7" t="inlineStr">
        <is>
          <t>NO</t>
        </is>
      </c>
      <c r="H959" s="7" t="n">
        <v>515850.590797</v>
      </c>
      <c r="I959" s="7" t="n">
        <v>7779673.80715</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1" t="inlineStr">
        <is>
          <t>532MASHA</t>
        </is>
      </c>
      <c r="BL959" s="61" t="inlineStr">
        <is>
          <t>GMAP-SIGA</t>
        </is>
      </c>
      <c r="BM959" s="251" t="inlineStr">
        <is>
          <t>NF</t>
        </is>
      </c>
      <c r="BN959" s="337" t="inlineStr">
        <is>
          <t>Huasco</t>
        </is>
      </c>
      <c r="BO959" s="251" t="inlineStr">
        <is>
          <t>NO</t>
        </is>
      </c>
      <c r="BP959" s="106" t="inlineStr">
        <is>
          <t>SHA-E24 SALAR DEL HUASCO/NF</t>
        </is>
      </c>
      <c r="BQ959" s="106">
        <f>VLOOKUP(BP959,[1]AGUA!$1:$1048576,2,FALSE)</f>
        <v/>
      </c>
      <c r="BR959" s="106">
        <f>VLOOKUP(BP959,[1]AGUA!$1:$1048576,6,FALSE)</f>
        <v/>
      </c>
      <c r="BS959" s="106">
        <f>VLOOKUP(BP959,[1]AGUA!$1:$1048576,7,FALSE)</f>
        <v/>
      </c>
      <c r="BT959" s="106" t="n"/>
      <c r="BU959" s="102" t="inlineStr">
        <is>
          <t>CAMBIO DE FRECUENCIA A PARTIR DE SEPTIEMBRE 2025 X CMDIC DE TRIMESTRAL A SEMESTRAL</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24">
        <f>+COUNTA(BV959:CY959)</f>
        <v/>
      </c>
      <c r="DA959" s="251" t="n"/>
      <c r="DB959" s="251" t="n"/>
      <c r="DC959" s="251" t="n"/>
      <c r="DD959" s="251" t="n"/>
      <c r="DE959" s="251" t="n"/>
      <c r="DF959" s="251" t="n"/>
      <c r="DG959" s="251" t="n"/>
      <c r="DH959" s="251" t="n"/>
      <c r="DI959" s="251" t="n"/>
      <c r="DJ959" s="251" t="inlineStr">
        <is>
          <t>STRAL</t>
        </is>
      </c>
      <c r="DK959" s="251" t="n">
        <v>15</v>
      </c>
      <c r="DL959" s="95" t="n">
        <v>28</v>
      </c>
      <c r="DM959" s="251" t="n"/>
      <c r="DN959" s="95" t="n"/>
      <c r="DO959" s="95" t="n"/>
    </row>
    <row r="960" ht="13" customHeight="1">
      <c r="A960" s="203" t="inlineStr">
        <is>
          <t>SHA-E27</t>
        </is>
      </c>
      <c r="B960" s="305" t="inlineStr">
        <is>
          <t>SHA-E27 SALAR DEL HUASCO</t>
        </is>
      </c>
      <c r="C960" s="7" t="n"/>
      <c r="D960" s="7" t="inlineStr">
        <is>
          <t>MONITOREO INTERNO</t>
        </is>
      </c>
      <c r="E960" s="7" t="inlineStr">
        <is>
          <t>NO</t>
        </is>
      </c>
      <c r="F960" s="7" t="inlineStr">
        <is>
          <t>NO</t>
        </is>
      </c>
      <c r="G960" s="7" t="inlineStr">
        <is>
          <t>NO</t>
        </is>
      </c>
      <c r="H960" s="7" t="n">
        <v>514684.513784</v>
      </c>
      <c r="I960" s="7" t="n">
        <v>7770435.17227</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1" t="inlineStr">
        <is>
          <t>532MASHA</t>
        </is>
      </c>
      <c r="BL960" s="61" t="inlineStr">
        <is>
          <t>GMAP-SIGA</t>
        </is>
      </c>
      <c r="BM960" s="251" t="inlineStr">
        <is>
          <t>NF</t>
        </is>
      </c>
      <c r="BN960" s="337" t="inlineStr">
        <is>
          <t>Huasco</t>
        </is>
      </c>
      <c r="BO960" s="251" t="inlineStr">
        <is>
          <t>NO</t>
        </is>
      </c>
      <c r="BP960" s="106" t="inlineStr">
        <is>
          <t>SHA-E27 SALAR DEL HUASCO/NF</t>
        </is>
      </c>
      <c r="BQ960" s="106">
        <f>VLOOKUP(BP960,[1]AGUA!$1:$1048576,2,FALSE)</f>
        <v/>
      </c>
      <c r="BR960" s="106">
        <f>VLOOKUP(BP960,[1]AGUA!$1:$1048576,6,FALSE)</f>
        <v/>
      </c>
      <c r="BS960" s="106">
        <f>VLOOKUP(BP960,[1]AGUA!$1:$1048576,7,FALSE)</f>
        <v/>
      </c>
      <c r="BT960" s="106" t="n"/>
      <c r="BU960" s="102" t="inlineStr">
        <is>
          <t>SE ELIMINA A PARTIR DE SEPTIEMBRE 2025 X CMDIC</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24">
        <f>+COUNTA(BV960:CY960)</f>
        <v/>
      </c>
      <c r="DA960" s="251" t="n"/>
      <c r="DB960" s="251" t="n"/>
      <c r="DC960" s="251" t="n"/>
      <c r="DD960" s="251" t="n"/>
      <c r="DE960" s="251" t="n"/>
      <c r="DF960" s="251" t="n"/>
      <c r="DG960" s="251" t="n"/>
      <c r="DH960" s="251" t="n"/>
      <c r="DI960" s="251" t="n"/>
      <c r="DJ960" s="251" t="inlineStr">
        <is>
          <t>TF</t>
        </is>
      </c>
      <c r="DK960" s="251" t="n">
        <v>15</v>
      </c>
      <c r="DL960" s="95" t="n">
        <v>28</v>
      </c>
      <c r="DM960" s="251" t="n"/>
      <c r="DN960" s="95" t="n"/>
      <c r="DO960" s="95" t="n"/>
    </row>
    <row r="961" ht="13" customHeight="1">
      <c r="A961" s="203" t="inlineStr">
        <is>
          <t>SHA-E30</t>
        </is>
      </c>
      <c r="B961" s="305" t="inlineStr">
        <is>
          <t>SHA-E30 SALAR DEL HUASCO</t>
        </is>
      </c>
      <c r="C961" s="7" t="n"/>
      <c r="D961" s="7" t="inlineStr">
        <is>
          <t>MONITOREO INTERNO</t>
        </is>
      </c>
      <c r="E961" s="7" t="inlineStr">
        <is>
          <t>NO</t>
        </is>
      </c>
      <c r="F961" s="7" t="inlineStr">
        <is>
          <t>NO</t>
        </is>
      </c>
      <c r="G961" s="7" t="inlineStr">
        <is>
          <t>NO</t>
        </is>
      </c>
      <c r="H961" s="7" t="n">
        <v>522902.531626</v>
      </c>
      <c r="I961" s="7" t="n">
        <v>7766713.43505</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1" t="inlineStr">
        <is>
          <t>532MASHA</t>
        </is>
      </c>
      <c r="BL961" s="61" t="inlineStr">
        <is>
          <t>GMAP-SIGA</t>
        </is>
      </c>
      <c r="BM961" s="251" t="inlineStr">
        <is>
          <t>NF</t>
        </is>
      </c>
      <c r="BN961" s="337" t="inlineStr">
        <is>
          <t>Huasco</t>
        </is>
      </c>
      <c r="BO961" s="251" t="inlineStr">
        <is>
          <t>NO</t>
        </is>
      </c>
      <c r="BP961" s="106" t="inlineStr">
        <is>
          <t>SHA-E30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24">
        <f>+COUNTA(BV961:CY961)</f>
        <v/>
      </c>
      <c r="DA961" s="251" t="n"/>
      <c r="DB961" s="251" t="n"/>
      <c r="DC961" s="251" t="n"/>
      <c r="DD961" s="251" t="n"/>
      <c r="DE961" s="251" t="n"/>
      <c r="DF961" s="251" t="n"/>
      <c r="DG961" s="251" t="n"/>
      <c r="DH961" s="251" t="n"/>
      <c r="DI961" s="251" t="n"/>
      <c r="DJ961" s="251" t="inlineStr">
        <is>
          <t>TF</t>
        </is>
      </c>
      <c r="DK961" s="251" t="n">
        <v>15</v>
      </c>
      <c r="DL961" s="95" t="n">
        <v>28</v>
      </c>
      <c r="DM961" s="251" t="n"/>
      <c r="DN961" s="95" t="n"/>
      <c r="DO961" s="95" t="n"/>
    </row>
    <row r="962" ht="13" customHeight="1">
      <c r="A962" s="203" t="inlineStr">
        <is>
          <t>SHA-E34</t>
        </is>
      </c>
      <c r="B962" s="305" t="inlineStr">
        <is>
          <t>SHA-E34 SALAR DEL HUASCO</t>
        </is>
      </c>
      <c r="C962" s="7" t="n"/>
      <c r="D962" s="7" t="inlineStr">
        <is>
          <t>MONITOREO INTERNO</t>
        </is>
      </c>
      <c r="E962" s="7" t="inlineStr">
        <is>
          <t>NO</t>
        </is>
      </c>
      <c r="F962" s="7" t="inlineStr">
        <is>
          <t>NO</t>
        </is>
      </c>
      <c r="G962" s="7" t="inlineStr">
        <is>
          <t>NO</t>
        </is>
      </c>
      <c r="H962" s="7" t="n">
        <v>527985.508082</v>
      </c>
      <c r="I962" s="7" t="n">
        <v>7752406.49011</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1" t="inlineStr">
        <is>
          <t>532MASHA</t>
        </is>
      </c>
      <c r="BL962" s="61" t="inlineStr">
        <is>
          <t>GMAP-SIGA</t>
        </is>
      </c>
      <c r="BM962" s="251" t="inlineStr">
        <is>
          <t>NF</t>
        </is>
      </c>
      <c r="BN962" s="337" t="inlineStr">
        <is>
          <t>Huasco</t>
        </is>
      </c>
      <c r="BO962" s="251" t="inlineStr">
        <is>
          <t>NO</t>
        </is>
      </c>
      <c r="BP962" s="106" t="inlineStr">
        <is>
          <t>SHA-E34 SALAR DEL HUASCO/NF</t>
        </is>
      </c>
      <c r="BQ962" s="106">
        <f>VLOOKUP(BP962,[1]AGUA!$1:$1048576,2,FALSE)</f>
        <v/>
      </c>
      <c r="BR962" s="106">
        <f>VLOOKUP(BP962,[1]AGUA!$1:$1048576,6,FALSE)</f>
        <v/>
      </c>
      <c r="BS962" s="106">
        <f>VLOOKUP(BP962,[1]AGUA!$1:$1048576,7,FALSE)</f>
        <v/>
      </c>
      <c r="BT962" s="106" t="n"/>
      <c r="BU962" s="102" t="inlineStr">
        <is>
          <t>CAMBIO DE FRECUENCIA A PARTIR DE SEPTIEMBRE 2025 X CMDIC DE TRIMESTRAL A SEMESTRAL</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24">
        <f>+COUNTA(BV962:CY962)</f>
        <v/>
      </c>
      <c r="DA962" s="251" t="n"/>
      <c r="DB962" s="251" t="n"/>
      <c r="DC962" s="251" t="n"/>
      <c r="DD962" s="251" t="n"/>
      <c r="DE962" s="251" t="n"/>
      <c r="DF962" s="251" t="n"/>
      <c r="DG962" s="251" t="n"/>
      <c r="DH962" s="251" t="n"/>
      <c r="DI962" s="251" t="n"/>
      <c r="DJ962" s="251" t="inlineStr">
        <is>
          <t>STRAL</t>
        </is>
      </c>
      <c r="DK962" s="251" t="n">
        <v>15</v>
      </c>
      <c r="DL962" s="95" t="n">
        <v>28</v>
      </c>
      <c r="DM962" s="251" t="n"/>
      <c r="DN962" s="95" t="n"/>
      <c r="DO962" s="95" t="n"/>
    </row>
    <row r="963" ht="13" customHeight="1">
      <c r="A963" s="203" t="inlineStr">
        <is>
          <t>SHA-P01</t>
        </is>
      </c>
      <c r="B963" s="305" t="inlineStr">
        <is>
          <t>SHA-P01 SALAR DEL HUASCO</t>
        </is>
      </c>
      <c r="C963" s="7" t="n"/>
      <c r="D963" s="7" t="inlineStr">
        <is>
          <t>MONITOREO INTERNO</t>
        </is>
      </c>
      <c r="E963" s="7" t="inlineStr">
        <is>
          <t>NO</t>
        </is>
      </c>
      <c r="F963" s="7" t="inlineStr">
        <is>
          <t>NO</t>
        </is>
      </c>
      <c r="G963" s="7" t="inlineStr">
        <is>
          <t>NO</t>
        </is>
      </c>
      <c r="H963" s="7" t="n">
        <v>520348.331104</v>
      </c>
      <c r="I963" s="7" t="n">
        <v>7764992.81227</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1" t="inlineStr">
        <is>
          <t>532MASHA</t>
        </is>
      </c>
      <c r="BL963" s="61" t="inlineStr">
        <is>
          <t>GMAP-SIGA</t>
        </is>
      </c>
      <c r="BM963" s="251" t="inlineStr">
        <is>
          <t>NF</t>
        </is>
      </c>
      <c r="BN963" s="337" t="inlineStr">
        <is>
          <t>Huasco</t>
        </is>
      </c>
      <c r="BO963" s="251" t="inlineStr">
        <is>
          <t>NO</t>
        </is>
      </c>
      <c r="BP963" s="106" t="inlineStr">
        <is>
          <t>SHA-P01 SALAR DEL HUASCO/NF</t>
        </is>
      </c>
      <c r="BQ963" s="106">
        <f>VLOOKUP(BP963,[1]AGUA!$1:$1048576,2,FALSE)</f>
        <v/>
      </c>
      <c r="BR963" s="106">
        <f>VLOOKUP(BP963,[1]AGUA!$1:$1048576,6,FALSE)</f>
        <v/>
      </c>
      <c r="BS963" s="106">
        <f>VLOOKUP(BP963,[1]AGUA!$1:$1048576,7,FALSE)</f>
        <v/>
      </c>
      <c r="BT963" s="106" t="n"/>
      <c r="BU963" s="102" t="inlineStr">
        <is>
          <t>SE ELIMINA A PARTIR DE SEPTIEMBRE 2025 X CMDIC</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24">
        <f>+COUNTA(BV963:CY963)</f>
        <v/>
      </c>
      <c r="DA963" s="251" t="n"/>
      <c r="DB963" s="251" t="n"/>
      <c r="DC963" s="251" t="n"/>
      <c r="DD963" s="251" t="n"/>
      <c r="DE963" s="251" t="n"/>
      <c r="DF963" s="251" t="n"/>
      <c r="DG963" s="251" t="n"/>
      <c r="DH963" s="251" t="n"/>
      <c r="DI963" s="251" t="n"/>
      <c r="DJ963" s="251" t="inlineStr">
        <is>
          <t>TF</t>
        </is>
      </c>
      <c r="DK963" s="251" t="n">
        <v>15</v>
      </c>
      <c r="DL963" s="95" t="n">
        <v>28</v>
      </c>
      <c r="DM963" s="251" t="n"/>
      <c r="DN963" s="95" t="n"/>
      <c r="DO963" s="95" t="n"/>
    </row>
    <row r="964" ht="13" customHeight="1">
      <c r="A964" s="203" t="inlineStr">
        <is>
          <t>SHA-P02</t>
        </is>
      </c>
      <c r="B964" s="305" t="inlineStr">
        <is>
          <t>SHA-P02 SALAR DEL HUASCO</t>
        </is>
      </c>
      <c r="C964" s="7" t="n"/>
      <c r="D964" s="7" t="inlineStr">
        <is>
          <t>MONITOREO INTERNO</t>
        </is>
      </c>
      <c r="E964" s="7" t="inlineStr">
        <is>
          <t>NO</t>
        </is>
      </c>
      <c r="F964" s="7" t="inlineStr">
        <is>
          <t>NO</t>
        </is>
      </c>
      <c r="G964" s="7" t="inlineStr">
        <is>
          <t>NO</t>
        </is>
      </c>
      <c r="H964" s="7" t="n">
        <v>520072.692625</v>
      </c>
      <c r="I964" s="7" t="n">
        <v>7767277.94348</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1" t="inlineStr">
        <is>
          <t>532MASHA</t>
        </is>
      </c>
      <c r="BL964" s="61" t="inlineStr">
        <is>
          <t>GMAP-SIGA</t>
        </is>
      </c>
      <c r="BM964" s="251" t="inlineStr">
        <is>
          <t>NF</t>
        </is>
      </c>
      <c r="BN964" s="337" t="inlineStr">
        <is>
          <t>Huasco</t>
        </is>
      </c>
      <c r="BO964" s="251" t="inlineStr">
        <is>
          <t>NO</t>
        </is>
      </c>
      <c r="BP964" s="106" t="inlineStr">
        <is>
          <t>SHA-P02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24">
        <f>+COUNTA(BV964:CY964)</f>
        <v/>
      </c>
      <c r="DA964" s="251" t="n"/>
      <c r="DB964" s="251" t="n"/>
      <c r="DC964" s="251" t="n"/>
      <c r="DD964" s="251" t="n"/>
      <c r="DE964" s="251" t="n"/>
      <c r="DF964" s="251" t="n"/>
      <c r="DG964" s="251" t="n"/>
      <c r="DH964" s="251" t="n"/>
      <c r="DI964" s="251" t="n"/>
      <c r="DJ964" s="251" t="inlineStr">
        <is>
          <t>TF</t>
        </is>
      </c>
      <c r="DK964" s="251" t="n">
        <v>15</v>
      </c>
      <c r="DL964" s="95" t="n">
        <v>28</v>
      </c>
      <c r="DM964" s="251" t="n"/>
      <c r="DN964" s="95" t="n"/>
      <c r="DO964" s="95" t="n"/>
    </row>
    <row r="965" ht="13" customHeight="1">
      <c r="A965" s="203" t="inlineStr">
        <is>
          <t>SHA-P03</t>
        </is>
      </c>
      <c r="B965" s="305" t="inlineStr">
        <is>
          <t>SHA-P03 SALAR DEL HUASCO</t>
        </is>
      </c>
      <c r="C965" s="7" t="n"/>
      <c r="D965" s="7" t="inlineStr">
        <is>
          <t>MONITOREO INTERNO</t>
        </is>
      </c>
      <c r="E965" s="7" t="inlineStr">
        <is>
          <t>NO</t>
        </is>
      </c>
      <c r="F965" s="7" t="inlineStr">
        <is>
          <t>NO</t>
        </is>
      </c>
      <c r="G965" s="7" t="inlineStr">
        <is>
          <t>NO</t>
        </is>
      </c>
      <c r="H965" s="7" t="n">
        <v>520213.111853</v>
      </c>
      <c r="I965" s="7" t="n">
        <v>7766121.94792</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1" t="inlineStr">
        <is>
          <t>532MASHA</t>
        </is>
      </c>
      <c r="BL965" s="61" t="inlineStr">
        <is>
          <t>GMAP-SIGA</t>
        </is>
      </c>
      <c r="BM965" s="251" t="inlineStr">
        <is>
          <t>NF</t>
        </is>
      </c>
      <c r="BN965" s="337" t="inlineStr">
        <is>
          <t>Huasco</t>
        </is>
      </c>
      <c r="BO965" s="251" t="inlineStr">
        <is>
          <t>NO</t>
        </is>
      </c>
      <c r="BP965" s="106" t="inlineStr">
        <is>
          <t>SHA-P03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24">
        <f>+COUNTA(BV965:CY965)</f>
        <v/>
      </c>
      <c r="DA965" s="251" t="n"/>
      <c r="DB965" s="251" t="n"/>
      <c r="DC965" s="251" t="n"/>
      <c r="DD965" s="251" t="n"/>
      <c r="DE965" s="251" t="n"/>
      <c r="DF965" s="251" t="n"/>
      <c r="DG965" s="251" t="n"/>
      <c r="DH965" s="251" t="n"/>
      <c r="DI965" s="251" t="n"/>
      <c r="DJ965" s="251" t="inlineStr">
        <is>
          <t>TF</t>
        </is>
      </c>
      <c r="DK965" s="251" t="n">
        <v>15</v>
      </c>
      <c r="DL965" s="95" t="n">
        <v>28</v>
      </c>
      <c r="DM965" s="251" t="n"/>
      <c r="DN965" s="95" t="n"/>
      <c r="DO965" s="95" t="n"/>
    </row>
    <row r="966" ht="13" customHeight="1">
      <c r="A966" s="203" t="inlineStr">
        <is>
          <t>SHA-P04</t>
        </is>
      </c>
      <c r="B966" s="305" t="inlineStr">
        <is>
          <t>SHA-P04 SALAR DEL HUASCO</t>
        </is>
      </c>
      <c r="C966" s="7" t="n"/>
      <c r="D966" s="7" t="inlineStr">
        <is>
          <t>MONITOREO INTERNO</t>
        </is>
      </c>
      <c r="E966" s="7" t="inlineStr">
        <is>
          <t>NO</t>
        </is>
      </c>
      <c r="F966" s="7" t="inlineStr">
        <is>
          <t>NO</t>
        </is>
      </c>
      <c r="G966" s="7" t="inlineStr">
        <is>
          <t>NO</t>
        </is>
      </c>
      <c r="H966" s="7" t="n">
        <v>521255.427113</v>
      </c>
      <c r="I966" s="7" t="n">
        <v>7762700.53102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1" t="inlineStr">
        <is>
          <t>532MASHA</t>
        </is>
      </c>
      <c r="BL966" s="61" t="inlineStr">
        <is>
          <t>GMAP-SIGA</t>
        </is>
      </c>
      <c r="BM966" s="251" t="inlineStr">
        <is>
          <t>NF</t>
        </is>
      </c>
      <c r="BN966" s="337" t="inlineStr">
        <is>
          <t>Huasco</t>
        </is>
      </c>
      <c r="BO966" s="251" t="inlineStr">
        <is>
          <t>NO</t>
        </is>
      </c>
      <c r="BP966" s="106" t="inlineStr">
        <is>
          <t>SHA-P04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24">
        <f>+COUNTA(BV966:CY966)</f>
        <v/>
      </c>
      <c r="DA966" s="251" t="n"/>
      <c r="DB966" s="251" t="n"/>
      <c r="DC966" s="251" t="n"/>
      <c r="DD966" s="251" t="n"/>
      <c r="DE966" s="251" t="n"/>
      <c r="DF966" s="251" t="n"/>
      <c r="DG966" s="251" t="n"/>
      <c r="DH966" s="251" t="n"/>
      <c r="DI966" s="251" t="n"/>
      <c r="DJ966" s="251" t="inlineStr">
        <is>
          <t>TF</t>
        </is>
      </c>
      <c r="DK966" s="251" t="n">
        <v>15</v>
      </c>
      <c r="DL966" s="95" t="n">
        <v>28</v>
      </c>
      <c r="DM966" s="251" t="n"/>
      <c r="DN966" s="95" t="n"/>
      <c r="DO966" s="95" t="n"/>
    </row>
    <row r="967" ht="13" customHeight="1">
      <c r="A967" s="203" t="inlineStr">
        <is>
          <t>SHA-P05</t>
        </is>
      </c>
      <c r="B967" s="305" t="inlineStr">
        <is>
          <t>SHA-P05 SALAR DEL HUASCO</t>
        </is>
      </c>
      <c r="C967" s="7" t="n"/>
      <c r="D967" s="7" t="inlineStr">
        <is>
          <t>MONITOREO INTERNO</t>
        </is>
      </c>
      <c r="E967" s="7" t="inlineStr">
        <is>
          <t>NO</t>
        </is>
      </c>
      <c r="F967" s="7" t="inlineStr">
        <is>
          <t>NO</t>
        </is>
      </c>
      <c r="G967" s="7" t="inlineStr">
        <is>
          <t>NO</t>
        </is>
      </c>
      <c r="H967" s="7" t="n">
        <v>525608.5276030001</v>
      </c>
      <c r="I967" s="7" t="n">
        <v>7752548.09018</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1" t="inlineStr">
        <is>
          <t>532MASHA</t>
        </is>
      </c>
      <c r="BL967" s="61" t="inlineStr">
        <is>
          <t>GMAP-SIGA</t>
        </is>
      </c>
      <c r="BM967" s="251" t="inlineStr">
        <is>
          <t>NF</t>
        </is>
      </c>
      <c r="BN967" s="337" t="inlineStr">
        <is>
          <t>Huasco</t>
        </is>
      </c>
      <c r="BO967" s="251" t="inlineStr">
        <is>
          <t>NO</t>
        </is>
      </c>
      <c r="BP967" s="106" t="inlineStr">
        <is>
          <t>SHA-P05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24">
        <f>+COUNTA(BV967:CY967)</f>
        <v/>
      </c>
      <c r="DA967" s="251" t="n"/>
      <c r="DB967" s="251" t="n"/>
      <c r="DC967" s="251" t="n"/>
      <c r="DD967" s="251" t="n"/>
      <c r="DE967" s="251" t="n"/>
      <c r="DF967" s="251" t="n"/>
      <c r="DG967" s="251" t="n"/>
      <c r="DH967" s="251" t="n"/>
      <c r="DI967" s="251" t="n"/>
      <c r="DJ967" s="251" t="inlineStr">
        <is>
          <t>TF</t>
        </is>
      </c>
      <c r="DK967" s="251" t="n">
        <v>15</v>
      </c>
      <c r="DL967" s="95" t="n">
        <v>28</v>
      </c>
      <c r="DM967" s="251" t="n"/>
      <c r="DN967" s="95" t="n"/>
      <c r="DO967" s="95" t="n"/>
    </row>
    <row r="968" ht="13" customHeight="1">
      <c r="A968" s="203" t="inlineStr">
        <is>
          <t>SHA-P06</t>
        </is>
      </c>
      <c r="B968" s="305" t="inlineStr">
        <is>
          <t>SHA-P06 SALAR DEL HUASCO</t>
        </is>
      </c>
      <c r="C968" s="7" t="n"/>
      <c r="D968" s="7" t="inlineStr">
        <is>
          <t>MONITOREO INTERNO</t>
        </is>
      </c>
      <c r="E968" s="7" t="inlineStr">
        <is>
          <t>NO</t>
        </is>
      </c>
      <c r="F968" s="7" t="inlineStr">
        <is>
          <t>NO</t>
        </is>
      </c>
      <c r="G968" s="7" t="inlineStr">
        <is>
          <t>NO</t>
        </is>
      </c>
      <c r="H968" s="7" t="n">
        <v>525728.266877</v>
      </c>
      <c r="I968" s="7" t="n">
        <v>7751580.77403</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1" t="inlineStr">
        <is>
          <t>532MASHA</t>
        </is>
      </c>
      <c r="BL968" s="61" t="inlineStr">
        <is>
          <t>GMAP-SIGA</t>
        </is>
      </c>
      <c r="BM968" s="251" t="inlineStr">
        <is>
          <t>NF</t>
        </is>
      </c>
      <c r="BN968" s="337" t="inlineStr">
        <is>
          <t>Huasco</t>
        </is>
      </c>
      <c r="BO968" s="251" t="inlineStr">
        <is>
          <t>NO</t>
        </is>
      </c>
      <c r="BP968" s="106" t="inlineStr">
        <is>
          <t>SHA-P06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24">
        <f>+COUNTA(BV968:CY968)</f>
        <v/>
      </c>
      <c r="DA968" s="251" t="n"/>
      <c r="DB968" s="251" t="n"/>
      <c r="DC968" s="251" t="n"/>
      <c r="DD968" s="251" t="n"/>
      <c r="DE968" s="251" t="n"/>
      <c r="DF968" s="251" t="n"/>
      <c r="DG968" s="251" t="n"/>
      <c r="DH968" s="251" t="n"/>
      <c r="DI968" s="251" t="n"/>
      <c r="DJ968" s="251" t="inlineStr">
        <is>
          <t>TF</t>
        </is>
      </c>
      <c r="DK968" s="251" t="n">
        <v>15</v>
      </c>
      <c r="DL968" s="95" t="n">
        <v>28</v>
      </c>
      <c r="DM968" s="251" t="n"/>
      <c r="DN968" s="95" t="n"/>
      <c r="DO968" s="95" t="n"/>
    </row>
    <row r="969" ht="13" customHeight="1">
      <c r="A969" s="203" t="inlineStr">
        <is>
          <t>SHA-P07</t>
        </is>
      </c>
      <c r="B969" s="305" t="inlineStr">
        <is>
          <t>SHA-P07 SALAR DEL HUASCO</t>
        </is>
      </c>
      <c r="C969" s="7" t="n"/>
      <c r="D969" s="7" t="inlineStr">
        <is>
          <t>MONITOREO INTERNO</t>
        </is>
      </c>
      <c r="E969" s="7" t="inlineStr">
        <is>
          <t>NO</t>
        </is>
      </c>
      <c r="F969" s="7" t="inlineStr">
        <is>
          <t>NO</t>
        </is>
      </c>
      <c r="G969" s="7" t="inlineStr">
        <is>
          <t>NO</t>
        </is>
      </c>
      <c r="H969" s="7" t="n">
        <v>525532.65812</v>
      </c>
      <c r="I969" s="7" t="n">
        <v>7753393.14682</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1" t="inlineStr">
        <is>
          <t>532MASHA</t>
        </is>
      </c>
      <c r="BL969" s="61" t="inlineStr">
        <is>
          <t>GMAP-SIGA</t>
        </is>
      </c>
      <c r="BM969" s="251" t="inlineStr">
        <is>
          <t>NF</t>
        </is>
      </c>
      <c r="BN969" s="337" t="inlineStr">
        <is>
          <t>Huasco</t>
        </is>
      </c>
      <c r="BO969" s="251" t="inlineStr">
        <is>
          <t>NO</t>
        </is>
      </c>
      <c r="BP969" s="106" t="inlineStr">
        <is>
          <t>SHA-P07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24">
        <f>+COUNTA(BV969:CY969)</f>
        <v/>
      </c>
      <c r="DA969" s="251" t="n"/>
      <c r="DB969" s="251" t="n"/>
      <c r="DC969" s="251" t="n"/>
      <c r="DD969" s="251" t="n"/>
      <c r="DE969" s="251" t="n"/>
      <c r="DF969" s="251" t="n"/>
      <c r="DG969" s="251" t="n"/>
      <c r="DH969" s="251" t="n"/>
      <c r="DI969" s="251" t="n"/>
      <c r="DJ969" s="251" t="inlineStr">
        <is>
          <t>TF</t>
        </is>
      </c>
      <c r="DK969" s="251" t="n">
        <v>15</v>
      </c>
      <c r="DL969" s="95" t="n">
        <v>28</v>
      </c>
      <c r="DM969" s="251" t="n"/>
      <c r="DN969" s="95" t="n"/>
      <c r="DO969" s="95" t="n"/>
    </row>
    <row r="970" ht="13" customHeight="1">
      <c r="A970" s="203" t="inlineStr">
        <is>
          <t>SHA-P08</t>
        </is>
      </c>
      <c r="B970" s="305" t="inlineStr">
        <is>
          <t>SHA-P08 SALAR DEL HUASCO</t>
        </is>
      </c>
      <c r="C970" s="7" t="n"/>
      <c r="D970" s="7" t="inlineStr">
        <is>
          <t>MONITOREO INTERNO</t>
        </is>
      </c>
      <c r="E970" s="7" t="inlineStr">
        <is>
          <t>NO</t>
        </is>
      </c>
      <c r="F970" s="7" t="inlineStr">
        <is>
          <t>NO</t>
        </is>
      </c>
      <c r="G970" s="7" t="inlineStr">
        <is>
          <t>NO</t>
        </is>
      </c>
      <c r="H970" s="7" t="n">
        <v>516605.096514</v>
      </c>
      <c r="I970" s="7" t="n">
        <v>7770718.30089</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1" t="inlineStr">
        <is>
          <t>532MASHA</t>
        </is>
      </c>
      <c r="BL970" s="61" t="inlineStr">
        <is>
          <t>GMAP-SIGA</t>
        </is>
      </c>
      <c r="BM970" s="251" t="inlineStr">
        <is>
          <t>NF</t>
        </is>
      </c>
      <c r="BN970" s="337" t="inlineStr">
        <is>
          <t>Huasco</t>
        </is>
      </c>
      <c r="BO970" s="251" t="inlineStr">
        <is>
          <t>NO</t>
        </is>
      </c>
      <c r="BP970" s="106" t="inlineStr">
        <is>
          <t>SHA-P08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24">
        <f>+COUNTA(BV970:CY970)</f>
        <v/>
      </c>
      <c r="DA970" s="251" t="n"/>
      <c r="DB970" s="251" t="n"/>
      <c r="DC970" s="251" t="n"/>
      <c r="DD970" s="251" t="n"/>
      <c r="DE970" s="251" t="n"/>
      <c r="DF970" s="251" t="n"/>
      <c r="DG970" s="251" t="n"/>
      <c r="DH970" s="251" t="n"/>
      <c r="DI970" s="251" t="n"/>
      <c r="DJ970" s="251" t="inlineStr">
        <is>
          <t>TF</t>
        </is>
      </c>
      <c r="DK970" s="251" t="n">
        <v>15</v>
      </c>
      <c r="DL970" s="95" t="n">
        <v>28</v>
      </c>
      <c r="DM970" s="251" t="n"/>
      <c r="DN970" s="95" t="n"/>
      <c r="DO970" s="95" t="n"/>
    </row>
    <row r="971" ht="13" customHeight="1">
      <c r="A971" s="203" t="inlineStr">
        <is>
          <t>SHA-P08A</t>
        </is>
      </c>
      <c r="B971" s="305" t="inlineStr">
        <is>
          <t>SHA-P08A SALAR DEL HUASCO</t>
        </is>
      </c>
      <c r="C971" s="7" t="n"/>
      <c r="D971" s="7" t="inlineStr">
        <is>
          <t>MONITOREO INTERNO</t>
        </is>
      </c>
      <c r="E971" s="7" t="inlineStr">
        <is>
          <t>NO</t>
        </is>
      </c>
      <c r="F971" s="7" t="inlineStr">
        <is>
          <t>NO</t>
        </is>
      </c>
      <c r="G971" s="7" t="inlineStr">
        <is>
          <t>NO</t>
        </is>
      </c>
      <c r="H971" s="7" t="n">
        <v>516562.896678</v>
      </c>
      <c r="I971" s="7" t="n">
        <v>7770737.65082</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1" t="inlineStr">
        <is>
          <t>532MASHA</t>
        </is>
      </c>
      <c r="BL971" s="61" t="inlineStr">
        <is>
          <t>GMAP-SIGA</t>
        </is>
      </c>
      <c r="BM971" s="251" t="inlineStr">
        <is>
          <t>NF</t>
        </is>
      </c>
      <c r="BN971" s="337" t="inlineStr">
        <is>
          <t>Huasco</t>
        </is>
      </c>
      <c r="BO971" s="251" t="inlineStr">
        <is>
          <t>NO</t>
        </is>
      </c>
      <c r="BP971" s="106" t="inlineStr">
        <is>
          <t>SHA-P08A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24">
        <f>+COUNTA(BV971:CY971)</f>
        <v/>
      </c>
      <c r="DA971" s="251" t="n"/>
      <c r="DB971" s="251" t="n"/>
      <c r="DC971" s="251" t="n"/>
      <c r="DD971" s="251" t="n"/>
      <c r="DE971" s="251" t="n"/>
      <c r="DF971" s="251" t="n"/>
      <c r="DG971" s="251" t="n"/>
      <c r="DH971" s="251" t="n"/>
      <c r="DI971" s="251" t="n"/>
      <c r="DJ971" s="251" t="inlineStr">
        <is>
          <t>TF</t>
        </is>
      </c>
      <c r="DK971" s="251" t="n">
        <v>15</v>
      </c>
      <c r="DL971" s="95" t="n">
        <v>28</v>
      </c>
      <c r="DM971" s="251" t="n"/>
      <c r="DN971" s="95" t="n"/>
      <c r="DO971" s="95" t="n"/>
    </row>
    <row r="972" ht="13" customHeight="1">
      <c r="A972" s="203" t="inlineStr">
        <is>
          <t>SHA-P09</t>
        </is>
      </c>
      <c r="B972" s="305" t="inlineStr">
        <is>
          <t>SHA-P09 SALAR DEL HUASCO</t>
        </is>
      </c>
      <c r="C972" s="7" t="n"/>
      <c r="D972" s="7" t="inlineStr">
        <is>
          <t>MONITOREO INTERNO</t>
        </is>
      </c>
      <c r="E972" s="7" t="inlineStr">
        <is>
          <t>NO</t>
        </is>
      </c>
      <c r="F972" s="7" t="inlineStr">
        <is>
          <t>NO</t>
        </is>
      </c>
      <c r="G972" s="7" t="inlineStr">
        <is>
          <t>NO</t>
        </is>
      </c>
      <c r="H972" s="7" t="n">
        <v>517631.412892</v>
      </c>
      <c r="I972" s="7" t="n">
        <v>7772345.2145</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1" t="inlineStr">
        <is>
          <t>532MASHA</t>
        </is>
      </c>
      <c r="BL972" s="61" t="inlineStr">
        <is>
          <t>GMAP-SIGA</t>
        </is>
      </c>
      <c r="BM972" s="251" t="inlineStr">
        <is>
          <t>NF</t>
        </is>
      </c>
      <c r="BN972" s="337" t="inlineStr">
        <is>
          <t>Huasco</t>
        </is>
      </c>
      <c r="BO972" s="251" t="inlineStr">
        <is>
          <t>NO</t>
        </is>
      </c>
      <c r="BP972" s="106" t="inlineStr">
        <is>
          <t>SHA-P09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24">
        <f>+COUNTA(BV972:CY972)</f>
        <v/>
      </c>
      <c r="DA972" s="251" t="n"/>
      <c r="DB972" s="251" t="n"/>
      <c r="DC972" s="251" t="n"/>
      <c r="DD972" s="251" t="n"/>
      <c r="DE972" s="251" t="n"/>
      <c r="DF972" s="251" t="n"/>
      <c r="DG972" s="251" t="n"/>
      <c r="DH972" s="251" t="n"/>
      <c r="DI972" s="251" t="n"/>
      <c r="DJ972" s="251" t="inlineStr">
        <is>
          <t>TF</t>
        </is>
      </c>
      <c r="DK972" s="251" t="n">
        <v>15</v>
      </c>
      <c r="DL972" s="95" t="n">
        <v>28</v>
      </c>
      <c r="DM972" s="251" t="n"/>
      <c r="DN972" s="95" t="n"/>
      <c r="DO972" s="95" t="n"/>
    </row>
    <row r="973" ht="13" customHeight="1">
      <c r="A973" s="203" t="inlineStr">
        <is>
          <t>SHA-P10</t>
        </is>
      </c>
      <c r="B973" s="305" t="inlineStr">
        <is>
          <t>SHA-P10 SALAR DEL HUASCO</t>
        </is>
      </c>
      <c r="C973" s="7" t="n"/>
      <c r="D973" s="7" t="inlineStr">
        <is>
          <t>MONITOREO INTERNO</t>
        </is>
      </c>
      <c r="E973" s="7" t="inlineStr">
        <is>
          <t>NO</t>
        </is>
      </c>
      <c r="F973" s="7" t="inlineStr">
        <is>
          <t>NO</t>
        </is>
      </c>
      <c r="G973" s="7" t="inlineStr">
        <is>
          <t>NO</t>
        </is>
      </c>
      <c r="H973" s="7" t="n">
        <v>516589.096944</v>
      </c>
      <c r="I973" s="7" t="n">
        <v>7772959.08234</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1" t="inlineStr">
        <is>
          <t>532MASHA</t>
        </is>
      </c>
      <c r="BL973" s="61" t="inlineStr">
        <is>
          <t>GMAP-SIGA</t>
        </is>
      </c>
      <c r="BM973" s="251" t="inlineStr">
        <is>
          <t>NF</t>
        </is>
      </c>
      <c r="BN973" s="337" t="inlineStr">
        <is>
          <t>Huasco</t>
        </is>
      </c>
      <c r="BO973" s="251" t="inlineStr">
        <is>
          <t>NO</t>
        </is>
      </c>
      <c r="BP973" s="106" t="inlineStr">
        <is>
          <t>SHA-P10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24">
        <f>+COUNTA(BV973:CY973)</f>
        <v/>
      </c>
      <c r="DA973" s="251" t="n"/>
      <c r="DB973" s="251" t="n"/>
      <c r="DC973" s="251" t="n"/>
      <c r="DD973" s="251" t="n"/>
      <c r="DE973" s="251" t="n"/>
      <c r="DF973" s="251" t="n"/>
      <c r="DG973" s="251" t="n"/>
      <c r="DH973" s="251" t="n"/>
      <c r="DI973" s="251" t="n"/>
      <c r="DJ973" s="251" t="inlineStr">
        <is>
          <t>TF</t>
        </is>
      </c>
      <c r="DK973" s="251" t="n">
        <v>15</v>
      </c>
      <c r="DL973" s="95" t="n">
        <v>28</v>
      </c>
      <c r="DM973" s="251" t="n"/>
      <c r="DN973" s="95" t="n"/>
      <c r="DO973" s="95" t="n"/>
    </row>
    <row r="974" ht="13" customHeight="1">
      <c r="A974" s="203" t="inlineStr">
        <is>
          <t>SHA-P11</t>
        </is>
      </c>
      <c r="B974" s="305" t="inlineStr">
        <is>
          <t>SHA-P11 SALAR DEL HUASCO</t>
        </is>
      </c>
      <c r="C974" s="7" t="n"/>
      <c r="D974" s="7" t="inlineStr">
        <is>
          <t>MONITOREO INTERNO</t>
        </is>
      </c>
      <c r="E974" s="7" t="inlineStr">
        <is>
          <t>NO</t>
        </is>
      </c>
      <c r="F974" s="7" t="inlineStr">
        <is>
          <t>NO</t>
        </is>
      </c>
      <c r="G974" s="7" t="inlineStr">
        <is>
          <t>NO</t>
        </is>
      </c>
      <c r="H974" s="7" t="n">
        <v>517597.192737</v>
      </c>
      <c r="I974" s="7" t="n">
        <v>7770719.62072</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1" t="inlineStr">
        <is>
          <t>532MASHA</t>
        </is>
      </c>
      <c r="BL974" s="61" t="inlineStr">
        <is>
          <t>GMAP-SIGA</t>
        </is>
      </c>
      <c r="BM974" s="251" t="inlineStr">
        <is>
          <t>NF</t>
        </is>
      </c>
      <c r="BN974" s="337" t="inlineStr">
        <is>
          <t>Huasco</t>
        </is>
      </c>
      <c r="BO974" s="251" t="inlineStr">
        <is>
          <t>NO</t>
        </is>
      </c>
      <c r="BP974" s="106" t="inlineStr">
        <is>
          <t>SHA-P11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24">
        <f>+COUNTA(BV974:CY974)</f>
        <v/>
      </c>
      <c r="DA974" s="251" t="n"/>
      <c r="DB974" s="251" t="n"/>
      <c r="DC974" s="251" t="n"/>
      <c r="DD974" s="251" t="n"/>
      <c r="DE974" s="251" t="n"/>
      <c r="DF974" s="251" t="n"/>
      <c r="DG974" s="251" t="n"/>
      <c r="DH974" s="251" t="n"/>
      <c r="DI974" s="251" t="n"/>
      <c r="DJ974" s="251" t="inlineStr">
        <is>
          <t>TF</t>
        </is>
      </c>
      <c r="DK974" s="251" t="n">
        <v>15</v>
      </c>
      <c r="DL974" s="95" t="n">
        <v>28</v>
      </c>
      <c r="DM974" s="251" t="n"/>
      <c r="DN974" s="95" t="n"/>
      <c r="DO974" s="95" t="n"/>
    </row>
    <row r="975" ht="13" customHeight="1">
      <c r="A975" s="203" t="inlineStr">
        <is>
          <t>SHA-P12</t>
        </is>
      </c>
      <c r="B975" s="305" t="inlineStr">
        <is>
          <t>SHA-P12 SALAR DEL HUASCO</t>
        </is>
      </c>
      <c r="C975" s="7" t="n"/>
      <c r="D975" s="7" t="inlineStr">
        <is>
          <t>MONITOREO INTERNO</t>
        </is>
      </c>
      <c r="E975" s="7" t="inlineStr">
        <is>
          <t>NO</t>
        </is>
      </c>
      <c r="F975" s="7" t="inlineStr">
        <is>
          <t>NO</t>
        </is>
      </c>
      <c r="G975" s="7" t="inlineStr">
        <is>
          <t>NO</t>
        </is>
      </c>
      <c r="H975" s="7" t="n">
        <v>515867.730733</v>
      </c>
      <c r="I975" s="7" t="n">
        <v>7779670.88715</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1" t="inlineStr">
        <is>
          <t>532MASHA</t>
        </is>
      </c>
      <c r="BL975" s="61" t="inlineStr">
        <is>
          <t>GMAP-SIGA</t>
        </is>
      </c>
      <c r="BM975" s="251" t="inlineStr">
        <is>
          <t>NF</t>
        </is>
      </c>
      <c r="BN975" s="337" t="inlineStr">
        <is>
          <t>Huasco</t>
        </is>
      </c>
      <c r="BO975" s="251" t="inlineStr">
        <is>
          <t>NO</t>
        </is>
      </c>
      <c r="BP975" s="106" t="inlineStr">
        <is>
          <t>SHA-P12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24">
        <f>+COUNTA(BV975:CY975)</f>
        <v/>
      </c>
      <c r="DA975" s="251" t="n"/>
      <c r="DB975" s="251" t="n"/>
      <c r="DC975" s="251" t="n"/>
      <c r="DD975" s="251" t="n"/>
      <c r="DE975" s="251" t="n"/>
      <c r="DF975" s="251" t="n"/>
      <c r="DG975" s="251" t="n"/>
      <c r="DH975" s="251" t="n"/>
      <c r="DI975" s="251" t="n"/>
      <c r="DJ975" s="251" t="inlineStr">
        <is>
          <t>TF</t>
        </is>
      </c>
      <c r="DK975" s="251" t="n">
        <v>15</v>
      </c>
      <c r="DL975" s="95" t="n">
        <v>28</v>
      </c>
      <c r="DM975" s="251" t="n"/>
      <c r="DN975" s="95" t="n"/>
      <c r="DO975" s="95" t="n"/>
    </row>
    <row r="976" ht="13" customHeight="1">
      <c r="A976" s="203" t="inlineStr">
        <is>
          <t>SHA-P13</t>
        </is>
      </c>
      <c r="B976" s="305" t="inlineStr">
        <is>
          <t>SHA-P13 COLLACAGUA</t>
        </is>
      </c>
      <c r="C976" s="7" t="n"/>
      <c r="D976" s="7" t="inlineStr">
        <is>
          <t>MONITOREO INTERNO</t>
        </is>
      </c>
      <c r="E976" s="7" t="inlineStr">
        <is>
          <t>NO</t>
        </is>
      </c>
      <c r="F976" s="7" t="inlineStr">
        <is>
          <t>NO</t>
        </is>
      </c>
      <c r="G976" s="7" t="inlineStr">
        <is>
          <t>NO</t>
        </is>
      </c>
      <c r="H976" s="7" t="n">
        <v>520060.89573</v>
      </c>
      <c r="I976" s="7" t="n">
        <v>7782612.79545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1" t="inlineStr">
        <is>
          <t>532MASHA</t>
        </is>
      </c>
      <c r="BL976" s="61" t="inlineStr">
        <is>
          <t>GMAP-SIGA</t>
        </is>
      </c>
      <c r="BM976" s="251" t="inlineStr">
        <is>
          <t>NF</t>
        </is>
      </c>
      <c r="BN976" s="337" t="inlineStr">
        <is>
          <t>Collacagua</t>
        </is>
      </c>
      <c r="BO976" s="251" t="inlineStr">
        <is>
          <t>NO</t>
        </is>
      </c>
      <c r="BP976" s="106" t="inlineStr">
        <is>
          <t>SHA-P13 COLLACAGUA/NF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24">
        <f>+COUNTA(BV976:CY976)</f>
        <v/>
      </c>
      <c r="DA976" s="251" t="n"/>
      <c r="DB976" s="251" t="n"/>
      <c r="DC976" s="251" t="n"/>
      <c r="DD976" s="251" t="n"/>
      <c r="DE976" s="251" t="n"/>
      <c r="DF976" s="251" t="n"/>
      <c r="DG976" s="251" t="n"/>
      <c r="DH976" s="251" t="n"/>
      <c r="DI976" s="251" t="n"/>
      <c r="DJ976" s="251" t="inlineStr">
        <is>
          <t>TF</t>
        </is>
      </c>
      <c r="DK976" s="251" t="n">
        <v>15</v>
      </c>
      <c r="DL976" s="95" t="n">
        <v>28</v>
      </c>
      <c r="DM976" s="251" t="n"/>
      <c r="DN976" s="95" t="n"/>
      <c r="DO976" s="95" t="n"/>
    </row>
    <row r="977" ht="13" customHeight="1">
      <c r="A977" s="203" t="inlineStr">
        <is>
          <t>SHA-P14</t>
        </is>
      </c>
      <c r="B977" s="305" t="inlineStr">
        <is>
          <t>SHA-P14 SALAR DEL HUASCO</t>
        </is>
      </c>
      <c r="C977" s="7" t="n"/>
      <c r="D977" s="7" t="inlineStr">
        <is>
          <t>MONITOREO INTERNO</t>
        </is>
      </c>
      <c r="E977" s="7" t="inlineStr">
        <is>
          <t>NO</t>
        </is>
      </c>
      <c r="F977" s="7" t="inlineStr">
        <is>
          <t>NO</t>
        </is>
      </c>
      <c r="G977" s="7" t="inlineStr">
        <is>
          <t>NO</t>
        </is>
      </c>
      <c r="H977" s="7" t="n">
        <v>514698.373733</v>
      </c>
      <c r="I977" s="7" t="n">
        <v>7770448.31222</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1" t="inlineStr">
        <is>
          <t>532MASHA</t>
        </is>
      </c>
      <c r="BL977" s="61" t="inlineStr">
        <is>
          <t>GMAP-SIGA</t>
        </is>
      </c>
      <c r="BM977" s="251" t="inlineStr">
        <is>
          <t>NF</t>
        </is>
      </c>
      <c r="BN977" s="337" t="inlineStr">
        <is>
          <t>Huasco</t>
        </is>
      </c>
      <c r="BO977" s="251" t="inlineStr">
        <is>
          <t>NO</t>
        </is>
      </c>
      <c r="BP977" s="106" t="inlineStr">
        <is>
          <t>SHA-P14 SALAR DEL HUASCO/NF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24">
        <f>+COUNTA(BV977:CY977)</f>
        <v/>
      </c>
      <c r="DA977" s="251" t="n"/>
      <c r="DB977" s="251" t="n"/>
      <c r="DC977" s="251" t="n"/>
      <c r="DD977" s="251" t="n"/>
      <c r="DE977" s="251" t="n"/>
      <c r="DF977" s="251" t="n"/>
      <c r="DG977" s="251" t="n"/>
      <c r="DH977" s="251" t="n"/>
      <c r="DI977" s="251" t="n"/>
      <c r="DJ977" s="251" t="inlineStr">
        <is>
          <t>TF</t>
        </is>
      </c>
      <c r="DK977" s="251" t="n">
        <v>15</v>
      </c>
      <c r="DL977" s="95" t="n">
        <v>28</v>
      </c>
      <c r="DM977" s="251" t="n"/>
      <c r="DN977" s="95" t="n"/>
      <c r="DO977" s="95" t="n"/>
    </row>
    <row r="978" ht="13" customHeight="1">
      <c r="A978" s="203" t="inlineStr">
        <is>
          <t>SME-01</t>
        </is>
      </c>
      <c r="B978" s="305" t="inlineStr">
        <is>
          <t>SME-01 MICHINCHA</t>
        </is>
      </c>
      <c r="C978" s="7" t="n"/>
      <c r="D978" s="7" t="inlineStr">
        <is>
          <t>MONITOREO INTERNO</t>
        </is>
      </c>
      <c r="E978" s="7" t="inlineStr">
        <is>
          <t>NO</t>
        </is>
      </c>
      <c r="F978" s="7" t="inlineStr">
        <is>
          <t>NO</t>
        </is>
      </c>
      <c r="G978" s="7" t="inlineStr">
        <is>
          <t>NO</t>
        </is>
      </c>
      <c r="H978" s="7" t="n">
        <v>543594.577391</v>
      </c>
      <c r="I978" s="7" t="n">
        <v>7687105.81783</v>
      </c>
      <c r="J978" s="7" t="inlineStr">
        <is>
          <t>Construido</t>
        </is>
      </c>
      <c r="K978" s="7" t="inlineStr">
        <is>
          <t>-</t>
        </is>
      </c>
      <c r="L978" s="7" t="inlineStr">
        <is>
          <t>Agua Subterránea</t>
        </is>
      </c>
      <c r="M978" s="7" t="inlineStr">
        <is>
          <t>Cordillera</t>
        </is>
      </c>
      <c r="N978" s="7" t="inlineStr">
        <is>
          <t>POZO</t>
        </is>
      </c>
      <c r="O978" s="7" t="inlineStr">
        <is>
          <t>Michincha</t>
        </is>
      </c>
      <c r="P978" s="7" t="inlineStr">
        <is>
          <t>NO</t>
        </is>
      </c>
      <c r="Q978" s="7" t="inlineStr">
        <is>
          <t>-</t>
        </is>
      </c>
      <c r="R978" s="7" t="inlineStr">
        <is>
          <t>-</t>
        </is>
      </c>
      <c r="S978" s="7" t="inlineStr">
        <is>
          <t>-</t>
        </is>
      </c>
      <c r="T978" s="7" t="inlineStr">
        <is>
          <t>SI</t>
        </is>
      </c>
      <c r="U978" s="7" t="inlineStr">
        <is>
          <t>MENSUAL</t>
        </is>
      </c>
      <c r="V978" s="7" t="inlineStr">
        <is>
          <t>SI</t>
        </is>
      </c>
      <c r="W978" s="7" t="inlineStr">
        <is>
          <t>MENSUAL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1" t="inlineStr">
        <is>
          <t>532MASME01</t>
        </is>
      </c>
      <c r="BL978" s="61" t="inlineStr">
        <is>
          <t>GMAP-SIGA</t>
        </is>
      </c>
      <c r="BM978" s="251" t="inlineStr">
        <is>
          <t>NF</t>
        </is>
      </c>
      <c r="BN978" s="337" t="inlineStr">
        <is>
          <t>Tranque (Canal del este)</t>
        </is>
      </c>
      <c r="BO978" s="251" t="inlineStr">
        <is>
          <t>NO</t>
        </is>
      </c>
      <c r="BP978" s="106" t="inlineStr">
        <is>
          <t>SME-01 MICHINCHA/NF</t>
        </is>
      </c>
      <c r="BQ978" s="106">
        <f>VLOOKUP(BP978,[1]AGUA!$1:$1048576,2,FALSE)</f>
        <v/>
      </c>
      <c r="BR978" s="106">
        <f>VLOOKUP(BP978,[1]AGUA!$1:$1048576,6,FALSE)</f>
        <v/>
      </c>
      <c r="BS978" s="106">
        <f>VLOOKUP(BP978,[1]AGUA!$1:$1048576,7,FALSE)</f>
        <v/>
      </c>
      <c r="BT978" s="106" t="n"/>
      <c r="BU978" s="101" t="n"/>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42" t="n">
        <v>1</v>
      </c>
      <c r="CX978" s="105" t="n"/>
      <c r="CY978" s="105" t="n"/>
      <c r="CZ978" s="124">
        <f>+COUNTA(BV978:CY978)</f>
        <v/>
      </c>
      <c r="DA978" s="251" t="n"/>
      <c r="DB978" s="251" t="n"/>
      <c r="DC978" s="251" t="n"/>
      <c r="DD978" s="251" t="n"/>
      <c r="DE978" s="251" t="n"/>
      <c r="DF978" s="251" t="n"/>
      <c r="DG978" s="251" t="n"/>
      <c r="DH978" s="251" t="n"/>
      <c r="DI978" s="251" t="n"/>
      <c r="DJ978" s="251" t="inlineStr">
        <is>
          <t>M</t>
        </is>
      </c>
      <c r="DK978" s="251" t="n">
        <v>22</v>
      </c>
      <c r="DL978" s="95" t="n">
        <v>28</v>
      </c>
      <c r="DM978" s="251" t="n"/>
      <c r="DN978" s="95" t="n"/>
      <c r="DO978" s="95" t="n"/>
    </row>
    <row r="979" ht="13" customHeight="1">
      <c r="A979" s="203" t="inlineStr">
        <is>
          <t>SN-B</t>
        </is>
      </c>
      <c r="B979" s="305" t="inlineStr">
        <is>
          <t>SN-B MICHINCHA</t>
        </is>
      </c>
      <c r="C979" s="7" t="n"/>
      <c r="D979" s="7" t="inlineStr">
        <is>
          <t>MONITOREO INTERNO</t>
        </is>
      </c>
      <c r="E979" s="7" t="inlineStr">
        <is>
          <t>NO</t>
        </is>
      </c>
      <c r="F979" s="7" t="inlineStr">
        <is>
          <t>NO</t>
        </is>
      </c>
      <c r="G979" s="7" t="inlineStr">
        <is>
          <t>NO</t>
        </is>
      </c>
      <c r="H979" s="7" t="n">
        <v>550183.3619519999</v>
      </c>
      <c r="I979" s="7" t="n">
        <v>7677436.62033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1" t="inlineStr">
        <is>
          <t>532MASNB</t>
        </is>
      </c>
      <c r="BL979" s="61" t="inlineStr">
        <is>
          <t>GMAP-SIGA</t>
        </is>
      </c>
      <c r="BM979" s="251" t="inlineStr">
        <is>
          <t>NF</t>
        </is>
      </c>
      <c r="BN979" s="337" t="inlineStr">
        <is>
          <t>Michincha</t>
        </is>
      </c>
      <c r="BO979" s="251" t="inlineStr">
        <is>
          <t>NO</t>
        </is>
      </c>
      <c r="BP979" s="106" t="inlineStr">
        <is>
          <t>SN-B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05" t="n"/>
      <c r="CW979" s="142" t="n">
        <v>1</v>
      </c>
      <c r="CX979" s="105" t="n"/>
      <c r="CY979" s="105" t="n"/>
      <c r="CZ979" s="124">
        <f>+COUNTA(BV979:CY979)</f>
        <v/>
      </c>
      <c r="DA979" s="251" t="n"/>
      <c r="DB979" s="251" t="n"/>
      <c r="DC979" s="251" t="n"/>
      <c r="DD979" s="251" t="n"/>
      <c r="DE979" s="251" t="n"/>
      <c r="DF979" s="251" t="n"/>
      <c r="DG979" s="251" t="n"/>
      <c r="DH979" s="251" t="n"/>
      <c r="DI979" s="251" t="n"/>
      <c r="DJ979" s="251" t="inlineStr">
        <is>
          <t>M</t>
        </is>
      </c>
      <c r="DK979" s="251" t="n">
        <v>22</v>
      </c>
      <c r="DL979" s="95" t="n">
        <v>28</v>
      </c>
      <c r="DM979" s="251" t="n"/>
      <c r="DN979" s="95" t="n"/>
      <c r="DO979" s="95" t="n"/>
    </row>
    <row r="980" ht="13" customHeight="1">
      <c r="A980" s="203" t="inlineStr">
        <is>
          <t>UC-602</t>
        </is>
      </c>
      <c r="B980" s="305" t="inlineStr">
        <is>
          <t>UC-602 LIXIVIACIÓN</t>
        </is>
      </c>
      <c r="C980" s="7" t="n"/>
      <c r="D980" s="7" t="inlineStr">
        <is>
          <t>SI</t>
        </is>
      </c>
      <c r="E980" s="7" t="inlineStr">
        <is>
          <t>NO</t>
        </is>
      </c>
      <c r="F980" s="7" t="inlineStr">
        <is>
          <t>SI</t>
        </is>
      </c>
      <c r="G980" s="7" t="inlineStr">
        <is>
          <t>NO</t>
        </is>
      </c>
      <c r="H980" s="7" t="n">
        <v>541816</v>
      </c>
      <c r="I980" s="7" t="n">
        <v>7680125</v>
      </c>
      <c r="J980" s="7" t="inlineStr">
        <is>
          <t>Reemplazado por MAU-05B (Anexo 10.1)</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Plan Base+ Li (citricos)+ Plan grasas + N de Nitritos</t>
        </is>
      </c>
      <c r="AO980" s="7" t="inlineStr">
        <is>
          <t>Mensual</t>
        </is>
      </c>
      <c r="AP980" s="60" t="inlineStr">
        <is>
          <t>NO</t>
        </is>
      </c>
      <c r="AQ980" s="7" t="inlineStr">
        <is>
          <t>-</t>
        </is>
      </c>
      <c r="AR980" s="7" t="inlineStr">
        <is>
          <t>NO</t>
        </is>
      </c>
      <c r="AS980" s="7" t="inlineStr">
        <is>
          <t>-</t>
        </is>
      </c>
      <c r="AT980" s="7" t="inlineStr">
        <is>
          <t>SI</t>
        </is>
      </c>
      <c r="AU980" s="7" t="inlineStr">
        <is>
          <t>Mensual</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SMA</t>
        </is>
      </c>
      <c r="BG980" s="7" t="inlineStr">
        <is>
          <t>PSA</t>
        </is>
      </c>
      <c r="BH980" s="7" t="inlineStr">
        <is>
          <t>Res. Ex. N° 713/1995</t>
        </is>
      </c>
      <c r="BI980" s="7" t="n"/>
      <c r="BJ980" s="7" t="n"/>
      <c r="BK980" s="331" t="inlineStr">
        <is>
          <t>532MAUC</t>
        </is>
      </c>
      <c r="BL980" s="61" t="inlineStr">
        <is>
          <t>LIXIVIACIÓN</t>
        </is>
      </c>
      <c r="BM980" s="251" t="inlineStr">
        <is>
          <t>NF</t>
        </is>
      </c>
      <c r="BN980" s="337" t="inlineStr">
        <is>
          <t>Lixiviación</t>
        </is>
      </c>
      <c r="BO980" s="251" t="inlineStr">
        <is>
          <t>NO</t>
        </is>
      </c>
      <c r="BP980" s="106" t="inlineStr">
        <is>
          <t>UC-602 LIXIVIACIÓN/NF</t>
        </is>
      </c>
      <c r="BQ980" s="106">
        <f>VLOOKUP(BP980,[1]AGUA!$1:$1048576,2,FALSE)</f>
        <v/>
      </c>
      <c r="BR980" s="106">
        <f>VLOOKUP(BP980,[1]AGUA!$1:$1048576,6,FALSE)</f>
        <v/>
      </c>
      <c r="BS980" s="106">
        <f>VLOOKUP(BP980,[1]AGUA!$1:$1048576,7,FALSE)</f>
        <v/>
      </c>
      <c r="BT980" s="106" t="n"/>
      <c r="BU980" s="123" t="inlineStr">
        <is>
          <t>SE MODIFICO (29-09-2023) X CMDIC SOLO NF</t>
        </is>
      </c>
      <c r="BV980" s="105" t="n"/>
      <c r="BW980" s="105" t="n"/>
      <c r="BX980" s="105" t="n"/>
      <c r="BY980" s="105" t="n"/>
      <c r="BZ980" s="105" t="n"/>
      <c r="CA980" s="105" t="n"/>
      <c r="CB980" s="105" t="n"/>
      <c r="CC980" s="105" t="n"/>
      <c r="CD980" s="105" t="n"/>
      <c r="CE980" s="105" t="n"/>
      <c r="CF980" s="105" t="n"/>
      <c r="CG980" s="142" t="n">
        <v>1</v>
      </c>
      <c r="CH980" s="105" t="n"/>
      <c r="CI980" s="105" t="n"/>
      <c r="CJ980" s="105" t="n"/>
      <c r="CK980" s="105" t="n"/>
      <c r="CL980" s="105" t="n"/>
      <c r="CM980" s="105" t="n"/>
      <c r="CN980" s="105" t="n"/>
      <c r="CO980" s="105" t="n"/>
      <c r="CP980" s="105" t="n"/>
      <c r="CQ980" s="105" t="n"/>
      <c r="CR980" s="105" t="n"/>
      <c r="CS980" s="105" t="n"/>
      <c r="CT980" s="105" t="n"/>
      <c r="CU980" s="105" t="n"/>
      <c r="CV980" s="105" t="n"/>
      <c r="CW980" s="105" t="n"/>
      <c r="CX980" s="105" t="n"/>
      <c r="CY980" s="105" t="n"/>
      <c r="CZ980" s="124">
        <f>+COUNTA(BV980:CY980)</f>
        <v/>
      </c>
      <c r="DA980" s="251" t="n"/>
      <c r="DB980" s="251" t="n"/>
      <c r="DC980" s="251" t="n"/>
      <c r="DD980" s="251" t="n"/>
      <c r="DE980" s="251" t="n"/>
      <c r="DF980" s="251" t="n"/>
      <c r="DG980" s="251" t="n"/>
      <c r="DH980" s="251" t="n"/>
      <c r="DI980" s="251" t="n"/>
      <c r="DJ980" s="251" t="inlineStr">
        <is>
          <t>T</t>
        </is>
      </c>
      <c r="DK980" s="251" t="n">
        <v>1</v>
      </c>
      <c r="DL980" s="95" t="n">
        <v>7</v>
      </c>
      <c r="DM980" s="170" t="inlineStr">
        <is>
          <t>SE ELIMINO</t>
        </is>
      </c>
      <c r="DN980" s="95" t="n"/>
      <c r="DO980" s="95" t="n"/>
    </row>
    <row r="981" ht="13" customHeight="1">
      <c r="A981" s="203" t="inlineStr">
        <is>
          <t>UC-603</t>
        </is>
      </c>
      <c r="B981" s="305" t="inlineStr">
        <is>
          <t>UC-603 MICHINCHA</t>
        </is>
      </c>
      <c r="C981" s="7" t="n"/>
      <c r="D981" s="7" t="inlineStr">
        <is>
          <t>SI</t>
        </is>
      </c>
      <c r="E981" s="7" t="inlineStr">
        <is>
          <t>NO</t>
        </is>
      </c>
      <c r="F981" s="7" t="inlineStr">
        <is>
          <t>SI</t>
        </is>
      </c>
      <c r="G981" s="7" t="inlineStr">
        <is>
          <t>NO</t>
        </is>
      </c>
      <c r="H981" s="7" t="n">
        <v>542502</v>
      </c>
      <c r="I981" s="7" t="n">
        <v>7679977</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Plan grasas+ LI (CITRICOS)+ Salinidad</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1" t="inlineStr">
        <is>
          <t>532MAUC</t>
        </is>
      </c>
      <c r="BL981" s="61" t="inlineStr">
        <is>
          <t>GMAP-SIGA</t>
        </is>
      </c>
      <c r="BM981" s="251" t="inlineStr">
        <is>
          <t>NF</t>
        </is>
      </c>
      <c r="BN981" s="337" t="inlineStr">
        <is>
          <t>Michincha</t>
        </is>
      </c>
      <c r="BO981" s="251" t="inlineStr">
        <is>
          <t>NO</t>
        </is>
      </c>
      <c r="BP981" s="106" t="inlineStr">
        <is>
          <t>UC-603 MICHINCHA/NF</t>
        </is>
      </c>
      <c r="BQ981" s="106">
        <f>VLOOKUP(BP981,[1]AGUA!$1:$1048576,2,FALSE)</f>
        <v/>
      </c>
      <c r="BR981" s="106">
        <f>VLOOKUP(BP981,[1]AGUA!$1:$1048576,6,FALSE)</f>
        <v/>
      </c>
      <c r="BS981" s="106">
        <f>VLOOKUP(BP981,[1]AGUA!$1:$1048576,7,FALSE)</f>
        <v/>
      </c>
      <c r="BT981" s="106" t="n"/>
      <c r="BU981" s="123" t="inlineStr">
        <is>
          <t>SE MODIFICO (29-09-2023) X CMDIC SOLO NF</t>
        </is>
      </c>
      <c r="BV981" s="105" t="n"/>
      <c r="BW981" s="105" t="n"/>
      <c r="BX981" s="105" t="n"/>
      <c r="BY981" s="105" t="n"/>
      <c r="BZ981" s="105" t="n"/>
      <c r="CA981" s="142" t="n">
        <v>1</v>
      </c>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24">
        <f>+COUNTA(BV981:CY981)</f>
        <v/>
      </c>
      <c r="DA981" s="251" t="n"/>
      <c r="DB981" s="251" t="n"/>
      <c r="DC981" s="251" t="n"/>
      <c r="DD981" s="251" t="n"/>
      <c r="DE981" s="251" t="n"/>
      <c r="DF981" s="251" t="n"/>
      <c r="DG981" s="251" t="n"/>
      <c r="DH981" s="251" t="n"/>
      <c r="DI981" s="251" t="n"/>
      <c r="DJ981" s="251" t="inlineStr">
        <is>
          <t>T</t>
        </is>
      </c>
      <c r="DK981" s="251" t="n">
        <v>1</v>
      </c>
      <c r="DL981" s="95" t="n">
        <v>7</v>
      </c>
      <c r="DM981" s="170" t="inlineStr">
        <is>
          <t>SE ELIMINO</t>
        </is>
      </c>
      <c r="DN981" s="95" t="n"/>
      <c r="DO981" s="95" t="n"/>
    </row>
    <row r="982" ht="13" customHeight="1">
      <c r="A982" s="203" t="inlineStr">
        <is>
          <t>UC-604</t>
        </is>
      </c>
      <c r="B982" s="305" t="inlineStr">
        <is>
          <t>UC-604 TRANQUE</t>
        </is>
      </c>
      <c r="C982" s="7" t="n"/>
      <c r="D982" s="7" t="inlineStr">
        <is>
          <t>MONITOREO INTERNO</t>
        </is>
      </c>
      <c r="E982" s="7" t="inlineStr">
        <is>
          <t>NO</t>
        </is>
      </c>
      <c r="F982" s="7" t="inlineStr">
        <is>
          <t>NO</t>
        </is>
      </c>
      <c r="G982" s="7" t="inlineStr">
        <is>
          <t>NO</t>
        </is>
      </c>
      <c r="H982" s="7" t="n">
        <v>538027.553542</v>
      </c>
      <c r="I982" s="7" t="n">
        <v>7687904.03638</v>
      </c>
      <c r="J982" s="7" t="inlineStr">
        <is>
          <t>Construido</t>
        </is>
      </c>
      <c r="K982" s="7" t="inlineStr">
        <is>
          <t>-</t>
        </is>
      </c>
      <c r="L982" s="7" t="inlineStr">
        <is>
          <t>Agua Subterránea</t>
        </is>
      </c>
      <c r="M982" s="7" t="inlineStr">
        <is>
          <t>Cordillera</t>
        </is>
      </c>
      <c r="N982" s="7" t="inlineStr">
        <is>
          <t>POZO</t>
        </is>
      </c>
      <c r="O982" s="7" t="inlineStr">
        <is>
          <t>Tranque</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NO</t>
        </is>
      </c>
      <c r="AO982" s="7" t="inlineStr">
        <is>
          <t>-</t>
        </is>
      </c>
      <c r="AP982" s="60" t="inlineStr">
        <is>
          <t>NO</t>
        </is>
      </c>
      <c r="AQ982" s="7" t="inlineStr">
        <is>
          <t>-</t>
        </is>
      </c>
      <c r="AR982" s="7" t="inlineStr">
        <is>
          <t>NO</t>
        </is>
      </c>
      <c r="AS982" s="7" t="inlineStr">
        <is>
          <t>-</t>
        </is>
      </c>
      <c r="AT982" s="7" t="inlineStr">
        <is>
          <t>NO</t>
        </is>
      </c>
      <c r="AU982" s="7" t="inlineStr">
        <is>
          <t>-</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No aplica</t>
        </is>
      </c>
      <c r="BG982" s="7" t="inlineStr">
        <is>
          <t>Monitoreo interno</t>
        </is>
      </c>
      <c r="BH982" s="7" t="inlineStr">
        <is>
          <t>No aplica</t>
        </is>
      </c>
      <c r="BI982" s="7" t="n"/>
      <c r="BJ982" s="7" t="n"/>
      <c r="BK982" s="331" t="inlineStr">
        <is>
          <t>532MAUC</t>
        </is>
      </c>
      <c r="BL982" s="61" t="inlineStr">
        <is>
          <t>GMAP-SIGA</t>
        </is>
      </c>
      <c r="BM982" s="251" t="inlineStr">
        <is>
          <t>NF</t>
        </is>
      </c>
      <c r="BN982" s="337" t="inlineStr">
        <is>
          <t>Tranque</t>
        </is>
      </c>
      <c r="BO982" s="251" t="inlineStr">
        <is>
          <t>SI</t>
        </is>
      </c>
      <c r="BP982" s="106" t="inlineStr">
        <is>
          <t>UC-604 TRANQUE/NF</t>
        </is>
      </c>
      <c r="BQ982" s="106">
        <f>VLOOKUP(BP982,[1]AGUA!$1:$1048576,2,FALSE)</f>
        <v/>
      </c>
      <c r="BR982" s="106">
        <f>VLOOKUP(BP982,[1]AGUA!$1:$1048576,6,FALSE)</f>
        <v/>
      </c>
      <c r="BS982" s="106">
        <f>VLOOKUP(BP982,[1]AGUA!$1:$1048576,7,FALSE)</f>
        <v/>
      </c>
      <c r="BT982" s="106" t="n"/>
      <c r="BU982" s="101" t="n"/>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42" t="n">
        <v>1</v>
      </c>
      <c r="CS982" s="105" t="n"/>
      <c r="CT982" s="105" t="n"/>
      <c r="CU982" s="105" t="n"/>
      <c r="CV982" s="105" t="n"/>
      <c r="CW982" s="105" t="n"/>
      <c r="CX982" s="105" t="n"/>
      <c r="CY982" s="105" t="n"/>
      <c r="CZ982" s="124">
        <f>+COUNTA(BV982:CY982)</f>
        <v/>
      </c>
      <c r="DA982" s="251" t="n"/>
      <c r="DB982" s="251" t="n"/>
      <c r="DC982" s="251" t="n"/>
      <c r="DD982" s="251" t="n"/>
      <c r="DE982" s="251" t="n"/>
      <c r="DF982" s="251" t="n"/>
      <c r="DG982" s="251" t="n"/>
      <c r="DH982" s="251" t="n"/>
      <c r="DI982" s="251" t="n"/>
      <c r="DJ982" s="251" t="inlineStr">
        <is>
          <t>M</t>
        </is>
      </c>
      <c r="DK982" s="251" t="n">
        <v>22</v>
      </c>
      <c r="DL982" s="95" t="n">
        <v>28</v>
      </c>
      <c r="DM982" s="251" t="n"/>
      <c r="DN982" s="95" t="n"/>
      <c r="DO982" s="95" t="n"/>
    </row>
    <row r="983" ht="13" customHeight="1">
      <c r="A983" s="203" t="inlineStr">
        <is>
          <t>UC-634</t>
        </is>
      </c>
      <c r="B983" s="305" t="inlineStr">
        <is>
          <t>UC-634 MICHINCHA</t>
        </is>
      </c>
      <c r="C983" s="7" t="n"/>
      <c r="D983" s="7" t="inlineStr">
        <is>
          <t>MONITOREO INTERNO</t>
        </is>
      </c>
      <c r="E983" s="7" t="inlineStr">
        <is>
          <t>NO</t>
        </is>
      </c>
      <c r="F983" s="7" t="inlineStr">
        <is>
          <t>NO</t>
        </is>
      </c>
      <c r="G983" s="7" t="inlineStr">
        <is>
          <t>NO</t>
        </is>
      </c>
      <c r="H983" s="7" t="n">
        <v>543288.944289</v>
      </c>
      <c r="I983" s="7" t="n">
        <v>7688212.0148</v>
      </c>
      <c r="J983" s="7" t="inlineStr">
        <is>
          <t>Construido</t>
        </is>
      </c>
      <c r="K983" s="7" t="inlineStr">
        <is>
          <t>-</t>
        </is>
      </c>
      <c r="L983" s="7" t="inlineStr">
        <is>
          <t>Agua Subterránea</t>
        </is>
      </c>
      <c r="M983" s="7" t="inlineStr">
        <is>
          <t>Cordillera</t>
        </is>
      </c>
      <c r="N983" s="7" t="inlineStr">
        <is>
          <t>POZO</t>
        </is>
      </c>
      <c r="O983" s="7" t="inlineStr">
        <is>
          <t>Michincha</t>
        </is>
      </c>
      <c r="P983" s="7" t="inlineStr">
        <is>
          <t>NO</t>
        </is>
      </c>
      <c r="Q983" s="7" t="inlineStr">
        <is>
          <t>-</t>
        </is>
      </c>
      <c r="R983" s="7" t="inlineStr">
        <is>
          <t>-</t>
        </is>
      </c>
      <c r="S983" s="7" t="inlineStr">
        <is>
          <t>-</t>
        </is>
      </c>
      <c r="T983" s="7" t="inlineStr">
        <is>
          <t>SI</t>
        </is>
      </c>
      <c r="U983" s="7" t="inlineStr">
        <is>
          <t>Bimestral</t>
        </is>
      </c>
      <c r="V983" s="7" t="inlineStr">
        <is>
          <t>SI</t>
        </is>
      </c>
      <c r="W983" s="7" t="inlineStr">
        <is>
          <t>Bimestral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1" t="inlineStr">
        <is>
          <t>532MAUC</t>
        </is>
      </c>
      <c r="BL983" s="61" t="inlineStr">
        <is>
          <t>GMAP-SIGA</t>
        </is>
      </c>
      <c r="BM983" s="251" t="inlineStr">
        <is>
          <t>NF</t>
        </is>
      </c>
      <c r="BN983" s="337" t="inlineStr">
        <is>
          <t>Tranque (Canal del este)</t>
        </is>
      </c>
      <c r="BO983" s="251" t="inlineStr">
        <is>
          <t>NO</t>
        </is>
      </c>
      <c r="BP983" s="106" t="inlineStr">
        <is>
          <t>UC-634 MICHINCHA/NF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05" t="n"/>
      <c r="CS983" s="105" t="n"/>
      <c r="CT983" s="105" t="n"/>
      <c r="CU983" s="105" t="n"/>
      <c r="CV983" s="105" t="n"/>
      <c r="CW983" s="142" t="n">
        <v>1</v>
      </c>
      <c r="CX983" s="105" t="n"/>
      <c r="CY983" s="105" t="n"/>
      <c r="CZ983" s="124">
        <f>+COUNTA(BV983:CY983)</f>
        <v/>
      </c>
      <c r="DA983" s="251" t="n"/>
      <c r="DB983" s="251" t="n"/>
      <c r="DC983" s="251" t="n"/>
      <c r="DD983" s="251" t="n"/>
      <c r="DE983" s="251" t="n"/>
      <c r="DF983" s="251" t="n"/>
      <c r="DG983" s="251" t="n"/>
      <c r="DH983" s="251" t="n"/>
      <c r="DI983" s="251" t="n"/>
      <c r="DJ983" s="251" t="inlineStr">
        <is>
          <t>B</t>
        </is>
      </c>
      <c r="DK983" s="251" t="n">
        <v>22</v>
      </c>
      <c r="DL983" s="95" t="n">
        <v>28</v>
      </c>
      <c r="DM983" s="251" t="n"/>
      <c r="DN983" s="95" t="n"/>
      <c r="DO983" s="95" t="n"/>
    </row>
    <row r="984" ht="13" customHeight="1">
      <c r="A984" s="203" t="inlineStr">
        <is>
          <t>X-1</t>
        </is>
      </c>
      <c r="B984" s="305" t="inlineStr">
        <is>
          <t>X-1 MICHINCHA</t>
        </is>
      </c>
      <c r="C984" s="7" t="n"/>
      <c r="D984" s="7" t="inlineStr">
        <is>
          <t>MONITOREO INTERNO</t>
        </is>
      </c>
      <c r="E984" s="7" t="inlineStr">
        <is>
          <t>NO</t>
        </is>
      </c>
      <c r="F984" s="7" t="inlineStr">
        <is>
          <t>NO</t>
        </is>
      </c>
      <c r="G984" s="7" t="inlineStr">
        <is>
          <t>NO</t>
        </is>
      </c>
      <c r="H984" s="7" t="n">
        <v>549201.482179</v>
      </c>
      <c r="I984" s="7" t="n">
        <v>7678969.94614</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Mensual</t>
        </is>
      </c>
      <c r="V984" s="7" t="inlineStr">
        <is>
          <t>SI</t>
        </is>
      </c>
      <c r="W984" s="7" t="inlineStr">
        <is>
          <t>Mensual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1" t="inlineStr">
        <is>
          <t>532MAX</t>
        </is>
      </c>
      <c r="BL984" s="61" t="inlineStr">
        <is>
          <t>GMAP-SIGA</t>
        </is>
      </c>
      <c r="BM984" s="251" t="inlineStr">
        <is>
          <t>NF</t>
        </is>
      </c>
      <c r="BN984" s="337" t="inlineStr">
        <is>
          <t>Michincha</t>
        </is>
      </c>
      <c r="BO984" s="251" t="inlineStr">
        <is>
          <t>NO</t>
        </is>
      </c>
      <c r="BP984" s="106" t="inlineStr">
        <is>
          <t>X-1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42" t="n">
        <v>1</v>
      </c>
      <c r="CX984" s="105" t="n"/>
      <c r="CY984" s="105" t="n"/>
      <c r="CZ984" s="124">
        <f>+COUNTA(BV984:CY984)</f>
        <v/>
      </c>
      <c r="DA984" s="251" t="n"/>
      <c r="DB984" s="251" t="n"/>
      <c r="DC984" s="251" t="n"/>
      <c r="DD984" s="251" t="n"/>
      <c r="DE984" s="251" t="n"/>
      <c r="DF984" s="251" t="n"/>
      <c r="DG984" s="251" t="n"/>
      <c r="DH984" s="251" t="n"/>
      <c r="DI984" s="251" t="n"/>
      <c r="DJ984" s="251" t="inlineStr">
        <is>
          <t>M</t>
        </is>
      </c>
      <c r="DK984" s="251" t="n">
        <v>22</v>
      </c>
      <c r="DL984" s="95" t="n">
        <v>28</v>
      </c>
      <c r="DM984" s="251" t="n"/>
      <c r="DN984" s="95" t="n"/>
      <c r="DO984" s="95" t="n"/>
    </row>
    <row r="985" ht="13" customHeight="1">
      <c r="A985" s="203" t="inlineStr">
        <is>
          <t>X-2</t>
        </is>
      </c>
      <c r="B985" s="305" t="inlineStr">
        <is>
          <t>X-2 MICHINCHA</t>
        </is>
      </c>
      <c r="C985" s="7" t="n"/>
      <c r="D985" s="7" t="inlineStr">
        <is>
          <t>MONITOREO INTERNO</t>
        </is>
      </c>
      <c r="E985" s="7" t="inlineStr">
        <is>
          <t>NO</t>
        </is>
      </c>
      <c r="F985" s="7" t="inlineStr">
        <is>
          <t>NO</t>
        </is>
      </c>
      <c r="G985" s="7" t="inlineStr">
        <is>
          <t>NO</t>
        </is>
      </c>
      <c r="H985" s="7" t="n">
        <v>548013.082339</v>
      </c>
      <c r="I985" s="7" t="n">
        <v>7676916.76046</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1" t="inlineStr">
        <is>
          <t>532MAX</t>
        </is>
      </c>
      <c r="BL985" s="61" t="inlineStr">
        <is>
          <t>GMAP-SIGA</t>
        </is>
      </c>
      <c r="BM985" s="251" t="inlineStr">
        <is>
          <t>NF</t>
        </is>
      </c>
      <c r="BN985" s="337" t="inlineStr">
        <is>
          <t>Michincha</t>
        </is>
      </c>
      <c r="BO985" s="251" t="inlineStr">
        <is>
          <t>NO</t>
        </is>
      </c>
      <c r="BP985" s="106" t="inlineStr">
        <is>
          <t>X-2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05" t="n"/>
      <c r="CW985" s="142" t="n">
        <v>1</v>
      </c>
      <c r="CX985" s="105" t="n"/>
      <c r="CY985" s="105" t="n"/>
      <c r="CZ985" s="124">
        <f>+COUNTA(BV985:CY985)</f>
        <v/>
      </c>
      <c r="DA985" s="251" t="n"/>
      <c r="DB985" s="251" t="n"/>
      <c r="DC985" s="251" t="n"/>
      <c r="DD985" s="251" t="n"/>
      <c r="DE985" s="251" t="n"/>
      <c r="DF985" s="251" t="n"/>
      <c r="DG985" s="251" t="n"/>
      <c r="DH985" s="251" t="n"/>
      <c r="DI985" s="251" t="n"/>
      <c r="DJ985" s="251" t="inlineStr">
        <is>
          <t>M</t>
        </is>
      </c>
      <c r="DK985" s="251" t="n">
        <v>22</v>
      </c>
      <c r="DL985" s="95" t="n">
        <v>28</v>
      </c>
      <c r="DM985" s="251" t="n"/>
      <c r="DN985" s="95" t="n"/>
      <c r="DO985" s="95" t="n"/>
      <c r="DP985" s="171" t="n"/>
    </row>
    <row r="986" ht="13" customHeight="1">
      <c r="A986" s="203" t="inlineStr">
        <is>
          <t>Zanja Norte 1</t>
        </is>
      </c>
      <c r="B986" s="305" t="inlineStr">
        <is>
          <t>ZANJA NORTE 1 PUERTO COLLAHUASI</t>
        </is>
      </c>
      <c r="C986" s="7" t="n"/>
      <c r="D986" s="7" t="inlineStr">
        <is>
          <t>MONITOREO INTERNO</t>
        </is>
      </c>
      <c r="E986" s="7" t="inlineStr">
        <is>
          <t>NO</t>
        </is>
      </c>
      <c r="F986" s="7" t="inlineStr">
        <is>
          <t>NO</t>
        </is>
      </c>
      <c r="G986" s="7" t="inlineStr">
        <is>
          <t>NO</t>
        </is>
      </c>
      <c r="H986" s="7" t="n"/>
      <c r="I986" s="7" t="n"/>
      <c r="J986" s="7" t="inlineStr">
        <is>
          <t>Construido</t>
        </is>
      </c>
      <c r="K986" s="7" t="n"/>
      <c r="L986" s="7" t="inlineStr">
        <is>
          <t>Agua Residual</t>
        </is>
      </c>
      <c r="M986" s="7" t="inlineStr">
        <is>
          <t>Puerto</t>
        </is>
      </c>
      <c r="N986" s="7" t="inlineStr">
        <is>
          <t>Pozo</t>
        </is>
      </c>
      <c r="O986" s="7" t="inlineStr">
        <is>
          <t>Puerto Collahuasi</t>
        </is>
      </c>
      <c r="P986" s="7" t="inlineStr">
        <is>
          <t>NO</t>
        </is>
      </c>
      <c r="Q986" s="7" t="inlineStr">
        <is>
          <t>-</t>
        </is>
      </c>
      <c r="R986" s="7" t="inlineStr">
        <is>
          <t>-</t>
        </is>
      </c>
      <c r="S986" s="7" t="inlineStr">
        <is>
          <t>-</t>
        </is>
      </c>
      <c r="T986" s="7" t="inlineStr">
        <is>
          <t>SI</t>
        </is>
      </c>
      <c r="U986" s="7" t="inlineStr">
        <is>
          <t>Semanal</t>
        </is>
      </c>
      <c r="V986" s="7" t="inlineStr">
        <is>
          <t>SI</t>
        </is>
      </c>
      <c r="W986" s="7" t="inlineStr">
        <is>
          <t>Semanal</t>
        </is>
      </c>
      <c r="X986" s="7" t="n"/>
      <c r="Y986" s="7" t="n"/>
      <c r="Z986" s="7" t="n"/>
      <c r="AA986" s="7" t="n"/>
      <c r="AB986" s="7" t="n"/>
      <c r="AC986" s="7" t="n"/>
      <c r="AD986" s="7" t="n"/>
      <c r="AE986" s="7" t="n"/>
      <c r="AF986" s="7" t="n"/>
      <c r="AG986" s="7" t="n"/>
      <c r="AH986" s="7" t="n"/>
      <c r="AI986" s="7" t="n"/>
      <c r="AJ986" s="7" t="n"/>
      <c r="AK986" s="60" t="n"/>
      <c r="AL986" s="7" t="n"/>
      <c r="AM986" s="7" t="n"/>
      <c r="AN986" s="60" t="n"/>
      <c r="AO986" s="7" t="n"/>
      <c r="AP986" s="7" t="n"/>
      <c r="AQ986" s="7" t="n"/>
      <c r="AR986" s="7" t="n"/>
      <c r="AS986" s="7" t="n"/>
      <c r="AT986" s="7" t="n"/>
      <c r="AU986" s="7" t="n"/>
      <c r="AV986" s="7" t="n"/>
      <c r="AW986" s="7" t="n"/>
      <c r="AX986" s="7" t="n"/>
      <c r="AY986" s="7" t="n"/>
      <c r="AZ986" s="7" t="n"/>
      <c r="BA986" s="7" t="n"/>
      <c r="BB986" s="7" t="n"/>
      <c r="BC986" s="7" t="n"/>
      <c r="BD986" s="7" t="n"/>
      <c r="BE986" s="7" t="n"/>
      <c r="BF986" s="7" t="n"/>
      <c r="BG986" s="7" t="n"/>
      <c r="BH986" s="7" t="n"/>
      <c r="BI986" s="7" t="n"/>
      <c r="BJ986" s="7" t="n"/>
      <c r="BK986" s="252" t="inlineStr">
        <is>
          <t>300SI400</t>
        </is>
      </c>
      <c r="BL986" s="61" t="inlineStr">
        <is>
          <t>PUERTO</t>
        </is>
      </c>
      <c r="BM986" s="251" t="inlineStr">
        <is>
          <t>NF</t>
        </is>
      </c>
      <c r="BN986" s="337" t="inlineStr">
        <is>
          <t>Puerto Collahuasi</t>
        </is>
      </c>
      <c r="BO986" s="251" t="inlineStr">
        <is>
          <t>SI</t>
        </is>
      </c>
      <c r="BP986" s="106" t="inlineStr">
        <is>
          <t>ZANJA NORTE 1 PUERTO COLLAHUASI/NF</t>
        </is>
      </c>
      <c r="BQ986" s="106">
        <f>VLOOKUP(BP986,[1]AGUA!$1:$1048576,2,FALSE)</f>
        <v/>
      </c>
      <c r="BR986" s="106">
        <f>VLOOKUP(BP986,[1]AGUA!$1:$1048576,6,FALSE)</f>
        <v/>
      </c>
      <c r="BS986" s="106">
        <f>VLOOKUP(BP986,[1]AGUA!$1:$1048576,7,FALSE)</f>
        <v/>
      </c>
      <c r="BT986" s="106" t="n"/>
      <c r="BU986" s="101" t="n"/>
      <c r="BV986" s="142" t="inlineStr">
        <is>
          <t>R</t>
        </is>
      </c>
      <c r="BW986" s="105" t="n"/>
      <c r="BX986" s="105" t="n"/>
      <c r="BY986" s="105" t="n"/>
      <c r="BZ986" s="105" t="n"/>
      <c r="CA986" s="105" t="n"/>
      <c r="CB986" s="105" t="n"/>
      <c r="CC986" s="142" t="n">
        <v>1</v>
      </c>
      <c r="CD986" s="125" t="n"/>
      <c r="CE986" s="125" t="n"/>
      <c r="CF986" s="125" t="n"/>
      <c r="CG986" s="125" t="n"/>
      <c r="CH986" s="125" t="n"/>
      <c r="CI986" s="125" t="n"/>
      <c r="CJ986" s="142" t="n">
        <v>1</v>
      </c>
      <c r="CK986" s="125" t="n"/>
      <c r="CL986" s="125" t="n"/>
      <c r="CM986" s="125" t="n"/>
      <c r="CN986" s="125" t="n"/>
      <c r="CO986" s="125" t="n"/>
      <c r="CP986" s="125" t="n"/>
      <c r="CQ986" s="142" t="n">
        <v>1</v>
      </c>
      <c r="CR986" s="125" t="n"/>
      <c r="CS986" s="125" t="n"/>
      <c r="CT986" s="125" t="n"/>
      <c r="CU986" s="125" t="n"/>
      <c r="CV986" s="125" t="n"/>
      <c r="CW986" s="125" t="n"/>
      <c r="CX986" s="142" t="n">
        <v>1</v>
      </c>
      <c r="CY986" s="105" t="n"/>
      <c r="CZ986" s="124">
        <f>+COUNTA(BV986:CY986)</f>
        <v/>
      </c>
      <c r="DA986" s="251" t="n"/>
      <c r="DB986" s="251" t="n"/>
      <c r="DC986" s="251" t="n"/>
      <c r="DD986" s="251" t="n"/>
      <c r="DE986" s="251" t="n"/>
      <c r="DF986" s="251" t="n"/>
      <c r="DG986" s="251" t="n"/>
      <c r="DH986" s="251" t="n"/>
      <c r="DI986" s="251" t="n"/>
      <c r="DJ986" s="251" t="inlineStr">
        <is>
          <t>S</t>
        </is>
      </c>
      <c r="DK986" s="251" t="inlineStr">
        <is>
          <t>R</t>
        </is>
      </c>
      <c r="DL986" s="95" t="inlineStr">
        <is>
          <t>R</t>
        </is>
      </c>
      <c r="DM986" s="251" t="n"/>
      <c r="DN986" s="95" t="n"/>
      <c r="DO986" s="95" t="n"/>
    </row>
    <row r="987" ht="13" customHeight="1">
      <c r="A987" s="203" t="inlineStr">
        <is>
          <t>Zanja Norte 2</t>
        </is>
      </c>
      <c r="B987" s="305" t="inlineStr">
        <is>
          <t>ZANJA NORTE 2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2" t="inlineStr">
        <is>
          <t>300SI400</t>
        </is>
      </c>
      <c r="BL987" s="61" t="inlineStr">
        <is>
          <t>PUERTO</t>
        </is>
      </c>
      <c r="BM987" s="251" t="inlineStr">
        <is>
          <t>NF</t>
        </is>
      </c>
      <c r="BN987" s="337" t="inlineStr">
        <is>
          <t>Puerto Collahuasi</t>
        </is>
      </c>
      <c r="BO987" s="251" t="inlineStr">
        <is>
          <t>SI</t>
        </is>
      </c>
      <c r="BP987" s="106" t="inlineStr">
        <is>
          <t>ZANJA NORTE 2 PUERTO COLLAHUASI/NF</t>
        </is>
      </c>
      <c r="BQ987" s="106">
        <f>VLOOKUP(BP987,[1]AGUA!$1:$1048576,2,FALSE)</f>
        <v/>
      </c>
      <c r="BR987" s="106">
        <f>VLOOKUP(BP987,[1]AGUA!$1:$1048576,6,FALSE)</f>
        <v/>
      </c>
      <c r="BS987" s="106">
        <f>VLOOKUP(BP987,[1]AGUA!$1:$1048576,7,FALSE)</f>
        <v/>
      </c>
      <c r="BT987" s="106" t="n"/>
      <c r="BU987" s="101" t="n"/>
      <c r="BV987" s="142" t="inlineStr">
        <is>
          <t>R</t>
        </is>
      </c>
      <c r="BW987" s="105" t="n"/>
      <c r="BX987" s="105" t="n"/>
      <c r="BY987" s="105" t="n"/>
      <c r="BZ987" s="105" t="n"/>
      <c r="CA987" s="105" t="n"/>
      <c r="CB987" s="105" t="n"/>
      <c r="CC987" s="142" t="n">
        <v>1</v>
      </c>
      <c r="CD987" s="125" t="n"/>
      <c r="CE987" s="125" t="n"/>
      <c r="CF987" s="125" t="n"/>
      <c r="CG987" s="125" t="n"/>
      <c r="CH987" s="125" t="n"/>
      <c r="CI987" s="125" t="n"/>
      <c r="CJ987" s="142" t="n">
        <v>1</v>
      </c>
      <c r="CK987" s="125" t="n"/>
      <c r="CL987" s="125" t="n"/>
      <c r="CM987" s="125" t="n"/>
      <c r="CN987" s="125" t="n"/>
      <c r="CO987" s="125" t="n"/>
      <c r="CP987" s="125" t="n"/>
      <c r="CQ987" s="142" t="n">
        <v>1</v>
      </c>
      <c r="CR987" s="125" t="n"/>
      <c r="CS987" s="125" t="n"/>
      <c r="CT987" s="125" t="n"/>
      <c r="CU987" s="125" t="n"/>
      <c r="CV987" s="125" t="n"/>
      <c r="CW987" s="125" t="n"/>
      <c r="CX987" s="142" t="n">
        <v>1</v>
      </c>
      <c r="CY987" s="105" t="n"/>
      <c r="CZ987" s="124">
        <f>+COUNTA(BV987:CY987)</f>
        <v/>
      </c>
      <c r="DA987" s="251" t="n"/>
      <c r="DB987" s="251" t="n"/>
      <c r="DC987" s="251" t="n"/>
      <c r="DD987" s="251" t="n"/>
      <c r="DE987" s="251" t="n"/>
      <c r="DF987" s="251" t="n"/>
      <c r="DG987" s="251" t="n"/>
      <c r="DH987" s="251" t="n"/>
      <c r="DI987" s="251" t="n"/>
      <c r="DJ987" s="251" t="inlineStr">
        <is>
          <t>S</t>
        </is>
      </c>
      <c r="DK987" s="251" t="inlineStr">
        <is>
          <t>R</t>
        </is>
      </c>
      <c r="DL987" s="95" t="inlineStr">
        <is>
          <t>R</t>
        </is>
      </c>
      <c r="DM987" s="251" t="n"/>
      <c r="DN987" s="95" t="n"/>
      <c r="DO987" s="95" t="n"/>
    </row>
    <row r="988" ht="13" customHeight="1">
      <c r="A988" s="203" t="inlineStr">
        <is>
          <t>SWE-02</t>
        </is>
      </c>
      <c r="B988" s="305" t="inlineStr">
        <is>
          <t>SWE-02 HUINQUINTIPA</t>
        </is>
      </c>
      <c r="C988" s="7" t="n"/>
      <c r="D988" s="7" t="inlineStr">
        <is>
          <t>MONITOREO INTERNO</t>
        </is>
      </c>
      <c r="E988" s="7" t="inlineStr">
        <is>
          <t>NO</t>
        </is>
      </c>
      <c r="F988" s="7" t="inlineStr">
        <is>
          <t>NO</t>
        </is>
      </c>
      <c r="G988" s="7" t="inlineStr">
        <is>
          <t>NO</t>
        </is>
      </c>
      <c r="H988" s="7" t="n">
        <v>523956.507</v>
      </c>
      <c r="I988" s="7" t="n">
        <v>7681452.8</v>
      </c>
      <c r="J988" s="7" t="inlineStr">
        <is>
          <t>Construido</t>
        </is>
      </c>
      <c r="K988" s="7" t="inlineStr">
        <is>
          <t>-</t>
        </is>
      </c>
      <c r="L988" s="7" t="inlineStr">
        <is>
          <t>Agua Superficial</t>
        </is>
      </c>
      <c r="M988" s="7" t="inlineStr">
        <is>
          <t>Cordillera</t>
        </is>
      </c>
      <c r="N988" s="7" t="inlineStr">
        <is>
          <t>Punto superficial</t>
        </is>
      </c>
      <c r="O988" s="7" t="inlineStr">
        <is>
          <t>Huinquintipa</t>
        </is>
      </c>
      <c r="P988" s="7" t="inlineStr">
        <is>
          <t>NO</t>
        </is>
      </c>
      <c r="Q988" s="7" t="inlineStr">
        <is>
          <t>-</t>
        </is>
      </c>
      <c r="R988" s="7" t="inlineStr">
        <is>
          <t>-</t>
        </is>
      </c>
      <c r="S988" s="7" t="inlineStr">
        <is>
          <t>-</t>
        </is>
      </c>
      <c r="T988" s="7" t="inlineStr">
        <is>
          <t>NO</t>
        </is>
      </c>
      <c r="U988" s="7" t="inlineStr">
        <is>
          <t>-</t>
        </is>
      </c>
      <c r="V988" s="7" t="inlineStr">
        <is>
          <t>NO</t>
        </is>
      </c>
      <c r="W988" s="7" t="inlineStr">
        <is>
          <t>-</t>
        </is>
      </c>
      <c r="X988" s="7" t="inlineStr">
        <is>
          <t>NO</t>
        </is>
      </c>
      <c r="Y988" s="7" t="inlineStr">
        <is>
          <t>-</t>
        </is>
      </c>
      <c r="Z988" s="7" t="inlineStr">
        <is>
          <t>NO</t>
        </is>
      </c>
      <c r="AA988" s="7" t="inlineStr">
        <is>
          <t>-</t>
        </is>
      </c>
      <c r="AB988" s="7" t="inlineStr">
        <is>
          <t>NO</t>
        </is>
      </c>
      <c r="AC988" s="7" t="inlineStr">
        <is>
          <t>-</t>
        </is>
      </c>
      <c r="AD988" s="7" t="inlineStr">
        <is>
          <t>NO</t>
        </is>
      </c>
      <c r="AE988" s="7" t="inlineStr">
        <is>
          <t>-</t>
        </is>
      </c>
      <c r="AF988" s="7" t="inlineStr">
        <is>
          <t>-</t>
        </is>
      </c>
      <c r="AG988" s="7" t="inlineStr">
        <is>
          <t>NO</t>
        </is>
      </c>
      <c r="AH988" s="7" t="inlineStr">
        <is>
          <t>-</t>
        </is>
      </c>
      <c r="AI988" s="7" t="inlineStr">
        <is>
          <t>NO</t>
        </is>
      </c>
      <c r="AJ988" s="7" t="inlineStr">
        <is>
          <t>-</t>
        </is>
      </c>
      <c r="AK988" s="60" t="inlineStr">
        <is>
          <t>NO</t>
        </is>
      </c>
      <c r="AL988" s="7" t="inlineStr">
        <is>
          <t>-</t>
        </is>
      </c>
      <c r="AM988" s="7" t="inlineStr">
        <is>
          <t>-</t>
        </is>
      </c>
      <c r="AN988" s="60" t="inlineStr">
        <is>
          <t>Plan base</t>
        </is>
      </c>
      <c r="AO988" s="7" t="inlineStr">
        <is>
          <t>Mensual</t>
        </is>
      </c>
      <c r="AP988" s="60" t="inlineStr">
        <is>
          <t>NO</t>
        </is>
      </c>
      <c r="AQ988" s="7" t="inlineStr">
        <is>
          <t>-</t>
        </is>
      </c>
      <c r="AR988" s="7" t="inlineStr">
        <is>
          <t>NO</t>
        </is>
      </c>
      <c r="AS988" s="7" t="inlineStr">
        <is>
          <t>-</t>
        </is>
      </c>
      <c r="AT988" s="7" t="inlineStr">
        <is>
          <t>SI</t>
        </is>
      </c>
      <c r="AU988" s="7" t="inlineStr">
        <is>
          <t>Mensual</t>
        </is>
      </c>
      <c r="AV988" s="7" t="inlineStr">
        <is>
          <t>NO</t>
        </is>
      </c>
      <c r="AW988" s="7" t="inlineStr">
        <is>
          <t>-</t>
        </is>
      </c>
      <c r="AX988" s="7" t="inlineStr">
        <is>
          <t>NO</t>
        </is>
      </c>
      <c r="AY988" s="7" t="inlineStr">
        <is>
          <t>-</t>
        </is>
      </c>
      <c r="AZ988" s="7" t="inlineStr">
        <is>
          <t>NO</t>
        </is>
      </c>
      <c r="BA988" s="7" t="inlineStr">
        <is>
          <t>-</t>
        </is>
      </c>
      <c r="BB988" s="7" t="inlineStr">
        <is>
          <t>NO</t>
        </is>
      </c>
      <c r="BC988" s="7" t="inlineStr">
        <is>
          <t>-</t>
        </is>
      </c>
      <c r="BD988" s="7" t="inlineStr">
        <is>
          <t>NO</t>
        </is>
      </c>
      <c r="BE988" s="7" t="inlineStr">
        <is>
          <t>-</t>
        </is>
      </c>
      <c r="BF988" s="7" t="inlineStr">
        <is>
          <t>No aplica</t>
        </is>
      </c>
      <c r="BG988" s="7" t="inlineStr">
        <is>
          <t>Monitoreo interno</t>
        </is>
      </c>
      <c r="BH988" s="7" t="inlineStr">
        <is>
          <t>No aplica</t>
        </is>
      </c>
      <c r="BI988" s="7" t="n"/>
      <c r="BJ988" s="7" t="n"/>
      <c r="BK988" s="331" t="inlineStr">
        <is>
          <t>532MASW2</t>
        </is>
      </c>
      <c r="BL988" s="61" t="inlineStr">
        <is>
          <t>GMAP-SIGA</t>
        </is>
      </c>
      <c r="BM988" s="251" t="inlineStr">
        <is>
          <t>ASUP</t>
        </is>
      </c>
      <c r="BN988" s="337" t="inlineStr">
        <is>
          <t>Huinquintipa</t>
        </is>
      </c>
      <c r="BO988" s="251" t="inlineStr">
        <is>
          <t>NO</t>
        </is>
      </c>
      <c r="BP988" s="106" t="inlineStr">
        <is>
          <t>SWE-02 HUINQUINTIPA/ASUP</t>
        </is>
      </c>
      <c r="BQ988" s="106">
        <f>VLOOKUP(BP988,[1]AGUA!$1:$1048576,2,FALSE)</f>
        <v/>
      </c>
      <c r="BR988" s="106">
        <f>VLOOKUP(BP988,[1]AGUA!$1:$1048576,6,FALSE)</f>
        <v/>
      </c>
      <c r="BS988" s="106">
        <f>VLOOKUP(BP988,[1]AGUA!$1:$1048576,7,FALSE)</f>
        <v/>
      </c>
      <c r="BT988" s="106" t="n"/>
      <c r="BU988" s="101" t="n"/>
      <c r="BV988" s="105" t="n"/>
      <c r="BW988" s="105" t="n"/>
      <c r="BX988" s="105" t="n"/>
      <c r="BY988" s="105" t="n"/>
      <c r="BZ988" s="105" t="n"/>
      <c r="CA988" s="105" t="n"/>
      <c r="CB988" s="105" t="n"/>
      <c r="CC988" s="105" t="n"/>
      <c r="CD988" s="105" t="n"/>
      <c r="CE988" s="105" t="n"/>
      <c r="CF988" s="105" t="n"/>
      <c r="CG988" s="105" t="n"/>
      <c r="CH988" s="105" t="n"/>
      <c r="CI988" s="105" t="n"/>
      <c r="CJ988" s="105" t="n"/>
      <c r="CK988" s="105" t="n"/>
      <c r="CL988" s="105" t="n"/>
      <c r="CM988" s="105" t="n"/>
      <c r="CO988" s="105" t="n"/>
      <c r="CP988" s="125" t="n"/>
      <c r="CQ988" s="105" t="n"/>
      <c r="CR988" s="105" t="n"/>
      <c r="CS988" s="106" t="n"/>
      <c r="CT988" s="106" t="n"/>
      <c r="CU988" s="107" t="n">
        <v>1</v>
      </c>
      <c r="CV988" s="125" t="n"/>
      <c r="CW988" s="105" t="n"/>
      <c r="CX988" s="105" t="n"/>
      <c r="CY988" s="106" t="n"/>
      <c r="CZ988" s="124">
        <f>+COUNTA(BV988:CY988)</f>
        <v/>
      </c>
      <c r="DA988" s="251" t="n"/>
      <c r="DB988" s="251" t="n"/>
      <c r="DC988" s="251" t="n"/>
      <c r="DD988" s="251" t="n"/>
      <c r="DE988" s="251" t="n"/>
      <c r="DF988" s="251" t="n"/>
      <c r="DG988" s="251" t="n"/>
      <c r="DH988" s="251" t="n"/>
      <c r="DI988" s="251" t="n"/>
      <c r="DJ988" s="251" t="n"/>
      <c r="DK988" s="251" t="n"/>
      <c r="DL988" s="251" t="n"/>
      <c r="DM988" s="251" t="inlineStr">
        <is>
          <t>M</t>
        </is>
      </c>
      <c r="DN988" s="95" t="n">
        <v>22</v>
      </c>
      <c r="DO988" s="95" t="n">
        <v>28</v>
      </c>
    </row>
    <row r="989" ht="13" customHeight="1">
      <c r="A989" s="203" t="inlineStr">
        <is>
          <t xml:space="preserve">Captación Agua de mar </t>
        </is>
      </c>
      <c r="B989" s="305" t="inlineStr">
        <is>
          <t>Captación Agua de mar PUERTO COLLAHUASI</t>
        </is>
      </c>
      <c r="C989" s="7" t="n"/>
      <c r="D989" s="7" t="inlineStr">
        <is>
          <t>MONITOREO INTERNO</t>
        </is>
      </c>
      <c r="E989" s="7" t="inlineStr">
        <is>
          <t>NO</t>
        </is>
      </c>
      <c r="F989" s="7" t="inlineStr">
        <is>
          <t>NO</t>
        </is>
      </c>
      <c r="G989" s="7" t="inlineStr">
        <is>
          <t>NO</t>
        </is>
      </c>
      <c r="H989" s="7" t="inlineStr">
        <is>
          <t>REVISAR</t>
        </is>
      </c>
      <c r="I989" s="7" t="inlineStr">
        <is>
          <t>REVISAR</t>
        </is>
      </c>
      <c r="J989" s="7" t="inlineStr">
        <is>
          <t>Construido</t>
        </is>
      </c>
      <c r="K989" s="7" t="inlineStr">
        <is>
          <t>-</t>
        </is>
      </c>
      <c r="L989" s="7" t="inlineStr">
        <is>
          <t>Agua de mar</t>
        </is>
      </c>
      <c r="M989" s="7" t="inlineStr">
        <is>
          <t>Puerto</t>
        </is>
      </c>
      <c r="N989" s="7" t="inlineStr">
        <is>
          <t>Captación Agua de Mar</t>
        </is>
      </c>
      <c r="O989" s="7" t="inlineStr">
        <is>
          <t>Puerto Collahuasi</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NCH 409 COMPLETA</t>
        </is>
      </c>
      <c r="AO989" s="7" t="inlineStr">
        <is>
          <t>Anual</t>
        </is>
      </c>
      <c r="AP989" s="60" t="inlineStr">
        <is>
          <t>NO</t>
        </is>
      </c>
      <c r="AQ989" s="7" t="inlineStr">
        <is>
          <t>-</t>
        </is>
      </c>
      <c r="AR989" s="60" t="inlineStr">
        <is>
          <t>NO</t>
        </is>
      </c>
      <c r="AS989" s="7" t="inlineStr">
        <is>
          <t>-</t>
        </is>
      </c>
      <c r="AT989" s="7" t="inlineStr">
        <is>
          <t>SI</t>
        </is>
      </c>
      <c r="AU989" s="7" t="inlineStr">
        <is>
          <t>Anual</t>
        </is>
      </c>
      <c r="AV989" s="60"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252" t="inlineStr">
        <is>
          <t>300SI400</t>
        </is>
      </c>
      <c r="BL989" s="61" t="inlineStr">
        <is>
          <t>PUERTO</t>
        </is>
      </c>
      <c r="BM989" s="251" t="inlineStr">
        <is>
          <t>ASUP</t>
        </is>
      </c>
      <c r="BN989" s="337" t="inlineStr">
        <is>
          <t>Puerto Collahuasi</t>
        </is>
      </c>
      <c r="BO989" s="251" t="n"/>
      <c r="BP989" s="106" t="inlineStr">
        <is>
          <t>Captación Agua de mar PUERTO COLLAHUASI/ASUP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05" t="n"/>
      <c r="CQ989" s="105" t="n"/>
      <c r="CR989" s="105" t="n"/>
      <c r="CS989" s="105" t="n"/>
      <c r="CT989" s="105" t="n"/>
      <c r="CU989" s="105" t="n"/>
      <c r="CV989" s="105" t="n"/>
      <c r="CW989" s="106" t="n"/>
      <c r="CX989" s="106" t="n"/>
      <c r="CY989" s="106" t="n"/>
      <c r="CZ989" s="124">
        <f>+COUNTA(BV989:CY989)</f>
        <v/>
      </c>
      <c r="DA989" s="251" t="n"/>
      <c r="DB989" s="251" t="n"/>
      <c r="DC989" s="251" t="n"/>
      <c r="DD989" s="251" t="n"/>
      <c r="DE989" s="251" t="n"/>
      <c r="DF989" s="251" t="n"/>
      <c r="DG989" s="251" t="n"/>
      <c r="DH989" s="251" t="n"/>
      <c r="DI989" s="251" t="n"/>
      <c r="DJ989" s="251" t="n"/>
      <c r="DK989" s="251" t="n"/>
      <c r="DL989" s="95" t="n"/>
      <c r="DM989" s="251" t="inlineStr">
        <is>
          <t>A</t>
        </is>
      </c>
      <c r="DN989" s="95" t="n">
        <v>22</v>
      </c>
      <c r="DO989" s="95" t="n">
        <v>28</v>
      </c>
    </row>
    <row r="990" ht="13" customHeight="1">
      <c r="A990" s="203" t="inlineStr">
        <is>
          <t>HOUSEKEEPING</t>
        </is>
      </c>
      <c r="B990" s="305" t="inlineStr">
        <is>
          <t>OFICINAS  SI ENERGIA</t>
        </is>
      </c>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7" t="n"/>
      <c r="AL990" s="7" t="n"/>
      <c r="AM990" s="7" t="n"/>
      <c r="AN990" s="7" t="n"/>
      <c r="AO990" s="7" t="n"/>
      <c r="AP990" s="7"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1" t="n"/>
      <c r="BL990" s="61" t="inlineStr">
        <is>
          <t>GMAP-SIGA</t>
        </is>
      </c>
      <c r="BM990" s="251" t="inlineStr">
        <is>
          <t>HK</t>
        </is>
      </c>
      <c r="BN990" s="337" t="inlineStr">
        <is>
          <t>Ujina</t>
        </is>
      </c>
      <c r="BO990" s="251" t="inlineStr">
        <is>
          <t>NO</t>
        </is>
      </c>
      <c r="BP990" s="106" t="inlineStr">
        <is>
          <t>OFICINAS  SI ENERGIA/HK</t>
        </is>
      </c>
      <c r="BQ990" s="106">
        <f>VLOOKUP(BP990,[1]AGUA!$1:$1048576,2,FALSE)</f>
        <v/>
      </c>
      <c r="BR990" s="106">
        <f>VLOOKUP(BP990,[1]AGUA!$1:$1048576,6,FALSE)</f>
        <v/>
      </c>
      <c r="BS990" s="106">
        <f>VLOOKUP(BP990,[1]AGUA!$1:$1048576,7,FALSE)</f>
        <v/>
      </c>
      <c r="BT990" s="106" t="n"/>
      <c r="BU990" s="101" t="n"/>
      <c r="BV990" s="142" t="inlineStr">
        <is>
          <t>R</t>
        </is>
      </c>
      <c r="BW990" s="142" t="n">
        <v>1</v>
      </c>
      <c r="BX990" s="142" t="n">
        <v>1</v>
      </c>
      <c r="BY990" s="142" t="n">
        <v>1</v>
      </c>
      <c r="BZ990" s="142" t="n">
        <v>1</v>
      </c>
      <c r="CA990" s="142" t="n">
        <v>1</v>
      </c>
      <c r="CB990" s="142" t="n">
        <v>1</v>
      </c>
      <c r="CC990" s="142" t="n">
        <v>1</v>
      </c>
      <c r="CD990" s="142" t="n">
        <v>1</v>
      </c>
      <c r="CE990" s="142" t="n">
        <v>1</v>
      </c>
      <c r="CF990" s="142" t="n">
        <v>1</v>
      </c>
      <c r="CG990" s="142" t="n">
        <v>1</v>
      </c>
      <c r="CH990" s="142" t="n">
        <v>1</v>
      </c>
      <c r="CI990" s="142" t="n">
        <v>1</v>
      </c>
      <c r="CJ990" s="142" t="n">
        <v>1</v>
      </c>
      <c r="CK990" s="142" t="n">
        <v>1</v>
      </c>
      <c r="CL990" s="142" t="n">
        <v>1</v>
      </c>
      <c r="CM990" s="142" t="n">
        <v>1</v>
      </c>
      <c r="CN990" s="142" t="n">
        <v>1</v>
      </c>
      <c r="CO990" s="142" t="n">
        <v>1</v>
      </c>
      <c r="CP990" s="142" t="n">
        <v>1</v>
      </c>
      <c r="CQ990" s="142" t="n">
        <v>1</v>
      </c>
      <c r="CR990" s="142" t="n">
        <v>1</v>
      </c>
      <c r="CS990" s="142" t="n">
        <v>1</v>
      </c>
      <c r="CT990" s="142" t="n">
        <v>1</v>
      </c>
      <c r="CU990" s="142" t="n">
        <v>1</v>
      </c>
      <c r="CV990" s="142" t="n">
        <v>1</v>
      </c>
      <c r="CW990" s="142" t="n">
        <v>1</v>
      </c>
      <c r="CX990" s="142" t="n">
        <v>1</v>
      </c>
      <c r="CY990" s="142" t="n">
        <v>1</v>
      </c>
      <c r="CZ990" s="124">
        <f>+COUNTA(BV990:CY990)</f>
        <v/>
      </c>
      <c r="DA990" s="251" t="n"/>
      <c r="DB990" s="251" t="n"/>
      <c r="DC990" s="251" t="n"/>
      <c r="DD990" s="251" t="n"/>
      <c r="DE990" s="251" t="n"/>
      <c r="DF990" s="251" t="n"/>
      <c r="DG990" s="251" t="n"/>
      <c r="DH990" s="251" t="n"/>
      <c r="DI990" s="251" t="n"/>
      <c r="DJ990" s="251" t="inlineStr">
        <is>
          <t>S</t>
        </is>
      </c>
      <c r="DK990" s="95" t="inlineStr">
        <is>
          <t>R</t>
        </is>
      </c>
      <c r="DL990" s="95" t="inlineStr">
        <is>
          <t>R</t>
        </is>
      </c>
      <c r="DM990" s="251" t="n"/>
      <c r="DN990" s="251" t="n"/>
      <c r="DO990" s="251" t="n"/>
    </row>
    <row r="991" ht="13" customHeight="1">
      <c r="A991" s="203" t="inlineStr">
        <is>
          <t>PC-02</t>
        </is>
      </c>
      <c r="B991" s="305" t="n"/>
      <c r="C991" s="7" t="n"/>
      <c r="D991" s="7" t="inlineStr">
        <is>
          <t>SI</t>
        </is>
      </c>
      <c r="E991" s="7" t="inlineStr">
        <is>
          <t>NO</t>
        </is>
      </c>
      <c r="F991" s="7" t="inlineStr">
        <is>
          <t>SI</t>
        </is>
      </c>
      <c r="G991" s="7" t="inlineStr">
        <is>
          <t>NO</t>
        </is>
      </c>
      <c r="H991" s="7" t="n">
        <v>533869</v>
      </c>
      <c r="I991" s="7" t="n">
        <v>7715485</v>
      </c>
      <c r="J991" s="7" t="inlineStr">
        <is>
          <t>Dejará de ser parte de la red de monitoreo, información redundante Anexo 10.1</t>
        </is>
      </c>
      <c r="K991" s="7" t="inlineStr">
        <is>
          <t>-</t>
        </is>
      </c>
      <c r="L991" s="7" t="inlineStr">
        <is>
          <t>Agua Subterránea</t>
        </is>
      </c>
      <c r="M991" s="7" t="inlineStr">
        <is>
          <t>Cordillera</t>
        </is>
      </c>
      <c r="N991" s="7" t="inlineStr">
        <is>
          <t>POZO</t>
        </is>
      </c>
      <c r="O991" s="7" t="inlineStr">
        <is>
          <t xml:space="preserve">Coposa Centro </t>
        </is>
      </c>
      <c r="P991" s="7" t="inlineStr">
        <is>
          <t>NO</t>
        </is>
      </c>
      <c r="Q991" s="7" t="inlineStr">
        <is>
          <t>-</t>
        </is>
      </c>
      <c r="R991" s="7" t="inlineStr">
        <is>
          <t>-</t>
        </is>
      </c>
      <c r="S991" s="7" t="inlineStr">
        <is>
          <t>-</t>
        </is>
      </c>
      <c r="T991" s="7" t="inlineStr">
        <is>
          <t>SI</t>
        </is>
      </c>
      <c r="U991" s="7" t="inlineStr">
        <is>
          <t>Mensual</t>
        </is>
      </c>
      <c r="V991" s="7" t="inlineStr">
        <is>
          <t>SI</t>
        </is>
      </c>
      <c r="W991" s="7" t="inlineStr">
        <is>
          <t>Mensual</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NO</t>
        </is>
      </c>
      <c r="AO991" s="7" t="inlineStr">
        <is>
          <t>-</t>
        </is>
      </c>
      <c r="AP991" s="60" t="inlineStr">
        <is>
          <t>NO</t>
        </is>
      </c>
      <c r="AQ991" s="7" t="inlineStr">
        <is>
          <t>-</t>
        </is>
      </c>
      <c r="AR991" s="60" t="inlineStr">
        <is>
          <t>NO</t>
        </is>
      </c>
      <c r="AS991" s="7" t="inlineStr">
        <is>
          <t>-</t>
        </is>
      </c>
      <c r="AT991" s="7" t="inlineStr">
        <is>
          <t>NO</t>
        </is>
      </c>
      <c r="AU991" s="7" t="inlineStr">
        <is>
          <t>-</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SMA</t>
        </is>
      </c>
      <c r="BG991" s="7" t="inlineStr">
        <is>
          <t>PSA</t>
        </is>
      </c>
      <c r="BH991" s="7" t="inlineStr">
        <is>
          <t>Res. Ex. N° 144/2006</t>
        </is>
      </c>
      <c r="BI991" s="7" t="n"/>
      <c r="BJ991" s="7" t="n"/>
      <c r="BK991" s="61" t="inlineStr">
        <is>
          <t>S/TAG</t>
        </is>
      </c>
      <c r="BL991" s="61" t="inlineStr">
        <is>
          <t>GMAP-SIGA</t>
        </is>
      </c>
      <c r="BM991" s="251" t="inlineStr">
        <is>
          <t>NF</t>
        </is>
      </c>
      <c r="BN991" s="337" t="inlineStr">
        <is>
          <t>Coposa Centro</t>
        </is>
      </c>
      <c r="BO991" s="251" t="inlineStr">
        <is>
          <t>SI</t>
        </is>
      </c>
      <c r="BP991" s="251" t="inlineStr">
        <is>
          <t>PC-02 COPOSA CENTRO/NF</t>
        </is>
      </c>
      <c r="BQ991" s="106">
        <f>VLOOKUP(BP991,[1]AGUA!$1:$1048576,2,FALSE)</f>
        <v/>
      </c>
      <c r="BR991" s="106">
        <f>VLOOKUP(BP991,[1]AGUA!$1:$1048576,6,FALSE)</f>
        <v/>
      </c>
      <c r="BS991" s="106">
        <f>VLOOKUP(BP991,[1]AGUA!$1:$1048576,7,FALSE)</f>
        <v/>
      </c>
      <c r="BT991" s="106" t="n"/>
      <c r="BU991" s="105"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42" t="n">
        <v>1</v>
      </c>
      <c r="CU991" s="105" t="n"/>
      <c r="CV991" s="105" t="n"/>
      <c r="CW991" s="105" t="n"/>
      <c r="CX991" s="105" t="n"/>
      <c r="CY991" s="105" t="n"/>
      <c r="CZ991" s="124">
        <f>+COUNTA(BV991:CY991)</f>
        <v/>
      </c>
      <c r="DA991" s="251" t="n"/>
      <c r="DB991" s="251" t="n"/>
      <c r="DC991" s="251" t="n"/>
      <c r="DD991" s="251" t="n"/>
      <c r="DE991" s="251" t="n"/>
      <c r="DF991" s="251" t="n"/>
      <c r="DG991" s="251" t="n"/>
      <c r="DH991" s="251" t="n"/>
      <c r="DI991" s="251" t="n"/>
      <c r="DJ991" s="251" t="inlineStr">
        <is>
          <t>M</t>
        </is>
      </c>
      <c r="DK991" s="251" t="n">
        <v>22</v>
      </c>
      <c r="DL991" s="95" t="n">
        <v>28</v>
      </c>
      <c r="DM991" s="251" t="n"/>
      <c r="DN991" s="95" t="n"/>
      <c r="DO991" s="95" t="n"/>
    </row>
    <row r="992" ht="13" customHeight="1">
      <c r="A992" s="215" t="inlineStr">
        <is>
          <t>PC-03</t>
        </is>
      </c>
      <c r="B992" s="305" t="n"/>
      <c r="C992" s="7" t="n"/>
      <c r="D992" s="7" t="inlineStr">
        <is>
          <t>SI</t>
        </is>
      </c>
      <c r="E992" s="7" t="inlineStr">
        <is>
          <t>NO</t>
        </is>
      </c>
      <c r="F992" s="7" t="inlineStr">
        <is>
          <t>SI</t>
        </is>
      </c>
      <c r="G992" s="7" t="inlineStr">
        <is>
          <t>NO</t>
        </is>
      </c>
      <c r="H992" s="7" t="n">
        <v>533805</v>
      </c>
      <c r="I992" s="7" t="n">
        <v>7714414</v>
      </c>
      <c r="J992" s="7" t="inlineStr">
        <is>
          <t>Dejará de ser parte de la red de monitoreo, información redundante Anexo 10.1</t>
        </is>
      </c>
      <c r="K992" s="7" t="inlineStr">
        <is>
          <t>-</t>
        </is>
      </c>
      <c r="L992" s="7" t="inlineStr">
        <is>
          <t>Agua Subterránea</t>
        </is>
      </c>
      <c r="M992" s="7" t="inlineStr">
        <is>
          <t>Cordillera</t>
        </is>
      </c>
      <c r="N992" s="7" t="inlineStr">
        <is>
          <t>POZO</t>
        </is>
      </c>
      <c r="O992" s="7" t="inlineStr">
        <is>
          <t xml:space="preserve">Coposa Centro </t>
        </is>
      </c>
      <c r="P992" s="7" t="inlineStr">
        <is>
          <t>NO</t>
        </is>
      </c>
      <c r="Q992" s="7" t="inlineStr">
        <is>
          <t>-</t>
        </is>
      </c>
      <c r="R992" s="7" t="inlineStr">
        <is>
          <t>-</t>
        </is>
      </c>
      <c r="S992" s="7" t="inlineStr">
        <is>
          <t>-</t>
        </is>
      </c>
      <c r="T992" s="7" t="inlineStr">
        <is>
          <t>SI</t>
        </is>
      </c>
      <c r="U992" s="7" t="inlineStr">
        <is>
          <t>Mensual</t>
        </is>
      </c>
      <c r="V992" s="7" t="inlineStr">
        <is>
          <t>SI</t>
        </is>
      </c>
      <c r="W992" s="7" t="inlineStr">
        <is>
          <t>Mensual</t>
        </is>
      </c>
      <c r="X992" s="7" t="inlineStr">
        <is>
          <t>NO</t>
        </is>
      </c>
      <c r="Y992" s="7" t="inlineStr">
        <is>
          <t>-</t>
        </is>
      </c>
      <c r="Z992" s="7" t="inlineStr">
        <is>
          <t>NO</t>
        </is>
      </c>
      <c r="AA992" s="7" t="inlineStr">
        <is>
          <t>-</t>
        </is>
      </c>
      <c r="AB992" s="7" t="inlineStr">
        <is>
          <t>NO</t>
        </is>
      </c>
      <c r="AC992" s="7" t="inlineStr">
        <is>
          <t>-</t>
        </is>
      </c>
      <c r="AD992" s="7" t="inlineStr">
        <is>
          <t>NO</t>
        </is>
      </c>
      <c r="AE992" s="7" t="inlineStr">
        <is>
          <t>-</t>
        </is>
      </c>
      <c r="AF992" s="7" t="inlineStr">
        <is>
          <t>-</t>
        </is>
      </c>
      <c r="AG992" s="7" t="inlineStr">
        <is>
          <t>NO</t>
        </is>
      </c>
      <c r="AH992" s="7" t="inlineStr">
        <is>
          <t>-</t>
        </is>
      </c>
      <c r="AI992" s="7" t="inlineStr">
        <is>
          <t>NO</t>
        </is>
      </c>
      <c r="AJ992" s="7" t="inlineStr">
        <is>
          <t>-</t>
        </is>
      </c>
      <c r="AK992" s="60" t="inlineStr">
        <is>
          <t>NO</t>
        </is>
      </c>
      <c r="AL992" s="7" t="inlineStr">
        <is>
          <t>-</t>
        </is>
      </c>
      <c r="AM992" s="7" t="inlineStr">
        <is>
          <t>-</t>
        </is>
      </c>
      <c r="AN992" s="60" t="inlineStr">
        <is>
          <t>NO</t>
        </is>
      </c>
      <c r="AO992" s="7" t="inlineStr">
        <is>
          <t>-</t>
        </is>
      </c>
      <c r="AP992" s="60" t="inlineStr">
        <is>
          <t>NO</t>
        </is>
      </c>
      <c r="AQ992" s="7" t="inlineStr">
        <is>
          <t>-</t>
        </is>
      </c>
      <c r="AR992" s="60" t="inlineStr">
        <is>
          <t>NO</t>
        </is>
      </c>
      <c r="AS992" s="7" t="inlineStr">
        <is>
          <t>-</t>
        </is>
      </c>
      <c r="AT992" s="7" t="inlineStr">
        <is>
          <t>NO</t>
        </is>
      </c>
      <c r="AU992" s="7" t="inlineStr">
        <is>
          <t>-</t>
        </is>
      </c>
      <c r="AV992" s="60" t="inlineStr">
        <is>
          <t>NO</t>
        </is>
      </c>
      <c r="AW992" s="7" t="inlineStr">
        <is>
          <t>-</t>
        </is>
      </c>
      <c r="AX992" s="7" t="inlineStr">
        <is>
          <t>NO</t>
        </is>
      </c>
      <c r="AY992" s="7" t="inlineStr">
        <is>
          <t>-</t>
        </is>
      </c>
      <c r="AZ992" s="7" t="inlineStr">
        <is>
          <t>NO</t>
        </is>
      </c>
      <c r="BA992" s="7" t="inlineStr">
        <is>
          <t>-</t>
        </is>
      </c>
      <c r="BB992" s="7" t="inlineStr">
        <is>
          <t>NO</t>
        </is>
      </c>
      <c r="BC992" s="7" t="inlineStr">
        <is>
          <t>-</t>
        </is>
      </c>
      <c r="BD992" s="7" t="inlineStr">
        <is>
          <t>NO</t>
        </is>
      </c>
      <c r="BE992" s="7" t="inlineStr">
        <is>
          <t>-</t>
        </is>
      </c>
      <c r="BF992" s="7" t="inlineStr">
        <is>
          <t>SMA</t>
        </is>
      </c>
      <c r="BG992" s="7" t="inlineStr">
        <is>
          <t>PSA</t>
        </is>
      </c>
      <c r="BH992" s="7" t="inlineStr">
        <is>
          <t>Res. Ex. N° 144/2006</t>
        </is>
      </c>
      <c r="BI992" s="7" t="n"/>
      <c r="BJ992" s="7" t="n"/>
      <c r="BK992" s="61" t="inlineStr">
        <is>
          <t>S/TAG</t>
        </is>
      </c>
      <c r="BL992" s="61" t="inlineStr">
        <is>
          <t>GMAP-SIGA</t>
        </is>
      </c>
      <c r="BM992" s="251" t="inlineStr">
        <is>
          <t>NF</t>
        </is>
      </c>
      <c r="BN992" s="337" t="inlineStr">
        <is>
          <t>Coposa Centro</t>
        </is>
      </c>
      <c r="BO992" s="251" t="inlineStr">
        <is>
          <t>SI</t>
        </is>
      </c>
      <c r="BP992" s="251" t="inlineStr">
        <is>
          <t>PC-03 COPOSA CENTRO/NF</t>
        </is>
      </c>
      <c r="BQ992" s="106">
        <f>VLOOKUP(BP992,[1]AGUA!$1:$1048576,2,FALSE)</f>
        <v/>
      </c>
      <c r="BR992" s="106">
        <f>VLOOKUP(BP992,[1]AGUA!$1:$1048576,6,FALSE)</f>
        <v/>
      </c>
      <c r="BS992" s="106">
        <f>VLOOKUP(BP992,[1]AGUA!$1:$1048576,7,FALSE)</f>
        <v/>
      </c>
      <c r="BT992" s="106" t="inlineStr">
        <is>
          <t>CAV DAP</t>
        </is>
      </c>
      <c r="BU992" s="101" t="n"/>
      <c r="BV992" s="105" t="n"/>
      <c r="BW992" s="105" t="n"/>
      <c r="BX992" s="105" t="n"/>
      <c r="BY992" s="105" t="n"/>
      <c r="BZ992" s="105" t="n"/>
      <c r="CA992" s="105" t="n"/>
      <c r="CB992" s="105" t="n"/>
      <c r="CC992" s="105" t="n"/>
      <c r="CD992" s="105" t="n"/>
      <c r="CE992" s="105" t="n"/>
      <c r="CF992" s="105" t="n"/>
      <c r="CG992" s="105" t="n"/>
      <c r="CH992" s="105" t="n"/>
      <c r="CI992" s="105" t="n"/>
      <c r="CJ992" s="105" t="n"/>
      <c r="CK992" s="105" t="n"/>
      <c r="CL992" s="105" t="n"/>
      <c r="CM992" s="105" t="n"/>
      <c r="CN992" s="105" t="n"/>
      <c r="CO992" s="105" t="n"/>
      <c r="CP992" s="105" t="n"/>
      <c r="CQ992" s="105" t="n"/>
      <c r="CR992" s="105" t="n"/>
      <c r="CS992" s="105" t="n"/>
      <c r="CT992" s="142" t="n">
        <v>1</v>
      </c>
      <c r="CU992" s="105" t="n"/>
      <c r="CV992" s="105" t="n"/>
      <c r="CW992" s="105" t="n"/>
      <c r="CX992" s="105" t="n"/>
      <c r="CY992" s="105" t="n"/>
      <c r="CZ992" s="124">
        <f>+COUNTA(BV992:CY992)</f>
        <v/>
      </c>
      <c r="DA992" s="251" t="n"/>
      <c r="DB992" s="251" t="n"/>
      <c r="DC992" s="251" t="n"/>
      <c r="DD992" s="251" t="n"/>
      <c r="DE992" s="251" t="n"/>
      <c r="DF992" s="251" t="n"/>
      <c r="DG992" s="251" t="n"/>
      <c r="DH992" s="251" t="n"/>
      <c r="DI992" s="251" t="n"/>
      <c r="DJ992" s="251" t="inlineStr">
        <is>
          <t>M</t>
        </is>
      </c>
      <c r="DK992" s="251" t="n">
        <v>22</v>
      </c>
      <c r="DL992" s="95" t="n">
        <v>28</v>
      </c>
      <c r="DM992" s="251" t="n"/>
      <c r="DN992" s="95" t="n"/>
      <c r="DO992" s="95" t="n"/>
    </row>
    <row r="993" ht="13" customHeight="1">
      <c r="A993" s="203" t="inlineStr">
        <is>
          <t>AFO-JU1</t>
        </is>
      </c>
      <c r="B993" s="305" t="n"/>
      <c r="C993" s="7" t="n"/>
      <c r="D993" s="7" t="inlineStr">
        <is>
          <t>SI</t>
        </is>
      </c>
      <c r="E993" s="7" t="inlineStr">
        <is>
          <t>SI</t>
        </is>
      </c>
      <c r="F993" s="7" t="inlineStr">
        <is>
          <t>NO</t>
        </is>
      </c>
      <c r="G993" s="7" t="inlineStr">
        <is>
          <t>NO</t>
        </is>
      </c>
      <c r="H993" s="7" t="n">
        <v>536510</v>
      </c>
      <c r="I993" s="7" t="n">
        <v>7680223</v>
      </c>
      <c r="J993" s="7" t="inlineStr">
        <is>
          <t>Por implementar</t>
        </is>
      </c>
      <c r="K993" s="7" t="inlineStr">
        <is>
          <t>-</t>
        </is>
      </c>
      <c r="L993" s="7" t="inlineStr">
        <is>
          <t>Agua Superficial</t>
        </is>
      </c>
      <c r="M993" s="7" t="inlineStr">
        <is>
          <t>Cordillera</t>
        </is>
      </c>
      <c r="N993" s="7" t="inlineStr">
        <is>
          <t xml:space="preserve">Quebrada </t>
        </is>
      </c>
      <c r="O993" s="7" t="inlineStr">
        <is>
          <t>Qda. Jachujina</t>
        </is>
      </c>
      <c r="P993" s="7" t="inlineStr">
        <is>
          <t>NO</t>
        </is>
      </c>
      <c r="Q993" s="7" t="inlineStr">
        <is>
          <t>-</t>
        </is>
      </c>
      <c r="R993" s="7" t="inlineStr">
        <is>
          <t>-</t>
        </is>
      </c>
      <c r="S993" s="7" t="inlineStr">
        <is>
          <t>-</t>
        </is>
      </c>
      <c r="T993" s="7" t="inlineStr">
        <is>
          <t>NO</t>
        </is>
      </c>
      <c r="U993" s="7" t="inlineStr">
        <is>
          <t>-</t>
        </is>
      </c>
      <c r="V993" s="7" t="inlineStr">
        <is>
          <t>NO</t>
        </is>
      </c>
      <c r="W993" s="7" t="inlineStr">
        <is>
          <t>-</t>
        </is>
      </c>
      <c r="X993" s="7" t="inlineStr">
        <is>
          <t>NO</t>
        </is>
      </c>
      <c r="Y993" s="7" t="inlineStr">
        <is>
          <t>-</t>
        </is>
      </c>
      <c r="Z993" s="7" t="inlineStr">
        <is>
          <t>NO</t>
        </is>
      </c>
      <c r="AA993" s="7" t="inlineStr">
        <is>
          <t>-</t>
        </is>
      </c>
      <c r="AB993" s="7" t="inlineStr">
        <is>
          <t>NO</t>
        </is>
      </c>
      <c r="AC993" s="7" t="inlineStr">
        <is>
          <t>-</t>
        </is>
      </c>
      <c r="AD993" s="7" t="inlineStr">
        <is>
          <t>SI</t>
        </is>
      </c>
      <c r="AE993" s="7" t="inlineStr">
        <is>
          <t>Mensual</t>
        </is>
      </c>
      <c r="AF993" s="7" t="inlineStr">
        <is>
          <t>-</t>
        </is>
      </c>
      <c r="AG993" s="7" t="inlineStr">
        <is>
          <t>NO</t>
        </is>
      </c>
      <c r="AH993" s="7" t="inlineStr">
        <is>
          <t>-</t>
        </is>
      </c>
      <c r="AI993" s="7" t="inlineStr">
        <is>
          <t>SI</t>
        </is>
      </c>
      <c r="AJ993" s="7" t="inlineStr">
        <is>
          <t>Mensual</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RCA 20219900112</t>
        </is>
      </c>
      <c r="BI993" s="7" t="n"/>
      <c r="BJ993" s="7" t="n"/>
      <c r="BK993" s="196" t="inlineStr">
        <is>
          <t>140ZPQE001</t>
        </is>
      </c>
      <c r="BL993" s="61" t="inlineStr">
        <is>
          <t>Chancado</t>
        </is>
      </c>
      <c r="BM993" s="251" t="inlineStr">
        <is>
          <t>CAUDAL</t>
        </is>
      </c>
      <c r="BN993" s="337" t="inlineStr">
        <is>
          <t>Jachujina</t>
        </is>
      </c>
      <c r="BO993" s="251" t="inlineStr">
        <is>
          <t>SI</t>
        </is>
      </c>
      <c r="BP993" s="251" t="inlineStr">
        <is>
          <t>AFO-JU1/CAUDAL</t>
        </is>
      </c>
      <c r="BQ993" s="106">
        <f>VLOOKUP(BP993,[1]AGUA!$1:$1048576,2,FALSE)</f>
        <v/>
      </c>
      <c r="BR993" s="106">
        <f>VLOOKUP(BP993,[1]AGUA!$1:$1048576,6,FALSE)</f>
        <v/>
      </c>
      <c r="BS993" s="106">
        <f>VLOOKUP(BP993,[1]AGUA!$1:$1048576,7,FALSE)</f>
        <v/>
      </c>
      <c r="BT993" s="106" t="n"/>
      <c r="BU993" s="101" t="inlineStr">
        <is>
          <t>implementación en Mayo</t>
        </is>
      </c>
      <c r="BV993" s="105" t="n"/>
      <c r="BW993" s="105" t="n"/>
      <c r="BX993" s="105" t="n"/>
      <c r="BY993" s="105" t="n"/>
      <c r="BZ993" s="105" t="n"/>
      <c r="CA993" s="105" t="n"/>
      <c r="CB993" s="105" t="n"/>
      <c r="CC993" s="105" t="n"/>
      <c r="CD993" s="105" t="n"/>
      <c r="CE993" s="105" t="n"/>
      <c r="CF993" s="142" t="n">
        <v>1</v>
      </c>
      <c r="CG993" s="105" t="n"/>
      <c r="CH993" s="105" t="n"/>
      <c r="CI993" s="105" t="n"/>
      <c r="CJ993" s="105" t="n"/>
      <c r="CK993" s="105" t="n"/>
      <c r="CL993" s="105" t="n"/>
      <c r="CM993" s="105" t="n"/>
      <c r="CN993" s="105" t="n"/>
      <c r="CO993" s="105" t="n"/>
      <c r="CP993" s="105" t="n"/>
      <c r="CQ993" s="105" t="n"/>
      <c r="CR993" s="105" t="n"/>
      <c r="CS993" s="105" t="n"/>
      <c r="CT993" s="105" t="n"/>
      <c r="CU993" s="105" t="n"/>
      <c r="CV993" s="105" t="n"/>
      <c r="CW993" s="105" t="n"/>
      <c r="CX993" s="105" t="n"/>
      <c r="CY993" s="105" t="n"/>
      <c r="CZ993" s="124">
        <f>+COUNTA(BV993:CY993)</f>
        <v/>
      </c>
      <c r="DA993" s="251" t="n"/>
      <c r="DB993" s="251" t="n"/>
      <c r="DC993" s="251" t="n"/>
      <c r="DD993" s="251" t="n"/>
      <c r="DE993" s="251" t="n"/>
      <c r="DF993" s="251" t="n"/>
      <c r="DG993" s="251" t="n"/>
      <c r="DH993" s="251" t="n"/>
      <c r="DI993" s="251" t="n"/>
      <c r="DJ993" s="251" t="inlineStr">
        <is>
          <t>M</t>
        </is>
      </c>
      <c r="DK993" s="251" t="n">
        <v>1</v>
      </c>
      <c r="DL993" s="95" t="n">
        <v>14</v>
      </c>
      <c r="DM993" s="251" t="n"/>
      <c r="DN993" s="95" t="n"/>
      <c r="DO993" s="95" t="n"/>
    </row>
    <row r="994" ht="13" customHeight="1">
      <c r="A994" s="203" t="inlineStr">
        <is>
          <t>AFO-MP1</t>
        </is>
      </c>
      <c r="B994" s="305" t="n"/>
      <c r="C994" s="7" t="n"/>
      <c r="D994" s="7" t="inlineStr">
        <is>
          <t>SI</t>
        </is>
      </c>
      <c r="E994" s="7" t="inlineStr">
        <is>
          <t>SI</t>
        </is>
      </c>
      <c r="F994" s="7" t="inlineStr">
        <is>
          <t>NO</t>
        </is>
      </c>
      <c r="G994" s="7" t="inlineStr">
        <is>
          <t>NO</t>
        </is>
      </c>
      <c r="H994" s="7" t="n">
        <v>534692</v>
      </c>
      <c r="I994" s="7" t="n">
        <v>7672672</v>
      </c>
      <c r="J994" s="7" t="inlineStr">
        <is>
          <t>Por implementar</t>
        </is>
      </c>
      <c r="K994" s="7" t="inlineStr">
        <is>
          <t>-</t>
        </is>
      </c>
      <c r="L994" s="7" t="inlineStr">
        <is>
          <t>Agua Superficial</t>
        </is>
      </c>
      <c r="M994" s="7" t="inlineStr">
        <is>
          <t>Cordillera</t>
        </is>
      </c>
      <c r="N994" s="7" t="inlineStr">
        <is>
          <t xml:space="preserve">Quebrada </t>
        </is>
      </c>
      <c r="O994" s="7" t="inlineStr">
        <is>
          <t>Qda. Mal Paso</t>
        </is>
      </c>
      <c r="P994" s="7" t="inlineStr">
        <is>
          <t>NO</t>
        </is>
      </c>
      <c r="Q994" s="7" t="inlineStr">
        <is>
          <t>-</t>
        </is>
      </c>
      <c r="R994" s="7" t="inlineStr">
        <is>
          <t>-</t>
        </is>
      </c>
      <c r="S994" s="7" t="inlineStr">
        <is>
          <t>-</t>
        </is>
      </c>
      <c r="T994" s="7" t="inlineStr">
        <is>
          <t>NO</t>
        </is>
      </c>
      <c r="U994" s="7" t="inlineStr">
        <is>
          <t>-</t>
        </is>
      </c>
      <c r="V994" s="7" t="inlineStr">
        <is>
          <t>NO</t>
        </is>
      </c>
      <c r="W994" s="7" t="inlineStr">
        <is>
          <t>-</t>
        </is>
      </c>
      <c r="X994" s="7" t="inlineStr">
        <is>
          <t>NO</t>
        </is>
      </c>
      <c r="Y994" s="7" t="inlineStr">
        <is>
          <t>-</t>
        </is>
      </c>
      <c r="Z994" s="7" t="inlineStr">
        <is>
          <t>NO</t>
        </is>
      </c>
      <c r="AA994" s="7" t="inlineStr">
        <is>
          <t>-</t>
        </is>
      </c>
      <c r="AB994" s="7" t="inlineStr">
        <is>
          <t>NO</t>
        </is>
      </c>
      <c r="AC994" s="7" t="inlineStr">
        <is>
          <t>-</t>
        </is>
      </c>
      <c r="AD994" s="7" t="inlineStr">
        <is>
          <t>SI</t>
        </is>
      </c>
      <c r="AE994" s="7" t="inlineStr">
        <is>
          <t>Mensual</t>
        </is>
      </c>
      <c r="AF994" s="7" t="inlineStr">
        <is>
          <t>-</t>
        </is>
      </c>
      <c r="AG994" s="7" t="inlineStr">
        <is>
          <t>NO</t>
        </is>
      </c>
      <c r="AH994" s="7" t="inlineStr">
        <is>
          <t>-</t>
        </is>
      </c>
      <c r="AI994" s="7" t="inlineStr">
        <is>
          <t>SI</t>
        </is>
      </c>
      <c r="AJ994" s="7" t="inlineStr">
        <is>
          <t>Mensual</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RCA 20219900112</t>
        </is>
      </c>
      <c r="BI994" s="7" t="n"/>
      <c r="BJ994" s="7" t="n"/>
      <c r="BK994" s="196" t="n"/>
      <c r="BL994" s="61" t="n"/>
      <c r="BM994" s="251" t="n"/>
      <c r="BN994" s="337" t="n"/>
      <c r="BO994" s="251" t="n"/>
      <c r="BP994" s="251" t="n"/>
      <c r="BQ994" s="106">
        <f>VLOOKUP(BP994,[1]AGUA!$1:$1048576,2,FALSE)</f>
        <v/>
      </c>
      <c r="BR994" s="106">
        <f>VLOOKUP(BP994,[1]AGUA!$1:$1048576,6,FALSE)</f>
        <v/>
      </c>
      <c r="BS994" s="106">
        <f>VLOOKUP(BP994,[1]AGUA!$1:$1048576,7,FALSE)</f>
        <v/>
      </c>
      <c r="BT994" s="106" t="n"/>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05" t="n"/>
      <c r="CU994" s="105" t="n"/>
      <c r="CV994" s="105" t="n"/>
      <c r="CW994" s="105" t="n"/>
      <c r="CX994" s="105" t="n"/>
      <c r="CY994" s="105" t="n"/>
      <c r="CZ994" s="124">
        <f>+COUNTA(BV994:CY994)</f>
        <v/>
      </c>
      <c r="DA994" s="251" t="n"/>
      <c r="DB994" s="251" t="n"/>
      <c r="DC994" s="251" t="n"/>
      <c r="DD994" s="251" t="n"/>
      <c r="DE994" s="251" t="n"/>
      <c r="DF994" s="251" t="n"/>
      <c r="DG994" s="251" t="n"/>
      <c r="DH994" s="251" t="n"/>
      <c r="DI994" s="251" t="n"/>
      <c r="DJ994" s="251" t="n"/>
      <c r="DK994" s="251" t="n"/>
      <c r="DL994" s="95" t="n"/>
      <c r="DM994" s="251" t="n"/>
      <c r="DN994" s="95" t="n"/>
      <c r="DO994" s="95" t="n"/>
    </row>
    <row r="995" ht="13" customHeight="1">
      <c r="A995" s="203" t="inlineStr">
        <is>
          <t>AFO-OV2</t>
        </is>
      </c>
      <c r="B995" s="305" t="n"/>
      <c r="C995" s="7" t="n"/>
      <c r="D995" s="7" t="inlineStr">
        <is>
          <t>SI</t>
        </is>
      </c>
      <c r="E995" s="7" t="inlineStr">
        <is>
          <t>SI</t>
        </is>
      </c>
      <c r="F995" s="7" t="inlineStr">
        <is>
          <t>NO</t>
        </is>
      </c>
      <c r="G995" s="7" t="inlineStr">
        <is>
          <t>NO</t>
        </is>
      </c>
      <c r="H995" s="7" t="n">
        <v>534588</v>
      </c>
      <c r="I995" s="7" t="n">
        <v>7684502</v>
      </c>
      <c r="J995" s="7" t="inlineStr">
        <is>
          <t>Por implementar</t>
        </is>
      </c>
      <c r="K995" s="7" t="inlineStr">
        <is>
          <t>-</t>
        </is>
      </c>
      <c r="L995" s="7" t="inlineStr">
        <is>
          <t>Agua Superficial</t>
        </is>
      </c>
      <c r="M995" s="7" t="inlineStr">
        <is>
          <t>Cordillera</t>
        </is>
      </c>
      <c r="N995" s="7" t="inlineStr">
        <is>
          <t xml:space="preserve">Quebrada </t>
        </is>
      </c>
      <c r="O995" s="7" t="inlineStr">
        <is>
          <t>Qda. Otras Vegas 2</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6" t="inlineStr">
        <is>
          <t>532ZPQE002</t>
        </is>
      </c>
      <c r="BL995" s="61" t="inlineStr">
        <is>
          <t>GMAP-SIGA</t>
        </is>
      </c>
      <c r="BM995" s="251" t="inlineStr">
        <is>
          <t>CAUDAL</t>
        </is>
      </c>
      <c r="BN995" s="337" t="inlineStr">
        <is>
          <t>Yabricollita (Otras vegas 2)</t>
        </is>
      </c>
      <c r="BO995" s="251" t="inlineStr">
        <is>
          <t>SI</t>
        </is>
      </c>
      <c r="BP995" s="251" t="inlineStr">
        <is>
          <t>AFO-OV2/CAUDAL</t>
        </is>
      </c>
      <c r="BQ995" s="106">
        <f>VLOOKUP(BP995,[1]AGUA!$1:$1048576,2,FALSE)</f>
        <v/>
      </c>
      <c r="BR995" s="106">
        <f>VLOOKUP(BP995,[1]AGUA!$1:$1048576,6,FALSE)</f>
        <v/>
      </c>
      <c r="BS995" s="106">
        <f>VLOOKUP(BP995,[1]AGUA!$1:$1048576,7,FALSE)</f>
        <v/>
      </c>
      <c r="BT995" s="106" t="n"/>
      <c r="BU995" s="101" t="n"/>
      <c r="BV995" s="105" t="n"/>
      <c r="BW995" s="105" t="n"/>
      <c r="BX995" s="105" t="n"/>
      <c r="BY995" s="105" t="n"/>
      <c r="BZ995" s="105" t="n"/>
      <c r="CA995" s="105" t="n"/>
      <c r="CB995" s="105" t="n"/>
      <c r="CC995" s="105" t="n"/>
      <c r="CD995" s="105" t="n"/>
      <c r="CE995" s="105" t="n"/>
      <c r="CF995" s="105" t="n"/>
      <c r="CG995" s="105" t="n"/>
      <c r="CH995" s="105" t="n"/>
      <c r="CI995" s="105" t="n"/>
      <c r="CJ995" s="105" t="n"/>
      <c r="CK995" s="105" t="n"/>
      <c r="CL995" s="105" t="n"/>
      <c r="CM995" s="105" t="n"/>
      <c r="CN995" s="105" t="n"/>
      <c r="CO995" s="105" t="n"/>
      <c r="CP995" s="105" t="n"/>
      <c r="CQ995" s="105" t="n"/>
      <c r="CR995" s="105" t="n"/>
      <c r="CS995" s="105" t="n"/>
      <c r="CT995" s="105" t="n"/>
      <c r="CU995" s="142" t="n">
        <v>1</v>
      </c>
      <c r="CV995" s="105" t="n"/>
      <c r="CW995" s="105" t="n"/>
      <c r="CX995" s="105" t="n"/>
      <c r="CY995" s="105" t="n"/>
      <c r="CZ995" s="124">
        <f>+COUNTA(BV995:CY995)</f>
        <v/>
      </c>
      <c r="DA995" s="251" t="n"/>
      <c r="DB995" s="251" t="n"/>
      <c r="DC995" s="251" t="n"/>
      <c r="DD995" s="251" t="n"/>
      <c r="DE995" s="251" t="n"/>
      <c r="DF995" s="251" t="n"/>
      <c r="DG995" s="251" t="n"/>
      <c r="DH995" s="251" t="n"/>
      <c r="DI995" s="251" t="n"/>
      <c r="DJ995" s="251" t="inlineStr">
        <is>
          <t>M</t>
        </is>
      </c>
      <c r="DK995" s="251" t="n">
        <v>22</v>
      </c>
      <c r="DL995" s="95" t="n">
        <v>31</v>
      </c>
      <c r="DM995" s="251" t="n"/>
      <c r="DN995" s="95" t="n"/>
      <c r="DO995" s="95" t="n"/>
    </row>
    <row r="996" ht="13" customHeight="1">
      <c r="A996" s="203" t="inlineStr">
        <is>
          <t>AFO-RF1</t>
        </is>
      </c>
      <c r="B996" s="305" t="n"/>
      <c r="C996" s="7" t="n"/>
      <c r="D996" s="7" t="inlineStr">
        <is>
          <t>SI</t>
        </is>
      </c>
      <c r="E996" s="7" t="inlineStr">
        <is>
          <t>SI</t>
        </is>
      </c>
      <c r="F996" s="7" t="inlineStr">
        <is>
          <t>NO</t>
        </is>
      </c>
      <c r="G996" s="7" t="inlineStr">
        <is>
          <t>NO</t>
        </is>
      </c>
      <c r="H996" s="7" t="n">
        <v>534883</v>
      </c>
      <c r="I996" s="7" t="n">
        <v>7678370</v>
      </c>
      <c r="J996" s="7" t="inlineStr">
        <is>
          <t>Por implementar</t>
        </is>
      </c>
      <c r="K996" s="7" t="inlineStr">
        <is>
          <t>-</t>
        </is>
      </c>
      <c r="L996" s="7" t="inlineStr">
        <is>
          <t>Agua Superficial</t>
        </is>
      </c>
      <c r="M996" s="7" t="inlineStr">
        <is>
          <t>Cordillera</t>
        </is>
      </c>
      <c r="N996" s="7" t="inlineStr">
        <is>
          <t xml:space="preserve">Quebrada </t>
        </is>
      </c>
      <c r="O996" s="7" t="inlineStr">
        <is>
          <t>Qda. Represa Fuera</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6" t="inlineStr">
        <is>
          <t>532ZPQE003</t>
        </is>
      </c>
      <c r="BL996" s="61" t="inlineStr">
        <is>
          <t>GMAP-SIGA</t>
        </is>
      </c>
      <c r="BM996" s="251" t="inlineStr">
        <is>
          <t>CAUDAL</t>
        </is>
      </c>
      <c r="BN996" s="337" t="inlineStr">
        <is>
          <t>Represa afuera</t>
        </is>
      </c>
      <c r="BO996" s="251" t="inlineStr">
        <is>
          <t>SI</t>
        </is>
      </c>
      <c r="BP996" s="251" t="inlineStr">
        <is>
          <t>AFO-RF1/CAUDAL</t>
        </is>
      </c>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42" t="n">
        <v>1</v>
      </c>
      <c r="CV996" s="105" t="n"/>
      <c r="CW996" s="105" t="n"/>
      <c r="CX996" s="105" t="n"/>
      <c r="CY996" s="105" t="n"/>
      <c r="CZ996" s="124">
        <f>+COUNTA(BV996:CY996)</f>
        <v/>
      </c>
      <c r="DA996" s="251" t="n"/>
      <c r="DB996" s="251" t="n"/>
      <c r="DC996" s="251" t="n"/>
      <c r="DD996" s="251" t="n"/>
      <c r="DE996" s="251" t="n"/>
      <c r="DF996" s="251" t="n"/>
      <c r="DG996" s="251" t="n"/>
      <c r="DH996" s="251" t="n"/>
      <c r="DI996" s="251" t="n"/>
      <c r="DJ996" s="251" t="inlineStr">
        <is>
          <t>M</t>
        </is>
      </c>
      <c r="DK996" s="251" t="n">
        <v>15</v>
      </c>
      <c r="DL996" s="95" t="n">
        <v>28</v>
      </c>
      <c r="DM996" s="251" t="n"/>
      <c r="DN996" s="95" t="n"/>
      <c r="DO996" s="95" t="n"/>
    </row>
    <row r="997" ht="13" customHeight="1">
      <c r="A997" s="203" t="inlineStr">
        <is>
          <t>AFO-SA1</t>
        </is>
      </c>
      <c r="B997" s="305" t="n"/>
      <c r="C997" s="7" t="n"/>
      <c r="D997" s="7" t="inlineStr">
        <is>
          <t>SI</t>
        </is>
      </c>
      <c r="E997" s="7" t="inlineStr">
        <is>
          <t>SI</t>
        </is>
      </c>
      <c r="F997" s="7" t="inlineStr">
        <is>
          <t>NO</t>
        </is>
      </c>
      <c r="G997" s="7" t="inlineStr">
        <is>
          <t>NO</t>
        </is>
      </c>
      <c r="H997" s="7" t="n">
        <v>524955</v>
      </c>
      <c r="I997" s="7" t="n">
        <v>7684272</v>
      </c>
      <c r="J997" s="7" t="inlineStr">
        <is>
          <t>Por implementar</t>
        </is>
      </c>
      <c r="K997" s="7" t="inlineStr">
        <is>
          <t>-</t>
        </is>
      </c>
      <c r="L997" s="7" t="inlineStr">
        <is>
          <t>Agua Superficial</t>
        </is>
      </c>
      <c r="M997" s="7" t="inlineStr">
        <is>
          <t>Cordillera</t>
        </is>
      </c>
      <c r="N997" s="7" t="inlineStr">
        <is>
          <t xml:space="preserve">Quebrada </t>
        </is>
      </c>
      <c r="O997" s="7" t="inlineStr">
        <is>
          <t>Qda. Sallihuinca</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 - Comunidad AGI Copaquire - AIA Naciente Collahuasi - Tamentica</t>
        </is>
      </c>
      <c r="BG997" s="7" t="inlineStr">
        <is>
          <t>PAF Tamentica, AGI Copaquire, AIA Naciente Collahuasi - PSA</t>
        </is>
      </c>
      <c r="BH997" s="7" t="inlineStr">
        <is>
          <t>RCA 20219900112</t>
        </is>
      </c>
      <c r="BI997" s="7" t="inlineStr">
        <is>
          <t>1. Plazo de entrega de los informes de laboratorio a la asociación: 1 mes despues de realizada la campaña de terreno
2. Informe anual</t>
        </is>
      </c>
      <c r="BJ997" s="7" t="n"/>
      <c r="BK997" s="196" t="inlineStr">
        <is>
          <t>532ZPQE001</t>
        </is>
      </c>
      <c r="BL997" s="61" t="inlineStr">
        <is>
          <t>GMAP-SIGA</t>
        </is>
      </c>
      <c r="BM997" s="251" t="inlineStr">
        <is>
          <t>CAUDAL</t>
        </is>
      </c>
      <c r="BN997" s="337" t="inlineStr">
        <is>
          <t>Sallihuinca</t>
        </is>
      </c>
      <c r="BO997" s="251" t="inlineStr">
        <is>
          <t>SI</t>
        </is>
      </c>
      <c r="BP997" s="251" t="inlineStr">
        <is>
          <t>AFO-SA1/CAUDAL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209" t="n">
        <v>1</v>
      </c>
      <c r="CJ997" s="105" t="n"/>
      <c r="CK997" s="105" t="n"/>
      <c r="CL997" s="105" t="n"/>
      <c r="CM997" s="105" t="n"/>
      <c r="CN997" s="105" t="n"/>
      <c r="CO997" s="105" t="n"/>
      <c r="CP997" s="105" t="n"/>
      <c r="CQ997" s="105" t="n"/>
      <c r="CR997" s="105" t="n"/>
      <c r="CS997" s="105" t="n"/>
      <c r="CT997" s="105" t="n"/>
      <c r="CU997" s="105" t="n"/>
      <c r="CV997" s="105" t="n"/>
      <c r="CW997" s="105" t="n"/>
      <c r="CX997" s="105" t="n"/>
      <c r="CY997" s="105" t="n"/>
      <c r="CZ997" s="124">
        <f>+COUNTA(BV997:CY997)</f>
        <v/>
      </c>
      <c r="DA997" s="251" t="n"/>
      <c r="DB997" s="208" t="n"/>
      <c r="DC997" s="251" t="n"/>
      <c r="DD997" s="251" t="n"/>
      <c r="DE997" s="251" t="n"/>
      <c r="DF997" s="202" t="n"/>
      <c r="DG997" s="209" t="n"/>
      <c r="DH997" s="209" t="n"/>
      <c r="DI997" s="251" t="n"/>
      <c r="DJ997" s="251" t="inlineStr">
        <is>
          <t>M</t>
        </is>
      </c>
      <c r="DK997" s="251" t="n">
        <v>1</v>
      </c>
      <c r="DL997" s="95" t="n">
        <v>14</v>
      </c>
      <c r="DM997" s="251" t="n"/>
      <c r="DN997" s="95" t="n"/>
      <c r="DO997" s="95" t="n"/>
    </row>
    <row r="998" ht="13" customHeight="1">
      <c r="A998" s="203" t="inlineStr">
        <is>
          <t>AFO-SA1</t>
        </is>
      </c>
      <c r="B998" s="305"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c r="AE998" s="7" t="n"/>
      <c r="AF998" s="7" t="n"/>
      <c r="AG998" s="7" t="n"/>
      <c r="AH998" s="7" t="n"/>
      <c r="AI998" s="7" t="n"/>
      <c r="AJ998" s="7" t="n"/>
      <c r="AK998" s="60" t="n"/>
      <c r="AL998" s="7" t="n"/>
      <c r="AM998" s="7" t="n"/>
      <c r="AN998" s="60" t="n"/>
      <c r="AO998" s="7" t="n"/>
      <c r="AP998" s="60" t="n"/>
      <c r="AQ998" s="7" t="n"/>
      <c r="AR998" s="60" t="n"/>
      <c r="AS998" s="7" t="n"/>
      <c r="AT998" s="7" t="n"/>
      <c r="AU998" s="7" t="n"/>
      <c r="AV998" s="60" t="n"/>
      <c r="AW998" s="7" t="n"/>
      <c r="AX998" s="7" t="n"/>
      <c r="AY998" s="7" t="n"/>
      <c r="AZ998" s="7" t="n"/>
      <c r="BA998" s="7" t="n"/>
      <c r="BB998" s="7" t="n"/>
      <c r="BC998" s="7" t="n"/>
      <c r="BD998" s="7" t="n"/>
      <c r="BE998" s="7" t="n"/>
      <c r="BF998" s="7" t="n"/>
      <c r="BG998" s="7" t="n"/>
      <c r="BH998" s="7" t="n"/>
      <c r="BI998" s="7" t="n"/>
      <c r="BJ998" s="7" t="n"/>
      <c r="BK998" s="196" t="inlineStr">
        <is>
          <t>532ZPQE001</t>
        </is>
      </c>
      <c r="BL998" s="61" t="inlineStr">
        <is>
          <t>GMAP-SIGA</t>
        </is>
      </c>
      <c r="BM998" s="251" t="inlineStr">
        <is>
          <t>ASUP</t>
        </is>
      </c>
      <c r="BN998" s="337" t="inlineStr">
        <is>
          <t>Sallihuinca</t>
        </is>
      </c>
      <c r="BO998" s="251" t="inlineStr">
        <is>
          <t>SI</t>
        </is>
      </c>
      <c r="BP998" s="251" t="inlineStr">
        <is>
          <t>AFO-SA1/ASUP</t>
        </is>
      </c>
      <c r="BQ998" s="106">
        <f>VLOOKUP(BP998,[1]AGUA!$1:$1048576,2,FALSE)</f>
        <v/>
      </c>
      <c r="BR998" s="106">
        <f>VLOOKUP(BP998,[1]AGUA!$1:$1048576,6,FALSE)</f>
        <v/>
      </c>
      <c r="BS998" s="106">
        <f>VLOOKUP(BP998,[1]AGUA!$1:$1048576,7,FALSE)</f>
        <v/>
      </c>
      <c r="BT998" s="106" t="n"/>
      <c r="BU998" s="101" t="inlineStr">
        <is>
          <t>Calidad cuando toca PAF</t>
        </is>
      </c>
      <c r="BV998" s="105" t="n"/>
      <c r="BW998" s="105" t="n"/>
      <c r="BX998" s="105" t="n"/>
      <c r="BY998" s="105" t="n"/>
      <c r="BZ998" s="105" t="n"/>
      <c r="CA998" s="105" t="n"/>
      <c r="CB998" s="105" t="n"/>
      <c r="CC998" s="105" t="n"/>
      <c r="CD998" s="105" t="n"/>
      <c r="CE998" s="105" t="n"/>
      <c r="CF998" s="105" t="n"/>
      <c r="CG998" s="105" t="n"/>
      <c r="CH998" s="105" t="n"/>
      <c r="CI998" s="209" t="n">
        <v>1</v>
      </c>
      <c r="CJ998" s="105" t="n"/>
      <c r="CK998" s="105" t="n"/>
      <c r="CL998" s="105" t="n"/>
      <c r="CM998" s="105" t="n"/>
      <c r="CN998" s="105" t="n"/>
      <c r="CO998" s="105" t="n"/>
      <c r="CP998" s="105" t="n"/>
      <c r="CQ998" s="105" t="n"/>
      <c r="CR998" s="105" t="n"/>
      <c r="CS998" s="105" t="n"/>
      <c r="CT998" s="105" t="n"/>
      <c r="CU998" s="105" t="n"/>
      <c r="CV998" s="105" t="n"/>
      <c r="CW998" s="105" t="n"/>
      <c r="CX998" s="105" t="n"/>
      <c r="CY998" s="105" t="n"/>
      <c r="CZ998" s="124">
        <f>+COUNTA(BV998:CY998)</f>
        <v/>
      </c>
      <c r="DA998" s="251" t="n"/>
      <c r="DB998" s="208" t="n"/>
      <c r="DC998" s="251" t="n"/>
      <c r="DD998" s="251" t="n"/>
      <c r="DE998" s="251" t="n"/>
      <c r="DF998" s="202" t="n"/>
      <c r="DG998" s="209" t="n"/>
      <c r="DH998" s="209" t="n"/>
      <c r="DI998" s="251" t="n"/>
      <c r="DJ998" s="251" t="n"/>
      <c r="DK998" s="251" t="n"/>
      <c r="DL998" s="95" t="n"/>
      <c r="DM998" s="251" t="n"/>
      <c r="DN998" s="95" t="n"/>
      <c r="DO998" s="95" t="n"/>
    </row>
    <row r="999" ht="13" customHeight="1">
      <c r="A999" s="203" t="inlineStr">
        <is>
          <t>AFO-SD2</t>
        </is>
      </c>
      <c r="B999" s="305" t="n"/>
      <c r="C999" s="7" t="n"/>
      <c r="D999" s="7" t="inlineStr">
        <is>
          <t>SI</t>
        </is>
      </c>
      <c r="E999" s="7" t="inlineStr">
        <is>
          <t>SI</t>
        </is>
      </c>
      <c r="F999" s="7" t="inlineStr">
        <is>
          <t>NO</t>
        </is>
      </c>
      <c r="G999" s="7" t="inlineStr">
        <is>
          <t>NO</t>
        </is>
      </c>
      <c r="H999" s="7" t="n">
        <v>524776</v>
      </c>
      <c r="I999" s="7" t="n">
        <v>7681109</v>
      </c>
      <c r="J999" s="7" t="inlineStr">
        <is>
          <t>Por implementar</t>
        </is>
      </c>
      <c r="K999" s="7" t="inlineStr">
        <is>
          <t>-</t>
        </is>
      </c>
      <c r="L999" s="7" t="inlineStr">
        <is>
          <t>Agua Superficial</t>
        </is>
      </c>
      <c r="M999" s="7" t="inlineStr">
        <is>
          <t>Cordillera</t>
        </is>
      </c>
      <c r="N999" s="7" t="inlineStr">
        <is>
          <t xml:space="preserve">Quebrada </t>
        </is>
      </c>
      <c r="O999" s="7" t="inlineStr">
        <is>
          <t>Qda. San Daniel</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Tamentica</t>
        </is>
      </c>
      <c r="BG999" s="7" t="inlineStr">
        <is>
          <t>PAF Tamentica - PSA</t>
        </is>
      </c>
      <c r="BH999" s="7" t="inlineStr">
        <is>
          <t>RCA 20219900112</t>
        </is>
      </c>
      <c r="BI999" s="7" t="inlineStr">
        <is>
          <t>1. Plazo de entrega de los informes de laboratorio a la asociación: 1 mes despues de realizada la campaña de terreno
2. Informe anual</t>
        </is>
      </c>
      <c r="BJ999" s="7" t="n"/>
      <c r="BK999" s="196" t="inlineStr">
        <is>
          <t>900ZPQE001</t>
        </is>
      </c>
      <c r="BL999" s="61" t="inlineStr">
        <is>
          <t>GMAP-SIGA</t>
        </is>
      </c>
      <c r="BM999" s="251" t="inlineStr">
        <is>
          <t>CAUDAL</t>
        </is>
      </c>
      <c r="BN999" s="337" t="inlineStr">
        <is>
          <t>San Daniel</t>
        </is>
      </c>
      <c r="BO999" s="251" t="inlineStr">
        <is>
          <t>SI</t>
        </is>
      </c>
      <c r="BP999" s="251" t="inlineStr">
        <is>
          <t>AFO-SD2/CAUDAL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05" t="n"/>
      <c r="CD999" s="105" t="n"/>
      <c r="CE999" s="105" t="n"/>
      <c r="CF999" s="105" t="n"/>
      <c r="CG999" s="209" t="n">
        <v>1</v>
      </c>
      <c r="CH999" s="105" t="n"/>
      <c r="CI999" s="105" t="n"/>
      <c r="CJ999" s="105" t="n"/>
      <c r="CK999" s="105" t="n"/>
      <c r="CL999" s="105" t="n"/>
      <c r="CM999" s="105" t="n"/>
      <c r="CN999" s="105" t="n"/>
      <c r="CO999" s="105" t="n"/>
      <c r="CP999" s="105" t="n"/>
      <c r="CQ999" s="105" t="n"/>
      <c r="CR999" s="105" t="n"/>
      <c r="CS999" s="105" t="n"/>
      <c r="CT999" s="105" t="n"/>
      <c r="CU999" s="105" t="n"/>
      <c r="CV999" s="105" t="n"/>
      <c r="CW999" s="105" t="n"/>
      <c r="CX999" s="105" t="n"/>
      <c r="CY999" s="105" t="n"/>
      <c r="CZ999" s="124">
        <f>+COUNTA(BV999:CY999)</f>
        <v/>
      </c>
      <c r="DA999" s="251" t="n"/>
      <c r="DB999" s="208" t="n"/>
      <c r="DC999" s="251" t="n"/>
      <c r="DD999" s="207" t="n"/>
      <c r="DE999" s="251" t="n"/>
      <c r="DF999" s="251" t="n"/>
      <c r="DG999" s="209" t="n"/>
      <c r="DH999" s="209" t="n"/>
      <c r="DI999" s="251" t="n"/>
      <c r="DJ999" s="251" t="inlineStr">
        <is>
          <t>M</t>
        </is>
      </c>
      <c r="DK999" s="251" t="n">
        <v>1</v>
      </c>
      <c r="DL999" s="95" t="n">
        <v>14</v>
      </c>
      <c r="DM999" s="251" t="n"/>
      <c r="DN999" s="95" t="n"/>
      <c r="DO999" s="95" t="n"/>
    </row>
    <row r="1000" ht="13.5" customHeight="1">
      <c r="A1000" s="203" t="inlineStr">
        <is>
          <t>AFO-SD2</t>
        </is>
      </c>
      <c r="B1000" s="305"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6" t="inlineStr">
        <is>
          <t>900ZPQE001</t>
        </is>
      </c>
      <c r="BL1000" s="61" t="inlineStr">
        <is>
          <t>GMAP-SIGA</t>
        </is>
      </c>
      <c r="BM1000" s="251" t="inlineStr">
        <is>
          <t>ASUP</t>
        </is>
      </c>
      <c r="BN1000" s="337" t="inlineStr">
        <is>
          <t>San Daniel</t>
        </is>
      </c>
      <c r="BO1000" s="251" t="inlineStr">
        <is>
          <t>SI</t>
        </is>
      </c>
      <c r="BP1000" s="251" t="inlineStr">
        <is>
          <t>AFO-SD2/ASUP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05" t="n"/>
      <c r="CD1000" s="105" t="n"/>
      <c r="CE1000" s="105" t="n"/>
      <c r="CF1000" s="105" t="n"/>
      <c r="CG1000" s="209" t="n">
        <v>1</v>
      </c>
      <c r="CH1000" s="105"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24">
        <f>+COUNTA(BV1000:CY1000)</f>
        <v/>
      </c>
      <c r="DA1000" s="251" t="n"/>
      <c r="DB1000" s="208" t="n"/>
      <c r="DC1000" s="251" t="n"/>
      <c r="DD1000" s="207" t="n"/>
      <c r="DE1000" s="251" t="n"/>
      <c r="DF1000" s="251" t="n"/>
      <c r="DG1000" s="209" t="n"/>
      <c r="DH1000" s="209" t="n"/>
      <c r="DI1000" s="251" t="n"/>
      <c r="DJ1000" s="251" t="n"/>
      <c r="DK1000" s="251" t="n"/>
      <c r="DL1000" s="95" t="n"/>
      <c r="DM1000" s="251" t="n"/>
      <c r="DN1000" s="95" t="n"/>
      <c r="DO1000" s="95" t="n"/>
    </row>
    <row r="1001" ht="13" customHeight="1">
      <c r="A1001" s="203" t="inlineStr">
        <is>
          <t>AFO-SN1</t>
        </is>
      </c>
      <c r="B1001" s="305" t="n"/>
      <c r="C1001" s="7" t="n"/>
      <c r="D1001" s="7" t="inlineStr">
        <is>
          <t>SI</t>
        </is>
      </c>
      <c r="E1001" s="7" t="inlineStr">
        <is>
          <t>SI</t>
        </is>
      </c>
      <c r="F1001" s="7" t="inlineStr">
        <is>
          <t>NO</t>
        </is>
      </c>
      <c r="G1001" s="7" t="inlineStr">
        <is>
          <t>NO</t>
        </is>
      </c>
      <c r="H1001" s="7" t="n">
        <v>535310</v>
      </c>
      <c r="I1001" s="7" t="n">
        <v>7683611</v>
      </c>
      <c r="J1001" s="7" t="inlineStr">
        <is>
          <t>Por implementar</t>
        </is>
      </c>
      <c r="K1001" s="7" t="inlineStr">
        <is>
          <t>-</t>
        </is>
      </c>
      <c r="L1001" s="7" t="inlineStr">
        <is>
          <t>Agua Superficial</t>
        </is>
      </c>
      <c r="M1001" s="7" t="inlineStr">
        <is>
          <t>Cordillera</t>
        </is>
      </c>
      <c r="N1001" s="7" t="inlineStr">
        <is>
          <t xml:space="preserve">Quebrada </t>
        </is>
      </c>
      <c r="O1001" s="7" t="inlineStr">
        <is>
          <t>Qda. Sin Nombre</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t>
        </is>
      </c>
      <c r="BG1001" s="7" t="inlineStr">
        <is>
          <t>PSA</t>
        </is>
      </c>
      <c r="BH1001" s="7" t="inlineStr">
        <is>
          <t>RCA 20219900112</t>
        </is>
      </c>
      <c r="BI1001" s="7" t="n"/>
      <c r="BJ1001" s="7" t="n"/>
      <c r="BK1001" s="196" t="inlineStr">
        <is>
          <t>900ZPQE002</t>
        </is>
      </c>
      <c r="BL1001" s="61" t="inlineStr">
        <is>
          <t>GMAP-SIGA</t>
        </is>
      </c>
      <c r="BM1001" s="251" t="inlineStr">
        <is>
          <t>CAUDAL</t>
        </is>
      </c>
      <c r="BN1001" s="337" t="inlineStr">
        <is>
          <t>Qda Sin Nombre</t>
        </is>
      </c>
      <c r="BO1001" s="251" t="inlineStr">
        <is>
          <t>SI</t>
        </is>
      </c>
      <c r="BP1001" s="251" t="inlineStr">
        <is>
          <t>AFO-SN1/CAUDAL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05" t="n"/>
      <c r="CA1001" s="105" t="n"/>
      <c r="CB1001" s="105" t="n"/>
      <c r="CC1001" s="105" t="n"/>
      <c r="CD1001" s="105" t="n"/>
      <c r="CE1001" s="105" t="n"/>
      <c r="CF1001" s="105" t="n"/>
      <c r="CG1001" s="105" t="n"/>
      <c r="CH1001" s="105" t="n"/>
      <c r="CI1001" s="105" t="n"/>
      <c r="CJ1001" s="105" t="n"/>
      <c r="CK1001" s="105" t="n"/>
      <c r="CL1001" s="105" t="n"/>
      <c r="CM1001" s="105" t="n"/>
      <c r="CN1001" s="105" t="n"/>
      <c r="CO1001" s="105" t="n"/>
      <c r="CP1001" s="105" t="n"/>
      <c r="CQ1001" s="105" t="n"/>
      <c r="CR1001" s="105" t="n"/>
      <c r="CS1001" s="105" t="n"/>
      <c r="CT1001" s="105" t="n"/>
      <c r="CU1001" s="105" t="n"/>
      <c r="CW1001" s="105" t="n"/>
      <c r="CX1001" s="105" t="n"/>
      <c r="CY1001" s="142" t="n">
        <v>1</v>
      </c>
      <c r="CZ1001" s="124">
        <f>+COUNTA(BV1001:CY1001)</f>
        <v/>
      </c>
      <c r="DA1001" s="251" t="n"/>
      <c r="DB1001" s="251" t="n"/>
      <c r="DC1001" s="251" t="n"/>
      <c r="DD1001" s="251" t="n"/>
      <c r="DE1001" s="251" t="n"/>
      <c r="DF1001" s="251" t="n"/>
      <c r="DG1001" s="251" t="n"/>
      <c r="DH1001" s="251" t="n"/>
      <c r="DI1001" s="251" t="n"/>
      <c r="DJ1001" s="251" t="inlineStr">
        <is>
          <t>M</t>
        </is>
      </c>
      <c r="DK1001" s="251" t="n">
        <v>22</v>
      </c>
      <c r="DL1001" s="95" t="n">
        <v>31</v>
      </c>
      <c r="DM1001" s="251" t="n"/>
      <c r="DN1001" s="95" t="n"/>
      <c r="DO1001" s="95" t="n"/>
    </row>
    <row r="1002" ht="13" customHeight="1">
      <c r="A1002" s="203" t="inlineStr">
        <is>
          <t>AFO-ZE1</t>
        </is>
      </c>
      <c r="B1002" s="305" t="n"/>
      <c r="C1002" s="7" t="n"/>
      <c r="D1002" s="7" t="inlineStr">
        <is>
          <t>SI</t>
        </is>
      </c>
      <c r="E1002" s="7" t="inlineStr">
        <is>
          <t>SI</t>
        </is>
      </c>
      <c r="F1002" s="7" t="inlineStr">
        <is>
          <t>NO</t>
        </is>
      </c>
      <c r="G1002" s="7" t="inlineStr">
        <is>
          <t>NO</t>
        </is>
      </c>
      <c r="H1002" s="7" t="n">
        <v>533479</v>
      </c>
      <c r="I1002" s="7" t="n">
        <v>7668484</v>
      </c>
      <c r="J1002" s="7" t="inlineStr">
        <is>
          <t>Por implementar</t>
        </is>
      </c>
      <c r="K1002" s="7" t="inlineStr">
        <is>
          <t>-</t>
        </is>
      </c>
      <c r="L1002" s="7" t="inlineStr">
        <is>
          <t>Agua Superficial</t>
        </is>
      </c>
      <c r="M1002" s="7" t="inlineStr">
        <is>
          <t>Cordillera</t>
        </is>
      </c>
      <c r="N1002" s="7" t="inlineStr">
        <is>
          <t xml:space="preserve">Quebrada </t>
        </is>
      </c>
      <c r="O1002" s="7" t="inlineStr">
        <is>
          <t>Qda. Ceusis</t>
        </is>
      </c>
      <c r="P1002" s="7" t="inlineStr">
        <is>
          <t>NO</t>
        </is>
      </c>
      <c r="Q1002" s="7" t="inlineStr">
        <is>
          <t>-</t>
        </is>
      </c>
      <c r="R1002" s="7" t="inlineStr">
        <is>
          <t>-</t>
        </is>
      </c>
      <c r="S1002" s="7" t="inlineStr">
        <is>
          <t>-</t>
        </is>
      </c>
      <c r="T1002" s="7" t="inlineStr">
        <is>
          <t>NO</t>
        </is>
      </c>
      <c r="U1002" s="7" t="inlineStr">
        <is>
          <t>-</t>
        </is>
      </c>
      <c r="V1002" s="7" t="inlineStr">
        <is>
          <t>NO</t>
        </is>
      </c>
      <c r="W1002" s="7" t="inlineStr">
        <is>
          <t>-</t>
        </is>
      </c>
      <c r="X1002" s="7" t="inlineStr">
        <is>
          <t>NO</t>
        </is>
      </c>
      <c r="Y1002" s="7" t="inlineStr">
        <is>
          <t>-</t>
        </is>
      </c>
      <c r="Z1002" s="7" t="inlineStr">
        <is>
          <t>NO</t>
        </is>
      </c>
      <c r="AA1002" s="7" t="inlineStr">
        <is>
          <t>-</t>
        </is>
      </c>
      <c r="AB1002" s="7" t="inlineStr">
        <is>
          <t>NO</t>
        </is>
      </c>
      <c r="AC1002" s="7" t="inlineStr">
        <is>
          <t>-</t>
        </is>
      </c>
      <c r="AD1002" s="7" t="inlineStr">
        <is>
          <t>SI</t>
        </is>
      </c>
      <c r="AE1002" s="7" t="inlineStr">
        <is>
          <t>Mensual</t>
        </is>
      </c>
      <c r="AF1002" s="7" t="inlineStr">
        <is>
          <t>-</t>
        </is>
      </c>
      <c r="AG1002" s="7" t="inlineStr">
        <is>
          <t>NO</t>
        </is>
      </c>
      <c r="AH1002" s="7" t="inlineStr">
        <is>
          <t>-</t>
        </is>
      </c>
      <c r="AI1002" s="7" t="inlineStr">
        <is>
          <t>SI</t>
        </is>
      </c>
      <c r="AJ1002" s="7" t="inlineStr">
        <is>
          <t>Mensual</t>
        </is>
      </c>
      <c r="AK1002" s="60" t="inlineStr">
        <is>
          <t>NO</t>
        </is>
      </c>
      <c r="AL1002" s="7" t="inlineStr">
        <is>
          <t>-</t>
        </is>
      </c>
      <c r="AM1002" s="7" t="inlineStr">
        <is>
          <t>-</t>
        </is>
      </c>
      <c r="AN1002" s="60" t="inlineStr">
        <is>
          <t>NO</t>
        </is>
      </c>
      <c r="AO1002" s="7" t="inlineStr">
        <is>
          <t>-</t>
        </is>
      </c>
      <c r="AP1002" s="60" t="inlineStr">
        <is>
          <t>NO</t>
        </is>
      </c>
      <c r="AQ1002" s="7" t="inlineStr">
        <is>
          <t>-</t>
        </is>
      </c>
      <c r="AR1002" s="60" t="inlineStr">
        <is>
          <t>NO</t>
        </is>
      </c>
      <c r="AS1002" s="7" t="inlineStr">
        <is>
          <t>-</t>
        </is>
      </c>
      <c r="AT1002" s="7" t="inlineStr">
        <is>
          <t>NO</t>
        </is>
      </c>
      <c r="AU1002" s="7" t="inlineStr">
        <is>
          <t>-</t>
        </is>
      </c>
      <c r="AV1002" s="60" t="inlineStr">
        <is>
          <t>NO</t>
        </is>
      </c>
      <c r="AW1002" s="7" t="inlineStr">
        <is>
          <t>-</t>
        </is>
      </c>
      <c r="AX1002" s="7" t="inlineStr">
        <is>
          <t>NO</t>
        </is>
      </c>
      <c r="AY1002" s="7" t="inlineStr">
        <is>
          <t>-</t>
        </is>
      </c>
      <c r="AZ1002" s="7" t="inlineStr">
        <is>
          <t>NO</t>
        </is>
      </c>
      <c r="BA1002" s="7" t="inlineStr">
        <is>
          <t>-</t>
        </is>
      </c>
      <c r="BB1002" s="7" t="inlineStr">
        <is>
          <t>NO</t>
        </is>
      </c>
      <c r="BC1002" s="7" t="inlineStr">
        <is>
          <t>-</t>
        </is>
      </c>
      <c r="BD1002" s="7" t="inlineStr">
        <is>
          <t>NO</t>
        </is>
      </c>
      <c r="BE1002" s="7" t="inlineStr">
        <is>
          <t>-</t>
        </is>
      </c>
      <c r="BF1002" s="7" t="inlineStr">
        <is>
          <t>SMA</t>
        </is>
      </c>
      <c r="BG1002" s="7" t="inlineStr">
        <is>
          <t>PSA</t>
        </is>
      </c>
      <c r="BH1002" s="7" t="inlineStr">
        <is>
          <t>RCA 20219900112</t>
        </is>
      </c>
      <c r="BI1002" s="7" t="n"/>
      <c r="BJ1002" s="7" t="n"/>
      <c r="BK1002" s="196" t="inlineStr">
        <is>
          <t>532ZPQE004</t>
        </is>
      </c>
      <c r="BL1002" s="61" t="inlineStr">
        <is>
          <t>GMAP-SIGA</t>
        </is>
      </c>
      <c r="BM1002" s="251" t="inlineStr">
        <is>
          <t>CAUDAL</t>
        </is>
      </c>
      <c r="BN1002" s="337" t="inlineStr">
        <is>
          <t>Qda Ceusis</t>
        </is>
      </c>
      <c r="BO1002" s="251" t="inlineStr">
        <is>
          <t>SI</t>
        </is>
      </c>
      <c r="BP1002" s="251" t="inlineStr">
        <is>
          <t>AFO-ZE1/CAUDAL</t>
        </is>
      </c>
      <c r="BQ1002" s="106">
        <f>VLOOKUP(BP1002,[1]AGUA!$1:$1048576,2,FALSE)</f>
        <v/>
      </c>
      <c r="BR1002" s="106">
        <f>VLOOKUP(BP1002,[1]AGUA!$1:$1048576,6,FALSE)</f>
        <v/>
      </c>
      <c r="BS1002" s="106">
        <f>VLOOKUP(BP1002,[1]AGUA!$1:$1048576,7,FALSE)</f>
        <v/>
      </c>
      <c r="BT1002" s="106" t="n"/>
      <c r="BU1002" s="101" t="n"/>
      <c r="BV1002" s="105" t="n"/>
      <c r="BW1002" s="105" t="n"/>
      <c r="BX1002" s="105" t="n"/>
      <c r="BY1002" s="105" t="n"/>
      <c r="BZ1002" s="105" t="n"/>
      <c r="CA1002" s="105" t="n"/>
      <c r="CB1002" s="105" t="n"/>
      <c r="CC1002" s="105" t="n"/>
      <c r="CD1002" s="105" t="n"/>
      <c r="CE1002" s="105" t="n"/>
      <c r="CF1002" s="105" t="n"/>
      <c r="CG1002" s="105" t="n"/>
      <c r="CH1002" s="105" t="n"/>
      <c r="CI1002" s="105" t="n"/>
      <c r="CJ1002" s="105" t="n"/>
      <c r="CK1002" s="105" t="n"/>
      <c r="CL1002" s="105" t="n"/>
      <c r="CM1002" s="105" t="n"/>
      <c r="CN1002" s="105" t="n"/>
      <c r="CO1002" s="105" t="n"/>
      <c r="CP1002" s="105" t="n"/>
      <c r="CQ1002" s="105" t="n"/>
      <c r="CR1002" s="105" t="n"/>
      <c r="CS1002" s="105" t="n"/>
      <c r="CT1002" s="105" t="n"/>
      <c r="CU1002" s="142" t="n">
        <v>1</v>
      </c>
      <c r="CV1002" s="105" t="n"/>
      <c r="CW1002" s="105" t="n"/>
      <c r="CX1002" s="105" t="n"/>
      <c r="CY1002" s="105" t="n"/>
      <c r="CZ1002" s="124">
        <f>+COUNTA(BV1002:CY1002)</f>
        <v/>
      </c>
      <c r="DA1002" s="251" t="n"/>
      <c r="DB1002" s="251" t="n"/>
      <c r="DC1002" s="251" t="n"/>
      <c r="DD1002" s="251" t="n"/>
      <c r="DE1002" s="251" t="n"/>
      <c r="DF1002" s="251" t="n"/>
      <c r="DG1002" s="251" t="n"/>
      <c r="DH1002" s="251" t="n"/>
      <c r="DI1002" s="251" t="n"/>
      <c r="DJ1002" s="251" t="inlineStr">
        <is>
          <t>M</t>
        </is>
      </c>
      <c r="DK1002" s="251" t="n">
        <v>22</v>
      </c>
      <c r="DL1002" s="95" t="n">
        <v>31</v>
      </c>
      <c r="DM1002" s="251" t="n"/>
      <c r="DN1002" s="95" t="n"/>
      <c r="DO1002" s="95" t="n"/>
    </row>
    <row r="1003" ht="13" customHeight="1">
      <c r="A1003" s="203" t="inlineStr">
        <is>
          <t>Botadero Sur</t>
        </is>
      </c>
      <c r="B1003" s="305" t="n"/>
      <c r="C1003" s="7" t="n"/>
      <c r="D1003" s="7" t="inlineStr">
        <is>
          <t>SI</t>
        </is>
      </c>
      <c r="E1003" s="7" t="inlineStr">
        <is>
          <t>SI</t>
        </is>
      </c>
      <c r="F1003" s="7" t="inlineStr">
        <is>
          <t>NO</t>
        </is>
      </c>
      <c r="G1003" s="7" t="inlineStr">
        <is>
          <t>NO</t>
        </is>
      </c>
      <c r="H1003" s="7" t="inlineStr">
        <is>
          <t>Aguas debajo del botadero sur</t>
        </is>
      </c>
      <c r="I1003" s="7" t="inlineStr">
        <is>
          <t>Aguas debajo del botadero sur</t>
        </is>
      </c>
      <c r="J1003" s="7" t="inlineStr">
        <is>
          <t>Por implementar</t>
        </is>
      </c>
      <c r="K1003" s="7" t="inlineStr">
        <is>
          <t>-</t>
        </is>
      </c>
      <c r="L1003" s="7" t="inlineStr">
        <is>
          <t>Agua Superficial</t>
        </is>
      </c>
      <c r="M1003" s="7" t="inlineStr">
        <is>
          <t>Cordillera</t>
        </is>
      </c>
      <c r="N1003" s="7" t="inlineStr">
        <is>
          <t>Quebrada</t>
        </is>
      </c>
      <c r="O1003" s="7" t="inlineStr">
        <is>
          <t>Chiclla</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NO</t>
        </is>
      </c>
      <c r="AE1003" s="7" t="inlineStr">
        <is>
          <t>-</t>
        </is>
      </c>
      <c r="AF1003" s="7" t="inlineStr">
        <is>
          <t>-</t>
        </is>
      </c>
      <c r="AG1003" s="7" t="inlineStr">
        <is>
          <t>NO</t>
        </is>
      </c>
      <c r="AH1003" s="7" t="inlineStr">
        <is>
          <t>-</t>
        </is>
      </c>
      <c r="AI1003" s="7" t="inlineStr">
        <is>
          <t>NO</t>
        </is>
      </c>
      <c r="AJ1003" s="7" t="inlineStr">
        <is>
          <t>-</t>
        </is>
      </c>
      <c r="AK1003" s="60" t="inlineStr">
        <is>
          <t>Plan base + T° + Nitritos + amonio</t>
        </is>
      </c>
      <c r="AL1003" s="7" t="inlineStr">
        <is>
          <t>Trimestral</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SI</t>
        </is>
      </c>
      <c r="AU1003" s="7" t="inlineStr">
        <is>
          <t>Trimestral</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inlineStr">
        <is>
          <t>Se compromete en la fase de cierre</t>
        </is>
      </c>
      <c r="BJ1003" s="7" t="n"/>
      <c r="BK1003" s="331" t="n"/>
      <c r="BL1003" s="61" t="n"/>
      <c r="BM1003" s="251" t="n"/>
      <c r="BN1003" s="337" t="n"/>
      <c r="BO1003" s="251" t="n"/>
      <c r="BP1003" s="251" t="n"/>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05" t="n"/>
      <c r="CR1003" s="105" t="n"/>
      <c r="CS1003" s="105" t="n"/>
      <c r="CT1003" s="105" t="n"/>
      <c r="CU1003" s="105" t="n"/>
      <c r="CV1003" s="105" t="n"/>
      <c r="CW1003" s="105" t="n"/>
      <c r="CX1003" s="105" t="n"/>
      <c r="CY1003" s="105" t="n"/>
      <c r="CZ1003" s="124">
        <f>+COUNTA(BV1003:CY1003)</f>
        <v/>
      </c>
      <c r="DA1003" s="251" t="n"/>
      <c r="DB1003" s="251" t="n"/>
      <c r="DC1003" s="251" t="n"/>
      <c r="DD1003" s="251" t="n"/>
      <c r="DE1003" s="251" t="n"/>
      <c r="DF1003" s="251" t="n"/>
      <c r="DG1003" s="251" t="n"/>
      <c r="DH1003" s="251" t="n"/>
      <c r="DI1003" s="251" t="n"/>
      <c r="DJ1003" s="251" t="n"/>
      <c r="DK1003" s="251" t="n"/>
      <c r="DL1003" s="95" t="n"/>
      <c r="DM1003" s="251" t="n"/>
      <c r="DN1003" s="95" t="n"/>
      <c r="DO1003" s="95" t="n"/>
    </row>
    <row r="1004" ht="13" customHeight="1">
      <c r="A1004" s="203" t="inlineStr">
        <is>
          <t>Canaleta DR</t>
        </is>
      </c>
      <c r="B1004" s="305" t="n"/>
      <c r="C1004" s="7" t="n"/>
      <c r="D1004" s="7" t="inlineStr">
        <is>
          <t>SI</t>
        </is>
      </c>
      <c r="E1004" s="7" t="inlineStr">
        <is>
          <t>SI</t>
        </is>
      </c>
      <c r="F1004" s="7" t="inlineStr">
        <is>
          <t>NO</t>
        </is>
      </c>
      <c r="G1004" s="7" t="inlineStr">
        <is>
          <t>NO</t>
        </is>
      </c>
      <c r="H1004" s="7" t="inlineStr">
        <is>
          <t>REVISAR</t>
        </is>
      </c>
      <c r="I1004" s="7" t="inlineStr">
        <is>
          <t>REVISAR</t>
        </is>
      </c>
      <c r="J1004" s="7" t="inlineStr">
        <is>
          <t>Por implementar</t>
        </is>
      </c>
      <c r="K1004" s="7" t="inlineStr">
        <is>
          <t>-</t>
        </is>
      </c>
      <c r="L1004" s="7" t="inlineStr">
        <is>
          <t>Agua de Proceso</t>
        </is>
      </c>
      <c r="M1004" s="7" t="inlineStr">
        <is>
          <t>Cordillera</t>
        </is>
      </c>
      <c r="N1004" s="7" t="inlineStr">
        <is>
          <t>Canaleta de relave</t>
        </is>
      </c>
      <c r="O1004" s="7" t="inlineStr">
        <is>
          <t>Planta Concentradora</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NO</t>
        </is>
      </c>
      <c r="AE1004" s="7" t="inlineStr">
        <is>
          <t>-</t>
        </is>
      </c>
      <c r="AF1004" s="7" t="inlineStr">
        <is>
          <t>-</t>
        </is>
      </c>
      <c r="AG1004" s="7" t="inlineStr">
        <is>
          <t>NO</t>
        </is>
      </c>
      <c r="AH1004" s="7" t="inlineStr">
        <is>
          <t>-</t>
        </is>
      </c>
      <c r="AI1004" s="7" t="inlineStr">
        <is>
          <t>NO</t>
        </is>
      </c>
      <c r="AJ1004" s="7" t="inlineStr">
        <is>
          <t>-</t>
        </is>
      </c>
      <c r="AK1004" s="60" t="inlineStr">
        <is>
          <t>Plan base + T° + Nitritos + amonio</t>
        </is>
      </c>
      <c r="AL1004" s="7" t="inlineStr">
        <is>
          <t>Semestral</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SI</t>
        </is>
      </c>
      <c r="AU1004" s="7" t="inlineStr">
        <is>
          <t>Semestral</t>
        </is>
      </c>
      <c r="AV1004" s="60" t="inlineStr">
        <is>
          <t>Ensayos Geoquímicos</t>
        </is>
      </c>
      <c r="AW1004" s="7" t="inlineStr">
        <is>
          <t>Semestral</t>
        </is>
      </c>
      <c r="AX1004" s="7" t="inlineStr">
        <is>
          <t>NO</t>
        </is>
      </c>
      <c r="AY1004" s="7" t="inlineStr">
        <is>
          <t>-</t>
        </is>
      </c>
      <c r="AZ1004" s="7" t="inlineStr">
        <is>
          <t>NO</t>
        </is>
      </c>
      <c r="BA1004" s="7" t="inlineStr">
        <is>
          <t>-</t>
        </is>
      </c>
      <c r="BB1004" s="7" t="inlineStr">
        <is>
          <t>NO</t>
        </is>
      </c>
      <c r="BC1004" s="7" t="inlineStr">
        <is>
          <t>-</t>
        </is>
      </c>
      <c r="BD1004" s="7" t="inlineStr">
        <is>
          <t>Ensayos Geoquímicos</t>
        </is>
      </c>
      <c r="BE1004" s="7" t="inlineStr">
        <is>
          <t>Semestral</t>
        </is>
      </c>
      <c r="BF1004" s="7" t="inlineStr">
        <is>
          <t>SMA</t>
        </is>
      </c>
      <c r="BG1004" s="7" t="inlineStr">
        <is>
          <t>PSA</t>
        </is>
      </c>
      <c r="BH1004" s="7" t="inlineStr">
        <is>
          <t>RCA 20219900112</t>
        </is>
      </c>
      <c r="BI1004" s="7" t="n"/>
      <c r="BJ1004" s="7" t="n"/>
      <c r="BK1004" s="331" t="n"/>
      <c r="BL1004" s="61" t="n"/>
      <c r="BM1004" s="251" t="n"/>
      <c r="BN1004" s="337" t="n"/>
      <c r="BO1004" s="251" t="n"/>
      <c r="BP1004" s="251" t="n"/>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05" t="n"/>
      <c r="CT1004" s="105" t="n"/>
      <c r="CU1004" s="105" t="n"/>
      <c r="CV1004" s="105" t="n"/>
      <c r="CW1004" s="105" t="n"/>
      <c r="CX1004" s="105" t="n"/>
      <c r="CY1004" s="105" t="n"/>
      <c r="CZ1004" s="124">
        <f>+COUNTA(BV1004:CY1004)</f>
        <v/>
      </c>
      <c r="DA1004" s="251" t="n"/>
      <c r="DB1004" s="251" t="n"/>
      <c r="DC1004" s="251" t="n"/>
      <c r="DD1004" s="251" t="n"/>
      <c r="DE1004" s="251" t="n"/>
      <c r="DF1004" s="251" t="n"/>
      <c r="DG1004" s="251" t="n"/>
      <c r="DH1004" s="251" t="n"/>
      <c r="DI1004" s="251" t="n"/>
      <c r="DJ1004" s="251" t="n"/>
      <c r="DK1004" s="251" t="n"/>
      <c r="DL1004" s="95" t="n"/>
      <c r="DM1004" s="251" t="n"/>
      <c r="DN1004" s="95" t="n"/>
      <c r="DO1004" s="95" t="n"/>
    </row>
    <row r="1005" ht="13" customHeight="1">
      <c r="A1005" s="203" t="inlineStr">
        <is>
          <t>Ceusis</t>
        </is>
      </c>
      <c r="B1005" s="305" t="n"/>
      <c r="C1005" s="7" t="n"/>
      <c r="D1005" s="7" t="inlineStr">
        <is>
          <t>SI</t>
        </is>
      </c>
      <c r="E1005" s="7" t="inlineStr">
        <is>
          <t>SI</t>
        </is>
      </c>
      <c r="F1005" s="7" t="inlineStr">
        <is>
          <t>NO</t>
        </is>
      </c>
      <c r="G1005" s="7" t="inlineStr">
        <is>
          <t>NO</t>
        </is>
      </c>
      <c r="H1005" s="7" t="n">
        <v>533155</v>
      </c>
      <c r="I1005" s="7" t="n">
        <v>7670280</v>
      </c>
      <c r="J1005" s="7" t="inlineStr">
        <is>
          <t>Por implementar</t>
        </is>
      </c>
      <c r="K1005" s="7" t="inlineStr">
        <is>
          <t>-</t>
        </is>
      </c>
      <c r="L1005" s="7" t="inlineStr">
        <is>
          <t>Agua Superficial</t>
        </is>
      </c>
      <c r="M1005" s="7" t="inlineStr">
        <is>
          <t>Cordillera</t>
        </is>
      </c>
      <c r="N1005" s="7" t="inlineStr">
        <is>
          <t>Punto Restitución Caudal</t>
        </is>
      </c>
      <c r="O1005" s="7" t="inlineStr">
        <is>
          <t>Ceusis</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SI</t>
        </is>
      </c>
      <c r="AE1005" s="7" t="inlineStr">
        <is>
          <t>-</t>
        </is>
      </c>
      <c r="AF1005" s="7" t="inlineStr">
        <is>
          <t>Flujómetro</t>
        </is>
      </c>
      <c r="AG1005" s="7" t="inlineStr">
        <is>
          <t>NO</t>
        </is>
      </c>
      <c r="AH1005" s="7" t="inlineStr">
        <is>
          <t>-</t>
        </is>
      </c>
      <c r="AI1005" s="7" t="inlineStr">
        <is>
          <t>SI</t>
        </is>
      </c>
      <c r="AJ1005" s="7" t="inlineStr">
        <is>
          <t>Flujómetro</t>
        </is>
      </c>
      <c r="AK1005" s="60" t="inlineStr">
        <is>
          <t>NO</t>
        </is>
      </c>
      <c r="AL1005" s="7" t="inlineStr">
        <is>
          <t>-</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NO</t>
        </is>
      </c>
      <c r="AU1005" s="7" t="inlineStr">
        <is>
          <t>-</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Quebrada con restitución de agua desde el estanque de recolección MM1</t>
        </is>
      </c>
      <c r="BJ1005" s="7" t="n"/>
      <c r="BK1005" s="331" t="n"/>
      <c r="BL1005" s="61" t="n"/>
      <c r="BM1005" s="251" t="n"/>
      <c r="BN1005" s="337" t="n"/>
      <c r="BO1005" s="251" t="n"/>
      <c r="BP1005" s="251"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24">
        <f>+COUNTA(BV1005:CY1005)</f>
        <v/>
      </c>
      <c r="DA1005" s="251" t="n"/>
      <c r="DB1005" s="251" t="n"/>
      <c r="DC1005" s="251" t="n"/>
      <c r="DD1005" s="251" t="n"/>
      <c r="DE1005" s="251" t="n"/>
      <c r="DF1005" s="251" t="n"/>
      <c r="DG1005" s="251" t="n"/>
      <c r="DH1005" s="251" t="n"/>
      <c r="DI1005" s="251" t="n"/>
      <c r="DJ1005" s="251" t="n"/>
      <c r="DK1005" s="251" t="n"/>
      <c r="DL1005" s="95" t="n"/>
      <c r="DM1005" s="251" t="n"/>
      <c r="DN1005" s="95" t="n"/>
      <c r="DO1005" s="95" t="n"/>
    </row>
    <row r="1006" ht="13" customHeight="1">
      <c r="A1006" s="203" t="inlineStr">
        <is>
          <t>Chiclla</t>
        </is>
      </c>
      <c r="B1006" s="305" t="n"/>
      <c r="C1006" s="7" t="n"/>
      <c r="D1006" s="7" t="inlineStr">
        <is>
          <t>SI</t>
        </is>
      </c>
      <c r="E1006" s="7" t="inlineStr">
        <is>
          <t>SI</t>
        </is>
      </c>
      <c r="F1006" s="7" t="inlineStr">
        <is>
          <t>NO</t>
        </is>
      </c>
      <c r="G1006" s="7" t="inlineStr">
        <is>
          <t>NO</t>
        </is>
      </c>
      <c r="H1006" s="7" t="n">
        <v>528207</v>
      </c>
      <c r="I1006" s="7" t="n">
        <v>7676343</v>
      </c>
      <c r="J1006" s="7" t="inlineStr">
        <is>
          <t>Por implementar</t>
        </is>
      </c>
      <c r="K1006" s="7" t="inlineStr">
        <is>
          <t>-</t>
        </is>
      </c>
      <c r="L1006" s="7" t="inlineStr">
        <is>
          <t>Agua Superficial</t>
        </is>
      </c>
      <c r="M1006" s="7" t="inlineStr">
        <is>
          <t>Cordillera</t>
        </is>
      </c>
      <c r="N1006" s="7" t="inlineStr">
        <is>
          <t>Punto Restitución Caudal</t>
        </is>
      </c>
      <c r="O1006" s="7" t="inlineStr">
        <is>
          <t>Chiclla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SI</t>
        </is>
      </c>
      <c r="AE1006" s="7" t="inlineStr">
        <is>
          <t>-</t>
        </is>
      </c>
      <c r="AF1006" s="7" t="inlineStr">
        <is>
          <t>Flujómetro</t>
        </is>
      </c>
      <c r="AG1006" s="7" t="inlineStr">
        <is>
          <t>NO</t>
        </is>
      </c>
      <c r="AH1006" s="7" t="inlineStr">
        <is>
          <t>-</t>
        </is>
      </c>
      <c r="AI1006" s="7" t="inlineStr">
        <is>
          <t>SI</t>
        </is>
      </c>
      <c r="AJ1006" s="7" t="inlineStr">
        <is>
          <t>Flujómetro</t>
        </is>
      </c>
      <c r="AK1006" s="60" t="inlineStr">
        <is>
          <t>NO</t>
        </is>
      </c>
      <c r="AL1006" s="7" t="inlineStr">
        <is>
          <t>-</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NO</t>
        </is>
      </c>
      <c r="AU1006" s="7" t="inlineStr">
        <is>
          <t>-</t>
        </is>
      </c>
      <c r="AV1006" s="60" t="inlineStr">
        <is>
          <t>NO</t>
        </is>
      </c>
      <c r="AW1006" s="7" t="inlineStr">
        <is>
          <t>-</t>
        </is>
      </c>
      <c r="AX1006" s="7" t="inlineStr">
        <is>
          <t>NO</t>
        </is>
      </c>
      <c r="AY1006" s="7" t="inlineStr">
        <is>
          <t>-</t>
        </is>
      </c>
      <c r="AZ1006" s="7" t="inlineStr">
        <is>
          <t>NO</t>
        </is>
      </c>
      <c r="BA1006" s="7" t="inlineStr">
        <is>
          <t>-</t>
        </is>
      </c>
      <c r="BB1006" s="7" t="inlineStr">
        <is>
          <t>NO</t>
        </is>
      </c>
      <c r="BC1006" s="7" t="inlineStr">
        <is>
          <t>-</t>
        </is>
      </c>
      <c r="BD1006" s="7" t="inlineStr">
        <is>
          <t>NO</t>
        </is>
      </c>
      <c r="BE1006" s="7" t="inlineStr">
        <is>
          <t>-</t>
        </is>
      </c>
      <c r="BF1006" s="7" t="inlineStr">
        <is>
          <t>SMA - Comunidad Tamentica</t>
        </is>
      </c>
      <c r="BG1006" s="7" t="inlineStr">
        <is>
          <t>PAF Tamentica - PSA</t>
        </is>
      </c>
      <c r="BH1006" s="7" t="inlineStr">
        <is>
          <t>RCA 20219900112</t>
        </is>
      </c>
      <c r="BI1006" s="7" t="inlineStr">
        <is>
          <t>1. Quebrada con restitución de agua desde el estanque de recolección MM1
2. Plazo de entrega de los informes de laboratorio a la asociación: 1 mes despues de realizada la campaña de terreno
3. Informe Anual</t>
        </is>
      </c>
      <c r="BJ1006" s="7" t="n"/>
      <c r="BK1006" s="331" t="n"/>
      <c r="BL1006" s="61" t="n"/>
      <c r="BM1006" s="251" t="n"/>
      <c r="BN1006" s="337" t="n"/>
      <c r="BO1006" s="251" t="n"/>
      <c r="BP1006" s="251"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24">
        <f>+COUNTA(BV1006:CY1006)</f>
        <v/>
      </c>
      <c r="DA1006" s="251" t="n"/>
      <c r="DB1006" s="208" t="n"/>
      <c r="DC1006" s="251" t="n"/>
      <c r="DD1006" s="251" t="n"/>
      <c r="DE1006" s="251" t="n"/>
      <c r="DF1006" s="251" t="n"/>
      <c r="DG1006" s="209" t="n"/>
      <c r="DH1006" s="209" t="n"/>
      <c r="DI1006" s="251" t="n"/>
      <c r="DJ1006" s="251" t="n"/>
      <c r="DK1006" s="251" t="n"/>
      <c r="DL1006" s="95" t="n"/>
      <c r="DM1006" s="251" t="n"/>
      <c r="DN1006" s="95" t="n"/>
      <c r="DO1006" s="95" t="n"/>
    </row>
    <row r="1007" ht="13" customHeight="1">
      <c r="A1007" s="203" t="inlineStr">
        <is>
          <t>Dique Huinquintipa</t>
        </is>
      </c>
      <c r="B1007" s="305" t="n"/>
      <c r="C1007" s="7" t="n"/>
      <c r="D1007" s="7" t="inlineStr">
        <is>
          <t>SI</t>
        </is>
      </c>
      <c r="E1007" s="7" t="inlineStr">
        <is>
          <t>SI</t>
        </is>
      </c>
      <c r="F1007" s="7" t="inlineStr">
        <is>
          <t>NO</t>
        </is>
      </c>
      <c r="G1007" s="7" t="inlineStr">
        <is>
          <t>NO</t>
        </is>
      </c>
      <c r="H1007" s="7" t="n">
        <v>524170</v>
      </c>
      <c r="I1007" s="7" t="n">
        <v>7681520</v>
      </c>
      <c r="J1007" s="7" t="inlineStr">
        <is>
          <t>Por implementar (Reemplaza QDH-01C, QDH-1E, QDH-01D)</t>
        </is>
      </c>
      <c r="K1007" s="7" t="inlineStr">
        <is>
          <t>-</t>
        </is>
      </c>
      <c r="L1007" s="7" t="inlineStr">
        <is>
          <t>Agua Superficial</t>
        </is>
      </c>
      <c r="M1007" s="7" t="inlineStr">
        <is>
          <t>Cordillera</t>
        </is>
      </c>
      <c r="N1007" s="7" t="inlineStr">
        <is>
          <t>Dique</t>
        </is>
      </c>
      <c r="O1007" s="7" t="inlineStr">
        <is>
          <t>Huinquintipa</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Continuo</t>
        </is>
      </c>
      <c r="AG1007" s="7" t="inlineStr">
        <is>
          <t>NO</t>
        </is>
      </c>
      <c r="AH1007" s="7" t="inlineStr">
        <is>
          <t>-</t>
        </is>
      </c>
      <c r="AI1007" s="7" t="inlineStr">
        <is>
          <t>SI</t>
        </is>
      </c>
      <c r="AJ1007" s="7" t="inlineStr">
        <is>
          <t>Continuo</t>
        </is>
      </c>
      <c r="AK1007" s="60" t="inlineStr">
        <is>
          <t>Plan base + T° + Nitritos + amonio</t>
        </is>
      </c>
      <c r="AL1007" s="7" t="inlineStr">
        <is>
          <t>Mensual (Set completo y Metales disueltos y sulfatos)</t>
        </is>
      </c>
      <c r="AM1007" s="7" t="inlineStr">
        <is>
          <t>Quincenal (Volumen acumulado, pH, CE)</t>
        </is>
      </c>
      <c r="AN1007" s="60" t="inlineStr">
        <is>
          <t>Sulfato+ Conductividad Electrica + pH+ metales disueltos</t>
        </is>
      </c>
      <c r="AO1007" s="7" t="inlineStr">
        <is>
          <t>Quincenal</t>
        </is>
      </c>
      <c r="AP1007" s="60" t="inlineStr">
        <is>
          <t>NO</t>
        </is>
      </c>
      <c r="AQ1007" s="7" t="inlineStr">
        <is>
          <t>-</t>
        </is>
      </c>
      <c r="AR1007" s="60" t="inlineStr">
        <is>
          <t>Parámetros in-situ (Volumen Piscina, pH y CE), fotometro Hach, arsénico y sulfatos</t>
        </is>
      </c>
      <c r="AS1007" s="7" t="inlineStr">
        <is>
          <t>Semanal (Fotometro) Insitu (Quincenal)</t>
        </is>
      </c>
      <c r="AT1007" s="7" t="inlineStr">
        <is>
          <t>SI</t>
        </is>
      </c>
      <c r="AU1007" s="7" t="inlineStr">
        <is>
          <t>Semanal</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Res. Ex. N° 167/2001 Adenda 2, sección 2.1.7, pág. 9</t>
        </is>
      </c>
      <c r="BI1007"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7" s="7" t="n"/>
      <c r="BK1007" s="331" t="n"/>
      <c r="BL1007" s="61" t="inlineStr">
        <is>
          <t>GRHID</t>
        </is>
      </c>
      <c r="BM1007" s="251" t="inlineStr">
        <is>
          <t>ASUP</t>
        </is>
      </c>
      <c r="BN1007" s="337" t="inlineStr">
        <is>
          <t>Huinquintipa</t>
        </is>
      </c>
      <c r="BO1007" s="251" t="inlineStr">
        <is>
          <t>SI</t>
        </is>
      </c>
      <c r="BP1007" s="251" t="inlineStr">
        <is>
          <t>PISCINA  DIQUE HUINQUINTIPA/ASUP</t>
        </is>
      </c>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6" t="n"/>
      <c r="CE1007" s="106" t="n"/>
      <c r="CF1007" s="106" t="n"/>
      <c r="CG1007" s="107" t="n">
        <v>1</v>
      </c>
      <c r="CH1007" s="105" t="n"/>
      <c r="CI1007" s="106" t="n"/>
      <c r="CJ1007" s="105" t="n"/>
      <c r="CK1007" s="105" t="n"/>
      <c r="CL1007" s="105" t="n"/>
      <c r="CM1007" s="105" t="n"/>
      <c r="CN1007" s="105" t="n"/>
      <c r="CO1007" s="105" t="n"/>
      <c r="CP1007" s="105" t="n"/>
      <c r="CQ1007" s="105" t="n"/>
      <c r="CR1007" s="106" t="n"/>
      <c r="CS1007" s="106" t="n"/>
      <c r="CT1007" s="105" t="n"/>
      <c r="CU1007" s="107" t="n">
        <v>1</v>
      </c>
      <c r="CV1007" s="106" t="n"/>
      <c r="CW1007" s="105" t="n"/>
      <c r="CX1007" s="105" t="n"/>
      <c r="CY1007" s="105" t="n"/>
      <c r="CZ1007" s="124">
        <f>+COUNTA(BV1007:CY1007)</f>
        <v/>
      </c>
      <c r="DA1007" s="251" t="n"/>
      <c r="DB1007" s="251" t="n"/>
      <c r="DC1007" s="251" t="n"/>
      <c r="DD1007" s="251" t="n"/>
      <c r="DE1007" s="251" t="n"/>
      <c r="DF1007" s="251" t="n"/>
      <c r="DG1007" s="251" t="n"/>
      <c r="DH1007" s="251" t="n"/>
      <c r="DI1007" s="251" t="n"/>
      <c r="DJ1007" s="251" t="n"/>
      <c r="DK1007" s="251" t="n"/>
      <c r="DL1007" s="95" t="n"/>
      <c r="DM1007" s="251" t="inlineStr">
        <is>
          <t>2M</t>
        </is>
      </c>
      <c r="DN1007" s="95" t="inlineStr">
        <is>
          <t>8 y 22</t>
        </is>
      </c>
      <c r="DO1007" s="95" t="inlineStr">
        <is>
          <t>14 y 28</t>
        </is>
      </c>
    </row>
    <row r="1008" ht="13" customHeight="1">
      <c r="A1008" s="203" t="inlineStr">
        <is>
          <t>Dique Huinquintipa</t>
        </is>
      </c>
      <c r="B1008" s="7" t="inlineStr">
        <is>
          <t>PISCINA  DIQUE HUINQUINTIPA</t>
        </is>
      </c>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c r="AA1008" s="7" t="n"/>
      <c r="AB1008" s="7" t="n"/>
      <c r="AC1008" s="7" t="n"/>
      <c r="AD1008" s="7" t="n"/>
      <c r="AE1008" s="7" t="n"/>
      <c r="AF1008" s="7" t="n"/>
      <c r="AG1008" s="7" t="n"/>
      <c r="AH1008" s="7" t="n"/>
      <c r="AI1008" s="7" t="n"/>
      <c r="AJ1008" s="7" t="n"/>
      <c r="AK1008" s="60" t="n"/>
      <c r="AL1008" s="7" t="n"/>
      <c r="AM1008" s="7" t="n"/>
      <c r="AN1008" s="60" t="n"/>
      <c r="AO1008" s="7" t="n"/>
      <c r="AP1008" s="60" t="n"/>
      <c r="AQ1008" s="7" t="n"/>
      <c r="AR1008" s="60" t="n"/>
      <c r="AS1008" s="7" t="n"/>
      <c r="AT1008" s="7" t="n"/>
      <c r="AU1008" s="7" t="n"/>
      <c r="AV1008" s="60" t="n"/>
      <c r="AW1008" s="7" t="n"/>
      <c r="AX1008" s="7" t="n"/>
      <c r="AY1008" s="7" t="n"/>
      <c r="AZ1008" s="7" t="n"/>
      <c r="BA1008" s="7" t="n"/>
      <c r="BB1008" s="7" t="n"/>
      <c r="BC1008" s="7" t="n"/>
      <c r="BD1008" s="7" t="n"/>
      <c r="BE1008" s="7" t="n"/>
      <c r="BF1008" s="7" t="n"/>
      <c r="BG1008" s="7" t="n"/>
      <c r="BH1008" s="7" t="n"/>
      <c r="BI1008" s="7" t="n"/>
      <c r="BJ1008" s="7" t="n"/>
      <c r="BK1008" s="331" t="n"/>
      <c r="BL1008" s="61" t="inlineStr">
        <is>
          <t>GRHID</t>
        </is>
      </c>
      <c r="BM1008" s="251" t="inlineStr">
        <is>
          <t>FOTOMETRO</t>
        </is>
      </c>
      <c r="BN1008" s="337" t="inlineStr">
        <is>
          <t>Huinquintipa</t>
        </is>
      </c>
      <c r="BO1008" s="251" t="inlineStr">
        <is>
          <t>SI</t>
        </is>
      </c>
      <c r="BP1008" s="251" t="inlineStr">
        <is>
          <t>PISCINA  DIQUE HUINQUINTIPA/FOTOMETRO</t>
        </is>
      </c>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63" t="n">
        <v>1</v>
      </c>
      <c r="CA1008" s="105" t="n"/>
      <c r="CB1008" s="105" t="n"/>
      <c r="CC1008" s="105" t="n"/>
      <c r="CD1008" s="105" t="n"/>
      <c r="CE1008" s="105" t="n"/>
      <c r="CF1008" s="105" t="n"/>
      <c r="CG1008" s="163" t="n">
        <v>1</v>
      </c>
      <c r="CH1008" s="105" t="n"/>
      <c r="CI1008" s="105" t="n"/>
      <c r="CJ1008" s="105" t="n"/>
      <c r="CK1008" s="105" t="n"/>
      <c r="CL1008" s="105" t="n"/>
      <c r="CM1008" s="105" t="n"/>
      <c r="CN1008" s="163" t="n">
        <v>1</v>
      </c>
      <c r="CO1008" s="105" t="n"/>
      <c r="CP1008" s="105" t="n"/>
      <c r="CQ1008" s="105" t="n"/>
      <c r="CR1008" s="105" t="n"/>
      <c r="CS1008" s="105" t="n"/>
      <c r="CT1008" s="105" t="n"/>
      <c r="CU1008" s="163" t="n">
        <v>1</v>
      </c>
      <c r="CV1008" s="105" t="n"/>
      <c r="CW1008" s="105" t="n"/>
      <c r="CX1008" s="105" t="n"/>
      <c r="CY1008" s="105" t="n"/>
      <c r="CZ1008" s="124">
        <f>+COUNTA(BV1008:CY1008)</f>
        <v/>
      </c>
      <c r="DA1008" s="251" t="n"/>
      <c r="DB1008" s="251" t="n"/>
      <c r="DC1008" s="251" t="n"/>
      <c r="DD1008" s="251" t="n"/>
      <c r="DE1008" s="251" t="n"/>
      <c r="DF1008" s="251" t="n"/>
      <c r="DG1008" s="251" t="n"/>
      <c r="DH1008" s="251" t="n"/>
      <c r="DI1008" s="251" t="n"/>
      <c r="DJ1008" s="251" t="n"/>
      <c r="DK1008" s="251" t="n"/>
      <c r="DL1008" s="95" t="n"/>
      <c r="DM1008" s="251" t="inlineStr">
        <is>
          <t>S</t>
        </is>
      </c>
      <c r="DN1008" s="95" t="inlineStr">
        <is>
          <t>R</t>
        </is>
      </c>
      <c r="DO1008" s="95" t="inlineStr">
        <is>
          <t>R</t>
        </is>
      </c>
    </row>
    <row r="1009" ht="13" customHeight="1">
      <c r="A1009" s="203" t="inlineStr">
        <is>
          <t>Dique San Daniel</t>
        </is>
      </c>
      <c r="B1009" s="305" t="n"/>
      <c r="C1009" s="7" t="n"/>
      <c r="D1009" s="7" t="inlineStr">
        <is>
          <t>SI</t>
        </is>
      </c>
      <c r="E1009" s="7" t="inlineStr">
        <is>
          <t>SI</t>
        </is>
      </c>
      <c r="F1009" s="7" t="inlineStr">
        <is>
          <t>NO</t>
        </is>
      </c>
      <c r="G1009" s="7" t="inlineStr">
        <is>
          <t>NO</t>
        </is>
      </c>
      <c r="H1009" s="7" t="n">
        <v>524880</v>
      </c>
      <c r="I1009" s="7" t="n">
        <v>7681110</v>
      </c>
      <c r="J1009" s="7" t="inlineStr">
        <is>
          <t>Por implementar (Reemplaza QSD-01)</t>
        </is>
      </c>
      <c r="K1009" s="7" t="inlineStr">
        <is>
          <t>-</t>
        </is>
      </c>
      <c r="L1009" s="7" t="inlineStr">
        <is>
          <t>Agua Superficial</t>
        </is>
      </c>
      <c r="M1009" s="7" t="inlineStr">
        <is>
          <t>Cordillera</t>
        </is>
      </c>
      <c r="N1009" s="7" t="inlineStr">
        <is>
          <t>Dique</t>
        </is>
      </c>
      <c r="O1009" s="7" t="inlineStr">
        <is>
          <t>San Daniel</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1" t="n"/>
      <c r="BL1009" s="61" t="inlineStr">
        <is>
          <t>GRHID</t>
        </is>
      </c>
      <c r="BM1009" s="251" t="inlineStr">
        <is>
          <t>ASUP</t>
        </is>
      </c>
      <c r="BN1009" s="337" t="inlineStr">
        <is>
          <t>San Daniel</t>
        </is>
      </c>
      <c r="BO1009" s="251" t="inlineStr">
        <is>
          <t>SI</t>
        </is>
      </c>
      <c r="BP1009" s="251" t="inlineStr">
        <is>
          <t>PISCINA DIQUE SAN DANIEL/ASUP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5" t="n"/>
      <c r="CD1009" s="106" t="n"/>
      <c r="CE1009" s="106" t="n"/>
      <c r="CF1009" s="106" t="n"/>
      <c r="CG1009" s="107" t="n">
        <v>1</v>
      </c>
      <c r="CH1009" s="105" t="n"/>
      <c r="CI1009" s="106" t="n"/>
      <c r="CJ1009" s="105" t="n"/>
      <c r="CK1009" s="105" t="n"/>
      <c r="CL1009" s="105" t="n"/>
      <c r="CM1009" s="105" t="n"/>
      <c r="CN1009" s="105" t="n"/>
      <c r="CO1009" s="105" t="n"/>
      <c r="CP1009" s="105" t="n"/>
      <c r="CQ1009" s="105" t="n"/>
      <c r="CR1009" s="106" t="n"/>
      <c r="CS1009" s="106" t="n"/>
      <c r="CT1009" s="105" t="n"/>
      <c r="CU1009" s="107" t="n">
        <v>1</v>
      </c>
      <c r="CV1009" s="106" t="n"/>
      <c r="CW1009" s="105" t="n"/>
      <c r="CX1009" s="105" t="n"/>
      <c r="CY1009" s="105" t="n"/>
      <c r="CZ1009" s="124">
        <f>+COUNTA(BV1009:CY1009)</f>
        <v/>
      </c>
      <c r="DA1009" s="251" t="n"/>
      <c r="DB1009" s="251" t="n"/>
      <c r="DC1009" s="251" t="n"/>
      <c r="DD1009" s="251" t="n"/>
      <c r="DE1009" s="251" t="n"/>
      <c r="DF1009" s="251" t="n"/>
      <c r="DG1009" s="251" t="n"/>
      <c r="DH1009" s="251" t="n"/>
      <c r="DI1009" s="251" t="n"/>
      <c r="DJ1009" s="251" t="n"/>
      <c r="DK1009" s="251" t="n"/>
      <c r="DL1009" s="95" t="n"/>
      <c r="DM1009" s="251" t="inlineStr">
        <is>
          <t>2M</t>
        </is>
      </c>
      <c r="DN1009" s="95" t="inlineStr">
        <is>
          <t>8 y 22</t>
        </is>
      </c>
      <c r="DO1009" s="95" t="inlineStr">
        <is>
          <t>14 y 28</t>
        </is>
      </c>
    </row>
    <row r="1010" ht="12.5" customHeight="1">
      <c r="A1010" s="203" t="inlineStr">
        <is>
          <t>Dique San Daniel</t>
        </is>
      </c>
      <c r="B1010" s="7" t="inlineStr">
        <is>
          <t>PISCINA DIQUE SAN DANIEL</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1" t="n"/>
      <c r="BL1010" s="61" t="inlineStr">
        <is>
          <t>GRHID</t>
        </is>
      </c>
      <c r="BM1010" s="251" t="inlineStr">
        <is>
          <t>FOTOMETRO</t>
        </is>
      </c>
      <c r="BN1010" s="337" t="inlineStr">
        <is>
          <t>San Daniel</t>
        </is>
      </c>
      <c r="BO1010" s="251" t="inlineStr">
        <is>
          <t>SI</t>
        </is>
      </c>
      <c r="BP1010" s="251" t="inlineStr">
        <is>
          <t>PISCINA DIQUE SAN DANIEL/FOTOMETRO</t>
        </is>
      </c>
      <c r="BQ1010" s="106">
        <f>VLOOKUP(BP1010,[1]AGUA!$1:$1048576,2,FALSE)</f>
        <v/>
      </c>
      <c r="BR1010" s="106">
        <f>VLOOKUP(BP1010,[1]AGUA!$1:$1048576,6,FALSE)</f>
        <v/>
      </c>
      <c r="BS1010" s="106">
        <f>VLOOKUP(BP1010,[1]AGUA!$1:$1048576,7,FALSE)</f>
        <v/>
      </c>
      <c r="BT1010" s="106" t="n"/>
      <c r="BU1010" s="101" t="n"/>
      <c r="BV1010" s="105" t="n"/>
      <c r="BW1010" s="105" t="n"/>
      <c r="BX1010" s="105" t="n"/>
      <c r="BY1010" s="105" t="n"/>
      <c r="BZ1010" s="163" t="n">
        <v>1</v>
      </c>
      <c r="CA1010" s="105" t="n"/>
      <c r="CB1010" s="105" t="n"/>
      <c r="CC1010" s="105" t="n"/>
      <c r="CD1010" s="105" t="n"/>
      <c r="CE1010" s="105" t="n"/>
      <c r="CF1010" s="105" t="n"/>
      <c r="CG1010" s="163" t="n">
        <v>1</v>
      </c>
      <c r="CH1010" s="105" t="n"/>
      <c r="CI1010" s="105" t="n"/>
      <c r="CJ1010" s="105" t="n"/>
      <c r="CK1010" s="105" t="n"/>
      <c r="CL1010" s="105" t="n"/>
      <c r="CM1010" s="105" t="n"/>
      <c r="CN1010" s="163" t="n">
        <v>1</v>
      </c>
      <c r="CO1010" s="105" t="n"/>
      <c r="CP1010" s="105" t="n"/>
      <c r="CQ1010" s="105" t="n"/>
      <c r="CR1010" s="105" t="n"/>
      <c r="CS1010" s="105" t="n"/>
      <c r="CT1010" s="105" t="n"/>
      <c r="CU1010" s="163" t="n">
        <v>1</v>
      </c>
      <c r="CV1010" s="105" t="n"/>
      <c r="CW1010" s="105" t="n"/>
      <c r="CX1010" s="105" t="n"/>
      <c r="CY1010" s="105" t="n"/>
      <c r="CZ1010" s="124">
        <f>+COUNTA(BV1010:CY1010)</f>
        <v/>
      </c>
      <c r="DA1010" s="251" t="n"/>
      <c r="DB1010" s="251" t="n"/>
      <c r="DC1010" s="251" t="n"/>
      <c r="DD1010" s="251" t="n"/>
      <c r="DE1010" s="251" t="n"/>
      <c r="DF1010" s="251" t="n"/>
      <c r="DG1010" s="251" t="n"/>
      <c r="DH1010" s="251" t="n"/>
      <c r="DI1010" s="251" t="n"/>
      <c r="DJ1010" s="251" t="n"/>
      <c r="DK1010" s="251" t="n"/>
      <c r="DL1010" s="95" t="n"/>
      <c r="DM1010" s="251" t="inlineStr">
        <is>
          <t>S</t>
        </is>
      </c>
      <c r="DN1010" s="95" t="inlineStr">
        <is>
          <t>R</t>
        </is>
      </c>
      <c r="DO1010" s="95" t="inlineStr">
        <is>
          <t>R</t>
        </is>
      </c>
    </row>
    <row r="1011" ht="12.5" customHeight="1">
      <c r="A1011" s="203" t="inlineStr">
        <is>
          <t>Descarga agua a Piscina P2</t>
        </is>
      </c>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c r="AA1011" s="7" t="n"/>
      <c r="AB1011" s="7" t="n"/>
      <c r="AC1011" s="7" t="n"/>
      <c r="AD1011" s="7" t="n"/>
      <c r="AE1011" s="7" t="n"/>
      <c r="AF1011" s="7" t="n"/>
      <c r="AG1011" s="7" t="n"/>
      <c r="AH1011" s="7" t="n"/>
      <c r="AI1011" s="7" t="n"/>
      <c r="AJ1011" s="7" t="n"/>
      <c r="AK1011" s="60" t="n"/>
      <c r="AL1011" s="7" t="n"/>
      <c r="AM1011" s="7" t="n"/>
      <c r="AN1011" s="60" t="n"/>
      <c r="AO1011" s="7" t="n"/>
      <c r="AP1011" s="60" t="n"/>
      <c r="AQ1011" s="7" t="n"/>
      <c r="AR1011" s="60" t="n"/>
      <c r="AS1011" s="7" t="n"/>
      <c r="AT1011" s="7" t="n"/>
      <c r="AU1011" s="7" t="n"/>
      <c r="AV1011" s="60" t="n"/>
      <c r="AW1011" s="7" t="n"/>
      <c r="AX1011" s="7" t="n"/>
      <c r="AY1011" s="7" t="n"/>
      <c r="AZ1011" s="7" t="n"/>
      <c r="BA1011" s="7" t="n"/>
      <c r="BB1011" s="7" t="n"/>
      <c r="BC1011" s="7" t="n"/>
      <c r="BD1011" s="7" t="n"/>
      <c r="BE1011" s="7" t="n"/>
      <c r="BF1011" s="7" t="n"/>
      <c r="BG1011" s="7" t="n"/>
      <c r="BH1011" s="7" t="n"/>
      <c r="BI1011" s="7" t="n"/>
      <c r="BJ1011" s="7" t="n"/>
      <c r="BK1011" s="331" t="n"/>
      <c r="BL1011" s="61" t="inlineStr">
        <is>
          <t>SI ABASTECIMIENTO</t>
        </is>
      </c>
      <c r="BM1011" s="251" t="inlineStr">
        <is>
          <t>ASUP</t>
        </is>
      </c>
      <c r="BN1011" s="337" t="inlineStr">
        <is>
          <t xml:space="preserve">Rosario </t>
        </is>
      </c>
      <c r="BO1011" s="251" t="n"/>
      <c r="BP1011" s="251" t="n"/>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5" t="n"/>
      <c r="CD1011" s="105" t="n"/>
      <c r="CE1011" s="105" t="n"/>
      <c r="CF1011" s="105" t="n"/>
      <c r="CG1011" s="105" t="n"/>
      <c r="CH1011" s="105" t="n"/>
      <c r="CI1011" s="105" t="n"/>
      <c r="CJ1011" s="105" t="n"/>
      <c r="CK1011" s="105" t="n"/>
      <c r="CL1011" s="105" t="n"/>
      <c r="CM1011" s="105" t="n"/>
      <c r="CN1011" s="105" t="n"/>
      <c r="CO1011" s="105" t="n"/>
      <c r="CP1011" s="105" t="n"/>
      <c r="CQ1011" s="105" t="n"/>
      <c r="CR1011" s="105" t="n"/>
      <c r="CS1011" s="105" t="n"/>
      <c r="CT1011" s="105" t="n"/>
      <c r="CU1011" s="105" t="n"/>
      <c r="CV1011" s="105" t="n"/>
      <c r="CW1011" s="105" t="n"/>
      <c r="CX1011" s="105" t="n"/>
      <c r="CY1011" s="105" t="n"/>
      <c r="CZ1011" s="124">
        <f>+COUNTA(BV1011:CY1011)</f>
        <v/>
      </c>
      <c r="DA1011" s="251" t="n"/>
      <c r="DB1011" s="251" t="n"/>
      <c r="DC1011" s="251" t="n"/>
      <c r="DD1011" s="251" t="n"/>
      <c r="DE1011" s="251" t="n"/>
      <c r="DF1011" s="251" t="n"/>
      <c r="DG1011" s="251" t="n"/>
      <c r="DH1011" s="251" t="n"/>
      <c r="DI1011" s="251" t="n"/>
      <c r="DJ1011" s="251" t="n"/>
      <c r="DK1011" s="251" t="n"/>
      <c r="DL1011" s="95" t="n"/>
      <c r="DM1011" s="251" t="n"/>
      <c r="DN1011" s="95" t="n"/>
      <c r="DO1011" s="95" t="n"/>
    </row>
    <row r="1012" ht="12.5" customHeight="1">
      <c r="A1012" s="203" t="inlineStr">
        <is>
          <t>Estación 1</t>
        </is>
      </c>
      <c r="B1012" s="305" t="n"/>
      <c r="C1012" s="7" t="n"/>
      <c r="D1012" s="7" t="inlineStr">
        <is>
          <t>SI</t>
        </is>
      </c>
      <c r="E1012" s="7" t="inlineStr">
        <is>
          <t>SI</t>
        </is>
      </c>
      <c r="F1012" s="7" t="inlineStr">
        <is>
          <t>NO</t>
        </is>
      </c>
      <c r="G1012" s="7" t="inlineStr">
        <is>
          <t>NO</t>
        </is>
      </c>
      <c r="H1012" s="7" t="n">
        <v>520936</v>
      </c>
      <c r="I1012" s="7" t="n">
        <v>7685429</v>
      </c>
      <c r="J1012" s="7" t="inlineStr">
        <is>
          <t>Por implementar</t>
        </is>
      </c>
      <c r="K1012" s="7" t="inlineStr">
        <is>
          <t>-</t>
        </is>
      </c>
      <c r="L1012" s="7" t="inlineStr">
        <is>
          <t>Agua Superficial</t>
        </is>
      </c>
      <c r="M1012" s="7" t="inlineStr">
        <is>
          <t>Cordillera</t>
        </is>
      </c>
      <c r="N1012" s="7" t="inlineStr">
        <is>
          <t>Quebrada</t>
        </is>
      </c>
      <c r="O1012" s="7" t="inlineStr">
        <is>
          <t>Qda. Sallihuinca</t>
        </is>
      </c>
      <c r="P1012" s="7" t="inlineStr">
        <is>
          <t>NO</t>
        </is>
      </c>
      <c r="Q1012" s="7" t="inlineStr">
        <is>
          <t>-</t>
        </is>
      </c>
      <c r="R1012" s="7" t="inlineStr">
        <is>
          <t>-</t>
        </is>
      </c>
      <c r="S1012" s="7" t="inlineStr">
        <is>
          <t>-</t>
        </is>
      </c>
      <c r="T1012" s="7" t="inlineStr">
        <is>
          <t>NO</t>
        </is>
      </c>
      <c r="U1012" s="7" t="inlineStr">
        <is>
          <t>-</t>
        </is>
      </c>
      <c r="V1012" s="7" t="inlineStr">
        <is>
          <t>NO</t>
        </is>
      </c>
      <c r="W1012" s="7" t="inlineStr">
        <is>
          <t>-</t>
        </is>
      </c>
      <c r="X1012" s="7" t="inlineStr">
        <is>
          <t>NO</t>
        </is>
      </c>
      <c r="Y1012" s="7" t="inlineStr">
        <is>
          <t>-</t>
        </is>
      </c>
      <c r="Z1012" s="7" t="inlineStr">
        <is>
          <t>NO</t>
        </is>
      </c>
      <c r="AA1012" s="7" t="inlineStr">
        <is>
          <t>-</t>
        </is>
      </c>
      <c r="AB1012" s="7" t="inlineStr">
        <is>
          <t>NO</t>
        </is>
      </c>
      <c r="AC1012" s="7" t="inlineStr">
        <is>
          <t>-</t>
        </is>
      </c>
      <c r="AD1012" s="7" t="inlineStr">
        <is>
          <t>SI</t>
        </is>
      </c>
      <c r="AE1012" s="7" t="inlineStr">
        <is>
          <t>Mensual</t>
        </is>
      </c>
      <c r="AF1012" s="7" t="inlineStr">
        <is>
          <t>-</t>
        </is>
      </c>
      <c r="AG1012" s="7" t="inlineStr">
        <is>
          <t>NO</t>
        </is>
      </c>
      <c r="AH1012" s="7" t="inlineStr">
        <is>
          <t>-</t>
        </is>
      </c>
      <c r="AI1012" s="7" t="inlineStr">
        <is>
          <t>SI</t>
        </is>
      </c>
      <c r="AJ1012" s="7" t="inlineStr">
        <is>
          <t>Mensual</t>
        </is>
      </c>
      <c r="AK1012" s="60" t="inlineStr">
        <is>
          <t>Plan base + T° + Nitritos + amonio</t>
        </is>
      </c>
      <c r="AL1012" s="7" t="inlineStr">
        <is>
          <t>Mensual</t>
        </is>
      </c>
      <c r="AM1012" s="7" t="inlineStr">
        <is>
          <t>-</t>
        </is>
      </c>
      <c r="AN1012" s="60" t="inlineStr">
        <is>
          <t>NO</t>
        </is>
      </c>
      <c r="AO1012" s="7" t="inlineStr">
        <is>
          <t>-</t>
        </is>
      </c>
      <c r="AP1012" s="60" t="inlineStr">
        <is>
          <t>NO</t>
        </is>
      </c>
      <c r="AQ1012" s="7" t="inlineStr">
        <is>
          <t>-</t>
        </is>
      </c>
      <c r="AR1012" s="60" t="inlineStr">
        <is>
          <t>NO</t>
        </is>
      </c>
      <c r="AS1012" s="7" t="inlineStr">
        <is>
          <t>-</t>
        </is>
      </c>
      <c r="AT1012" s="7" t="inlineStr">
        <is>
          <t>SI</t>
        </is>
      </c>
      <c r="AU1012" s="7" t="inlineStr">
        <is>
          <t>Mensual</t>
        </is>
      </c>
      <c r="AV1012" s="60" t="inlineStr">
        <is>
          <t>NO</t>
        </is>
      </c>
      <c r="AW1012" s="7" t="inlineStr">
        <is>
          <t>-</t>
        </is>
      </c>
      <c r="AX1012" s="7" t="inlineStr">
        <is>
          <t>NO</t>
        </is>
      </c>
      <c r="AY1012" s="7" t="inlineStr">
        <is>
          <t>-</t>
        </is>
      </c>
      <c r="AZ1012" s="7" t="inlineStr">
        <is>
          <t>NO</t>
        </is>
      </c>
      <c r="BA1012" s="7" t="inlineStr">
        <is>
          <t>-</t>
        </is>
      </c>
      <c r="BB1012" s="7" t="inlineStr">
        <is>
          <t>NO</t>
        </is>
      </c>
      <c r="BC1012" s="7" t="inlineStr">
        <is>
          <t>-</t>
        </is>
      </c>
      <c r="BD1012" s="7" t="inlineStr">
        <is>
          <t>NO</t>
        </is>
      </c>
      <c r="BE1012" s="7" t="inlineStr">
        <is>
          <t>-</t>
        </is>
      </c>
      <c r="BF1012" s="7" t="inlineStr">
        <is>
          <t>SMA - Comunidad AGI Copaquire - Copaquire Segovia - Tamentica</t>
        </is>
      </c>
      <c r="BG1012" s="7" t="inlineStr">
        <is>
          <t>PAF Tamentica, AGI Copaquire, Copaquire Segovia - PSA</t>
        </is>
      </c>
      <c r="BH1012" s="7" t="inlineStr">
        <is>
          <t>RCA 20219900112</t>
        </is>
      </c>
      <c r="BI1012" s="7" t="inlineStr">
        <is>
          <t>1. Plazo de entrega de los informes de laboratorio a la asociación: 1 mes despues de realizada la campaña de terreno
2. Informe anual</t>
        </is>
      </c>
      <c r="BJ1012" s="7" t="n"/>
      <c r="BK1012" s="337" t="inlineStr">
        <is>
          <t>532ZPQE005</t>
        </is>
      </c>
      <c r="BL1012" s="61" t="inlineStr">
        <is>
          <t>GMAP-SIGA</t>
        </is>
      </c>
      <c r="BM1012" s="251" t="inlineStr">
        <is>
          <t>CAUDAL</t>
        </is>
      </c>
      <c r="BN1012" s="337" t="inlineStr">
        <is>
          <t>Sallihuinca</t>
        </is>
      </c>
      <c r="BO1012" s="251" t="inlineStr">
        <is>
          <t>SI</t>
        </is>
      </c>
      <c r="BP1012" s="251" t="inlineStr">
        <is>
          <t>Estación 1/CAUDAL</t>
        </is>
      </c>
      <c r="BQ1012" s="106">
        <f>VLOOKUP(BP1012,[1]AGUA!$1:$1048576,2,FALSE)</f>
        <v/>
      </c>
      <c r="BR1012" s="106">
        <f>VLOOKUP(BP1012,[1]AGUA!$1:$1048576,6,FALSE)</f>
        <v/>
      </c>
      <c r="BS1012" s="106">
        <f>VLOOKUP(BP1012,[1]AGUA!$1:$1048576,7,FALSE)</f>
        <v/>
      </c>
      <c r="BT1012" s="106" t="n"/>
      <c r="BU1012" s="101" t="n"/>
      <c r="BV1012" s="105" t="n"/>
      <c r="BW1012" s="105" t="n"/>
      <c r="BX1012" s="105" t="n"/>
      <c r="BY1012" s="105" t="n"/>
      <c r="BZ1012" s="105" t="n"/>
      <c r="CA1012" s="105" t="n"/>
      <c r="CB1012" s="105" t="n"/>
      <c r="CC1012" s="105" t="n"/>
      <c r="CD1012" s="105" t="n"/>
      <c r="CE1012" s="105" t="n"/>
      <c r="CF1012" s="105" t="n"/>
      <c r="CG1012" s="105" t="n"/>
      <c r="CH1012" s="105" t="n"/>
      <c r="CI1012" s="209" t="n">
        <v>1</v>
      </c>
      <c r="CJ1012" s="105" t="n"/>
      <c r="CK1012" s="105" t="n"/>
      <c r="CL1012" s="105" t="n"/>
      <c r="CM1012" s="105" t="n"/>
      <c r="CN1012" s="105" t="n"/>
      <c r="CO1012" s="105" t="n"/>
      <c r="CP1012" s="105" t="n"/>
      <c r="CQ1012" s="105" t="n"/>
      <c r="CR1012" s="105" t="n"/>
      <c r="CS1012" s="105" t="n"/>
      <c r="CT1012" s="105" t="n"/>
      <c r="CU1012" s="105" t="n"/>
      <c r="CV1012" s="105" t="n"/>
      <c r="CW1012" s="105" t="n"/>
      <c r="CX1012" s="105" t="n"/>
      <c r="CY1012" s="105" t="n"/>
      <c r="CZ1012" s="124">
        <f>+COUNTA(BV1012:CY1012)</f>
        <v/>
      </c>
      <c r="DA1012" s="251" t="n"/>
      <c r="DB1012" s="208" t="n"/>
      <c r="DC1012" s="251" t="n"/>
      <c r="DD1012" s="251" t="n"/>
      <c r="DE1012" s="213" t="n"/>
      <c r="DF1012" s="202" t="n"/>
      <c r="DG1012" s="209" t="n"/>
      <c r="DH1012" s="209" t="n"/>
      <c r="DI1012" s="251" t="n"/>
      <c r="DJ1012" s="251" t="inlineStr">
        <is>
          <t>M</t>
        </is>
      </c>
      <c r="DK1012" s="251" t="n">
        <v>1</v>
      </c>
      <c r="DL1012" s="95" t="n">
        <v>14</v>
      </c>
      <c r="DM1012" s="251" t="n"/>
      <c r="DN1012" s="95" t="n"/>
      <c r="DO1012" s="95" t="n"/>
    </row>
    <row r="1013" ht="12.5" customHeight="1">
      <c r="A1013" s="203" t="inlineStr">
        <is>
          <t>Estación 1</t>
        </is>
      </c>
      <c r="B1013" s="305"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76" t="n"/>
      <c r="BL1013" s="61" t="inlineStr">
        <is>
          <t>GMAP-SIGA</t>
        </is>
      </c>
      <c r="BM1013" s="251" t="inlineStr">
        <is>
          <t>ASUP</t>
        </is>
      </c>
      <c r="BN1013" s="337" t="inlineStr">
        <is>
          <t>Sallihuinca</t>
        </is>
      </c>
      <c r="BO1013" s="251" t="inlineStr">
        <is>
          <t>SI</t>
        </is>
      </c>
      <c r="BP1013" s="251" t="inlineStr">
        <is>
          <t>Estación 1/ASUP</t>
        </is>
      </c>
      <c r="BQ1013" s="106">
        <f>VLOOKUP(BP1013,[1]AGUA!$1:$1048576,2,FALSE)</f>
        <v/>
      </c>
      <c r="BR1013" s="106">
        <f>VLOOKUP(BP1013,[1]AGUA!$1:$1048576,6,FALSE)</f>
        <v/>
      </c>
      <c r="BS1013" s="106">
        <f>VLOOKUP(BP1013,[1]AGUA!$1:$1048576,7,FALSE)</f>
        <v/>
      </c>
      <c r="BT1013" s="106" t="n"/>
      <c r="BU1013" s="101" t="inlineStr">
        <is>
          <t>agregar tarea a ot</t>
        </is>
      </c>
      <c r="BV1013" s="105" t="n"/>
      <c r="BW1013" s="105" t="n"/>
      <c r="BX1013" s="105" t="n"/>
      <c r="BY1013" s="105" t="n"/>
      <c r="BZ1013" s="105" t="n"/>
      <c r="CA1013" s="105" t="n"/>
      <c r="CB1013" s="105" t="n"/>
      <c r="CC1013" s="105" t="n"/>
      <c r="CD1013" s="105" t="n"/>
      <c r="CE1013" s="105" t="n"/>
      <c r="CF1013" s="105" t="n"/>
      <c r="CG1013" s="105" t="n"/>
      <c r="CH1013" s="105" t="n"/>
      <c r="CI1013" s="209" t="n">
        <v>1</v>
      </c>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24">
        <f>+COUNTA(BV1013:CY1013)</f>
        <v/>
      </c>
      <c r="DA1013" s="251" t="n"/>
      <c r="DB1013" s="208" t="n"/>
      <c r="DC1013" s="251" t="n"/>
      <c r="DD1013" s="251" t="n"/>
      <c r="DE1013" s="213" t="n"/>
      <c r="DF1013" s="202" t="n"/>
      <c r="DG1013" s="209" t="n"/>
      <c r="DH1013" s="209" t="n"/>
      <c r="DI1013" s="251" t="n"/>
      <c r="DJ1013" s="251" t="n"/>
      <c r="DK1013" s="251" t="n"/>
      <c r="DL1013" s="95" t="n"/>
      <c r="DM1013" s="251" t="inlineStr">
        <is>
          <t>M</t>
        </is>
      </c>
      <c r="DN1013" s="95" t="n">
        <v>1</v>
      </c>
      <c r="DO1013" s="95" t="n">
        <v>14</v>
      </c>
    </row>
    <row r="1014" ht="13" customHeight="1">
      <c r="A1014" s="203" t="inlineStr">
        <is>
          <t>Estación 2</t>
        </is>
      </c>
      <c r="B1014" s="305" t="n"/>
      <c r="C1014" s="7" t="n"/>
      <c r="D1014" s="7" t="inlineStr">
        <is>
          <t>SI</t>
        </is>
      </c>
      <c r="E1014" s="7" t="inlineStr">
        <is>
          <t>SI</t>
        </is>
      </c>
      <c r="F1014" s="7" t="inlineStr">
        <is>
          <t>NO</t>
        </is>
      </c>
      <c r="G1014" s="7" t="inlineStr">
        <is>
          <t>NO</t>
        </is>
      </c>
      <c r="H1014" s="7" t="n">
        <v>536514</v>
      </c>
      <c r="I1014" s="7" t="n">
        <v>7670638</v>
      </c>
      <c r="J1014" s="7" t="inlineStr">
        <is>
          <t>Por implementar</t>
        </is>
      </c>
      <c r="K1014" s="7" t="inlineStr">
        <is>
          <t>-</t>
        </is>
      </c>
      <c r="L1014" s="7" t="inlineStr">
        <is>
          <t>Agua Superficial</t>
        </is>
      </c>
      <c r="M1014" s="7" t="inlineStr">
        <is>
          <t>Cordillera</t>
        </is>
      </c>
      <c r="N1014" s="7" t="inlineStr">
        <is>
          <t>Quebrada</t>
        </is>
      </c>
      <c r="O1014" s="7" t="inlineStr">
        <is>
          <t>Qda. Mal Paso</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t>
        </is>
      </c>
      <c r="BG1014" s="7" t="inlineStr">
        <is>
          <t>PSA</t>
        </is>
      </c>
      <c r="BH1014" s="7" t="inlineStr">
        <is>
          <t>RCA 20219900112</t>
        </is>
      </c>
      <c r="BI1014" s="7" t="n"/>
      <c r="BJ1014" s="7" t="n"/>
      <c r="BK1014" s="331" t="n"/>
      <c r="BL1014" s="61" t="n"/>
      <c r="BM1014" s="251" t="n"/>
      <c r="BN1014" s="337" t="n"/>
      <c r="BO1014" s="251" t="n"/>
      <c r="BP1014" s="251" t="n"/>
      <c r="BQ1014" s="106">
        <f>VLOOKUP(BP1014,[1]AGUA!$1:$1048576,2,FALSE)</f>
        <v/>
      </c>
      <c r="BR1014" s="106">
        <f>VLOOKUP(BP1014,[1]AGUA!$1:$1048576,6,FALSE)</f>
        <v/>
      </c>
      <c r="BS1014" s="106">
        <f>VLOOKUP(BP1014,[1]AGUA!$1:$1048576,7,FALSE)</f>
        <v/>
      </c>
      <c r="BT1014" s="106" t="n"/>
      <c r="BU1014" s="101" t="n"/>
      <c r="BV1014" s="105" t="n"/>
      <c r="BW1014" s="105" t="n"/>
      <c r="BX1014" s="105" t="n"/>
      <c r="BY1014" s="105" t="n"/>
      <c r="BZ1014" s="105" t="n"/>
      <c r="CA1014" s="105" t="n"/>
      <c r="CB1014" s="105" t="n"/>
      <c r="CC1014" s="105" t="n"/>
      <c r="CD1014" s="105" t="n"/>
      <c r="CE1014" s="105" t="n"/>
      <c r="CF1014" s="105" t="n"/>
      <c r="CG1014" s="105" t="n"/>
      <c r="CH1014" s="105"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24">
        <f>+COUNTA(BV1014:CY1014)</f>
        <v/>
      </c>
      <c r="DA1014" s="251" t="n"/>
      <c r="DB1014" s="251" t="n"/>
      <c r="DC1014" s="251" t="n"/>
      <c r="DD1014" s="251" t="n"/>
      <c r="DE1014" s="213" t="n"/>
      <c r="DF1014" s="251" t="n"/>
      <c r="DG1014" s="251" t="n"/>
      <c r="DH1014" s="251" t="n"/>
      <c r="DI1014" s="251" t="n"/>
      <c r="DJ1014" s="251" t="n"/>
      <c r="DK1014" s="251" t="n"/>
      <c r="DL1014" s="95" t="n"/>
      <c r="DM1014" s="251" t="n"/>
      <c r="DN1014" s="95" t="n"/>
      <c r="DO1014" s="95" t="n"/>
    </row>
    <row r="1015" ht="13" customHeight="1">
      <c r="A1015" s="203" t="inlineStr">
        <is>
          <t>Estación 3</t>
        </is>
      </c>
      <c r="B1015" s="203" t="inlineStr">
        <is>
          <t>Estación 4</t>
        </is>
      </c>
      <c r="C1015" s="203" t="inlineStr">
        <is>
          <t>Estación 5</t>
        </is>
      </c>
      <c r="D1015" s="203" t="inlineStr">
        <is>
          <t>Estación 6</t>
        </is>
      </c>
      <c r="E1015" s="203" t="inlineStr">
        <is>
          <t>Estación 7</t>
        </is>
      </c>
      <c r="F1015" s="203" t="inlineStr">
        <is>
          <t>Estación 8</t>
        </is>
      </c>
      <c r="G1015" s="203" t="inlineStr">
        <is>
          <t>Estación 9</t>
        </is>
      </c>
      <c r="H1015" s="203" t="inlineStr">
        <is>
          <t>Estación 10</t>
        </is>
      </c>
      <c r="I1015" s="203" t="inlineStr">
        <is>
          <t>Estación 11</t>
        </is>
      </c>
      <c r="J1015" s="203" t="inlineStr">
        <is>
          <t>Estación 12</t>
        </is>
      </c>
      <c r="K1015" s="203" t="inlineStr">
        <is>
          <t>Estación 13</t>
        </is>
      </c>
      <c r="L1015" s="203" t="inlineStr">
        <is>
          <t>Estación 14</t>
        </is>
      </c>
      <c r="M1015" s="203" t="inlineStr">
        <is>
          <t>Estación 15</t>
        </is>
      </c>
      <c r="N1015" s="203" t="inlineStr">
        <is>
          <t>Estación 16</t>
        </is>
      </c>
      <c r="O1015" s="203" t="inlineStr">
        <is>
          <t>Estación 17</t>
        </is>
      </c>
      <c r="P1015" s="203" t="inlineStr">
        <is>
          <t>Estación 18</t>
        </is>
      </c>
      <c r="Q1015" s="203" t="inlineStr">
        <is>
          <t>Estación 19</t>
        </is>
      </c>
      <c r="R1015" s="203" t="inlineStr">
        <is>
          <t>Estación 20</t>
        </is>
      </c>
      <c r="S1015" s="203" t="inlineStr">
        <is>
          <t>Estación 21</t>
        </is>
      </c>
      <c r="T1015" s="203" t="inlineStr">
        <is>
          <t>Estación 22</t>
        </is>
      </c>
      <c r="U1015" s="203" t="inlineStr">
        <is>
          <t>Estación 23</t>
        </is>
      </c>
      <c r="V1015" s="203" t="inlineStr">
        <is>
          <t>Estación 24</t>
        </is>
      </c>
      <c r="W1015" s="203" t="inlineStr">
        <is>
          <t>Estación 25</t>
        </is>
      </c>
      <c r="X1015" s="203" t="inlineStr">
        <is>
          <t>Estación 26</t>
        </is>
      </c>
      <c r="Y1015" s="203" t="inlineStr">
        <is>
          <t>Estación 27</t>
        </is>
      </c>
      <c r="Z1015" s="203" t="inlineStr">
        <is>
          <t>Estación 28</t>
        </is>
      </c>
      <c r="AA1015" s="203" t="inlineStr">
        <is>
          <t>Estación 29</t>
        </is>
      </c>
      <c r="AB1015" s="203" t="inlineStr">
        <is>
          <t>Estación 30</t>
        </is>
      </c>
      <c r="AC1015" s="203" t="inlineStr">
        <is>
          <t>Estación 31</t>
        </is>
      </c>
      <c r="AD1015" s="203" t="inlineStr">
        <is>
          <t>Estación 32</t>
        </is>
      </c>
      <c r="AE1015" s="203" t="inlineStr">
        <is>
          <t>Estación 33</t>
        </is>
      </c>
      <c r="AF1015" s="203" t="inlineStr">
        <is>
          <t>Estación 34</t>
        </is>
      </c>
      <c r="AG1015" s="203" t="inlineStr">
        <is>
          <t>Estación 35</t>
        </is>
      </c>
      <c r="AH1015" s="203" t="inlineStr">
        <is>
          <t>Estación 36</t>
        </is>
      </c>
      <c r="AI1015" s="203" t="inlineStr">
        <is>
          <t>Estación 37</t>
        </is>
      </c>
      <c r="AJ1015" s="203" t="inlineStr">
        <is>
          <t>Estación 38</t>
        </is>
      </c>
      <c r="AK1015" s="203" t="inlineStr">
        <is>
          <t>Estación 39</t>
        </is>
      </c>
      <c r="AL1015" s="203" t="inlineStr">
        <is>
          <t>Estación 40</t>
        </is>
      </c>
      <c r="AM1015" s="203" t="inlineStr">
        <is>
          <t>Estación 41</t>
        </is>
      </c>
      <c r="AN1015" s="203" t="inlineStr">
        <is>
          <t>Estación 42</t>
        </is>
      </c>
      <c r="AO1015" s="203" t="inlineStr">
        <is>
          <t>Estación 43</t>
        </is>
      </c>
      <c r="AP1015" s="203" t="inlineStr">
        <is>
          <t>Estación 44</t>
        </is>
      </c>
      <c r="AQ1015" s="203" t="inlineStr">
        <is>
          <t>Estación 45</t>
        </is>
      </c>
      <c r="AR1015" s="203" t="inlineStr">
        <is>
          <t>Estación 46</t>
        </is>
      </c>
      <c r="AS1015" s="203" t="inlineStr">
        <is>
          <t>Estación 47</t>
        </is>
      </c>
      <c r="AT1015" s="203" t="inlineStr">
        <is>
          <t>Estación 48</t>
        </is>
      </c>
      <c r="AU1015" s="203" t="inlineStr">
        <is>
          <t>Estación 49</t>
        </is>
      </c>
      <c r="AV1015" s="203" t="inlineStr">
        <is>
          <t>Estación 50</t>
        </is>
      </c>
      <c r="AW1015" s="203" t="inlineStr">
        <is>
          <t>Estación 51</t>
        </is>
      </c>
      <c r="AX1015" s="203" t="inlineStr">
        <is>
          <t>Estación 52</t>
        </is>
      </c>
      <c r="AY1015" s="203" t="inlineStr">
        <is>
          <t>Estación 53</t>
        </is>
      </c>
      <c r="AZ1015" s="203" t="inlineStr">
        <is>
          <t>Estación 54</t>
        </is>
      </c>
      <c r="BA1015" s="203" t="inlineStr">
        <is>
          <t>Estación 55</t>
        </is>
      </c>
      <c r="BB1015" s="203" t="inlineStr">
        <is>
          <t>Estación 56</t>
        </is>
      </c>
      <c r="BC1015" s="203" t="inlineStr">
        <is>
          <t>Estación 57</t>
        </is>
      </c>
      <c r="BD1015" s="203" t="inlineStr">
        <is>
          <t>Estación 58</t>
        </is>
      </c>
      <c r="BE1015" s="203" t="inlineStr">
        <is>
          <t>Estación 59</t>
        </is>
      </c>
      <c r="BF1015" s="203" t="inlineStr">
        <is>
          <t>Estación 60</t>
        </is>
      </c>
      <c r="BG1015" s="203" t="inlineStr">
        <is>
          <t>Estación 61</t>
        </is>
      </c>
      <c r="BH1015" s="203" t="inlineStr">
        <is>
          <t>Estación 62</t>
        </is>
      </c>
      <c r="BI1015" s="203" t="inlineStr">
        <is>
          <t>Estación 63</t>
        </is>
      </c>
      <c r="BJ1015" s="203" t="inlineStr">
        <is>
          <t>Estación 64</t>
        </is>
      </c>
      <c r="BK1015" s="338" t="inlineStr">
        <is>
          <t>532ZPQE006</t>
        </is>
      </c>
      <c r="BL1015" s="61" t="inlineStr">
        <is>
          <t>GMAP-SIGA</t>
        </is>
      </c>
      <c r="BM1015" s="251" t="inlineStr">
        <is>
          <t>CAUDAL</t>
        </is>
      </c>
      <c r="BN1015" s="337" t="inlineStr">
        <is>
          <t>Copaquire</t>
        </is>
      </c>
      <c r="BO1015" s="251" t="inlineStr">
        <is>
          <t>SI</t>
        </is>
      </c>
      <c r="BP1015" s="251" t="inlineStr">
        <is>
          <t>Estación 3/CAUDAL</t>
        </is>
      </c>
      <c r="BQ1015" s="106">
        <f>VLOOKUP(BP1015,[1]AGUA!$1:$1048576,2,FALSE)</f>
        <v/>
      </c>
      <c r="BR1015" s="106">
        <f>VLOOKUP(BP1015,[1]AGUA!$1:$1048576,6,FALSE)</f>
        <v/>
      </c>
      <c r="BS1015" s="106">
        <f>VLOOKUP(BP1015,[1]AGUA!$1:$1048576,7,FALSE)</f>
        <v/>
      </c>
      <c r="BT1015" s="106" t="n"/>
      <c r="BU1015" s="101" t="n"/>
      <c r="BV1015" s="105" t="n"/>
      <c r="BW1015" s="105" t="n"/>
      <c r="BX1015" s="105" t="n"/>
      <c r="BY1015" s="105" t="n"/>
      <c r="BZ1015" s="105" t="n"/>
      <c r="CA1015" s="105" t="n"/>
      <c r="CB1015" s="105" t="n"/>
      <c r="CC1015" s="105" t="n"/>
      <c r="CD1015" s="105" t="n"/>
      <c r="CE1015" s="105" t="n"/>
      <c r="CF1015" s="105" t="n"/>
      <c r="CG1015" s="105" t="n"/>
      <c r="CH1015" s="105" t="n"/>
      <c r="CI1015" s="105" t="n"/>
      <c r="CJ1015" s="105" t="n"/>
      <c r="CK1015" s="105" t="n"/>
      <c r="CL1015" s="105" t="n"/>
      <c r="CM1015" s="105" t="n"/>
      <c r="CN1015" s="105" t="n"/>
      <c r="CO1015" s="105" t="n"/>
      <c r="CP1015" s="105" t="n"/>
      <c r="CQ1015" s="105" t="n"/>
      <c r="CR1015" s="105" t="n"/>
      <c r="CS1015" s="105" t="n"/>
      <c r="CT1015" s="105" t="n"/>
      <c r="CU1015" s="105" t="n"/>
      <c r="CV1015" s="105" t="n"/>
      <c r="CW1015" s="142" t="n">
        <v>1</v>
      </c>
      <c r="CX1015" s="105" t="n"/>
      <c r="CY1015" s="105" t="n"/>
      <c r="CZ1015" s="124">
        <f>+COUNTA(BV1015:CY1015)</f>
        <v/>
      </c>
      <c r="DA1015" s="251" t="n"/>
      <c r="DB1015" s="251" t="n"/>
      <c r="DC1015" s="251" t="n"/>
      <c r="DD1015" s="251" t="n"/>
      <c r="DE1015" s="213" t="n"/>
      <c r="DF1015" s="251" t="n"/>
      <c r="DG1015" s="251" t="n"/>
      <c r="DH1015" s="251" t="n"/>
      <c r="DI1015" s="251" t="n"/>
      <c r="DJ1015" s="251" t="inlineStr">
        <is>
          <t>M</t>
        </is>
      </c>
      <c r="DK1015" s="251" t="n">
        <v>22</v>
      </c>
      <c r="DL1015" s="95" t="n">
        <v>28</v>
      </c>
      <c r="DM1015" s="251" t="n"/>
      <c r="DN1015" s="95" t="n"/>
      <c r="DO1015" s="95" t="n"/>
    </row>
    <row r="1016" ht="13" customHeight="1">
      <c r="A1016" s="203" t="inlineStr">
        <is>
          <t>Estación 3</t>
        </is>
      </c>
      <c r="B1016" s="305" t="n"/>
      <c r="C1016" s="7" t="n"/>
      <c r="D1016" s="7" t="n"/>
      <c r="E1016" s="7" t="n"/>
      <c r="F1016" s="7" t="n"/>
      <c r="G1016" s="7" t="n"/>
      <c r="H1016" s="7" t="n"/>
      <c r="I1016" s="7" t="n"/>
      <c r="J1016" s="7" t="n"/>
      <c r="K1016" s="7" t="n"/>
      <c r="L1016" s="7" t="n"/>
      <c r="M1016" s="7" t="n"/>
      <c r="N1016" s="7" t="n"/>
      <c r="O1016" s="7" t="n"/>
      <c r="P1016" s="7" t="n"/>
      <c r="Q1016" s="7" t="n"/>
      <c r="R1016" s="7" t="n"/>
      <c r="S1016" s="7" t="n"/>
      <c r="T1016" s="7" t="n"/>
      <c r="U1016" s="7" t="n"/>
      <c r="V1016" s="7" t="n"/>
      <c r="W1016" s="7" t="n"/>
      <c r="X1016" s="7" t="n"/>
      <c r="Y1016" s="7" t="n"/>
      <c r="Z1016" s="7" t="n"/>
      <c r="AA1016" s="7" t="n"/>
      <c r="AB1016" s="7" t="n"/>
      <c r="AC1016" s="7" t="n"/>
      <c r="AD1016" s="7" t="n"/>
      <c r="AE1016" s="7" t="n"/>
      <c r="AF1016" s="7" t="n"/>
      <c r="AG1016" s="7" t="n"/>
      <c r="AH1016" s="7" t="n"/>
      <c r="AI1016" s="7" t="n"/>
      <c r="AJ1016" s="7" t="n"/>
      <c r="AK1016" s="60" t="n"/>
      <c r="AL1016" s="7" t="n"/>
      <c r="AM1016" s="7" t="n"/>
      <c r="AN1016" s="60" t="n"/>
      <c r="AO1016" s="7" t="n"/>
      <c r="AP1016" s="60" t="n"/>
      <c r="AQ1016" s="7" t="n"/>
      <c r="AR1016" s="60" t="n"/>
      <c r="AS1016" s="7" t="n"/>
      <c r="AT1016" s="7" t="n"/>
      <c r="AU1016" s="7" t="n"/>
      <c r="AV1016" s="60" t="n"/>
      <c r="AW1016" s="7" t="n"/>
      <c r="AX1016" s="7" t="n"/>
      <c r="AY1016" s="7" t="n"/>
      <c r="AZ1016" s="7" t="n"/>
      <c r="BA1016" s="7" t="n"/>
      <c r="BB1016" s="7" t="n"/>
      <c r="BC1016" s="7" t="n"/>
      <c r="BD1016" s="7" t="n"/>
      <c r="BE1016" s="7" t="n"/>
      <c r="BF1016" s="7" t="n"/>
      <c r="BG1016" s="7" t="n"/>
      <c r="BH1016" s="7" t="n"/>
      <c r="BI1016" s="7" t="n"/>
      <c r="BJ1016" s="7" t="n"/>
      <c r="BK1016" s="376" t="n"/>
      <c r="BL1016" s="61" t="inlineStr">
        <is>
          <t>GMAP-SIGA</t>
        </is>
      </c>
      <c r="BM1016" s="251" t="inlineStr">
        <is>
          <t>ASUP</t>
        </is>
      </c>
      <c r="BN1016" s="337" t="inlineStr">
        <is>
          <t>Copaquire</t>
        </is>
      </c>
      <c r="BO1016" s="251" t="inlineStr">
        <is>
          <t>SI</t>
        </is>
      </c>
      <c r="BP1016" s="251" t="inlineStr">
        <is>
          <t>Estación 3/ASUP</t>
        </is>
      </c>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7" t="n">
        <v>1</v>
      </c>
      <c r="CX1016" s="105" t="n"/>
      <c r="CY1016" s="105" t="n"/>
      <c r="CZ1016" s="124">
        <f>+COUNTA(BV1016:CY1016)</f>
        <v/>
      </c>
      <c r="DA1016" s="251" t="n"/>
      <c r="DB1016" s="251" t="n"/>
      <c r="DC1016" s="251" t="n"/>
      <c r="DD1016" s="251" t="n"/>
      <c r="DE1016" s="213" t="n"/>
      <c r="DF1016" s="251" t="n"/>
      <c r="DG1016" s="251" t="n"/>
      <c r="DH1016" s="251" t="n"/>
      <c r="DI1016" s="251" t="n"/>
      <c r="DJ1016" s="251" t="n"/>
      <c r="DK1016" s="251" t="n"/>
      <c r="DL1016" s="95" t="n"/>
      <c r="DM1016" s="251" t="inlineStr">
        <is>
          <t>M</t>
        </is>
      </c>
      <c r="DN1016" s="95" t="n">
        <v>22</v>
      </c>
      <c r="DO1016" s="95" t="n">
        <v>28</v>
      </c>
    </row>
    <row r="1017" ht="13" customHeight="1">
      <c r="A1017" s="203" t="inlineStr">
        <is>
          <t>Estanque recolección abastecimiento medida reposición MM1</t>
        </is>
      </c>
      <c r="B1017" s="305" t="n"/>
      <c r="C1017" s="7" t="n"/>
      <c r="D1017" s="7" t="inlineStr">
        <is>
          <t>SI</t>
        </is>
      </c>
      <c r="E1017" s="7" t="inlineStr">
        <is>
          <t>SI</t>
        </is>
      </c>
      <c r="F1017" s="7" t="inlineStr">
        <is>
          <t>NO</t>
        </is>
      </c>
      <c r="G1017" s="7" t="inlineStr">
        <is>
          <t>NO</t>
        </is>
      </c>
      <c r="H1017" s="7" t="n">
        <v>530800</v>
      </c>
      <c r="I1017" s="7" t="n">
        <v>7681000</v>
      </c>
      <c r="J1017" s="7" t="inlineStr">
        <is>
          <t>Por implementar</t>
        </is>
      </c>
      <c r="K1017" s="7" t="inlineStr">
        <is>
          <t>-</t>
        </is>
      </c>
      <c r="L1017" s="7" t="inlineStr">
        <is>
          <t>Agua Subterránea</t>
        </is>
      </c>
      <c r="M1017" s="7" t="inlineStr">
        <is>
          <t>Cordillera</t>
        </is>
      </c>
      <c r="N1017" s="7" t="inlineStr">
        <is>
          <t>Fuente Restitución Caudal</t>
        </is>
      </c>
      <c r="O1017" s="7" t="inlineStr">
        <is>
          <t>Rajo Rosario</t>
        </is>
      </c>
      <c r="P1017" s="7" t="inlineStr">
        <is>
          <t>NO</t>
        </is>
      </c>
      <c r="Q1017" s="7" t="inlineStr">
        <is>
          <t>-</t>
        </is>
      </c>
      <c r="R1017" s="7" t="inlineStr">
        <is>
          <t>-</t>
        </is>
      </c>
      <c r="S1017" s="7" t="inlineStr">
        <is>
          <t>-</t>
        </is>
      </c>
      <c r="T1017" s="7" t="inlineStr">
        <is>
          <t>NO</t>
        </is>
      </c>
      <c r="U1017" s="7" t="inlineStr">
        <is>
          <t>-</t>
        </is>
      </c>
      <c r="V1017" s="7" t="inlineStr">
        <is>
          <t>NO</t>
        </is>
      </c>
      <c r="W1017" s="7" t="inlineStr">
        <is>
          <t>-</t>
        </is>
      </c>
      <c r="X1017" s="7" t="inlineStr">
        <is>
          <t>NO</t>
        </is>
      </c>
      <c r="Y1017" s="7" t="inlineStr">
        <is>
          <t>-</t>
        </is>
      </c>
      <c r="Z1017" s="7" t="inlineStr">
        <is>
          <t>NO</t>
        </is>
      </c>
      <c r="AA1017" s="7" t="inlineStr">
        <is>
          <t>-</t>
        </is>
      </c>
      <c r="AB1017" s="7" t="inlineStr">
        <is>
          <t>NO</t>
        </is>
      </c>
      <c r="AC1017" s="7" t="inlineStr">
        <is>
          <t>-</t>
        </is>
      </c>
      <c r="AD1017" s="7" t="inlineStr">
        <is>
          <t>NO</t>
        </is>
      </c>
      <c r="AE1017" s="7" t="inlineStr">
        <is>
          <t>-</t>
        </is>
      </c>
      <c r="AF1017" s="7" t="inlineStr">
        <is>
          <t>-</t>
        </is>
      </c>
      <c r="AG1017" s="7" t="inlineStr">
        <is>
          <t>NO</t>
        </is>
      </c>
      <c r="AH1017" s="7" t="inlineStr">
        <is>
          <t>-</t>
        </is>
      </c>
      <c r="AI1017" s="7" t="inlineStr">
        <is>
          <t>NO</t>
        </is>
      </c>
      <c r="AJ1017" s="7" t="inlineStr">
        <is>
          <t>-</t>
        </is>
      </c>
      <c r="AK1017" s="60" t="inlineStr">
        <is>
          <t>Plan base + T° + Nitritos + amonio</t>
        </is>
      </c>
      <c r="AL1017" s="7" t="inlineStr">
        <is>
          <t>Mensual</t>
        </is>
      </c>
      <c r="AM1017" s="7" t="inlineStr">
        <is>
          <t>-</t>
        </is>
      </c>
      <c r="AN1017" s="60" t="inlineStr">
        <is>
          <t>NO</t>
        </is>
      </c>
      <c r="AO1017" s="7" t="inlineStr">
        <is>
          <t>-</t>
        </is>
      </c>
      <c r="AP1017" s="60" t="inlineStr">
        <is>
          <t>NO</t>
        </is>
      </c>
      <c r="AQ1017" s="7" t="inlineStr">
        <is>
          <t>-</t>
        </is>
      </c>
      <c r="AR1017" s="60" t="inlineStr">
        <is>
          <t>NO</t>
        </is>
      </c>
      <c r="AS1017" s="7" t="inlineStr">
        <is>
          <t>-</t>
        </is>
      </c>
      <c r="AT1017" s="7" t="inlineStr">
        <is>
          <t>SI</t>
        </is>
      </c>
      <c r="AU1017" s="7" t="inlineStr">
        <is>
          <t>Mensual</t>
        </is>
      </c>
      <c r="AV1017" s="60" t="inlineStr">
        <is>
          <t>NO</t>
        </is>
      </c>
      <c r="AW1017" s="7" t="inlineStr">
        <is>
          <t>-</t>
        </is>
      </c>
      <c r="AX1017" s="7" t="inlineStr">
        <is>
          <t>NO</t>
        </is>
      </c>
      <c r="AY1017" s="7" t="inlineStr">
        <is>
          <t>-</t>
        </is>
      </c>
      <c r="AZ1017" s="7" t="inlineStr">
        <is>
          <t>NO</t>
        </is>
      </c>
      <c r="BA1017" s="7" t="inlineStr">
        <is>
          <t>-</t>
        </is>
      </c>
      <c r="BB1017" s="7" t="inlineStr">
        <is>
          <t>NO</t>
        </is>
      </c>
      <c r="BC1017" s="7" t="inlineStr">
        <is>
          <t>-</t>
        </is>
      </c>
      <c r="BD1017" s="7" t="inlineStr">
        <is>
          <t>NO</t>
        </is>
      </c>
      <c r="BE1017" s="7" t="inlineStr">
        <is>
          <t>-</t>
        </is>
      </c>
      <c r="BF1017" s="7" t="inlineStr">
        <is>
          <t>SMA</t>
        </is>
      </c>
      <c r="BG1017" s="7" t="inlineStr">
        <is>
          <t>PSA</t>
        </is>
      </c>
      <c r="BH1017" s="7" t="inlineStr">
        <is>
          <t>RCA 20219900112</t>
        </is>
      </c>
      <c r="BI1017" s="7" t="n"/>
      <c r="BJ1017" s="7" t="n"/>
      <c r="BK1017" s="331" t="n"/>
      <c r="BL1017" s="61" t="n"/>
      <c r="BM1017" s="251" t="n"/>
      <c r="BN1017" s="337" t="n"/>
      <c r="BO1017" s="251" t="n"/>
      <c r="BP1017" s="251" t="n"/>
      <c r="BQ1017" s="106">
        <f>VLOOKUP(BP1017,[1]AGUA!$1:$1048576,2,FALSE)</f>
        <v/>
      </c>
      <c r="BR1017" s="106">
        <f>VLOOKUP(BP1017,[1]AGUA!$1:$1048576,6,FALSE)</f>
        <v/>
      </c>
      <c r="BS1017" s="106">
        <f>VLOOKUP(BP1017,[1]AGUA!$1:$1048576,7,FALSE)</f>
        <v/>
      </c>
      <c r="BT1017" s="106" t="n"/>
      <c r="BU1017" s="101" t="n"/>
      <c r="BV1017" s="105" t="n"/>
      <c r="BW1017" s="105" t="n"/>
      <c r="BX1017" s="105" t="n"/>
      <c r="BY1017" s="105"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05" t="n"/>
      <c r="CV1017" s="105" t="n"/>
      <c r="CW1017" s="105" t="n"/>
      <c r="CX1017" s="105" t="n"/>
      <c r="CY1017" s="105" t="n"/>
      <c r="CZ1017" s="124">
        <f>+COUNTA(BV1017:CY1017)</f>
        <v/>
      </c>
      <c r="DA1017" s="251" t="n"/>
      <c r="DB1017" s="251" t="n"/>
      <c r="DC1017" s="251" t="n"/>
      <c r="DD1017" s="251" t="n"/>
      <c r="DE1017" s="251" t="n"/>
      <c r="DF1017" s="251" t="n"/>
      <c r="DG1017" s="251" t="n"/>
      <c r="DH1017" s="251" t="n"/>
      <c r="DI1017" s="251" t="n"/>
      <c r="DJ1017" s="251" t="n"/>
      <c r="DK1017" s="251" t="n"/>
      <c r="DL1017" s="95" t="n"/>
      <c r="DM1017" s="251" t="n"/>
      <c r="DN1017" s="95" t="n"/>
      <c r="DO1017" s="95" t="n"/>
    </row>
    <row r="1018" ht="13" customHeight="1">
      <c r="A1018" s="203" t="inlineStr">
        <is>
          <t>Extracciones del Rajo Rosario</t>
        </is>
      </c>
      <c r="B1018" s="305" t="n"/>
      <c r="C1018" s="7" t="n"/>
      <c r="D1018" s="7" t="inlineStr">
        <is>
          <t>SI</t>
        </is>
      </c>
      <c r="E1018" s="7" t="inlineStr">
        <is>
          <t>SI</t>
        </is>
      </c>
      <c r="F1018" s="7" t="inlineStr">
        <is>
          <t>NO</t>
        </is>
      </c>
      <c r="G1018" s="7" t="inlineStr">
        <is>
          <t>NO</t>
        </is>
      </c>
      <c r="H1018" s="7" t="n">
        <v>530835</v>
      </c>
      <c r="I1018" s="7" t="n">
        <v>7681082</v>
      </c>
      <c r="J1018" s="7" t="inlineStr">
        <is>
          <t>Construido</t>
        </is>
      </c>
      <c r="K1018" s="7" t="inlineStr">
        <is>
          <t>-</t>
        </is>
      </c>
      <c r="L1018" s="7" t="inlineStr">
        <is>
          <t>Agua Subterránea</t>
        </is>
      </c>
      <c r="M1018" s="7" t="inlineStr">
        <is>
          <t>Cordillera</t>
        </is>
      </c>
      <c r="N1018" s="7" t="inlineStr">
        <is>
          <t>Sistema de Extracción</t>
        </is>
      </c>
      <c r="O1018" s="7" t="inlineStr">
        <is>
          <t>Rajo Rosario</t>
        </is>
      </c>
      <c r="P1018" s="7" t="inlineStr">
        <is>
          <t>NO</t>
        </is>
      </c>
      <c r="Q1018" s="7" t="inlineStr">
        <is>
          <t>-</t>
        </is>
      </c>
      <c r="R1018" s="7" t="inlineStr">
        <is>
          <t>-</t>
        </is>
      </c>
      <c r="S1018" s="7" t="inlineStr">
        <is>
          <t>-</t>
        </is>
      </c>
      <c r="T1018" s="7" t="inlineStr">
        <is>
          <t>NO</t>
        </is>
      </c>
      <c r="U1018" s="7" t="inlineStr">
        <is>
          <t>-</t>
        </is>
      </c>
      <c r="V1018" s="7" t="inlineStr">
        <is>
          <t>NO</t>
        </is>
      </c>
      <c r="W1018" s="7" t="inlineStr">
        <is>
          <t>-</t>
        </is>
      </c>
      <c r="X1018" s="7" t="inlineStr">
        <is>
          <t>SI</t>
        </is>
      </c>
      <c r="Y1018" s="7" t="inlineStr">
        <is>
          <t>Continuo</t>
        </is>
      </c>
      <c r="Z1018" s="7" t="inlineStr">
        <is>
          <t>NO</t>
        </is>
      </c>
      <c r="AA1018" s="7" t="inlineStr">
        <is>
          <t>-</t>
        </is>
      </c>
      <c r="AB1018" s="7" t="inlineStr">
        <is>
          <t>SI</t>
        </is>
      </c>
      <c r="AC1018" s="7" t="inlineStr">
        <is>
          <t>Continuo</t>
        </is>
      </c>
      <c r="AD1018" s="7" t="inlineStr">
        <is>
          <t>NO</t>
        </is>
      </c>
      <c r="AE1018" s="7" t="inlineStr">
        <is>
          <t>-</t>
        </is>
      </c>
      <c r="AF1018" s="7" t="inlineStr">
        <is>
          <t>-</t>
        </is>
      </c>
      <c r="AG1018" s="7" t="inlineStr">
        <is>
          <t>NO</t>
        </is>
      </c>
      <c r="AH1018" s="7" t="inlineStr">
        <is>
          <t>-</t>
        </is>
      </c>
      <c r="AI1018" s="7" t="inlineStr">
        <is>
          <t>NO</t>
        </is>
      </c>
      <c r="AJ1018" s="7" t="inlineStr">
        <is>
          <t>-</t>
        </is>
      </c>
      <c r="AK1018" s="60" t="inlineStr">
        <is>
          <t>NO</t>
        </is>
      </c>
      <c r="AL1018" s="7" t="inlineStr">
        <is>
          <t>-</t>
        </is>
      </c>
      <c r="AM1018" s="7" t="inlineStr">
        <is>
          <t>-</t>
        </is>
      </c>
      <c r="AN1018" s="60" t="inlineStr">
        <is>
          <t>NO</t>
        </is>
      </c>
      <c r="AO1018" s="7" t="inlineStr">
        <is>
          <t>-</t>
        </is>
      </c>
      <c r="AP1018" s="60" t="inlineStr">
        <is>
          <t>NO</t>
        </is>
      </c>
      <c r="AQ1018" s="7" t="inlineStr">
        <is>
          <t>-</t>
        </is>
      </c>
      <c r="AR1018" s="60" t="inlineStr">
        <is>
          <t>NO</t>
        </is>
      </c>
      <c r="AS1018" s="7" t="inlineStr">
        <is>
          <t>-</t>
        </is>
      </c>
      <c r="AT1018" s="7" t="inlineStr">
        <is>
          <t>NO</t>
        </is>
      </c>
      <c r="AU1018" s="7" t="inlineStr">
        <is>
          <t>-</t>
        </is>
      </c>
      <c r="AV1018" s="60" t="inlineStr">
        <is>
          <t>NO</t>
        </is>
      </c>
      <c r="AW1018" s="7" t="inlineStr">
        <is>
          <t>-</t>
        </is>
      </c>
      <c r="AX1018" s="7" t="inlineStr">
        <is>
          <t>NO</t>
        </is>
      </c>
      <c r="AY1018" s="7" t="inlineStr">
        <is>
          <t>-</t>
        </is>
      </c>
      <c r="AZ1018" s="7" t="inlineStr">
        <is>
          <t>NO</t>
        </is>
      </c>
      <c r="BA1018" s="7" t="inlineStr">
        <is>
          <t>-</t>
        </is>
      </c>
      <c r="BB1018" s="7" t="inlineStr">
        <is>
          <t>NO</t>
        </is>
      </c>
      <c r="BC1018" s="7" t="inlineStr">
        <is>
          <t>-</t>
        </is>
      </c>
      <c r="BD1018" s="7" t="inlineStr">
        <is>
          <t>NO</t>
        </is>
      </c>
      <c r="BE1018" s="7" t="inlineStr">
        <is>
          <t>-</t>
        </is>
      </c>
      <c r="BF1018" s="7" t="inlineStr">
        <is>
          <t>SMA</t>
        </is>
      </c>
      <c r="BG1018" s="7" t="inlineStr">
        <is>
          <t>PSA</t>
        </is>
      </c>
      <c r="BH1018" s="7" t="inlineStr">
        <is>
          <t>RCA 20219900112</t>
        </is>
      </c>
      <c r="BI1018" s="7" t="n"/>
      <c r="BJ1018" s="7" t="n"/>
      <c r="BK1018" s="331" t="n"/>
      <c r="BL1018" s="61" t="n"/>
      <c r="BM1018" s="251" t="n"/>
      <c r="BN1018" s="337" t="n"/>
      <c r="BO1018" s="251" t="n"/>
      <c r="BP1018" s="251" t="n"/>
      <c r="BQ1018" s="106">
        <f>VLOOKUP(BP1018,[1]AGUA!$1:$1048576,2,FALSE)</f>
        <v/>
      </c>
      <c r="BR1018" s="106">
        <f>VLOOKUP(BP1018,[1]AGUA!$1:$1048576,6,FALSE)</f>
        <v/>
      </c>
      <c r="BS1018" s="106">
        <f>VLOOKUP(BP1018,[1]AGUA!$1:$1048576,7,FALSE)</f>
        <v/>
      </c>
      <c r="BT1018" s="106" t="n"/>
      <c r="BU1018" s="101" t="n"/>
      <c r="BV1018" s="105" t="n"/>
      <c r="BW1018" s="105" t="n"/>
      <c r="BX1018" s="105" t="n"/>
      <c r="BY1018" s="105"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05" t="n"/>
      <c r="CV1018" s="105" t="n"/>
      <c r="CW1018" s="105" t="n"/>
      <c r="CX1018" s="105" t="n"/>
      <c r="CY1018" s="105" t="n"/>
      <c r="CZ1018" s="124">
        <f>+COUNTA(BV1018:CY1018)</f>
        <v/>
      </c>
      <c r="DA1018" s="251" t="n"/>
      <c r="DB1018" s="251" t="n"/>
      <c r="DC1018" s="251" t="n"/>
      <c r="DD1018" s="251" t="n"/>
      <c r="DE1018" s="251" t="n"/>
      <c r="DF1018" s="251" t="n"/>
      <c r="DG1018" s="251" t="n"/>
      <c r="DH1018" s="251" t="n"/>
      <c r="DI1018" s="251" t="n"/>
      <c r="DJ1018" s="251" t="n"/>
      <c r="DK1018" s="251" t="n"/>
      <c r="DL1018" s="95" t="n"/>
      <c r="DM1018" s="251" t="n"/>
      <c r="DN1018" s="95" t="n"/>
      <c r="DO1018" s="95" t="n"/>
    </row>
    <row r="1019" ht="13" customHeight="1">
      <c r="A1019" s="203" t="inlineStr">
        <is>
          <t>Huinquintipa arriba (QDH-02)</t>
        </is>
      </c>
      <c r="B1019" s="305" t="n"/>
      <c r="C1019" s="7" t="n"/>
      <c r="D1019" s="7" t="inlineStr">
        <is>
          <t>SI</t>
        </is>
      </c>
      <c r="E1019" s="7" t="inlineStr">
        <is>
          <t>SI</t>
        </is>
      </c>
      <c r="F1019" s="7" t="inlineStr">
        <is>
          <t>NO</t>
        </is>
      </c>
      <c r="G1019" s="7" t="inlineStr">
        <is>
          <t>NO</t>
        </is>
      </c>
      <c r="H1019" s="7" t="n">
        <v>523853</v>
      </c>
      <c r="I1019" s="7" t="n">
        <v>7681519</v>
      </c>
      <c r="J1019" s="7" t="inlineStr">
        <is>
          <t>Por implementar</t>
        </is>
      </c>
      <c r="K1019" s="7" t="inlineStr">
        <is>
          <t>-</t>
        </is>
      </c>
      <c r="L1019" s="7" t="inlineStr">
        <is>
          <t>Agua Superficial</t>
        </is>
      </c>
      <c r="M1019" s="7" t="inlineStr">
        <is>
          <t>Cordillera</t>
        </is>
      </c>
      <c r="N1019" s="7" t="inlineStr">
        <is>
          <t>Punto Restitución Caudal</t>
        </is>
      </c>
      <c r="O1019" s="7" t="inlineStr">
        <is>
          <t>Huinquintipa</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SI</t>
        </is>
      </c>
      <c r="AE1019" s="7" t="inlineStr">
        <is>
          <t>-</t>
        </is>
      </c>
      <c r="AF1019" s="7" t="inlineStr">
        <is>
          <t>Flujómetro</t>
        </is>
      </c>
      <c r="AG1019" s="7" t="inlineStr">
        <is>
          <t>NO</t>
        </is>
      </c>
      <c r="AH1019" s="7" t="inlineStr">
        <is>
          <t>-</t>
        </is>
      </c>
      <c r="AI1019" s="7" t="inlineStr">
        <is>
          <t>SI</t>
        </is>
      </c>
      <c r="AJ1019" s="7" t="inlineStr">
        <is>
          <t>Flujómetro</t>
        </is>
      </c>
      <c r="AK1019" s="60" t="inlineStr">
        <is>
          <t>NO</t>
        </is>
      </c>
      <c r="AL1019" s="7" t="inlineStr">
        <is>
          <t>-</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NO</t>
        </is>
      </c>
      <c r="AU1019" s="7" t="inlineStr">
        <is>
          <t>-</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 - Comunidad Tamentica</t>
        </is>
      </c>
      <c r="BG1019" s="7" t="inlineStr">
        <is>
          <t>PAF Tamentica - PSA</t>
        </is>
      </c>
      <c r="BH1019" s="7" t="inlineStr">
        <is>
          <t>RCA 20219900112</t>
        </is>
      </c>
      <c r="BI1019" s="7" t="inlineStr">
        <is>
          <t>1. Quebrada con restitución de agua desde el estanque de recolección MM1
2. Plazo de entrega de los informes de laboratorio a la asociación: 1 mes despues de realizada la campaña de terreno
3. Informe Anual</t>
        </is>
      </c>
      <c r="BJ1019" s="7" t="n"/>
      <c r="BK1019" s="331" t="n"/>
      <c r="BL1019" s="61" t="n"/>
      <c r="BM1019" s="251" t="n"/>
      <c r="BN1019" s="337" t="n"/>
      <c r="BO1019" s="251" t="n"/>
      <c r="BP1019" s="251"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24">
        <f>+COUNTA(BV1019:CY1019)</f>
        <v/>
      </c>
      <c r="DA1019" s="251" t="n"/>
      <c r="DB1019" s="208" t="n"/>
      <c r="DC1019" s="251" t="n"/>
      <c r="DD1019" s="251" t="n"/>
      <c r="DE1019" s="251" t="n"/>
      <c r="DF1019" s="251" t="n"/>
      <c r="DG1019" s="209" t="n"/>
      <c r="DH1019" s="209" t="n"/>
      <c r="DI1019" s="251" t="n"/>
      <c r="DJ1019" s="251" t="n"/>
      <c r="DK1019" s="251" t="n"/>
      <c r="DL1019" s="95" t="n"/>
      <c r="DM1019" s="251" t="n"/>
      <c r="DN1019" s="95" t="n"/>
      <c r="DO1019" s="95" t="n"/>
    </row>
    <row r="1020" ht="13" customHeight="1">
      <c r="A1020" s="203" t="inlineStr">
        <is>
          <t>LC</t>
        </is>
      </c>
      <c r="B1020" s="305" t="n"/>
      <c r="C1020" s="7" t="n"/>
      <c r="D1020" s="7" t="inlineStr">
        <is>
          <t>SI</t>
        </is>
      </c>
      <c r="E1020" s="7" t="inlineStr">
        <is>
          <t>SI</t>
        </is>
      </c>
      <c r="F1020" s="7" t="inlineStr">
        <is>
          <t>SI</t>
        </is>
      </c>
      <c r="G1020" s="7" t="inlineStr">
        <is>
          <t>NO</t>
        </is>
      </c>
      <c r="H1020" s="7" t="inlineStr">
        <is>
          <t>Laguna</t>
        </is>
      </c>
      <c r="I1020" s="7" t="inlineStr">
        <is>
          <t>Laguna</t>
        </is>
      </c>
      <c r="J1020" s="7" t="inlineStr">
        <is>
          <t>Construido</t>
        </is>
      </c>
      <c r="K1020" s="7" t="inlineStr">
        <is>
          <t>-</t>
        </is>
      </c>
      <c r="L1020" s="7" t="inlineStr">
        <is>
          <t>Agua Superficial</t>
        </is>
      </c>
      <c r="M1020" s="7" t="inlineStr">
        <is>
          <t>Cordillera</t>
        </is>
      </c>
      <c r="N1020" s="7" t="inlineStr">
        <is>
          <t>Laguna</t>
        </is>
      </c>
      <c r="O1020" s="7" t="inlineStr">
        <is>
          <t>Coposa (Laguna Jachucoposa)</t>
        </is>
      </c>
      <c r="P1020" s="7" t="inlineStr">
        <is>
          <t>NO</t>
        </is>
      </c>
      <c r="Q1020" s="7" t="inlineStr">
        <is>
          <t>-</t>
        </is>
      </c>
      <c r="R1020" s="7" t="inlineStr">
        <is>
          <t>-</t>
        </is>
      </c>
      <c r="S1020" s="7" t="inlineStr">
        <is>
          <t>-</t>
        </is>
      </c>
      <c r="T1020" s="7" t="inlineStr">
        <is>
          <t>SI</t>
        </is>
      </c>
      <c r="U1020" s="7" t="inlineStr">
        <is>
          <t>Continuo</t>
        </is>
      </c>
      <c r="V1020" s="7" t="inlineStr">
        <is>
          <t>SI</t>
        </is>
      </c>
      <c r="W1020" s="7" t="inlineStr">
        <is>
          <t>Continuo</t>
        </is>
      </c>
      <c r="X1020" s="7" t="inlineStr">
        <is>
          <t>NO</t>
        </is>
      </c>
      <c r="Y1020" s="7" t="inlineStr">
        <is>
          <t>-</t>
        </is>
      </c>
      <c r="Z1020" s="7" t="inlineStr">
        <is>
          <t>NO</t>
        </is>
      </c>
      <c r="AA1020" s="7" t="inlineStr">
        <is>
          <t>-</t>
        </is>
      </c>
      <c r="AB1020" s="7" t="inlineStr">
        <is>
          <t>NO</t>
        </is>
      </c>
      <c r="AC1020" s="7" t="inlineStr">
        <is>
          <t>-</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Pluviometría y evaporación
Nivel y superficie
Mapas de Iso-CE, iso-temperatura, Iso pH 3D</t>
        </is>
      </c>
      <c r="AW1020" s="7" t="inlineStr">
        <is>
          <t>Pluviometría y evaporación: diario
Nivel y superficie: Continuo
Mapas de Iso-CE, iso-temperatura, Iso pH 3D: Trimestral</t>
        </is>
      </c>
      <c r="AX1020" s="7" t="inlineStr">
        <is>
          <t>Superficie</t>
        </is>
      </c>
      <c r="AY1020" s="7" t="inlineStr">
        <is>
          <t>Continuo</t>
        </is>
      </c>
      <c r="AZ1020" s="7" t="inlineStr">
        <is>
          <t xml:space="preserve">Pluviometria, Evaporacion, Lisimetro </t>
        </is>
      </c>
      <c r="BA1020" s="7" t="inlineStr">
        <is>
          <t>S/I</t>
        </is>
      </c>
      <c r="BB1020" s="7" t="inlineStr">
        <is>
          <t xml:space="preserve">Mapas de iso-CE, iso-temperatura, iso-pH 3D, </t>
        </is>
      </c>
      <c r="BC1020" s="7" t="inlineStr">
        <is>
          <t>Trimestral</t>
        </is>
      </c>
      <c r="BD1020" s="7" t="inlineStr">
        <is>
          <t>Pluviometría y evaporación
Nivel y superficie
Mapas de Iso-CE, iso-temperatura, Iso pH 3D</t>
        </is>
      </c>
      <c r="BE1020" s="7" t="inlineStr">
        <is>
          <t>Pluviometría y evaporación: diario
Nivel y superficie: Continuo
Mapas de Iso-CE, iso-temperatura, Iso pH 3D: Trimestral</t>
        </is>
      </c>
      <c r="BF1020" s="7" t="inlineStr">
        <is>
          <t>SMA</t>
        </is>
      </c>
      <c r="BG1020" s="7" t="inlineStr">
        <is>
          <t>PSA</t>
        </is>
      </c>
      <c r="BH1020" s="7" t="inlineStr">
        <is>
          <t>RCA 167/2001</t>
        </is>
      </c>
      <c r="BI1020" s="7" t="n"/>
      <c r="BJ1020" s="7" t="n"/>
      <c r="BK1020" s="331" t="n"/>
      <c r="BL1020" s="61" t="n"/>
      <c r="BM1020" s="251" t="n"/>
      <c r="BN1020" s="337" t="n"/>
      <c r="BO1020" s="251" t="n"/>
      <c r="BP1020" s="251"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24">
        <f>+COUNTA(BV1020:CY1020)</f>
        <v/>
      </c>
      <c r="DA1020" s="251" t="n"/>
      <c r="DB1020" s="251" t="n"/>
      <c r="DC1020" s="251" t="n"/>
      <c r="DD1020" s="251" t="n"/>
      <c r="DE1020" s="251" t="n"/>
      <c r="DF1020" s="251" t="n"/>
      <c r="DG1020" s="251" t="n"/>
      <c r="DH1020" s="251" t="n"/>
      <c r="DI1020" s="251" t="n"/>
      <c r="DJ1020" s="251" t="n"/>
      <c r="DK1020" s="251" t="n"/>
      <c r="DL1020" s="95" t="n"/>
      <c r="DM1020" s="251" t="n"/>
      <c r="DN1020" s="95" t="n"/>
      <c r="DO1020" s="95" t="n"/>
    </row>
    <row r="1021" ht="13" customHeight="1">
      <c r="A1021" s="203" t="inlineStr">
        <is>
          <t>LM</t>
        </is>
      </c>
      <c r="B1021" s="305" t="n"/>
      <c r="C1021" s="7" t="n"/>
      <c r="D1021" s="7" t="inlineStr">
        <is>
          <t>SI</t>
        </is>
      </c>
      <c r="E1021" s="7" t="inlineStr">
        <is>
          <t>SI</t>
        </is>
      </c>
      <c r="F1021" s="7" t="inlineStr">
        <is>
          <t>SI</t>
        </is>
      </c>
      <c r="G1021" s="7" t="inlineStr">
        <is>
          <t>NO</t>
        </is>
      </c>
      <c r="H1021" s="7" t="inlineStr">
        <is>
          <t>Laguna</t>
        </is>
      </c>
      <c r="I1021" s="7" t="inlineStr">
        <is>
          <t>Laguna</t>
        </is>
      </c>
      <c r="J1021" s="7" t="inlineStr">
        <is>
          <t>Construido</t>
        </is>
      </c>
      <c r="K1021" s="7" t="inlineStr">
        <is>
          <t>-</t>
        </is>
      </c>
      <c r="L1021" s="7" t="inlineStr">
        <is>
          <t>Agua Superficial</t>
        </is>
      </c>
      <c r="M1021" s="7" t="inlineStr">
        <is>
          <t>Cordillera</t>
        </is>
      </c>
      <c r="N1021" s="7" t="inlineStr">
        <is>
          <t>Laguna</t>
        </is>
      </c>
      <c r="O1021" s="7" t="inlineStr">
        <is>
          <t>Laguna Michincha</t>
        </is>
      </c>
      <c r="P1021" s="7" t="inlineStr">
        <is>
          <t>NO</t>
        </is>
      </c>
      <c r="Q1021" s="7" t="inlineStr">
        <is>
          <t>-</t>
        </is>
      </c>
      <c r="R1021" s="7" t="inlineStr">
        <is>
          <t>-</t>
        </is>
      </c>
      <c r="S1021" s="7" t="inlineStr">
        <is>
          <t>-</t>
        </is>
      </c>
      <c r="T1021" s="7" t="inlineStr">
        <is>
          <t>SI</t>
        </is>
      </c>
      <c r="U1021" s="7" t="inlineStr">
        <is>
          <t>Continuo</t>
        </is>
      </c>
      <c r="V1021" s="7" t="inlineStr">
        <is>
          <t>SI</t>
        </is>
      </c>
      <c r="W1021" s="7" t="inlineStr">
        <is>
          <t>Continuo</t>
        </is>
      </c>
      <c r="X1021" s="7" t="inlineStr">
        <is>
          <t>NO</t>
        </is>
      </c>
      <c r="Y1021" s="7" t="inlineStr">
        <is>
          <t>-</t>
        </is>
      </c>
      <c r="Z1021" s="7" t="inlineStr">
        <is>
          <t>NO</t>
        </is>
      </c>
      <c r="AA1021" s="7" t="inlineStr">
        <is>
          <t>-</t>
        </is>
      </c>
      <c r="AB1021" s="7" t="inlineStr">
        <is>
          <t>NO</t>
        </is>
      </c>
      <c r="AC1021" s="7" t="inlineStr">
        <is>
          <t>-</t>
        </is>
      </c>
      <c r="AD1021" s="7" t="inlineStr">
        <is>
          <t>NO</t>
        </is>
      </c>
      <c r="AE1021" s="7" t="inlineStr">
        <is>
          <t>-</t>
        </is>
      </c>
      <c r="AF1021" s="7" t="inlineStr">
        <is>
          <t>-</t>
        </is>
      </c>
      <c r="AG1021" s="7" t="inlineStr">
        <is>
          <t>NO</t>
        </is>
      </c>
      <c r="AH1021" s="7" t="inlineStr">
        <is>
          <t>-</t>
        </is>
      </c>
      <c r="AI1021" s="7" t="inlineStr">
        <is>
          <t>NO</t>
        </is>
      </c>
      <c r="AJ1021" s="7" t="inlineStr">
        <is>
          <t>-</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Pluviometría y evaporación
Nivel y superficie
Mapas de Iso-CE, iso-temperatura, Iso pH 3D</t>
        </is>
      </c>
      <c r="AW1021" s="7" t="inlineStr">
        <is>
          <t>Pluviometría y evaporación: diario
Nivel y superficie: Continuo
Mapas de Iso-CE, iso-temperatura, Iso pH 3D: Trimestral</t>
        </is>
      </c>
      <c r="AX1021" s="7" t="inlineStr">
        <is>
          <t>Superficie</t>
        </is>
      </c>
      <c r="AY1021" s="7" t="inlineStr">
        <is>
          <t>Continuo</t>
        </is>
      </c>
      <c r="AZ1021" s="7" t="inlineStr">
        <is>
          <t xml:space="preserve">Pluviometria, Evaporacion, Lisimetro </t>
        </is>
      </c>
      <c r="BA1021" s="7" t="inlineStr">
        <is>
          <t>S/I</t>
        </is>
      </c>
      <c r="BB1021" s="7" t="inlineStr">
        <is>
          <t xml:space="preserve">Mapas de iso-CE, iso-temperatura, iso-pH 3D, </t>
        </is>
      </c>
      <c r="BC1021" s="7" t="inlineStr">
        <is>
          <t>Trimestral</t>
        </is>
      </c>
      <c r="BD1021" s="7" t="inlineStr">
        <is>
          <t>Pluviometría y evaporación
Nivel y superficie
Mapas de Iso-CE, iso-temperatura, Iso pH 3D</t>
        </is>
      </c>
      <c r="BE1021" s="7" t="inlineStr">
        <is>
          <t>Pluviometría y evaporación: diario
Nivel y superficie: Continuo
Mapas de Iso-CE, iso-temperatura, Iso pH 3D: Trimestral</t>
        </is>
      </c>
      <c r="BF1021" s="7" t="inlineStr">
        <is>
          <t>SMA</t>
        </is>
      </c>
      <c r="BG1021" s="7" t="inlineStr">
        <is>
          <t>PSA</t>
        </is>
      </c>
      <c r="BH1021" s="7" t="inlineStr">
        <is>
          <t>RCA 61/2015</t>
        </is>
      </c>
      <c r="BI1021" s="7" t="n"/>
      <c r="BJ1021" s="7" t="n"/>
      <c r="BK1021" s="331" t="n"/>
      <c r="BL1021" s="61" t="n"/>
      <c r="BM1021" s="251" t="n"/>
      <c r="BN1021" s="337" t="n"/>
      <c r="BO1021" s="251" t="n"/>
      <c r="BP1021" s="251"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24">
        <f>+COUNTA(BV1021:CY1021)</f>
        <v/>
      </c>
      <c r="DA1021" s="251" t="n"/>
      <c r="DB1021" s="251" t="n"/>
      <c r="DC1021" s="251" t="n"/>
      <c r="DD1021" s="251" t="n"/>
      <c r="DE1021" s="251" t="n"/>
      <c r="DF1021" s="251" t="n"/>
      <c r="DG1021" s="251" t="n"/>
      <c r="DH1021" s="251" t="n"/>
      <c r="DI1021" s="251" t="n"/>
      <c r="DJ1021" s="251" t="n"/>
      <c r="DK1021" s="251" t="n"/>
      <c r="DL1021" s="95" t="n"/>
      <c r="DM1021" s="251" t="n"/>
      <c r="DN1021" s="95" t="n"/>
      <c r="DO1021" s="95" t="n"/>
    </row>
    <row r="1022" ht="13" customHeight="1">
      <c r="A1022" s="203" t="inlineStr">
        <is>
          <t>Mal Paso</t>
        </is>
      </c>
      <c r="B1022" s="305" t="n"/>
      <c r="C1022" s="7" t="n"/>
      <c r="D1022" s="7" t="inlineStr">
        <is>
          <t>SI</t>
        </is>
      </c>
      <c r="E1022" s="7" t="inlineStr">
        <is>
          <t>SI</t>
        </is>
      </c>
      <c r="F1022" s="7" t="inlineStr">
        <is>
          <t>NO</t>
        </is>
      </c>
      <c r="G1022" s="7" t="inlineStr">
        <is>
          <t>NO</t>
        </is>
      </c>
      <c r="H1022" s="7" t="n">
        <v>534654</v>
      </c>
      <c r="I1022" s="7" t="n">
        <v>7672780</v>
      </c>
      <c r="J1022" s="7" t="inlineStr">
        <is>
          <t>Por implementar</t>
        </is>
      </c>
      <c r="K1022" s="7" t="inlineStr">
        <is>
          <t>-</t>
        </is>
      </c>
      <c r="L1022" s="7" t="inlineStr">
        <is>
          <t>Agua Superficial</t>
        </is>
      </c>
      <c r="M1022" s="7" t="inlineStr">
        <is>
          <t>Cordillera</t>
        </is>
      </c>
      <c r="N1022" s="7" t="inlineStr">
        <is>
          <t>Punto Restitución Caudal</t>
        </is>
      </c>
      <c r="O1022" s="7" t="inlineStr">
        <is>
          <t>Mal Paso</t>
        </is>
      </c>
      <c r="P1022" s="7" t="inlineStr">
        <is>
          <t>NO</t>
        </is>
      </c>
      <c r="Q1022" s="7" t="inlineStr">
        <is>
          <t>-</t>
        </is>
      </c>
      <c r="R1022" s="7" t="inlineStr">
        <is>
          <t>-</t>
        </is>
      </c>
      <c r="S1022" s="7" t="inlineStr">
        <is>
          <t>-</t>
        </is>
      </c>
      <c r="T1022" s="7" t="inlineStr">
        <is>
          <t>NO</t>
        </is>
      </c>
      <c r="U1022" s="7" t="inlineStr">
        <is>
          <t>-</t>
        </is>
      </c>
      <c r="V1022" s="7" t="inlineStr">
        <is>
          <t>NO</t>
        </is>
      </c>
      <c r="W1022" s="7" t="inlineStr">
        <is>
          <t>-</t>
        </is>
      </c>
      <c r="X1022" s="7" t="inlineStr">
        <is>
          <t>NO</t>
        </is>
      </c>
      <c r="Y1022" s="7" t="inlineStr">
        <is>
          <t>-</t>
        </is>
      </c>
      <c r="Z1022" s="7" t="inlineStr">
        <is>
          <t>NO</t>
        </is>
      </c>
      <c r="AA1022" s="7" t="inlineStr">
        <is>
          <t>-</t>
        </is>
      </c>
      <c r="AB1022" s="7" t="inlineStr">
        <is>
          <t>NO</t>
        </is>
      </c>
      <c r="AC1022" s="7" t="inlineStr">
        <is>
          <t>-</t>
        </is>
      </c>
      <c r="AD1022" s="7" t="inlineStr">
        <is>
          <t>SI</t>
        </is>
      </c>
      <c r="AE1022" s="7" t="inlineStr">
        <is>
          <t>-</t>
        </is>
      </c>
      <c r="AF1022" s="7" t="inlineStr">
        <is>
          <t>Flujómetro</t>
        </is>
      </c>
      <c r="AG1022" s="7" t="inlineStr">
        <is>
          <t>NO</t>
        </is>
      </c>
      <c r="AH1022" s="7" t="inlineStr">
        <is>
          <t>-</t>
        </is>
      </c>
      <c r="AI1022" s="7" t="inlineStr">
        <is>
          <t>SI</t>
        </is>
      </c>
      <c r="AJ1022" s="7" t="inlineStr">
        <is>
          <t>Flujómetro</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NO</t>
        </is>
      </c>
      <c r="AW1022" s="7" t="inlineStr">
        <is>
          <t>-</t>
        </is>
      </c>
      <c r="AX1022" s="7" t="inlineStr">
        <is>
          <t>NO</t>
        </is>
      </c>
      <c r="AY1022" s="7" t="inlineStr">
        <is>
          <t>-</t>
        </is>
      </c>
      <c r="AZ1022" s="7" t="inlineStr">
        <is>
          <t>NO</t>
        </is>
      </c>
      <c r="BA1022" s="7" t="inlineStr">
        <is>
          <t>-</t>
        </is>
      </c>
      <c r="BB1022" s="7" t="inlineStr">
        <is>
          <t>NO</t>
        </is>
      </c>
      <c r="BC1022" s="7" t="inlineStr">
        <is>
          <t>-</t>
        </is>
      </c>
      <c r="BD1022" s="7" t="inlineStr">
        <is>
          <t>NO</t>
        </is>
      </c>
      <c r="BE1022" s="7" t="inlineStr">
        <is>
          <t>-</t>
        </is>
      </c>
      <c r="BF1022" s="7" t="inlineStr">
        <is>
          <t>SMA</t>
        </is>
      </c>
      <c r="BG1022" s="7" t="inlineStr">
        <is>
          <t>PSA</t>
        </is>
      </c>
      <c r="BH1022" s="7" t="inlineStr">
        <is>
          <t>RCA 20219900112</t>
        </is>
      </c>
      <c r="BI1022" s="7" t="inlineStr">
        <is>
          <t>Quebrada con restitución de agua desde el estanque de recolección MM1</t>
        </is>
      </c>
      <c r="BJ1022" s="7" t="n"/>
      <c r="BK1022" s="331" t="n"/>
      <c r="BL1022" s="61" t="n"/>
      <c r="BM1022" s="251" t="n"/>
      <c r="BN1022" s="337" t="n"/>
      <c r="BO1022" s="251" t="n"/>
      <c r="BP1022" s="251"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24">
        <f>+COUNTA(BV1022:CY1022)</f>
        <v/>
      </c>
      <c r="DA1022" s="251" t="n"/>
      <c r="DB1022" s="251" t="n"/>
      <c r="DC1022" s="251" t="n"/>
      <c r="DD1022" s="251" t="n"/>
      <c r="DE1022" s="251" t="n"/>
      <c r="DF1022" s="251" t="n"/>
      <c r="DG1022" s="251" t="n"/>
      <c r="DH1022" s="251" t="n"/>
      <c r="DI1022" s="251" t="n"/>
      <c r="DJ1022" s="251" t="n"/>
      <c r="DK1022" s="251" t="n"/>
      <c r="DL1022" s="95" t="n"/>
      <c r="DM1022" s="251" t="n"/>
      <c r="DN1022" s="95" t="n"/>
      <c r="DO1022" s="95" t="n"/>
    </row>
    <row r="1023" ht="13.5" customHeight="1">
      <c r="A1023" s="203" t="inlineStr">
        <is>
          <t>NP-6
(reemplaza al P-6)</t>
        </is>
      </c>
      <c r="B1023" s="305" t="n"/>
      <c r="C1023" s="7" t="n"/>
      <c r="D1023" s="7" t="inlineStr">
        <is>
          <t>SI</t>
        </is>
      </c>
      <c r="E1023" s="7" t="inlineStr">
        <is>
          <t>SI</t>
        </is>
      </c>
      <c r="F1023" s="7" t="inlineStr">
        <is>
          <t>NO</t>
        </is>
      </c>
      <c r="G1023" s="7" t="inlineStr">
        <is>
          <t>NO</t>
        </is>
      </c>
      <c r="H1023" s="7" t="n">
        <v>548013</v>
      </c>
      <c r="I1023" s="7" t="n">
        <v>7678344</v>
      </c>
      <c r="J1023" s="7" t="inlineStr">
        <is>
          <t>Por implementar (Reemplaza P-6)</t>
        </is>
      </c>
      <c r="K1023" s="7" t="inlineStr">
        <is>
          <t>-</t>
        </is>
      </c>
      <c r="L1023" s="7" t="inlineStr">
        <is>
          <t>Agua Subterránea</t>
        </is>
      </c>
      <c r="M1023" s="7" t="inlineStr">
        <is>
          <t>Cordillera</t>
        </is>
      </c>
      <c r="N1023" s="7" t="inlineStr">
        <is>
          <t>Pozo Extracción</t>
        </is>
      </c>
      <c r="O1023" s="7" t="inlineStr">
        <is>
          <t>Salar de Michincha</t>
        </is>
      </c>
      <c r="P1023" s="7" t="inlineStr">
        <is>
          <t>SI</t>
        </is>
      </c>
      <c r="Q1023" s="7" t="inlineStr">
        <is>
          <t>Trimestral</t>
        </is>
      </c>
      <c r="R1023" s="7" t="inlineStr">
        <is>
          <t>-</t>
        </is>
      </c>
      <c r="S1023" s="7" t="inlineStr">
        <is>
          <t>-</t>
        </is>
      </c>
      <c r="T1023" s="7" t="inlineStr">
        <is>
          <t>NO</t>
        </is>
      </c>
      <c r="U1023" s="7" t="inlineStr">
        <is>
          <t>-</t>
        </is>
      </c>
      <c r="V1023" s="7" t="inlineStr">
        <is>
          <t>SI</t>
        </is>
      </c>
      <c r="W1023" s="7" t="inlineStr">
        <is>
          <t>Trimestral</t>
        </is>
      </c>
      <c r="X1023" s="7" t="inlineStr">
        <is>
          <t>SI</t>
        </is>
      </c>
      <c r="Y1023" s="7" t="inlineStr">
        <is>
          <t>Continuo</t>
        </is>
      </c>
      <c r="Z1023" s="7" t="inlineStr">
        <is>
          <t>NO</t>
        </is>
      </c>
      <c r="AA1023" s="7" t="inlineStr">
        <is>
          <t>-</t>
        </is>
      </c>
      <c r="AB1023" s="7" t="inlineStr">
        <is>
          <t>SI</t>
        </is>
      </c>
      <c r="AC1023" s="7" t="inlineStr">
        <is>
          <t>Continuo</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Plan base + T° + Nitritos + amonio</t>
        </is>
      </c>
      <c r="AL1023" s="7" t="inlineStr">
        <is>
          <t>Trimestral</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SI</t>
        </is>
      </c>
      <c r="AU1023" s="7" t="inlineStr">
        <is>
          <t>Trimestral</t>
        </is>
      </c>
      <c r="AV1023" s="60" t="inlineStr">
        <is>
          <t>NO</t>
        </is>
      </c>
      <c r="AW1023" s="7" t="inlineStr">
        <is>
          <t>-</t>
        </is>
      </c>
      <c r="AX1023" s="7" t="inlineStr">
        <is>
          <t>NO</t>
        </is>
      </c>
      <c r="AY1023" s="7" t="inlineStr">
        <is>
          <t>-</t>
        </is>
      </c>
      <c r="AZ1023" s="7" t="inlineStr">
        <is>
          <t>NO</t>
        </is>
      </c>
      <c r="BA1023" s="7" t="inlineStr">
        <is>
          <t>-</t>
        </is>
      </c>
      <c r="BB1023" s="7" t="inlineStr">
        <is>
          <t>NO</t>
        </is>
      </c>
      <c r="BC1023" s="7" t="inlineStr">
        <is>
          <t>-</t>
        </is>
      </c>
      <c r="BD1023" s="7" t="inlineStr">
        <is>
          <t>NO</t>
        </is>
      </c>
      <c r="BE1023" s="7" t="inlineStr">
        <is>
          <t>-</t>
        </is>
      </c>
      <c r="BF1023" s="7" t="inlineStr">
        <is>
          <t>SMA</t>
        </is>
      </c>
      <c r="BG1023" s="7" t="inlineStr">
        <is>
          <t>PSA</t>
        </is>
      </c>
      <c r="BH1023" s="7" t="inlineStr">
        <is>
          <t>RCA 20219900112</t>
        </is>
      </c>
      <c r="BI1023" s="7" t="n"/>
      <c r="BJ1023" s="7" t="n"/>
      <c r="BK1023" s="331" t="n"/>
      <c r="BL1023" s="61" t="n"/>
      <c r="BM1023" s="251" t="n"/>
      <c r="BN1023" s="337" t="n"/>
      <c r="BO1023" s="251" t="n"/>
      <c r="BP1023" s="251"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24">
        <f>+COUNTA(BV1023:CY1023)</f>
        <v/>
      </c>
      <c r="DA1023" s="251" t="n"/>
      <c r="DB1023" s="251" t="n"/>
      <c r="DC1023" s="251" t="n"/>
      <c r="DD1023" s="251" t="n"/>
      <c r="DE1023" s="251" t="n"/>
      <c r="DF1023" s="251" t="n"/>
      <c r="DG1023" s="251" t="n"/>
      <c r="DH1023" s="251" t="n"/>
      <c r="DI1023" s="251" t="n"/>
      <c r="DJ1023" s="251" t="n"/>
      <c r="DK1023" s="251" t="n"/>
      <c r="DL1023" s="95" t="n"/>
      <c r="DM1023" s="251" t="n"/>
      <c r="DN1023" s="95" t="n"/>
      <c r="DO1023" s="95" t="n"/>
    </row>
    <row r="1024" ht="13" customHeight="1">
      <c r="A1024" s="203" t="inlineStr">
        <is>
          <t>Piscina Agua Desalada</t>
        </is>
      </c>
      <c r="B1024" s="305" t="n"/>
      <c r="C1024" s="7" t="n"/>
      <c r="D1024" s="7" t="inlineStr">
        <is>
          <t>SI</t>
        </is>
      </c>
      <c r="E1024" s="7" t="inlineStr">
        <is>
          <t>SI</t>
        </is>
      </c>
      <c r="F1024" s="7" t="inlineStr">
        <is>
          <t>NO</t>
        </is>
      </c>
      <c r="G1024" s="7" t="inlineStr">
        <is>
          <t>NO</t>
        </is>
      </c>
      <c r="H1024" s="7" t="n">
        <v>537061</v>
      </c>
      <c r="I1024" s="7" t="n">
        <v>7680239</v>
      </c>
      <c r="J1024" s="7" t="inlineStr">
        <is>
          <t>Por implementar</t>
        </is>
      </c>
      <c r="K1024" s="7" t="inlineStr">
        <is>
          <t>-</t>
        </is>
      </c>
      <c r="L1024" s="7" t="inlineStr">
        <is>
          <t>Agua de Proceso</t>
        </is>
      </c>
      <c r="M1024" s="7" t="inlineStr">
        <is>
          <t>Cordillera</t>
        </is>
      </c>
      <c r="N1024" s="7" t="inlineStr">
        <is>
          <t>Piscina</t>
        </is>
      </c>
      <c r="O1024" s="7" t="inlineStr">
        <is>
          <t>Planta Concentradora</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NO</t>
        </is>
      </c>
      <c r="AE1024" s="7" t="inlineStr">
        <is>
          <t>-</t>
        </is>
      </c>
      <c r="AF1024" s="7" t="inlineStr">
        <is>
          <t>-</t>
        </is>
      </c>
      <c r="AG1024" s="7" t="inlineStr">
        <is>
          <t>NO</t>
        </is>
      </c>
      <c r="AH1024" s="7" t="inlineStr">
        <is>
          <t>-</t>
        </is>
      </c>
      <c r="AI1024" s="7" t="inlineStr">
        <is>
          <t>NO</t>
        </is>
      </c>
      <c r="AJ1024" s="7" t="inlineStr">
        <is>
          <t>-</t>
        </is>
      </c>
      <c r="AK1024" s="60" t="inlineStr">
        <is>
          <t>Plan base+ T°+ nitritos + amonio +isotopos + bromuro</t>
        </is>
      </c>
      <c r="AL1024" s="7" t="inlineStr">
        <is>
          <t>Trimestral</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SI</t>
        </is>
      </c>
      <c r="AU1024" s="7" t="inlineStr">
        <is>
          <t>Trimestral</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n"/>
      <c r="BJ1024" s="7" t="n"/>
      <c r="BK1024" s="331" t="n"/>
      <c r="BL1024" s="61" t="n"/>
      <c r="BM1024" s="251" t="n"/>
      <c r="BN1024" s="337" t="n"/>
      <c r="BO1024" s="251" t="n"/>
      <c r="BP1024" s="251"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24">
        <f>+COUNTA(BV1024:CY1024)</f>
        <v/>
      </c>
      <c r="DA1024" s="251" t="n"/>
      <c r="DB1024" s="251" t="n"/>
      <c r="DC1024" s="251" t="n"/>
      <c r="DD1024" s="251" t="n"/>
      <c r="DE1024" s="251" t="n"/>
      <c r="DF1024" s="251" t="n"/>
      <c r="DG1024" s="251" t="n"/>
      <c r="DH1024" s="251" t="n"/>
      <c r="DI1024" s="251" t="n"/>
      <c r="DJ1024" s="251" t="n"/>
      <c r="DK1024" s="251" t="n"/>
      <c r="DL1024" s="95" t="n"/>
      <c r="DM1024" s="251" t="n"/>
      <c r="DN1024" s="95" t="n"/>
      <c r="DO1024" s="95" t="n"/>
    </row>
    <row r="1025" ht="13" customHeight="1">
      <c r="A1025" s="203" t="inlineStr">
        <is>
          <t>Pozo 1</t>
        </is>
      </c>
      <c r="B1025" s="305" t="n"/>
      <c r="C1025" s="7" t="n"/>
      <c r="D1025" s="7" t="inlineStr">
        <is>
          <t>SI</t>
        </is>
      </c>
      <c r="E1025" s="7" t="inlineStr">
        <is>
          <t>SI</t>
        </is>
      </c>
      <c r="F1025" s="7" t="inlineStr">
        <is>
          <t>NO</t>
        </is>
      </c>
      <c r="G1025" s="7" t="inlineStr">
        <is>
          <t>NO</t>
        </is>
      </c>
      <c r="H1025" s="7" t="n">
        <v>541010</v>
      </c>
      <c r="I1025" s="7" t="n">
        <v>7681686</v>
      </c>
      <c r="J1025" s="7" t="inlineStr">
        <is>
          <t>Por implementar</t>
        </is>
      </c>
      <c r="K1025" s="7" t="inlineStr">
        <is>
          <t>-</t>
        </is>
      </c>
      <c r="L1025" s="7" t="inlineStr">
        <is>
          <t>Agua Subterránea</t>
        </is>
      </c>
      <c r="M1025" s="7" t="inlineStr">
        <is>
          <t>Cordillera</t>
        </is>
      </c>
      <c r="N1025" s="7" t="inlineStr">
        <is>
          <t>Pozo</t>
        </is>
      </c>
      <c r="O1025" s="7" t="inlineStr">
        <is>
          <t>Pilas de lixiviación y Depósito Relaves</t>
        </is>
      </c>
      <c r="P1025" s="7" t="inlineStr">
        <is>
          <t>SI</t>
        </is>
      </c>
      <c r="Q1025" s="7" t="inlineStr">
        <is>
          <t>Mensual</t>
        </is>
      </c>
      <c r="R1025" s="7" t="inlineStr">
        <is>
          <t>-</t>
        </is>
      </c>
      <c r="S1025" s="7" t="inlineStr">
        <is>
          <t>-</t>
        </is>
      </c>
      <c r="T1025" s="7" t="inlineStr">
        <is>
          <t>NO</t>
        </is>
      </c>
      <c r="U1025" s="7" t="inlineStr">
        <is>
          <t>-</t>
        </is>
      </c>
      <c r="V1025" s="7" t="inlineStr">
        <is>
          <t>SI</t>
        </is>
      </c>
      <c r="W1025" s="7" t="inlineStr">
        <is>
          <t>Mensual</t>
        </is>
      </c>
      <c r="X1025" s="7" t="inlineStr">
        <is>
          <t>NO</t>
        </is>
      </c>
      <c r="Y1025" s="7" t="inlineStr">
        <is>
          <t>-</t>
        </is>
      </c>
      <c r="Z1025" s="7" t="inlineStr">
        <is>
          <t>NO</t>
        </is>
      </c>
      <c r="AA1025" s="7" t="inlineStr">
        <is>
          <t>-</t>
        </is>
      </c>
      <c r="AB1025" s="7" t="inlineStr">
        <is>
          <t>NO</t>
        </is>
      </c>
      <c r="AC1025" s="7" t="inlineStr">
        <is>
          <t>-</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1" t="n"/>
      <c r="BL1025" s="61" t="n"/>
      <c r="BM1025" s="251" t="n"/>
      <c r="BN1025" s="337" t="n"/>
      <c r="BO1025" s="251" t="n"/>
      <c r="BP1025" s="251"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24">
        <f>+COUNTA(BV1025:CY1025)</f>
        <v/>
      </c>
      <c r="DA1025" s="251" t="n"/>
      <c r="DB1025" s="251" t="n"/>
      <c r="DC1025" s="251" t="n"/>
      <c r="DD1025" s="251" t="n"/>
      <c r="DE1025" s="251" t="n"/>
      <c r="DF1025" s="251" t="n"/>
      <c r="DG1025" s="251" t="n"/>
      <c r="DH1025" s="251" t="n"/>
      <c r="DI1025" s="251" t="n"/>
      <c r="DJ1025" s="251" t="n"/>
      <c r="DK1025" s="251" t="n"/>
      <c r="DL1025" s="95" t="n"/>
      <c r="DM1025" s="251" t="n"/>
      <c r="DN1025" s="95" t="n"/>
      <c r="DO1025" s="95" t="n"/>
    </row>
    <row r="1026" ht="13" customHeight="1">
      <c r="A1026" s="203" t="inlineStr">
        <is>
          <t>Pozo 10</t>
        </is>
      </c>
      <c r="B1026" s="305" t="n"/>
      <c r="C1026" s="7" t="n"/>
      <c r="D1026" s="7" t="inlineStr">
        <is>
          <t>SI</t>
        </is>
      </c>
      <c r="E1026" s="7" t="inlineStr">
        <is>
          <t>SI</t>
        </is>
      </c>
      <c r="F1026" s="7" t="inlineStr">
        <is>
          <t>NO</t>
        </is>
      </c>
      <c r="G1026" s="7" t="inlineStr">
        <is>
          <t>NO</t>
        </is>
      </c>
      <c r="H1026" s="7" t="n">
        <v>542439</v>
      </c>
      <c r="I1026" s="7" t="n">
        <v>7682462</v>
      </c>
      <c r="J1026" s="7" t="inlineStr">
        <is>
          <t>Por implementar (pozo de reemplaza M-12, MPZ-10A, MPZ-10B, MAU-12 y MAU-13 )</t>
        </is>
      </c>
      <c r="K1026" s="7" t="inlineStr">
        <is>
          <t>-</t>
        </is>
      </c>
      <c r="L1026" s="7" t="inlineStr">
        <is>
          <t>Agua Subterránea</t>
        </is>
      </c>
      <c r="M1026" s="7" t="inlineStr">
        <is>
          <t>Cordillera</t>
        </is>
      </c>
      <c r="N1026" s="7" t="inlineStr">
        <is>
          <t>Pozo</t>
        </is>
      </c>
      <c r="O1026" s="7" t="inlineStr">
        <is>
          <t>Pilas de lixiviación y Depósito Relaves</t>
        </is>
      </c>
      <c r="P1026" s="7" t="inlineStr">
        <is>
          <t>SI</t>
        </is>
      </c>
      <c r="Q1026" s="7" t="inlineStr">
        <is>
          <t>Mensual</t>
        </is>
      </c>
      <c r="R1026" s="7" t="inlineStr">
        <is>
          <t>-</t>
        </is>
      </c>
      <c r="S1026" s="7" t="inlineStr">
        <is>
          <t>-</t>
        </is>
      </c>
      <c r="T1026" s="7" t="inlineStr">
        <is>
          <t>NO</t>
        </is>
      </c>
      <c r="U1026" s="7" t="inlineStr">
        <is>
          <t>-</t>
        </is>
      </c>
      <c r="V1026" s="7" t="inlineStr">
        <is>
          <t>SI</t>
        </is>
      </c>
      <c r="W1026" s="7" t="inlineStr">
        <is>
          <t>Mensual</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inlineStr">
        <is>
          <t>Respuesta N° 205, Adenda Complementaria:
Isótopos y Bromuro: Trimestral</t>
        </is>
      </c>
      <c r="BJ1026" s="7" t="n"/>
      <c r="BK1026" s="331" t="n"/>
      <c r="BL1026" s="61" t="n"/>
      <c r="BM1026" s="251" t="n"/>
      <c r="BN1026" s="337" t="n"/>
      <c r="BO1026" s="251" t="n"/>
      <c r="BP1026" s="251"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24">
        <f>+COUNTA(BV1026:CY1026)</f>
        <v/>
      </c>
      <c r="DA1026" s="251" t="n"/>
      <c r="DB1026" s="251" t="n"/>
      <c r="DC1026" s="251" t="n"/>
      <c r="DD1026" s="251" t="n"/>
      <c r="DE1026" s="251" t="n"/>
      <c r="DF1026" s="251" t="n"/>
      <c r="DG1026" s="251" t="n"/>
      <c r="DH1026" s="251" t="n"/>
      <c r="DI1026" s="251" t="n"/>
      <c r="DJ1026" s="251" t="n"/>
      <c r="DK1026" s="251" t="n"/>
      <c r="DL1026" s="95" t="n"/>
      <c r="DM1026" s="251" t="n"/>
      <c r="DN1026" s="95" t="n"/>
      <c r="DO1026" s="95" t="n"/>
    </row>
    <row r="1027" ht="13" customHeight="1">
      <c r="A1027" s="203" t="inlineStr">
        <is>
          <t>Pozo 11</t>
        </is>
      </c>
      <c r="B1027" s="305" t="n"/>
      <c r="C1027" s="7" t="n"/>
      <c r="D1027" s="7" t="inlineStr">
        <is>
          <t>SI</t>
        </is>
      </c>
      <c r="E1027" s="7" t="inlineStr">
        <is>
          <t>SI</t>
        </is>
      </c>
      <c r="F1027" s="7" t="inlineStr">
        <is>
          <t>NO</t>
        </is>
      </c>
      <c r="G1027" s="7" t="inlineStr">
        <is>
          <t>NO</t>
        </is>
      </c>
      <c r="H1027" s="7" t="n">
        <v>537380</v>
      </c>
      <c r="I1027" s="7" t="n">
        <v>7686933</v>
      </c>
      <c r="J1027" s="7" t="inlineStr">
        <is>
          <t>Por implementar (pozo de reemplaza PEM-05, PMI-07, PMI-08 y MA-01)</t>
        </is>
      </c>
      <c r="K1027" s="7" t="inlineStr">
        <is>
          <t>-</t>
        </is>
      </c>
      <c r="L1027" s="7" t="inlineStr">
        <is>
          <t>Agua Subterránea</t>
        </is>
      </c>
      <c r="M1027" s="7" t="inlineStr">
        <is>
          <t>Cordillera</t>
        </is>
      </c>
      <c r="N1027" s="7" t="inlineStr">
        <is>
          <t>Pozo</t>
        </is>
      </c>
      <c r="O1027" s="7" t="inlineStr">
        <is>
          <t>Depósito de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T°+ nitritos + amonio +isotopos + bromuro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inlineStr">
        <is>
          <t>Respuesta N° 205, Adenda Complementaria:
Isótopos y Bromuro: Trimestral</t>
        </is>
      </c>
      <c r="BJ1027" s="7" t="n"/>
      <c r="BK1027" s="61" t="n"/>
      <c r="BL1027" s="61" t="inlineStr">
        <is>
          <t>GMAP-SIGA</t>
        </is>
      </c>
      <c r="BM1027" s="251" t="inlineStr">
        <is>
          <t>NF</t>
        </is>
      </c>
      <c r="BN1027" s="337" t="inlineStr">
        <is>
          <t>Tranque</t>
        </is>
      </c>
      <c r="BO1027" s="251" t="inlineStr">
        <is>
          <t>SI</t>
        </is>
      </c>
      <c r="BP1027" s="251"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5" t="n"/>
      <c r="CE1027" s="105" t="n"/>
      <c r="CF1027" s="105" t="n"/>
      <c r="CG1027" s="105" t="n"/>
      <c r="CH1027" s="105" t="n"/>
      <c r="CI1027" s="105" t="n"/>
      <c r="CJ1027" s="142" t="n">
        <v>1</v>
      </c>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24">
        <f>+COUNTA(BV1027:CY1027)</f>
        <v/>
      </c>
      <c r="DA1027" s="251" t="n"/>
      <c r="DB1027" s="251" t="n"/>
      <c r="DC1027" s="251" t="n"/>
      <c r="DD1027" s="251" t="n"/>
      <c r="DE1027" s="251" t="n"/>
      <c r="DF1027" s="251" t="n"/>
      <c r="DG1027" s="251" t="n"/>
      <c r="DH1027" s="251" t="n"/>
      <c r="DI1027" s="251" t="n"/>
      <c r="DJ1027" s="251" t="n"/>
      <c r="DK1027" s="251" t="n"/>
      <c r="DL1027" s="95" t="n"/>
      <c r="DM1027" s="251" t="n"/>
      <c r="DN1027" s="95" t="n"/>
      <c r="DO1027" s="95" t="n"/>
    </row>
    <row r="1028" ht="13" customHeight="1">
      <c r="A1028" s="203" t="inlineStr">
        <is>
          <t>Pozo 11</t>
        </is>
      </c>
      <c r="B1028" s="305" t="n"/>
      <c r="C1028" s="7" t="n"/>
      <c r="D1028" s="7" t="n"/>
      <c r="E1028" s="7" t="n"/>
      <c r="F1028" s="7" t="n"/>
      <c r="G1028" s="7" t="n"/>
      <c r="H1028" s="7" t="n"/>
      <c r="I1028" s="7" t="n"/>
      <c r="J1028" s="7" t="n"/>
      <c r="K1028" s="7" t="n"/>
      <c r="L1028" s="7" t="n"/>
      <c r="M1028" s="7" t="n"/>
      <c r="N1028" s="7" t="n"/>
      <c r="O1028" s="7" t="n"/>
      <c r="P1028" s="7" t="n"/>
      <c r="Q1028" s="7" t="n"/>
      <c r="R1028" s="7" t="n"/>
      <c r="S1028" s="7" t="n"/>
      <c r="T1028" s="7" t="n"/>
      <c r="U1028" s="7" t="n"/>
      <c r="V1028" s="7" t="n"/>
      <c r="W1028" s="7" t="n"/>
      <c r="X1028" s="7" t="n"/>
      <c r="Y1028" s="7" t="n"/>
      <c r="Z1028" s="7" t="n"/>
      <c r="AA1028" s="7" t="n"/>
      <c r="AB1028" s="7" t="n"/>
      <c r="AC1028" s="7" t="n"/>
      <c r="AD1028" s="7" t="n"/>
      <c r="AE1028" s="7" t="n"/>
      <c r="AF1028" s="7" t="n"/>
      <c r="AG1028" s="7" t="n"/>
      <c r="AH1028" s="7" t="n"/>
      <c r="AI1028" s="7" t="n"/>
      <c r="AJ1028" s="7" t="n"/>
      <c r="AK1028" s="60" t="n"/>
      <c r="AL1028" s="7" t="n"/>
      <c r="AM1028" s="7" t="n"/>
      <c r="AN1028" s="60" t="n"/>
      <c r="AO1028" s="7" t="n"/>
      <c r="AP1028" s="60" t="n"/>
      <c r="AQ1028" s="7" t="n"/>
      <c r="AR1028" s="60" t="n"/>
      <c r="AS1028" s="7" t="n"/>
      <c r="AT1028" s="7" t="n"/>
      <c r="AU1028" s="7" t="n"/>
      <c r="AV1028" s="60" t="n"/>
      <c r="AW1028" s="7" t="n"/>
      <c r="AX1028" s="7" t="n"/>
      <c r="AY1028" s="7" t="n"/>
      <c r="AZ1028" s="7" t="n"/>
      <c r="BA1028" s="7" t="n"/>
      <c r="BB1028" s="7" t="n"/>
      <c r="BC1028" s="7" t="n"/>
      <c r="BD1028" s="7" t="n"/>
      <c r="BE1028" s="7" t="n"/>
      <c r="BF1028" s="7" t="n"/>
      <c r="BG1028" s="7" t="n"/>
      <c r="BH1028" s="7" t="n"/>
      <c r="BI1028" s="7" t="n"/>
      <c r="BJ1028" s="7" t="n"/>
      <c r="BK1028" s="61" t="n"/>
      <c r="BL1028" s="61" t="inlineStr">
        <is>
          <t>GMAP-SIGA</t>
        </is>
      </c>
      <c r="BM1028" s="251" t="inlineStr">
        <is>
          <t>ASUB</t>
        </is>
      </c>
      <c r="BN1028" s="337" t="inlineStr">
        <is>
          <t>Tranque</t>
        </is>
      </c>
      <c r="BO1028" s="251" t="inlineStr">
        <is>
          <t>SI</t>
        </is>
      </c>
      <c r="BP1028" s="251"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7" t="n">
        <v>1</v>
      </c>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24">
        <f>+COUNTA(BV1028:CY1028)</f>
        <v/>
      </c>
      <c r="DA1028" s="251" t="n"/>
      <c r="DB1028" s="251" t="n"/>
      <c r="DC1028" s="251" t="n"/>
      <c r="DD1028" s="251" t="n"/>
      <c r="DE1028" s="251" t="n"/>
      <c r="DF1028" s="251" t="n"/>
      <c r="DG1028" s="251" t="n"/>
      <c r="DH1028" s="251" t="n"/>
      <c r="DI1028" s="251" t="n"/>
      <c r="DJ1028" s="251" t="n"/>
      <c r="DK1028" s="251" t="n"/>
      <c r="DL1028" s="95" t="n"/>
      <c r="DM1028" s="251" t="n"/>
      <c r="DN1028" s="95" t="n"/>
      <c r="DO1028" s="95" t="n"/>
    </row>
    <row r="1029" ht="13" customHeight="1">
      <c r="A1029" s="203" t="inlineStr">
        <is>
          <t>Pozo 12</t>
        </is>
      </c>
      <c r="B1029" s="305" t="n"/>
      <c r="C1029" s="7" t="n"/>
      <c r="D1029" s="7" t="inlineStr">
        <is>
          <t>SI</t>
        </is>
      </c>
      <c r="E1029" s="7" t="inlineStr">
        <is>
          <t>SI</t>
        </is>
      </c>
      <c r="F1029" s="7" t="inlineStr">
        <is>
          <t>NO</t>
        </is>
      </c>
      <c r="G1029" s="7" t="inlineStr">
        <is>
          <t>NO</t>
        </is>
      </c>
      <c r="H1029" s="7" t="n">
        <v>543176</v>
      </c>
      <c r="I1029" s="7" t="n">
        <v>7688142</v>
      </c>
      <c r="J1029" s="7" t="inlineStr">
        <is>
          <t>Por implementar (pozo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n"/>
      <c r="BM1029" s="251" t="n"/>
      <c r="BN1029" s="337" t="n"/>
      <c r="BO1029" s="251" t="n"/>
      <c r="BP1029" s="251" t="n"/>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5" t="n"/>
      <c r="CE1029" s="105" t="n"/>
      <c r="CF1029" s="105" t="n"/>
      <c r="CG1029" s="105" t="n"/>
      <c r="CH1029" s="105" t="n"/>
      <c r="CI1029" s="105" t="n"/>
      <c r="CJ1029" s="105" t="n"/>
      <c r="CK1029" s="105" t="n"/>
      <c r="CL1029" s="105" t="n"/>
      <c r="CM1029" s="105" t="n"/>
      <c r="CN1029" s="105" t="n"/>
      <c r="CO1029" s="105" t="n"/>
      <c r="CP1029" s="105" t="n"/>
      <c r="CQ1029" s="105" t="n"/>
      <c r="CR1029" s="105" t="n"/>
      <c r="CS1029" s="105" t="n"/>
      <c r="CT1029" s="105" t="n"/>
      <c r="CU1029" s="105" t="n"/>
      <c r="CV1029" s="105" t="n"/>
      <c r="CW1029" s="105" t="n"/>
      <c r="CX1029" s="105" t="n"/>
      <c r="CY1029" s="105" t="n"/>
      <c r="CZ1029" s="124">
        <f>+COUNTA(BV1029:CY1029)</f>
        <v/>
      </c>
      <c r="DA1029" s="251" t="n"/>
      <c r="DB1029" s="251" t="n"/>
      <c r="DC1029" s="251" t="n"/>
      <c r="DD1029" s="251" t="n"/>
      <c r="DE1029" s="251" t="n"/>
      <c r="DF1029" s="251" t="n"/>
      <c r="DG1029" s="251" t="n"/>
      <c r="DH1029" s="251" t="n"/>
      <c r="DI1029" s="251" t="n"/>
      <c r="DJ1029" s="251" t="n"/>
      <c r="DK1029" s="251" t="n"/>
      <c r="DL1029" s="95" t="n"/>
      <c r="DM1029" s="251" t="n"/>
      <c r="DN1029" s="95" t="n"/>
      <c r="DO1029" s="95" t="n"/>
    </row>
    <row r="1030" ht="13" customHeight="1">
      <c r="A1030" s="203" t="inlineStr">
        <is>
          <t>Pozo 13</t>
        </is>
      </c>
      <c r="B1030" s="305" t="n"/>
      <c r="C1030" s="7" t="n"/>
      <c r="D1030" s="7" t="inlineStr">
        <is>
          <t>SI</t>
        </is>
      </c>
      <c r="E1030" s="7" t="inlineStr">
        <is>
          <t>SI</t>
        </is>
      </c>
      <c r="F1030" s="7" t="inlineStr">
        <is>
          <t>NO</t>
        </is>
      </c>
      <c r="G1030" s="7" t="inlineStr">
        <is>
          <t>NO</t>
        </is>
      </c>
      <c r="H1030" s="7" t="n">
        <v>533872</v>
      </c>
      <c r="I1030" s="7" t="n">
        <v>7699261</v>
      </c>
      <c r="J1030" s="7" t="inlineStr">
        <is>
          <t>Por implementar</t>
        </is>
      </c>
      <c r="K1030" s="7" t="inlineStr">
        <is>
          <t>-</t>
        </is>
      </c>
      <c r="L1030" s="7" t="inlineStr">
        <is>
          <t>Agua Subterránea</t>
        </is>
      </c>
      <c r="M1030" s="7" t="inlineStr">
        <is>
          <t>Cordillera</t>
        </is>
      </c>
      <c r="N1030" s="7" t="inlineStr">
        <is>
          <t>Pozo</t>
        </is>
      </c>
      <c r="O1030" s="7" t="inlineStr">
        <is>
          <t>Falla Pabellón</t>
        </is>
      </c>
      <c r="P1030" s="7" t="inlineStr">
        <is>
          <t>SI</t>
        </is>
      </c>
      <c r="Q1030" s="7" t="inlineStr">
        <is>
          <t>Mensual</t>
        </is>
      </c>
      <c r="R1030" s="7" t="inlineStr">
        <is>
          <t>-</t>
        </is>
      </c>
      <c r="S1030" s="7" t="inlineStr">
        <is>
          <t>-</t>
        </is>
      </c>
      <c r="T1030" s="7" t="inlineStr">
        <is>
          <t>NO</t>
        </is>
      </c>
      <c r="U1030" s="7" t="inlineStr">
        <is>
          <t>-</t>
        </is>
      </c>
      <c r="V1030" s="7" t="inlineStr">
        <is>
          <t>SI</t>
        </is>
      </c>
      <c r="W1030" s="7" t="inlineStr">
        <is>
          <t>Mensual</t>
        </is>
      </c>
      <c r="X1030" s="7" t="inlineStr">
        <is>
          <t>NO</t>
        </is>
      </c>
      <c r="Y1030" s="7" t="inlineStr">
        <is>
          <t>-</t>
        </is>
      </c>
      <c r="Z1030" s="7" t="inlineStr">
        <is>
          <t>NO</t>
        </is>
      </c>
      <c r="AA1030" s="7" t="inlineStr">
        <is>
          <t>-</t>
        </is>
      </c>
      <c r="AB1030" s="7" t="inlineStr">
        <is>
          <t>NO</t>
        </is>
      </c>
      <c r="AC1030" s="7" t="inlineStr">
        <is>
          <t>-</t>
        </is>
      </c>
      <c r="AD1030" s="7" t="inlineStr">
        <is>
          <t>NO</t>
        </is>
      </c>
      <c r="AE1030" s="7" t="inlineStr">
        <is>
          <t>-</t>
        </is>
      </c>
      <c r="AF1030" s="7" t="inlineStr">
        <is>
          <t>-</t>
        </is>
      </c>
      <c r="AG1030" s="7" t="inlineStr">
        <is>
          <t>NO</t>
        </is>
      </c>
      <c r="AH1030" s="7" t="inlineStr">
        <is>
          <t>-</t>
        </is>
      </c>
      <c r="AI1030" s="7" t="inlineStr">
        <is>
          <t>NO</t>
        </is>
      </c>
      <c r="AJ1030" s="7" t="inlineStr">
        <is>
          <t>-</t>
        </is>
      </c>
      <c r="AK1030" s="60" t="inlineStr">
        <is>
          <t>Plan base + T° + Nitritos + amonio</t>
        </is>
      </c>
      <c r="AL1030" s="7" t="inlineStr">
        <is>
          <t>Trimestral</t>
        </is>
      </c>
      <c r="AM1030" s="7" t="inlineStr">
        <is>
          <t>-</t>
        </is>
      </c>
      <c r="AN1030" s="60" t="inlineStr">
        <is>
          <t>NO</t>
        </is>
      </c>
      <c r="AO1030" s="7" t="inlineStr">
        <is>
          <t>-</t>
        </is>
      </c>
      <c r="AP1030" s="60" t="inlineStr">
        <is>
          <t>NO</t>
        </is>
      </c>
      <c r="AQ1030" s="7" t="inlineStr">
        <is>
          <t>-</t>
        </is>
      </c>
      <c r="AR1030" s="60" t="inlineStr">
        <is>
          <t>NO</t>
        </is>
      </c>
      <c r="AS1030" s="7" t="inlineStr">
        <is>
          <t>-</t>
        </is>
      </c>
      <c r="AT1030" s="7" t="inlineStr">
        <is>
          <t>SI</t>
        </is>
      </c>
      <c r="AU1030" s="7" t="inlineStr">
        <is>
          <t>Trimestral</t>
        </is>
      </c>
      <c r="AV1030" s="60" t="inlineStr">
        <is>
          <t>NO</t>
        </is>
      </c>
      <c r="AW1030" s="7" t="inlineStr">
        <is>
          <t>-</t>
        </is>
      </c>
      <c r="AX1030" s="7" t="inlineStr">
        <is>
          <t>NO</t>
        </is>
      </c>
      <c r="AY1030" s="7" t="inlineStr">
        <is>
          <t>-</t>
        </is>
      </c>
      <c r="AZ1030" s="7" t="inlineStr">
        <is>
          <t>NO</t>
        </is>
      </c>
      <c r="BA1030" s="7" t="inlineStr">
        <is>
          <t>-</t>
        </is>
      </c>
      <c r="BB1030" s="7" t="inlineStr">
        <is>
          <t>NO</t>
        </is>
      </c>
      <c r="BC1030" s="7" t="inlineStr">
        <is>
          <t>-</t>
        </is>
      </c>
      <c r="BD1030" s="7" t="inlineStr">
        <is>
          <t>NO</t>
        </is>
      </c>
      <c r="BE1030" s="7" t="inlineStr">
        <is>
          <t>-</t>
        </is>
      </c>
      <c r="BF1030" s="7" t="inlineStr">
        <is>
          <t>SMA</t>
        </is>
      </c>
      <c r="BG1030" s="7" t="inlineStr">
        <is>
          <t>PSA</t>
        </is>
      </c>
      <c r="BH1030" s="7" t="inlineStr">
        <is>
          <t>RCA 20219900112</t>
        </is>
      </c>
      <c r="BI1030" s="7" t="n"/>
      <c r="BJ1030" s="7" t="n"/>
      <c r="BK1030" s="61" t="n"/>
      <c r="BL1030" s="61" t="n"/>
      <c r="BM1030" s="251" t="n"/>
      <c r="BN1030" s="337" t="n"/>
      <c r="BO1030" s="251" t="n"/>
      <c r="BP1030" s="251" t="n"/>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5" t="n"/>
      <c r="CK1030" s="105" t="n"/>
      <c r="CL1030" s="105" t="n"/>
      <c r="CM1030" s="105" t="n"/>
      <c r="CN1030" s="105" t="n"/>
      <c r="CO1030" s="105" t="n"/>
      <c r="CP1030" s="105" t="n"/>
      <c r="CQ1030" s="105" t="n"/>
      <c r="CR1030" s="105" t="n"/>
      <c r="CS1030" s="105" t="n"/>
      <c r="CT1030" s="105" t="n"/>
      <c r="CU1030" s="105" t="n"/>
      <c r="CV1030" s="105" t="n"/>
      <c r="CW1030" s="105" t="n"/>
      <c r="CX1030" s="105" t="n"/>
      <c r="CY1030" s="105" t="n"/>
      <c r="CZ1030" s="124">
        <f>+COUNTA(BV1030:CY1030)</f>
        <v/>
      </c>
      <c r="DA1030" s="251" t="n"/>
      <c r="DB1030" s="251" t="n"/>
      <c r="DC1030" s="251" t="n"/>
      <c r="DD1030" s="251" t="n"/>
      <c r="DE1030" s="251" t="n"/>
      <c r="DF1030" s="251" t="n"/>
      <c r="DG1030" s="251" t="n"/>
      <c r="DH1030" s="251" t="n"/>
      <c r="DI1030" s="251" t="n"/>
      <c r="DJ1030" s="251" t="n"/>
      <c r="DK1030" s="251" t="n"/>
      <c r="DL1030" s="95" t="n"/>
      <c r="DM1030" s="251" t="n"/>
      <c r="DN1030" s="95" t="n"/>
      <c r="DO1030" s="95" t="n"/>
    </row>
    <row r="1031" ht="13" customHeight="1">
      <c r="A1031" s="203" t="inlineStr">
        <is>
          <t>Pozo 14</t>
        </is>
      </c>
      <c r="B1031" s="305" t="n"/>
      <c r="C1031" s="7" t="n"/>
      <c r="D1031" s="7" t="inlineStr">
        <is>
          <t>SI</t>
        </is>
      </c>
      <c r="E1031" s="7" t="inlineStr">
        <is>
          <t>SI</t>
        </is>
      </c>
      <c r="F1031" s="7" t="inlineStr">
        <is>
          <t>NO</t>
        </is>
      </c>
      <c r="G1031" s="7" t="inlineStr">
        <is>
          <t>NO</t>
        </is>
      </c>
      <c r="H1031" s="7" t="n">
        <v>534075</v>
      </c>
      <c r="I1031" s="7" t="n">
        <v>7698957</v>
      </c>
      <c r="J1031" s="7" t="inlineStr">
        <is>
          <t>Por implementar</t>
        </is>
      </c>
      <c r="K1031" s="7" t="inlineStr">
        <is>
          <t>-</t>
        </is>
      </c>
      <c r="L1031" s="7" t="inlineStr">
        <is>
          <t>Agua Subterránea</t>
        </is>
      </c>
      <c r="M1031" s="7" t="inlineStr">
        <is>
          <t>Cordillera</t>
        </is>
      </c>
      <c r="N1031" s="7" t="inlineStr">
        <is>
          <t>Pozo</t>
        </is>
      </c>
      <c r="O1031" s="7" t="inlineStr">
        <is>
          <t>Falla Pabellón</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 T° + Nitritos + amonio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n"/>
      <c r="BJ1031" s="7" t="n"/>
      <c r="BK1031" s="61" t="n"/>
      <c r="BL1031" s="61" t="n"/>
      <c r="BM1031" s="251" t="n"/>
      <c r="BN1031" s="337" t="n"/>
      <c r="BO1031" s="251" t="n"/>
      <c r="BP1031" s="251"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24">
        <f>+COUNTA(BV1031:CY1031)</f>
        <v/>
      </c>
      <c r="DA1031" s="251" t="n"/>
      <c r="DB1031" s="251" t="n"/>
      <c r="DC1031" s="251" t="n"/>
      <c r="DD1031" s="251" t="n"/>
      <c r="DE1031" s="251" t="n"/>
      <c r="DF1031" s="251" t="n"/>
      <c r="DG1031" s="251" t="n"/>
      <c r="DH1031" s="251" t="n"/>
      <c r="DI1031" s="251" t="n"/>
      <c r="DJ1031" s="251" t="n"/>
      <c r="DK1031" s="251" t="n"/>
      <c r="DL1031" s="95" t="n"/>
      <c r="DM1031" s="251" t="n"/>
      <c r="DN1031" s="95" t="n"/>
      <c r="DO1031" s="95" t="n"/>
    </row>
    <row r="1032" ht="13" customHeight="1">
      <c r="A1032" s="203" t="inlineStr">
        <is>
          <t>Pozo 15</t>
        </is>
      </c>
      <c r="B1032" s="305" t="n"/>
      <c r="C1032" s="7" t="n"/>
      <c r="D1032" s="7" t="inlineStr">
        <is>
          <t>SI</t>
        </is>
      </c>
      <c r="E1032" s="7" t="inlineStr">
        <is>
          <t>SI</t>
        </is>
      </c>
      <c r="F1032" s="7" t="inlineStr">
        <is>
          <t>NO</t>
        </is>
      </c>
      <c r="G1032" s="7" t="inlineStr">
        <is>
          <t>NO</t>
        </is>
      </c>
      <c r="H1032" s="7" t="n">
        <v>534348</v>
      </c>
      <c r="I1032" s="7" t="n">
        <v>7698550</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1" t="n"/>
      <c r="BN1032" s="337" t="n"/>
      <c r="BO1032" s="251" t="n"/>
      <c r="BP1032" s="251"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24">
        <f>+COUNTA(BV1032:CY1032)</f>
        <v/>
      </c>
      <c r="DA1032" s="251" t="n"/>
      <c r="DB1032" s="251" t="n"/>
      <c r="DC1032" s="251" t="n"/>
      <c r="DD1032" s="251" t="n"/>
      <c r="DE1032" s="251" t="n"/>
      <c r="DF1032" s="251" t="n"/>
      <c r="DG1032" s="251" t="n"/>
      <c r="DH1032" s="251" t="n"/>
      <c r="DI1032" s="251" t="n"/>
      <c r="DJ1032" s="251" t="n"/>
      <c r="DK1032" s="251" t="n"/>
      <c r="DL1032" s="95" t="n"/>
      <c r="DM1032" s="251" t="n"/>
      <c r="DN1032" s="95" t="n"/>
      <c r="DO1032" s="95" t="n"/>
    </row>
    <row r="1033" ht="13" customHeight="1">
      <c r="A1033" s="203" t="inlineStr">
        <is>
          <t>Pozo 2</t>
        </is>
      </c>
      <c r="B1033" s="305" t="n"/>
      <c r="C1033" s="7" t="n"/>
      <c r="D1033" s="7" t="inlineStr">
        <is>
          <t>SI</t>
        </is>
      </c>
      <c r="E1033" s="7" t="inlineStr">
        <is>
          <t>SI</t>
        </is>
      </c>
      <c r="F1033" s="7" t="inlineStr">
        <is>
          <t>NO</t>
        </is>
      </c>
      <c r="G1033" s="7" t="inlineStr">
        <is>
          <t>NO</t>
        </is>
      </c>
      <c r="H1033" s="7" t="n">
        <v>540370</v>
      </c>
      <c r="I1033" s="7" t="n">
        <v>7681964</v>
      </c>
      <c r="J1033" s="7" t="inlineStr">
        <is>
          <t>Por implementar</t>
        </is>
      </c>
      <c r="K1033" s="7" t="inlineStr">
        <is>
          <t>-</t>
        </is>
      </c>
      <c r="L1033" s="7" t="inlineStr">
        <is>
          <t>Agua Subterránea</t>
        </is>
      </c>
      <c r="M1033" s="7" t="inlineStr">
        <is>
          <t>Cordillera</t>
        </is>
      </c>
      <c r="N1033" s="7" t="inlineStr">
        <is>
          <t>Pozo</t>
        </is>
      </c>
      <c r="O1033" s="7" t="inlineStr">
        <is>
          <t>Pilas de lixiviación y Depósito Relaves</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1" t="n"/>
      <c r="BN1033" s="337" t="n"/>
      <c r="BO1033" s="251" t="n"/>
      <c r="BP1033" s="251"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24">
        <f>+COUNTA(BV1033:CY1033)</f>
        <v/>
      </c>
      <c r="DA1033" s="251" t="n"/>
      <c r="DB1033" s="251" t="n"/>
      <c r="DC1033" s="251" t="n"/>
      <c r="DD1033" s="251" t="n"/>
      <c r="DE1033" s="251" t="n"/>
      <c r="DF1033" s="251" t="n"/>
      <c r="DG1033" s="251" t="n"/>
      <c r="DH1033" s="251" t="n"/>
      <c r="DI1033" s="251" t="n"/>
      <c r="DJ1033" s="251" t="n"/>
      <c r="DK1033" s="251" t="n"/>
      <c r="DL1033" s="95" t="n"/>
      <c r="DM1033" s="251" t="n"/>
      <c r="DN1033" s="95" t="n"/>
      <c r="DO1033" s="95" t="n"/>
    </row>
    <row r="1034" ht="13" customHeight="1">
      <c r="A1034" s="203" t="inlineStr">
        <is>
          <t>Pozo 3</t>
        </is>
      </c>
      <c r="B1034" s="305" t="n"/>
      <c r="C1034" s="7" t="n"/>
      <c r="D1034" s="7" t="inlineStr">
        <is>
          <t>SI</t>
        </is>
      </c>
      <c r="E1034" s="7" t="inlineStr">
        <is>
          <t>SI</t>
        </is>
      </c>
      <c r="F1034" s="7" t="inlineStr">
        <is>
          <t>NO</t>
        </is>
      </c>
      <c r="G1034" s="7" t="inlineStr">
        <is>
          <t>NO</t>
        </is>
      </c>
      <c r="H1034" s="7" t="n">
        <v>540928</v>
      </c>
      <c r="I1034" s="7" t="n">
        <v>7681549</v>
      </c>
      <c r="J1034" s="7" t="inlineStr">
        <is>
          <t>Por implementar</t>
        </is>
      </c>
      <c r="K1034" s="7" t="inlineStr">
        <is>
          <t>-</t>
        </is>
      </c>
      <c r="L1034" s="7" t="inlineStr">
        <is>
          <t>Agua Subterránea</t>
        </is>
      </c>
      <c r="M1034" s="7" t="inlineStr">
        <is>
          <t>Cordillera</t>
        </is>
      </c>
      <c r="N1034" s="7" t="inlineStr">
        <is>
          <t>Pozo</t>
        </is>
      </c>
      <c r="O1034" s="7" t="inlineStr">
        <is>
          <t>Pilas de lixiviación y Depósito Relaves</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1" t="n"/>
      <c r="BN1034" s="337" t="n"/>
      <c r="BO1034" s="251" t="n"/>
      <c r="BP1034" s="251"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24">
        <f>+COUNTA(BV1034:CY1034)</f>
        <v/>
      </c>
      <c r="DA1034" s="251" t="n"/>
      <c r="DB1034" s="251" t="n"/>
      <c r="DC1034" s="251" t="n"/>
      <c r="DD1034" s="251" t="n"/>
      <c r="DE1034" s="251" t="n"/>
      <c r="DF1034" s="251" t="n"/>
      <c r="DG1034" s="251" t="n"/>
      <c r="DH1034" s="251" t="n"/>
      <c r="DI1034" s="251" t="n"/>
      <c r="DJ1034" s="251" t="n"/>
      <c r="DK1034" s="251" t="n"/>
      <c r="DL1034" s="95" t="n"/>
      <c r="DM1034" s="251" t="n"/>
      <c r="DN1034" s="95" t="n"/>
      <c r="DO1034" s="95" t="n"/>
    </row>
    <row r="1035" ht="13" customHeight="1">
      <c r="A1035" s="203" t="inlineStr">
        <is>
          <t>Pozo 4</t>
        </is>
      </c>
      <c r="B1035" s="305" t="n"/>
      <c r="C1035" s="7" t="n"/>
      <c r="D1035" s="7" t="inlineStr">
        <is>
          <t>SI</t>
        </is>
      </c>
      <c r="E1035" s="7" t="inlineStr">
        <is>
          <t>SI</t>
        </is>
      </c>
      <c r="F1035" s="7" t="inlineStr">
        <is>
          <t>NO</t>
        </is>
      </c>
      <c r="G1035" s="7" t="inlineStr">
        <is>
          <t>NO</t>
        </is>
      </c>
      <c r="H1035" s="7" t="n">
        <v>540050</v>
      </c>
      <c r="I1035" s="7" t="n">
        <v>7681065</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1" t="n"/>
      <c r="BN1035" s="337" t="n"/>
      <c r="BO1035" s="251" t="n"/>
      <c r="BP1035" s="251"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24">
        <f>+COUNTA(BV1035:CY1035)</f>
        <v/>
      </c>
      <c r="DA1035" s="251" t="n"/>
      <c r="DB1035" s="251" t="n"/>
      <c r="DC1035" s="251" t="n"/>
      <c r="DD1035" s="251" t="n"/>
      <c r="DE1035" s="251" t="n"/>
      <c r="DF1035" s="251" t="n"/>
      <c r="DG1035" s="251" t="n"/>
      <c r="DH1035" s="251" t="n"/>
      <c r="DI1035" s="251" t="n"/>
      <c r="DJ1035" s="251" t="n"/>
      <c r="DK1035" s="251" t="n"/>
      <c r="DL1035" s="95" t="n"/>
      <c r="DM1035" s="251" t="n"/>
      <c r="DN1035" s="95" t="n"/>
      <c r="DO1035" s="95" t="n"/>
    </row>
    <row r="1036" ht="13" customHeight="1">
      <c r="A1036" s="203" t="inlineStr">
        <is>
          <t>Pozo 5</t>
        </is>
      </c>
      <c r="B1036" s="305" t="n"/>
      <c r="C1036" s="7" t="n"/>
      <c r="D1036" s="7" t="inlineStr">
        <is>
          <t>SI</t>
        </is>
      </c>
      <c r="E1036" s="7" t="inlineStr">
        <is>
          <t>SI</t>
        </is>
      </c>
      <c r="F1036" s="7" t="inlineStr">
        <is>
          <t>NO</t>
        </is>
      </c>
      <c r="G1036" s="7" t="inlineStr">
        <is>
          <t>NO</t>
        </is>
      </c>
      <c r="H1036" s="7" t="n">
        <v>543819</v>
      </c>
      <c r="I1036" s="7" t="n">
        <v>7683362</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T°+ nitritos + amonio +isotopos + bromuro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inlineStr">
        <is>
          <t>Respuesta N° 205, Adenda Complementaria:
Isótopos y Bromuro: Trimestral</t>
        </is>
      </c>
      <c r="BJ1036" s="7" t="n"/>
      <c r="BK1036" s="61" t="n"/>
      <c r="BL1036" s="61" t="n"/>
      <c r="BM1036" s="251" t="n"/>
      <c r="BN1036" s="337" t="n"/>
      <c r="BO1036" s="251" t="n"/>
      <c r="BP1036" s="251"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24">
        <f>+COUNTA(BV1036:CY1036)</f>
        <v/>
      </c>
      <c r="DA1036" s="251" t="n"/>
      <c r="DB1036" s="251" t="n"/>
      <c r="DC1036" s="251" t="n"/>
      <c r="DD1036" s="251" t="n"/>
      <c r="DE1036" s="251" t="n"/>
      <c r="DF1036" s="251" t="n"/>
      <c r="DG1036" s="251" t="n"/>
      <c r="DH1036" s="251" t="n"/>
      <c r="DI1036" s="251" t="n"/>
      <c r="DJ1036" s="251" t="n"/>
      <c r="DK1036" s="251" t="n"/>
      <c r="DL1036" s="95" t="n"/>
      <c r="DM1036" s="251" t="n"/>
      <c r="DN1036" s="95" t="n"/>
      <c r="DO1036" s="95" t="n"/>
    </row>
    <row r="1037" ht="13" customHeight="1">
      <c r="A1037" s="203" t="inlineStr">
        <is>
          <t>Pozo 6</t>
        </is>
      </c>
      <c r="B1037" s="305" t="n"/>
      <c r="C1037" s="7" t="n"/>
      <c r="D1037" s="7" t="inlineStr">
        <is>
          <t>SI</t>
        </is>
      </c>
      <c r="E1037" s="7" t="inlineStr">
        <is>
          <t>SI</t>
        </is>
      </c>
      <c r="F1037" s="7" t="inlineStr">
        <is>
          <t>NO</t>
        </is>
      </c>
      <c r="G1037" s="7" t="inlineStr">
        <is>
          <t>NO</t>
        </is>
      </c>
      <c r="H1037" s="7" t="n">
        <v>541000</v>
      </c>
      <c r="I1037" s="7" t="n">
        <v>7681500</v>
      </c>
      <c r="J1037" s="7" t="inlineStr">
        <is>
          <t>Por implementar (pozo Reemplaza M-12, MPZ-10A, MPZ-10B, MAU-12 y MAU-13 )</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Mensual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Mensual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1" t="n"/>
      <c r="BN1037" s="337" t="n"/>
      <c r="BO1037" s="251" t="n"/>
      <c r="BP1037" s="251"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24">
        <f>+COUNTA(BV1037:CY1037)</f>
        <v/>
      </c>
      <c r="DA1037" s="251" t="n"/>
      <c r="DB1037" s="251" t="n"/>
      <c r="DC1037" s="251" t="n"/>
      <c r="DD1037" s="251" t="n"/>
      <c r="DE1037" s="251" t="n"/>
      <c r="DF1037" s="251" t="n"/>
      <c r="DG1037" s="251" t="n"/>
      <c r="DH1037" s="251" t="n"/>
      <c r="DI1037" s="251" t="n"/>
      <c r="DJ1037" s="251" t="n"/>
      <c r="DK1037" s="251" t="n"/>
      <c r="DL1037" s="95" t="n"/>
      <c r="DM1037" s="251" t="n"/>
      <c r="DN1037" s="95" t="n"/>
      <c r="DO1037" s="95" t="n"/>
    </row>
    <row r="1038" ht="13" customHeight="1">
      <c r="A1038" s="203" t="inlineStr">
        <is>
          <t>Pozo 7</t>
        </is>
      </c>
      <c r="B1038" s="305" t="n"/>
      <c r="C1038" s="7" t="n"/>
      <c r="D1038" s="7" t="inlineStr">
        <is>
          <t>SI</t>
        </is>
      </c>
      <c r="E1038" s="7" t="inlineStr">
        <is>
          <t>SI</t>
        </is>
      </c>
      <c r="F1038" s="7" t="inlineStr">
        <is>
          <t>NO</t>
        </is>
      </c>
      <c r="G1038" s="7" t="inlineStr">
        <is>
          <t>NO</t>
        </is>
      </c>
      <c r="H1038" s="7" t="n">
        <v>544830</v>
      </c>
      <c r="I1038" s="7" t="n">
        <v>7683130</v>
      </c>
      <c r="J1038" s="7" t="inlineStr">
        <is>
          <t>Por implementar (pozo Reemplaza M-12, MPZ-10A, MPZ-10B, MAU-12 y MAU-13 )</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1" t="n"/>
      <c r="BN1038" s="337" t="n"/>
      <c r="BO1038" s="251" t="n"/>
      <c r="BP1038" s="251"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24">
        <f>+COUNTA(BV1038:CY1038)</f>
        <v/>
      </c>
      <c r="DA1038" s="251" t="n"/>
      <c r="DB1038" s="251" t="n"/>
      <c r="DC1038" s="251" t="n"/>
      <c r="DD1038" s="251" t="n"/>
      <c r="DE1038" s="251" t="n"/>
      <c r="DF1038" s="251" t="n"/>
      <c r="DG1038" s="251" t="n"/>
      <c r="DH1038" s="251" t="n"/>
      <c r="DI1038" s="251" t="n"/>
      <c r="DJ1038" s="251" t="n"/>
      <c r="DK1038" s="251" t="n"/>
      <c r="DL1038" s="95" t="n"/>
      <c r="DM1038" s="251" t="n"/>
      <c r="DN1038" s="95" t="n"/>
      <c r="DO1038" s="95" t="n"/>
    </row>
    <row r="1039" ht="13" customHeight="1">
      <c r="A1039" s="203" t="inlineStr">
        <is>
          <t>Pozo 8</t>
        </is>
      </c>
      <c r="B1039" s="305" t="n"/>
      <c r="C1039" s="7" t="n"/>
      <c r="D1039" s="7" t="inlineStr">
        <is>
          <t>SI</t>
        </is>
      </c>
      <c r="E1039" s="7" t="inlineStr">
        <is>
          <t>SI</t>
        </is>
      </c>
      <c r="F1039" s="7" t="inlineStr">
        <is>
          <t>NO</t>
        </is>
      </c>
      <c r="G1039" s="7" t="inlineStr">
        <is>
          <t>NO</t>
        </is>
      </c>
      <c r="H1039" s="7" t="n">
        <v>541795</v>
      </c>
      <c r="I1039" s="7" t="n">
        <v>7681623</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1" t="n"/>
      <c r="BN1039" s="337" t="n"/>
      <c r="BO1039" s="251" t="n"/>
      <c r="BP1039" s="251"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24">
        <f>+COUNTA(BV1039:CY1039)</f>
        <v/>
      </c>
      <c r="DA1039" s="251" t="n"/>
      <c r="DB1039" s="251" t="n"/>
      <c r="DC1039" s="251" t="n"/>
      <c r="DD1039" s="251" t="n"/>
      <c r="DE1039" s="251" t="n"/>
      <c r="DF1039" s="251" t="n"/>
      <c r="DG1039" s="251" t="n"/>
      <c r="DH1039" s="251" t="n"/>
      <c r="DI1039" s="251" t="n"/>
      <c r="DJ1039" s="251" t="n"/>
      <c r="DK1039" s="251" t="n"/>
      <c r="DL1039" s="95" t="n"/>
      <c r="DM1039" s="251" t="n"/>
      <c r="DN1039" s="95" t="n"/>
      <c r="DO1039" s="95" t="n"/>
    </row>
    <row r="1040" ht="13" customHeight="1">
      <c r="A1040" s="203" t="inlineStr">
        <is>
          <t>Pozo 9</t>
        </is>
      </c>
      <c r="B1040" s="305" t="n"/>
      <c r="C1040" s="7" t="n"/>
      <c r="D1040" s="7" t="inlineStr">
        <is>
          <t>SI</t>
        </is>
      </c>
      <c r="E1040" s="7" t="inlineStr">
        <is>
          <t>SI</t>
        </is>
      </c>
      <c r="F1040" s="7" t="inlineStr">
        <is>
          <t>NO</t>
        </is>
      </c>
      <c r="G1040" s="7" t="inlineStr">
        <is>
          <t>NO</t>
        </is>
      </c>
      <c r="H1040" s="7" t="n">
        <v>543159</v>
      </c>
      <c r="I1040" s="7" t="n">
        <v>7681450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 T° + Nitritos + amonio</t>
        </is>
      </c>
      <c r="AL1040" s="7" t="inlineStr">
        <is>
          <t>Mensual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Mensual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n"/>
      <c r="BJ1040" s="7" t="n"/>
      <c r="BK1040" s="61" t="n"/>
      <c r="BL1040" s="61" t="n"/>
      <c r="BM1040" s="251" t="n"/>
      <c r="BN1040" s="337" t="n"/>
      <c r="BO1040" s="251" t="n"/>
      <c r="BP1040" s="251"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24">
        <f>+COUNTA(BV1040:CY1040)</f>
        <v/>
      </c>
      <c r="DA1040" s="251" t="n"/>
      <c r="DB1040" s="251" t="n"/>
      <c r="DC1040" s="251" t="n"/>
      <c r="DD1040" s="251" t="n"/>
      <c r="DE1040" s="251" t="n"/>
      <c r="DF1040" s="251" t="n"/>
      <c r="DG1040" s="251" t="n"/>
      <c r="DH1040" s="251" t="n"/>
      <c r="DI1040" s="251" t="n"/>
      <c r="DJ1040" s="251" t="n"/>
      <c r="DK1040" s="251" t="n"/>
      <c r="DL1040" s="95" t="n"/>
      <c r="DM1040" s="251" t="n"/>
      <c r="DN1040" s="95" t="n"/>
      <c r="DO1040" s="95" t="n"/>
    </row>
    <row r="1041" ht="13" customHeight="1">
      <c r="A1041" s="203" t="inlineStr">
        <is>
          <t>Pozo bombeo (reemplaza RPW-04)</t>
        </is>
      </c>
      <c r="B1041" s="305" t="n"/>
      <c r="C1041" s="7" t="n"/>
      <c r="D1041" s="7" t="inlineStr">
        <is>
          <t>SI</t>
        </is>
      </c>
      <c r="E1041" s="7" t="inlineStr">
        <is>
          <t>SI</t>
        </is>
      </c>
      <c r="F1041" s="7" t="inlineStr">
        <is>
          <t>NO</t>
        </is>
      </c>
      <c r="G1041" s="7" t="inlineStr">
        <is>
          <t>NO</t>
        </is>
      </c>
      <c r="H1041" s="7" t="n">
        <v>544586</v>
      </c>
      <c r="I1041" s="7" t="n">
        <v>7682432</v>
      </c>
      <c r="J1041" s="7" t="inlineStr">
        <is>
          <t>Por implementar (pozo de reemplazo RPW-04)</t>
        </is>
      </c>
      <c r="K1041" s="7" t="inlineStr">
        <is>
          <t>Si</t>
        </is>
      </c>
      <c r="L1041" s="7" t="inlineStr">
        <is>
          <t>Agua Subterránea</t>
        </is>
      </c>
      <c r="M1041" s="7" t="inlineStr">
        <is>
          <t>Cordillera</t>
        </is>
      </c>
      <c r="N1041" s="7" t="inlineStr">
        <is>
          <t>Pozo Extracción</t>
        </is>
      </c>
      <c r="O1041" s="7" t="inlineStr">
        <is>
          <t>Depósito de relaves</t>
        </is>
      </c>
      <c r="P1041" s="7" t="inlineStr">
        <is>
          <t>SI</t>
        </is>
      </c>
      <c r="Q1041" s="7" t="inlineStr">
        <is>
          <t>Mensual</t>
        </is>
      </c>
      <c r="R1041" s="7" t="inlineStr">
        <is>
          <t>Diario</t>
        </is>
      </c>
      <c r="S1041" s="7" t="inlineStr">
        <is>
          <t>-</t>
        </is>
      </c>
      <c r="T1041" s="7" t="inlineStr">
        <is>
          <t>NO</t>
        </is>
      </c>
      <c r="U1041" s="7" t="inlineStr">
        <is>
          <t>-</t>
        </is>
      </c>
      <c r="V1041" s="7" t="inlineStr">
        <is>
          <t>SI</t>
        </is>
      </c>
      <c r="W1041" s="7" t="inlineStr">
        <is>
          <t>Mensual</t>
        </is>
      </c>
      <c r="X1041" s="7" t="inlineStr">
        <is>
          <t>SI</t>
        </is>
      </c>
      <c r="Y1041" s="7" t="inlineStr">
        <is>
          <t>Continuo</t>
        </is>
      </c>
      <c r="Z1041" s="7" t="inlineStr">
        <is>
          <t>NO</t>
        </is>
      </c>
      <c r="AA1041" s="7" t="inlineStr">
        <is>
          <t>-</t>
        </is>
      </c>
      <c r="AB1041" s="7" t="inlineStr">
        <is>
          <t>SI</t>
        </is>
      </c>
      <c r="AC1041" s="7" t="inlineStr">
        <is>
          <t>Continuo</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T°+ nitritos + amonio +isotopos + bromuro</t>
        </is>
      </c>
      <c r="AL1041" s="7" t="inlineStr">
        <is>
          <t>Trimestral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Trimestral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Barrera Hidráulica DRPP - PSA-DGA</t>
        </is>
      </c>
      <c r="BH1041" s="7" t="inlineStr">
        <is>
          <t>Propuesto presente EIA Reemplazo pozo RPW-04, el cual se comprometió en la Res. Ex. N° 106/2014 Adenda 2, pregunta 5 para SI</t>
        </is>
      </c>
      <c r="BI1041" s="7" t="inlineStr">
        <is>
          <t>Medición diaria de nivel con sensor</t>
        </is>
      </c>
      <c r="BJ1041" s="7" t="n"/>
      <c r="BK1041" s="61" t="n"/>
      <c r="BL1041" s="61" t="n"/>
      <c r="BM1041" s="251" t="n"/>
      <c r="BN1041" s="337" t="n"/>
      <c r="BO1041" s="251" t="n"/>
      <c r="BP1041" s="251" t="inlineStr">
        <is>
          <t>|</t>
        </is>
      </c>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24">
        <f>+COUNTA(BV1041:CY1041)</f>
        <v/>
      </c>
      <c r="DA1041" s="251" t="n"/>
      <c r="DB1041" s="251" t="n"/>
      <c r="DC1041" s="251" t="n"/>
      <c r="DD1041" s="251" t="n"/>
      <c r="DE1041" s="251" t="n"/>
      <c r="DF1041" s="251" t="n"/>
      <c r="DG1041" s="251" t="n"/>
      <c r="DH1041" s="251" t="n"/>
      <c r="DI1041" s="251" t="n"/>
      <c r="DJ1041" s="251" t="n"/>
      <c r="DK1041" s="251" t="n"/>
      <c r="DL1041" s="95" t="n"/>
      <c r="DM1041" s="251" t="n"/>
      <c r="DN1041" s="95" t="n"/>
      <c r="DO1041" s="95" t="n"/>
    </row>
    <row r="1042" ht="13" customHeight="1">
      <c r="A1042" s="203" t="inlineStr">
        <is>
          <t>Pozo Monitoreo 1</t>
        </is>
      </c>
      <c r="B1042" s="305" t="n"/>
      <c r="C1042" s="7" t="n"/>
      <c r="D1042" s="7" t="inlineStr">
        <is>
          <t>SI</t>
        </is>
      </c>
      <c r="E1042" s="7" t="inlineStr">
        <is>
          <t>SI</t>
        </is>
      </c>
      <c r="F1042" s="7" t="inlineStr">
        <is>
          <t>NO</t>
        </is>
      </c>
      <c r="G1042" s="7" t="inlineStr">
        <is>
          <t>NO</t>
        </is>
      </c>
      <c r="H1042" s="7" t="n">
        <v>522452</v>
      </c>
      <c r="I1042" s="7" t="n">
        <v>7681418</v>
      </c>
      <c r="J1042" s="7" t="inlineStr">
        <is>
          <t>Por implementar</t>
        </is>
      </c>
      <c r="K1042" s="7" t="inlineStr">
        <is>
          <t>-</t>
        </is>
      </c>
      <c r="L1042" s="7" t="inlineStr">
        <is>
          <t>Agua Subterránea</t>
        </is>
      </c>
      <c r="M1042" s="7" t="inlineStr">
        <is>
          <t>Cordillera</t>
        </is>
      </c>
      <c r="N1042" s="7" t="inlineStr">
        <is>
          <t>Puntera</t>
        </is>
      </c>
      <c r="O1042" s="7" t="inlineStr">
        <is>
          <t>Q. Huinquintipa
(Aguas abajo QDH-02)</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NO</t>
        </is>
      </c>
      <c r="AL1042" s="7" t="inlineStr">
        <is>
          <t>-</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NO</t>
        </is>
      </c>
      <c r="AU1042" s="7" t="inlineStr">
        <is>
          <t>-</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inlineStr">
        <is>
          <t>GMAP-SIGA</t>
        </is>
      </c>
      <c r="BM1042" s="251" t="inlineStr">
        <is>
          <t>NF</t>
        </is>
      </c>
      <c r="BN1042" s="337" t="inlineStr">
        <is>
          <t>HUINQUINTIPA</t>
        </is>
      </c>
      <c r="BO1042" s="251" t="inlineStr">
        <is>
          <t>SI</t>
        </is>
      </c>
      <c r="BP1042" s="251" t="inlineStr">
        <is>
          <t>Pozo Monitoreo 1/NF</t>
        </is>
      </c>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42" t="n">
        <v>1</v>
      </c>
      <c r="CV1042" s="105" t="n"/>
      <c r="CW1042" s="105" t="n"/>
      <c r="CX1042" s="105" t="n"/>
      <c r="CY1042" s="105" t="n"/>
      <c r="CZ1042" s="124">
        <f>+COUNTA(BV1042:CY1042)</f>
        <v/>
      </c>
      <c r="DA1042" s="251" t="n"/>
      <c r="DB1042" s="251" t="n"/>
      <c r="DC1042" s="251" t="n"/>
      <c r="DD1042" s="251" t="n"/>
      <c r="DE1042" s="251" t="n"/>
      <c r="DF1042" s="251" t="n"/>
      <c r="DG1042" s="251" t="n"/>
      <c r="DH1042" s="251" t="n"/>
      <c r="DI1042" s="251" t="n"/>
      <c r="DJ1042" s="251" t="n"/>
      <c r="DK1042" s="251" t="n"/>
      <c r="DL1042" s="95" t="n"/>
      <c r="DM1042" s="251" t="n"/>
      <c r="DN1042" s="95" t="n"/>
      <c r="DO1042" s="95" t="n"/>
    </row>
    <row r="1043" ht="13" customHeight="1">
      <c r="A1043" s="203" t="inlineStr">
        <is>
          <t>PTAS Instalaciones de Faenas y Campamentos (8 en ductos y 4 en Puerto)</t>
        </is>
      </c>
      <c r="B1043" s="305" t="n"/>
      <c r="C1043" s="7" t="n"/>
      <c r="D1043" s="7" t="inlineStr">
        <is>
          <t>SI</t>
        </is>
      </c>
      <c r="E1043" s="7" t="inlineStr">
        <is>
          <t>SI</t>
        </is>
      </c>
      <c r="F1043" s="7" t="inlineStr">
        <is>
          <t>NO</t>
        </is>
      </c>
      <c r="G1043" s="7" t="inlineStr">
        <is>
          <t>NO</t>
        </is>
      </c>
      <c r="H1043" s="7" t="inlineStr">
        <is>
          <t>REVISAR</t>
        </is>
      </c>
      <c r="I1043" s="7" t="inlineStr">
        <is>
          <t>REVISAR</t>
        </is>
      </c>
      <c r="J1043" s="7" t="inlineStr">
        <is>
          <t>Por implementar</t>
        </is>
      </c>
      <c r="K1043" s="7" t="inlineStr">
        <is>
          <t>-</t>
        </is>
      </c>
      <c r="L1043" s="7" t="inlineStr">
        <is>
          <t>Agua Residual</t>
        </is>
      </c>
      <c r="M1043" s="7" t="inlineStr">
        <is>
          <t>Ductos - Puerto</t>
        </is>
      </c>
      <c r="N1043" s="7" t="inlineStr">
        <is>
          <t>Agua de proceso</t>
        </is>
      </c>
      <c r="O1043" s="7" t="inlineStr">
        <is>
          <t>Ductos y Puerto</t>
        </is>
      </c>
      <c r="P1043" s="7" t="inlineStr">
        <is>
          <t>NO</t>
        </is>
      </c>
      <c r="Q1043" s="7" t="inlineStr">
        <is>
          <t>-</t>
        </is>
      </c>
      <c r="R1043" s="7" t="inlineStr">
        <is>
          <t>-</t>
        </is>
      </c>
      <c r="S1043" s="7" t="inlineStr">
        <is>
          <t>-</t>
        </is>
      </c>
      <c r="T1043" s="7" t="inlineStr">
        <is>
          <t>NO</t>
        </is>
      </c>
      <c r="U1043" s="7" t="inlineStr">
        <is>
          <t>-</t>
        </is>
      </c>
      <c r="V1043" s="7" t="inlineStr">
        <is>
          <t>NO</t>
        </is>
      </c>
      <c r="W1043" s="7" t="inlineStr">
        <is>
          <t>-</t>
        </is>
      </c>
      <c r="X1043" s="7" t="inlineStr">
        <is>
          <t>NO</t>
        </is>
      </c>
      <c r="Y1043" s="7" t="inlineStr">
        <is>
          <t>-</t>
        </is>
      </c>
      <c r="Z1043" s="7" t="inlineStr">
        <is>
          <t>NO</t>
        </is>
      </c>
      <c r="AA1043" s="7" t="inlineStr">
        <is>
          <t>-</t>
        </is>
      </c>
      <c r="AB1043" s="7" t="inlineStr">
        <is>
          <t>NO</t>
        </is>
      </c>
      <c r="AC1043" s="7" t="inlineStr">
        <is>
          <t>-</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 T° + Nitritos + amonio</t>
        </is>
      </c>
      <c r="AL1043" s="7" t="inlineStr">
        <is>
          <t xml:space="preserve">Mensual </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Mensual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 - Autoridad Sanitaria (En caso de ser requeridos)</t>
        </is>
      </c>
      <c r="BG1043" s="7" t="inlineStr">
        <is>
          <t>PSA</t>
        </is>
      </c>
      <c r="BH1043" s="7" t="inlineStr">
        <is>
          <t>RCA 20219900112</t>
        </is>
      </c>
      <c r="BI1043" s="7" t="inlineStr">
        <is>
          <t>Calidad agua de forma mensual  y  los parámetros de funcionamiento de las PTAS de forma periódica</t>
        </is>
      </c>
      <c r="BJ1043" s="7" t="n"/>
      <c r="BK1043" s="61" t="n"/>
      <c r="BL1043" s="61" t="n"/>
      <c r="BM1043" s="251" t="n"/>
      <c r="BN1043" s="337" t="n"/>
      <c r="BO1043" s="251" t="n"/>
      <c r="BP1043" s="251" t="n"/>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24">
        <f>+COUNTA(BV1043:CY1043)</f>
        <v/>
      </c>
      <c r="DA1043" s="251" t="n"/>
      <c r="DB1043" s="251" t="n"/>
      <c r="DC1043" s="251" t="n"/>
      <c r="DD1043" s="251" t="n"/>
      <c r="DE1043" s="251" t="n"/>
      <c r="DF1043" s="251" t="n"/>
      <c r="DG1043" s="251" t="n"/>
      <c r="DH1043" s="251" t="n"/>
      <c r="DI1043" s="251" t="n"/>
      <c r="DJ1043" s="251" t="n"/>
      <c r="DK1043" s="251" t="n"/>
      <c r="DL1043" s="95" t="n"/>
      <c r="DM1043" s="251" t="n"/>
      <c r="DN1043" s="95" t="n"/>
      <c r="DO1043" s="95" t="n"/>
    </row>
    <row r="1044" ht="13" customHeight="1">
      <c r="A1044" s="203" t="inlineStr">
        <is>
          <t>PTAS Ujina y Línea de Impulsión Ujina – Coposa</t>
        </is>
      </c>
      <c r="B1044" s="305" t="n"/>
      <c r="C1044" s="7" t="n"/>
      <c r="D1044" s="7" t="inlineStr">
        <is>
          <t>SI</t>
        </is>
      </c>
      <c r="E1044" s="7" t="inlineStr">
        <is>
          <t>SI</t>
        </is>
      </c>
      <c r="F1044" s="7" t="inlineStr">
        <is>
          <t>NO</t>
        </is>
      </c>
      <c r="G1044" s="7" t="inlineStr">
        <is>
          <t>NO</t>
        </is>
      </c>
      <c r="H1044" s="7" t="inlineStr">
        <is>
          <t>REVISAR</t>
        </is>
      </c>
      <c r="I1044" s="7" t="inlineStr">
        <is>
          <t>REVISAR</t>
        </is>
      </c>
      <c r="J1044" s="7" t="inlineStr">
        <is>
          <t>Por implementar</t>
        </is>
      </c>
      <c r="K1044" s="7" t="inlineStr">
        <is>
          <t>-</t>
        </is>
      </c>
      <c r="L1044" s="7" t="inlineStr">
        <is>
          <t>Agua Residual</t>
        </is>
      </c>
      <c r="M1044" s="7" t="inlineStr">
        <is>
          <t>Cordillera</t>
        </is>
      </c>
      <c r="N1044" s="7" t="inlineStr">
        <is>
          <t>Agua de proceso</t>
        </is>
      </c>
      <c r="O1044" s="7" t="inlineStr">
        <is>
          <t>Ujina y Línea de Impulsión Ujina - Coposa</t>
        </is>
      </c>
      <c r="P1044" s="7" t="inlineStr">
        <is>
          <t>NO</t>
        </is>
      </c>
      <c r="Q1044" s="7" t="inlineStr">
        <is>
          <t>-</t>
        </is>
      </c>
      <c r="R1044" s="7" t="inlineStr">
        <is>
          <t>-</t>
        </is>
      </c>
      <c r="S1044" s="7" t="inlineStr">
        <is>
          <t>-</t>
        </is>
      </c>
      <c r="T1044" s="7" t="inlineStr">
        <is>
          <t>NO</t>
        </is>
      </c>
      <c r="U1044" s="7" t="inlineStr">
        <is>
          <t>-</t>
        </is>
      </c>
      <c r="V1044" s="7" t="inlineStr">
        <is>
          <t>NO</t>
        </is>
      </c>
      <c r="W1044" s="7" t="inlineStr">
        <is>
          <t>-</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Plan base + T° + Nitritos + amonio</t>
        </is>
      </c>
      <c r="AL1044" s="7" t="inlineStr">
        <is>
          <t xml:space="preserve">Mensual </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SI</t>
        </is>
      </c>
      <c r="AU1044" s="7" t="inlineStr">
        <is>
          <t>Mensual</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 - Autoridad Sanitaria (En caso de ser requeridos)</t>
        </is>
      </c>
      <c r="BG1044" s="7" t="inlineStr">
        <is>
          <t>PSA</t>
        </is>
      </c>
      <c r="BH1044" s="7" t="inlineStr">
        <is>
          <t>RCA 20219900112</t>
        </is>
      </c>
      <c r="BI1044" s="7" t="inlineStr">
        <is>
          <t>Calidad agua de forma mensual  y  los parámetros de funcionamiento de las PTAS de forma periódica</t>
        </is>
      </c>
      <c r="BJ1044" s="7" t="n"/>
      <c r="BK1044" s="61" t="n"/>
      <c r="BL1044" s="61" t="n"/>
      <c r="BM1044" s="251" t="n"/>
      <c r="BN1044" s="337" t="n"/>
      <c r="BO1044" s="251" t="n"/>
      <c r="BP1044" s="251" t="n"/>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05" t="n"/>
      <c r="CR1044" s="105" t="n"/>
      <c r="CS1044" s="105" t="n"/>
      <c r="CT1044" s="105" t="n"/>
      <c r="CU1044" s="105" t="n"/>
      <c r="CV1044" s="105" t="n"/>
      <c r="CW1044" s="105" t="n"/>
      <c r="CX1044" s="105" t="n"/>
      <c r="CY1044" s="105" t="n"/>
      <c r="CZ1044" s="124">
        <f>+COUNTA(BV1044:CY1044)</f>
        <v/>
      </c>
      <c r="DA1044" s="251" t="n"/>
      <c r="DB1044" s="251" t="n"/>
      <c r="DC1044" s="251" t="n"/>
      <c r="DD1044" s="251" t="n"/>
      <c r="DE1044" s="251" t="n"/>
      <c r="DF1044" s="251" t="n"/>
      <c r="DG1044" s="251" t="n"/>
      <c r="DH1044" s="251" t="n"/>
      <c r="DI1044" s="251" t="n"/>
      <c r="DJ1044" s="251" t="n"/>
      <c r="DK1044" s="251" t="n"/>
      <c r="DL1044" s="95" t="n"/>
      <c r="DM1044" s="251" t="n"/>
      <c r="DN1044" s="95" t="n"/>
      <c r="DO1044" s="95" t="n"/>
    </row>
    <row r="1045" ht="13" customHeight="1">
      <c r="A1045" s="203" t="inlineStr">
        <is>
          <t>Puntera JAC-01</t>
        </is>
      </c>
      <c r="B1045" s="305" t="n"/>
      <c r="C1045" s="7" t="n"/>
      <c r="D1045" s="7" t="inlineStr">
        <is>
          <t>SI</t>
        </is>
      </c>
      <c r="E1045" s="7" t="inlineStr">
        <is>
          <t>SI</t>
        </is>
      </c>
      <c r="F1045" s="7" t="inlineStr">
        <is>
          <t>NO</t>
        </is>
      </c>
      <c r="G1045" s="7" t="inlineStr">
        <is>
          <t>NO</t>
        </is>
      </c>
      <c r="H1045" s="7" t="n">
        <v>530525</v>
      </c>
      <c r="I1045" s="7" t="n">
        <v>7712760</v>
      </c>
      <c r="J1045" s="7" t="inlineStr">
        <is>
          <t>Por implementar</t>
        </is>
      </c>
      <c r="K1045" s="7" t="inlineStr">
        <is>
          <t>-</t>
        </is>
      </c>
      <c r="L1045" s="7" t="inlineStr">
        <is>
          <t>Agua Subterránea</t>
        </is>
      </c>
      <c r="M1045" s="7" t="inlineStr">
        <is>
          <t>Cordillera</t>
        </is>
      </c>
      <c r="N1045" s="7" t="inlineStr">
        <is>
          <t>Puntera</t>
        </is>
      </c>
      <c r="O1045" s="7" t="inlineStr">
        <is>
          <t>Jachucoposa</t>
        </is>
      </c>
      <c r="P1045" s="7" t="inlineStr">
        <is>
          <t>SI</t>
        </is>
      </c>
      <c r="Q1045" s="7" t="inlineStr">
        <is>
          <t>Mensual</t>
        </is>
      </c>
      <c r="R1045" s="7" t="inlineStr">
        <is>
          <t>-</t>
        </is>
      </c>
      <c r="S1045" s="7" t="inlineStr">
        <is>
          <t>-</t>
        </is>
      </c>
      <c r="T1045" s="7" t="inlineStr">
        <is>
          <t>NO</t>
        </is>
      </c>
      <c r="U1045" s="7" t="inlineStr">
        <is>
          <t>-</t>
        </is>
      </c>
      <c r="V1045" s="7" t="inlineStr">
        <is>
          <t>SI</t>
        </is>
      </c>
      <c r="W1045" s="7" t="inlineStr">
        <is>
          <t>Mensual</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NO</t>
        </is>
      </c>
      <c r="AL1045" s="7" t="inlineStr">
        <is>
          <t>-</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NO</t>
        </is>
      </c>
      <c r="AU1045" s="7" t="inlineStr">
        <is>
          <t>-</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t>
        </is>
      </c>
      <c r="BG1045" s="7" t="inlineStr">
        <is>
          <t>PSA</t>
        </is>
      </c>
      <c r="BH1045" s="7" t="inlineStr">
        <is>
          <t>RCA 20219900112</t>
        </is>
      </c>
      <c r="BI1045" s="7" t="n"/>
      <c r="BJ1045" s="7" t="n"/>
      <c r="BK1045" s="61" t="n"/>
      <c r="BL1045" s="61" t="n"/>
      <c r="BM1045" s="251" t="n"/>
      <c r="BN1045" s="337" t="n"/>
      <c r="BO1045" s="251" t="n"/>
      <c r="BP1045" s="251"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24">
        <f>+COUNTA(BV1045:CY1045)</f>
        <v/>
      </c>
      <c r="DA1045" s="251" t="n"/>
      <c r="DB1045" s="251" t="n"/>
      <c r="DC1045" s="251" t="n"/>
      <c r="DD1045" s="251" t="n"/>
      <c r="DE1045" s="251" t="n"/>
      <c r="DF1045" s="251" t="n"/>
      <c r="DG1045" s="251" t="n"/>
      <c r="DH1045" s="251" t="n"/>
      <c r="DI1045" s="251" t="n"/>
      <c r="DJ1045" s="251" t="n"/>
      <c r="DK1045" s="251" t="n"/>
      <c r="DL1045" s="95" t="n"/>
      <c r="DM1045" s="251" t="n"/>
      <c r="DN1045" s="95" t="n"/>
      <c r="DO1045" s="95" t="n"/>
    </row>
    <row r="1046" ht="13" customHeight="1">
      <c r="A1046" s="203" t="inlineStr">
        <is>
          <t>Puntera JAC-02</t>
        </is>
      </c>
      <c r="B1046" s="305" t="n"/>
      <c r="C1046" s="7" t="n"/>
      <c r="D1046" s="7" t="inlineStr">
        <is>
          <t>SI</t>
        </is>
      </c>
      <c r="E1046" s="7" t="inlineStr">
        <is>
          <t>SI</t>
        </is>
      </c>
      <c r="F1046" s="7" t="inlineStr">
        <is>
          <t>NO</t>
        </is>
      </c>
      <c r="G1046" s="7" t="inlineStr">
        <is>
          <t>NO</t>
        </is>
      </c>
      <c r="H1046" s="7" t="n">
        <v>530890</v>
      </c>
      <c r="I1046" s="7" t="n">
        <v>7712770</v>
      </c>
      <c r="J1046" s="7" t="inlineStr">
        <is>
          <t>Por implementar</t>
        </is>
      </c>
      <c r="K1046" s="7" t="inlineStr">
        <is>
          <t>-</t>
        </is>
      </c>
      <c r="L1046" s="7" t="inlineStr">
        <is>
          <t>Agua Subterránea</t>
        </is>
      </c>
      <c r="M1046" s="7" t="inlineStr">
        <is>
          <t>Cordillera</t>
        </is>
      </c>
      <c r="N1046" s="7" t="inlineStr">
        <is>
          <t>Puntera</t>
        </is>
      </c>
      <c r="O1046" s="7" t="inlineStr">
        <is>
          <t>Jachucoposa</t>
        </is>
      </c>
      <c r="P1046" s="7" t="inlineStr">
        <is>
          <t>SI</t>
        </is>
      </c>
      <c r="Q1046" s="7" t="inlineStr">
        <is>
          <t>Mensual</t>
        </is>
      </c>
      <c r="R1046" s="7" t="inlineStr">
        <is>
          <t>-</t>
        </is>
      </c>
      <c r="S1046" s="7" t="inlineStr">
        <is>
          <t>-</t>
        </is>
      </c>
      <c r="T1046" s="7" t="inlineStr">
        <is>
          <t>NO</t>
        </is>
      </c>
      <c r="U1046" s="7" t="inlineStr">
        <is>
          <t>-</t>
        </is>
      </c>
      <c r="V1046" s="7" t="inlineStr">
        <is>
          <t>SI</t>
        </is>
      </c>
      <c r="W1046" s="7" t="inlineStr">
        <is>
          <t>Mensual</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NO</t>
        </is>
      </c>
      <c r="AL1046" s="7" t="inlineStr">
        <is>
          <t>-</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NO</t>
        </is>
      </c>
      <c r="AU1046" s="7" t="inlineStr">
        <is>
          <t>-</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t>
        </is>
      </c>
      <c r="BG1046" s="7" t="inlineStr">
        <is>
          <t>PSA</t>
        </is>
      </c>
      <c r="BH1046" s="7" t="inlineStr">
        <is>
          <t>RCA 20219900112</t>
        </is>
      </c>
      <c r="BI1046" s="7" t="n"/>
      <c r="BJ1046" s="7" t="n"/>
      <c r="BK1046" s="61" t="n"/>
      <c r="BL1046" s="61" t="n"/>
      <c r="BM1046" s="251" t="n"/>
      <c r="BN1046" s="337" t="n"/>
      <c r="BO1046" s="251" t="n"/>
      <c r="BP1046" s="251"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24">
        <f>+COUNTA(BV1046:CY1046)</f>
        <v/>
      </c>
      <c r="DA1046" s="251" t="n"/>
      <c r="DB1046" s="251" t="n"/>
      <c r="DC1046" s="251" t="n"/>
      <c r="DD1046" s="251" t="n"/>
      <c r="DE1046" s="251" t="n"/>
      <c r="DF1046" s="251" t="n"/>
      <c r="DG1046" s="251" t="n"/>
      <c r="DH1046" s="251" t="n"/>
      <c r="DI1046" s="251" t="n"/>
      <c r="DJ1046" s="251" t="n"/>
      <c r="DK1046" s="251" t="n"/>
      <c r="DL1046" s="95" t="n"/>
      <c r="DM1046" s="251" t="n"/>
      <c r="DN1046" s="95" t="n"/>
      <c r="DO1046" s="95" t="n"/>
    </row>
    <row r="1047" ht="13" customHeight="1">
      <c r="A1047" s="203" t="inlineStr">
        <is>
          <t>Represa</t>
        </is>
      </c>
      <c r="B1047" s="305" t="n"/>
      <c r="C1047" s="7" t="n"/>
      <c r="D1047" s="7" t="inlineStr">
        <is>
          <t>SI</t>
        </is>
      </c>
      <c r="E1047" s="7" t="inlineStr">
        <is>
          <t>SI</t>
        </is>
      </c>
      <c r="F1047" s="7" t="inlineStr">
        <is>
          <t>NO</t>
        </is>
      </c>
      <c r="G1047" s="7" t="inlineStr">
        <is>
          <t>NO</t>
        </is>
      </c>
      <c r="H1047" s="7" t="n">
        <v>534506</v>
      </c>
      <c r="I1047" s="7" t="n">
        <v>7677092</v>
      </c>
      <c r="J1047" s="7" t="inlineStr">
        <is>
          <t>Por implementar</t>
        </is>
      </c>
      <c r="K1047" s="7" t="inlineStr">
        <is>
          <t>-</t>
        </is>
      </c>
      <c r="L1047" s="7" t="inlineStr">
        <is>
          <t>Agua Superficial</t>
        </is>
      </c>
      <c r="M1047" s="7" t="inlineStr">
        <is>
          <t>Cordillera</t>
        </is>
      </c>
      <c r="N1047" s="7" t="inlineStr">
        <is>
          <t>Punto Restitución Caudal</t>
        </is>
      </c>
      <c r="O1047" s="7" t="inlineStr">
        <is>
          <t>Represa</t>
        </is>
      </c>
      <c r="P1047" s="7" t="inlineStr">
        <is>
          <t>NO</t>
        </is>
      </c>
      <c r="Q1047" s="7" t="inlineStr">
        <is>
          <t>-</t>
        </is>
      </c>
      <c r="R1047" s="7" t="inlineStr">
        <is>
          <t>-</t>
        </is>
      </c>
      <c r="S1047" s="7" t="inlineStr">
        <is>
          <t>-</t>
        </is>
      </c>
      <c r="T1047" s="7" t="inlineStr">
        <is>
          <t>NO</t>
        </is>
      </c>
      <c r="U1047" s="7" t="inlineStr">
        <is>
          <t>-</t>
        </is>
      </c>
      <c r="V1047" s="7" t="inlineStr">
        <is>
          <t>NO</t>
        </is>
      </c>
      <c r="W1047" s="7" t="inlineStr">
        <is>
          <t>-</t>
        </is>
      </c>
      <c r="X1047" s="7" t="inlineStr">
        <is>
          <t>NO</t>
        </is>
      </c>
      <c r="Y1047" s="7" t="inlineStr">
        <is>
          <t>-</t>
        </is>
      </c>
      <c r="Z1047" s="7" t="inlineStr">
        <is>
          <t>NO</t>
        </is>
      </c>
      <c r="AA1047" s="7" t="inlineStr">
        <is>
          <t>-</t>
        </is>
      </c>
      <c r="AB1047" s="7" t="inlineStr">
        <is>
          <t>NO</t>
        </is>
      </c>
      <c r="AC1047" s="7" t="inlineStr">
        <is>
          <t>-</t>
        </is>
      </c>
      <c r="AD1047" s="7" t="inlineStr">
        <is>
          <t>SI</t>
        </is>
      </c>
      <c r="AE1047" s="7" t="inlineStr">
        <is>
          <t>-</t>
        </is>
      </c>
      <c r="AF1047" s="7" t="inlineStr">
        <is>
          <t>Flujómetro</t>
        </is>
      </c>
      <c r="AG1047" s="7" t="inlineStr">
        <is>
          <t>NO</t>
        </is>
      </c>
      <c r="AH1047" s="7" t="inlineStr">
        <is>
          <t>-</t>
        </is>
      </c>
      <c r="AI1047" s="7" t="inlineStr">
        <is>
          <t>SI</t>
        </is>
      </c>
      <c r="AJ1047" s="7" t="inlineStr">
        <is>
          <t>Flujómetro</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inlineStr">
        <is>
          <t>Quebrada con restitución de agua desde el estanque de recolección MM1</t>
        </is>
      </c>
      <c r="BJ1047" s="7" t="n"/>
      <c r="BK1047" s="61" t="n"/>
      <c r="BL1047" s="61" t="n"/>
      <c r="BM1047" s="251" t="n"/>
      <c r="BN1047" s="337" t="n"/>
      <c r="BO1047" s="251" t="n"/>
      <c r="BP1047" s="251"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24">
        <f>+COUNTA(BV1047:CY1047)</f>
        <v/>
      </c>
      <c r="DA1047" s="251" t="n"/>
      <c r="DB1047" s="251" t="n"/>
      <c r="DC1047" s="251" t="n"/>
      <c r="DD1047" s="251" t="n"/>
      <c r="DE1047" s="251" t="n"/>
      <c r="DF1047" s="251" t="n"/>
      <c r="DG1047" s="251" t="n"/>
      <c r="DH1047" s="251" t="n"/>
      <c r="DI1047" s="251" t="n"/>
      <c r="DJ1047" s="251" t="n"/>
      <c r="DK1047" s="251" t="n"/>
      <c r="DL1047" s="95" t="n"/>
      <c r="DM1047" s="251" t="n"/>
      <c r="DN1047" s="95" t="n"/>
      <c r="DO1047" s="95" t="n"/>
    </row>
    <row r="1048" ht="13" customHeight="1">
      <c r="A1048" s="203" t="inlineStr">
        <is>
          <t>Sallihuinca</t>
        </is>
      </c>
      <c r="B1048" s="305" t="n"/>
      <c r="C1048" s="7" t="n"/>
      <c r="D1048" s="7" t="inlineStr">
        <is>
          <t>SI</t>
        </is>
      </c>
      <c r="E1048" s="7" t="inlineStr">
        <is>
          <t>SI</t>
        </is>
      </c>
      <c r="F1048" s="7" t="inlineStr">
        <is>
          <t>NO</t>
        </is>
      </c>
      <c r="G1048" s="7" t="inlineStr">
        <is>
          <t>NO</t>
        </is>
      </c>
      <c r="H1048" s="7" t="n">
        <v>525380</v>
      </c>
      <c r="I1048" s="7" t="n">
        <v>7684165</v>
      </c>
      <c r="J1048" s="7" t="inlineStr">
        <is>
          <t>Por implementar</t>
        </is>
      </c>
      <c r="K1048" s="7" t="inlineStr">
        <is>
          <t>-</t>
        </is>
      </c>
      <c r="L1048" s="7" t="inlineStr">
        <is>
          <t>Agua Superficial</t>
        </is>
      </c>
      <c r="M1048" s="7" t="inlineStr">
        <is>
          <t>Cordillera</t>
        </is>
      </c>
      <c r="N1048" s="7" t="inlineStr">
        <is>
          <t>Punto Restitución Caudal</t>
        </is>
      </c>
      <c r="O1048" s="7" t="inlineStr">
        <is>
          <t>Sallihuinca</t>
        </is>
      </c>
      <c r="P1048" s="7" t="inlineStr">
        <is>
          <t>NO</t>
        </is>
      </c>
      <c r="Q1048" s="7" t="inlineStr">
        <is>
          <t>-</t>
        </is>
      </c>
      <c r="R1048" s="7" t="inlineStr">
        <is>
          <t>-</t>
        </is>
      </c>
      <c r="S1048" s="7" t="inlineStr">
        <is>
          <t>-</t>
        </is>
      </c>
      <c r="T1048" s="7" t="inlineStr">
        <is>
          <t>NO</t>
        </is>
      </c>
      <c r="U1048" s="7" t="inlineStr">
        <is>
          <t>-</t>
        </is>
      </c>
      <c r="V1048" s="7" t="inlineStr">
        <is>
          <t>NO</t>
        </is>
      </c>
      <c r="W1048" s="7" t="inlineStr">
        <is>
          <t>-</t>
        </is>
      </c>
      <c r="X1048" s="7" t="inlineStr">
        <is>
          <t>NO</t>
        </is>
      </c>
      <c r="Y1048" s="7" t="inlineStr">
        <is>
          <t>-</t>
        </is>
      </c>
      <c r="Z1048" s="7" t="inlineStr">
        <is>
          <t>NO</t>
        </is>
      </c>
      <c r="AA1048" s="7" t="inlineStr">
        <is>
          <t>-</t>
        </is>
      </c>
      <c r="AB1048" s="7" t="inlineStr">
        <is>
          <t>NO</t>
        </is>
      </c>
      <c r="AC1048" s="7" t="inlineStr">
        <is>
          <t>-</t>
        </is>
      </c>
      <c r="AD1048" s="7" t="inlineStr">
        <is>
          <t>SI</t>
        </is>
      </c>
      <c r="AE1048" s="7" t="inlineStr">
        <is>
          <t>-</t>
        </is>
      </c>
      <c r="AF1048" s="7" t="inlineStr">
        <is>
          <t>Flujómetro</t>
        </is>
      </c>
      <c r="AG1048" s="7" t="inlineStr">
        <is>
          <t>NO</t>
        </is>
      </c>
      <c r="AH1048" s="7" t="inlineStr">
        <is>
          <t>-</t>
        </is>
      </c>
      <c r="AI1048" s="7" t="inlineStr">
        <is>
          <t>SI</t>
        </is>
      </c>
      <c r="AJ1048" s="7" t="inlineStr">
        <is>
          <t>Flujómetro</t>
        </is>
      </c>
      <c r="AK1048" s="60" t="inlineStr">
        <is>
          <t>NO</t>
        </is>
      </c>
      <c r="AL1048" s="7" t="inlineStr">
        <is>
          <t>-</t>
        </is>
      </c>
      <c r="AM1048" s="7" t="inlineStr">
        <is>
          <t>-</t>
        </is>
      </c>
      <c r="AN1048" s="60" t="inlineStr">
        <is>
          <t>NO</t>
        </is>
      </c>
      <c r="AO1048" s="7" t="inlineStr">
        <is>
          <t>-</t>
        </is>
      </c>
      <c r="AP1048" s="60" t="inlineStr">
        <is>
          <t>NO</t>
        </is>
      </c>
      <c r="AQ1048" s="7" t="inlineStr">
        <is>
          <t>-</t>
        </is>
      </c>
      <c r="AR1048" s="7" t="inlineStr">
        <is>
          <t>NO</t>
        </is>
      </c>
      <c r="AS1048" s="7" t="inlineStr">
        <is>
          <t>-</t>
        </is>
      </c>
      <c r="AT1048" s="7" t="inlineStr">
        <is>
          <t>NO</t>
        </is>
      </c>
      <c r="AU1048" s="7" t="inlineStr">
        <is>
          <t>-</t>
        </is>
      </c>
      <c r="AV1048" s="7"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 - Comunidad AGI Copaquire - AIA Naciente Collahuasi - Tamentica</t>
        </is>
      </c>
      <c r="BG1048" s="7" t="inlineStr">
        <is>
          <t>PAF Tamentica, AGI Copaquire, AIA Naciente Collahuasi - PSA</t>
        </is>
      </c>
      <c r="BH1048" s="7" t="inlineStr">
        <is>
          <t>RCA 20219900112</t>
        </is>
      </c>
      <c r="BI1048" s="7" t="inlineStr">
        <is>
          <t>1. Quebrada con restitución de agua desde el estanque de recolección MM1
2. Plazo de entrega de los informes de laboratorio a la asociación: 1 mes despues de realizada la campaña de terreno
3. Informe Anual</t>
        </is>
      </c>
      <c r="BJ1048" s="7" t="n"/>
      <c r="BK1048" s="61" t="n"/>
      <c r="BL1048" s="61" t="n"/>
      <c r="BM1048" s="251" t="n"/>
      <c r="BN1048" s="337" t="n"/>
      <c r="BO1048" s="251" t="n"/>
      <c r="BP1048" s="251"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24">
        <f>+COUNTA(BV1048:CY1048)</f>
        <v/>
      </c>
      <c r="DA1048" s="251" t="n"/>
      <c r="DB1048" s="208" t="n"/>
      <c r="DC1048" s="251" t="n"/>
      <c r="DD1048" s="207" t="n"/>
      <c r="DE1048" s="251" t="n"/>
      <c r="DF1048" s="202" t="n"/>
      <c r="DG1048" s="209" t="n"/>
      <c r="DH1048" s="209" t="n"/>
      <c r="DI1048" s="251" t="n"/>
      <c r="DJ1048" s="251" t="n"/>
      <c r="DK1048" s="251" t="n"/>
      <c r="DL1048" s="95" t="n"/>
      <c r="DM1048" s="251" t="n"/>
      <c r="DN1048" s="95" t="n"/>
      <c r="DO1048" s="95" t="n"/>
    </row>
    <row r="1049" ht="13" customHeight="1">
      <c r="A1049" s="203" t="inlineStr">
        <is>
          <t>San Daniel</t>
        </is>
      </c>
      <c r="B1049" s="305" t="n"/>
      <c r="C1049" s="7" t="n"/>
      <c r="D1049" s="7" t="inlineStr">
        <is>
          <t>SI</t>
        </is>
      </c>
      <c r="E1049" s="7" t="inlineStr">
        <is>
          <t>SI</t>
        </is>
      </c>
      <c r="F1049" s="7" t="inlineStr">
        <is>
          <t>NO</t>
        </is>
      </c>
      <c r="G1049" s="7" t="inlineStr">
        <is>
          <t>NO</t>
        </is>
      </c>
      <c r="H1049" s="7" t="n">
        <v>524922</v>
      </c>
      <c r="I1049" s="7" t="n">
        <v>7681126</v>
      </c>
      <c r="J1049" s="7" t="inlineStr">
        <is>
          <t>Por implementar</t>
        </is>
      </c>
      <c r="K1049" s="7" t="inlineStr">
        <is>
          <t>-</t>
        </is>
      </c>
      <c r="L1049" s="7" t="inlineStr">
        <is>
          <t>Agua Superficial</t>
        </is>
      </c>
      <c r="M1049" s="7" t="inlineStr">
        <is>
          <t>Cordillera</t>
        </is>
      </c>
      <c r="N1049" s="7" t="inlineStr">
        <is>
          <t>Punto Restitución Caudal</t>
        </is>
      </c>
      <c r="O1049" s="7" t="inlineStr">
        <is>
          <t>San Daniel</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7" t="inlineStr">
        <is>
          <t>NO</t>
        </is>
      </c>
      <c r="AS1049" s="7" t="inlineStr">
        <is>
          <t>-</t>
        </is>
      </c>
      <c r="AT1049" s="7" t="inlineStr">
        <is>
          <t>NO</t>
        </is>
      </c>
      <c r="AU1049" s="7" t="inlineStr">
        <is>
          <t>-</t>
        </is>
      </c>
      <c r="AV1049" s="7"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 - Comunidad Tamentica</t>
        </is>
      </c>
      <c r="BG1049" s="7" t="inlineStr">
        <is>
          <t>PAF Tamentica - PSA</t>
        </is>
      </c>
      <c r="BH1049" s="7" t="inlineStr">
        <is>
          <t>RCA 20219900112</t>
        </is>
      </c>
      <c r="BI1049" s="7" t="inlineStr">
        <is>
          <t>1. Quebrada con restitución de agua desde el estanque de recolección MM1
2. Plazo de entrega de los informes de laboratorio a la asociación: 1 mes despues de realizada la campaña de terreno
3. Informe Anual</t>
        </is>
      </c>
      <c r="BJ1049" s="7" t="n"/>
      <c r="BK1049" s="61" t="n"/>
      <c r="BL1049" s="61" t="n"/>
      <c r="BM1049" s="251" t="n"/>
      <c r="BN1049" s="337" t="n"/>
      <c r="BO1049" s="251" t="n"/>
      <c r="BP1049" s="251"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24">
        <f>+COUNTA(BV1049:CY1049)</f>
        <v/>
      </c>
      <c r="DA1049" s="251" t="n"/>
      <c r="DB1049" s="208" t="n"/>
      <c r="DC1049" s="251" t="n"/>
      <c r="DD1049" s="251" t="n"/>
      <c r="DE1049" s="251" t="n"/>
      <c r="DF1049" s="251" t="n"/>
      <c r="DG1049" s="209" t="n"/>
      <c r="DH1049" s="209" t="n"/>
      <c r="DI1049" s="251" t="n"/>
      <c r="DJ1049" s="251" t="n"/>
      <c r="DK1049" s="251" t="n"/>
      <c r="DL1049" s="95" t="n"/>
      <c r="DM1049" s="251" t="n"/>
      <c r="DN1049" s="95" t="n"/>
      <c r="DO1049" s="95" t="n"/>
    </row>
    <row r="1050" ht="13" customHeight="1">
      <c r="A1050" s="203" t="inlineStr">
        <is>
          <t>San Nicolás 1</t>
        </is>
      </c>
      <c r="B1050" s="305" t="n"/>
      <c r="C1050" s="7" t="n"/>
      <c r="D1050" s="7" t="inlineStr">
        <is>
          <t>SI</t>
        </is>
      </c>
      <c r="E1050" s="7" t="inlineStr">
        <is>
          <t>SI</t>
        </is>
      </c>
      <c r="F1050" s="7" t="inlineStr">
        <is>
          <t>NO</t>
        </is>
      </c>
      <c r="G1050" s="7" t="inlineStr">
        <is>
          <t>NO</t>
        </is>
      </c>
      <c r="H1050" s="7" t="n">
        <v>526880</v>
      </c>
      <c r="I1050" s="7" t="n">
        <v>7678937</v>
      </c>
      <c r="J1050" s="7" t="inlineStr">
        <is>
          <t>Por implementar</t>
        </is>
      </c>
      <c r="K1050" s="7" t="inlineStr">
        <is>
          <t>-</t>
        </is>
      </c>
      <c r="L1050" s="7" t="inlineStr">
        <is>
          <t>Agua Superficial</t>
        </is>
      </c>
      <c r="M1050" s="7" t="inlineStr">
        <is>
          <t>Cordillera</t>
        </is>
      </c>
      <c r="N1050" s="7" t="inlineStr">
        <is>
          <t>Punto Restitución Caudal</t>
        </is>
      </c>
      <c r="O1050" s="7" t="inlineStr">
        <is>
          <t xml:space="preserve">San Nicolás </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Tamentica</t>
        </is>
      </c>
      <c r="BG1050" s="7" t="inlineStr">
        <is>
          <t>PAF Tamentica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1" t="n"/>
      <c r="BN1050" s="337" t="n"/>
      <c r="BO1050" s="251" t="n"/>
      <c r="BP1050" s="251"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24">
        <f>+COUNTA(BV1050:CY1050)</f>
        <v/>
      </c>
      <c r="DA1050" s="251" t="n"/>
      <c r="DB1050" s="208" t="n"/>
      <c r="DC1050" s="251" t="n"/>
      <c r="DD1050" s="251" t="n"/>
      <c r="DE1050" s="251" t="n"/>
      <c r="DF1050" s="251" t="n"/>
      <c r="DG1050" s="209" t="n"/>
      <c r="DH1050" s="209" t="n"/>
      <c r="DI1050" s="251" t="n"/>
      <c r="DJ1050" s="251" t="n"/>
      <c r="DK1050" s="251" t="n"/>
      <c r="DL1050" s="95" t="n"/>
      <c r="DM1050" s="251" t="n"/>
      <c r="DN1050" s="95" t="n"/>
      <c r="DO1050" s="95" t="n"/>
    </row>
    <row r="1051" ht="13" customHeight="1">
      <c r="A1051" s="203" t="inlineStr">
        <is>
          <t>San Nicolás 2</t>
        </is>
      </c>
      <c r="B1051" s="305" t="n"/>
      <c r="C1051" s="7" t="n"/>
      <c r="D1051" s="7" t="inlineStr">
        <is>
          <t>SI</t>
        </is>
      </c>
      <c r="E1051" s="7" t="inlineStr">
        <is>
          <t>SI</t>
        </is>
      </c>
      <c r="F1051" s="7" t="inlineStr">
        <is>
          <t>NO</t>
        </is>
      </c>
      <c r="G1051" s="7" t="inlineStr">
        <is>
          <t>NO</t>
        </is>
      </c>
      <c r="H1051" s="7" t="n">
        <v>525244</v>
      </c>
      <c r="I1051" s="7" t="n">
        <v>7680098</v>
      </c>
      <c r="J1051" s="7" t="inlineStr">
        <is>
          <t>Por implementar</t>
        </is>
      </c>
      <c r="K1051" s="7" t="inlineStr">
        <is>
          <t>-</t>
        </is>
      </c>
      <c r="L1051" s="7" t="inlineStr">
        <is>
          <t>Agua Superficial</t>
        </is>
      </c>
      <c r="M1051" s="7" t="inlineStr">
        <is>
          <t>Cordillera</t>
        </is>
      </c>
      <c r="N1051" s="7" t="inlineStr">
        <is>
          <t>Punto Restitución Caudal</t>
        </is>
      </c>
      <c r="O1051" s="7" t="inlineStr">
        <is>
          <t xml:space="preserve">San Nicolás </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1" t="n"/>
      <c r="BN1051" s="337" t="n"/>
      <c r="BO1051" s="251" t="n"/>
      <c r="BP1051" s="251"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24">
        <f>+COUNTA(BV1051:CY1051)</f>
        <v/>
      </c>
      <c r="DA1051" s="251" t="n"/>
      <c r="DB1051" s="208" t="n"/>
      <c r="DC1051" s="251" t="n"/>
      <c r="DD1051" s="251" t="n"/>
      <c r="DE1051" s="251" t="n"/>
      <c r="DF1051" s="251" t="n"/>
      <c r="DG1051" s="209" t="n"/>
      <c r="DH1051" s="209" t="n"/>
      <c r="DI1051" s="251" t="n"/>
      <c r="DJ1051" s="251" t="n"/>
      <c r="DK1051" s="251" t="n"/>
      <c r="DL1051" s="95" t="n"/>
      <c r="DM1051" s="251" t="n"/>
      <c r="DN1051" s="95" t="n"/>
      <c r="DO1051" s="95" t="n"/>
    </row>
    <row r="1052" ht="13" customHeight="1">
      <c r="A1052" s="203" t="inlineStr">
        <is>
          <t>Yabricollita 1</t>
        </is>
      </c>
      <c r="B1052" s="305" t="n"/>
      <c r="C1052" s="7" t="n"/>
      <c r="D1052" s="7" t="inlineStr">
        <is>
          <t>SI</t>
        </is>
      </c>
      <c r="E1052" s="7" t="inlineStr">
        <is>
          <t>SI</t>
        </is>
      </c>
      <c r="F1052" s="7" t="inlineStr">
        <is>
          <t>NO</t>
        </is>
      </c>
      <c r="G1052" s="7" t="inlineStr">
        <is>
          <t>NO</t>
        </is>
      </c>
      <c r="H1052" s="7" t="n">
        <v>530653</v>
      </c>
      <c r="I1052" s="7" t="n">
        <v>7685444</v>
      </c>
      <c r="J1052" s="7" t="inlineStr">
        <is>
          <t>Por implementar</t>
        </is>
      </c>
      <c r="K1052" s="7" t="inlineStr">
        <is>
          <t>-</t>
        </is>
      </c>
      <c r="L1052" s="7" t="inlineStr">
        <is>
          <t>Agua Superficial</t>
        </is>
      </c>
      <c r="M1052" s="7" t="inlineStr">
        <is>
          <t>Cordillera</t>
        </is>
      </c>
      <c r="N1052" s="7" t="inlineStr">
        <is>
          <t>Punto Restitución Caudal</t>
        </is>
      </c>
      <c r="O1052" s="7" t="inlineStr">
        <is>
          <t>Yabricollita</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Comunidad AIA Naciente Collahuasi- Yabricollita Caya</t>
        </is>
      </c>
      <c r="BG1052" s="7" t="inlineStr">
        <is>
          <t>PAF Yabricollita y caya, AIA Naciente Collahuasi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1" t="n"/>
      <c r="BN1052" s="337" t="n"/>
      <c r="BO1052" s="251" t="n"/>
      <c r="BP1052" s="251"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24">
        <f>+COUNTA(BV1052:CY1052)</f>
        <v/>
      </c>
      <c r="DA1052" s="251" t="n"/>
      <c r="DB1052" s="251" t="n"/>
      <c r="DC1052" s="251" t="n"/>
      <c r="DD1052" s="207" t="n"/>
      <c r="DE1052" s="251" t="n"/>
      <c r="DF1052" s="251" t="n"/>
      <c r="DG1052" s="251" t="n"/>
      <c r="DH1052" s="251" t="n"/>
      <c r="DI1052" s="214" t="n"/>
      <c r="DJ1052" s="251" t="n"/>
      <c r="DK1052" s="251" t="n"/>
      <c r="DL1052" s="95" t="n"/>
      <c r="DM1052" s="251" t="n"/>
      <c r="DN1052" s="95" t="n"/>
      <c r="DO1052" s="95" t="n"/>
    </row>
    <row r="1053" ht="13" customHeight="1">
      <c r="A1053" s="203" t="inlineStr">
        <is>
          <t>Yabricollita 2</t>
        </is>
      </c>
      <c r="B1053" s="305" t="n"/>
      <c r="C1053" s="7" t="n"/>
      <c r="D1053" s="7" t="inlineStr">
        <is>
          <t>SI</t>
        </is>
      </c>
      <c r="E1053" s="7" t="inlineStr">
        <is>
          <t>SI</t>
        </is>
      </c>
      <c r="F1053" s="7" t="inlineStr">
        <is>
          <t>NO</t>
        </is>
      </c>
      <c r="G1053" s="7" t="inlineStr">
        <is>
          <t>NO</t>
        </is>
      </c>
      <c r="H1053" s="7" t="n">
        <v>530263</v>
      </c>
      <c r="I1053" s="7" t="n">
        <v>7684538</v>
      </c>
      <c r="J1053" s="7" t="inlineStr">
        <is>
          <t>Por implementar</t>
        </is>
      </c>
      <c r="K1053" s="7" t="inlineStr">
        <is>
          <t>-</t>
        </is>
      </c>
      <c r="L1053" s="7" t="inlineStr">
        <is>
          <t>Agua Superficial</t>
        </is>
      </c>
      <c r="M1053" s="7" t="inlineStr">
        <is>
          <t>Cordillera</t>
        </is>
      </c>
      <c r="N1053" s="7" t="inlineStr">
        <is>
          <t>Punto Restitución Caudal</t>
        </is>
      </c>
      <c r="O1053" s="7" t="inlineStr">
        <is>
          <t>Yabricollita</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Comunidad AIA Naciente Collahuasi- Yabricollita Caya</t>
        </is>
      </c>
      <c r="BG1053" s="7" t="inlineStr">
        <is>
          <t>PAF Yabricollita y caya, AIA Naciente Collahuasi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1" t="n"/>
      <c r="BN1053" s="337" t="n"/>
      <c r="BO1053" s="251" t="n"/>
      <c r="BP1053" s="251"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24">
        <f>+COUNTA(BV1053:CY1053)</f>
        <v/>
      </c>
      <c r="DA1053" s="251" t="n"/>
      <c r="DB1053" s="251" t="n"/>
      <c r="DC1053" s="251" t="n"/>
      <c r="DD1053" s="207" t="n"/>
      <c r="DE1053" s="251" t="n"/>
      <c r="DF1053" s="251" t="n"/>
      <c r="DG1053" s="251" t="n"/>
      <c r="DH1053" s="251" t="n"/>
      <c r="DI1053" s="214" t="n"/>
      <c r="DJ1053" s="251" t="n"/>
      <c r="DK1053" s="251" t="n"/>
      <c r="DL1053" s="95" t="n"/>
      <c r="DM1053" s="251" t="n"/>
      <c r="DN1053" s="95" t="n"/>
      <c r="DO1053" s="95" t="n"/>
    </row>
    <row r="1054" ht="13" customHeight="1">
      <c r="A1054" s="203" t="inlineStr">
        <is>
          <t>Yabricollita 3</t>
        </is>
      </c>
      <c r="B1054" s="305" t="n"/>
      <c r="C1054" s="7" t="n"/>
      <c r="D1054" s="7" t="inlineStr">
        <is>
          <t>SI</t>
        </is>
      </c>
      <c r="E1054" s="7" t="inlineStr">
        <is>
          <t>SI</t>
        </is>
      </c>
      <c r="F1054" s="7" t="inlineStr">
        <is>
          <t>NO</t>
        </is>
      </c>
      <c r="G1054" s="7" t="inlineStr">
        <is>
          <t>NO</t>
        </is>
      </c>
      <c r="H1054" s="7" t="n">
        <v>532758</v>
      </c>
      <c r="I1054" s="7" t="n">
        <v>7684433</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1" t="n"/>
      <c r="BN1054" s="337" t="n"/>
      <c r="BO1054" s="251" t="n"/>
      <c r="BP1054" s="251"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24">
        <f>+COUNTA(BV1054:CY1054)</f>
        <v/>
      </c>
      <c r="DA1054" s="251" t="n"/>
      <c r="DB1054" s="251" t="n"/>
      <c r="DC1054" s="251" t="n"/>
      <c r="DD1054" s="207" t="n"/>
      <c r="DE1054" s="251" t="n"/>
      <c r="DF1054" s="251" t="n"/>
      <c r="DG1054" s="251" t="n"/>
      <c r="DH1054" s="251" t="n"/>
      <c r="DI1054" s="214" t="n"/>
      <c r="DJ1054" s="251" t="n"/>
      <c r="DK1054" s="251" t="n"/>
      <c r="DL1054" s="95" t="n"/>
      <c r="DM1054" s="251" t="n"/>
      <c r="DN1054" s="95" t="n"/>
      <c r="DO1054" s="95" t="n"/>
    </row>
    <row r="1055" ht="13" customHeight="1">
      <c r="A1055" s="203" t="inlineStr">
        <is>
          <t>Yabricollita 4</t>
        </is>
      </c>
      <c r="B1055" s="305" t="n"/>
      <c r="C1055" s="7" t="n"/>
      <c r="D1055" s="7" t="inlineStr">
        <is>
          <t>SI</t>
        </is>
      </c>
      <c r="E1055" s="7" t="inlineStr">
        <is>
          <t>SI</t>
        </is>
      </c>
      <c r="F1055" s="7" t="inlineStr">
        <is>
          <t>NO</t>
        </is>
      </c>
      <c r="G1055" s="7" t="inlineStr">
        <is>
          <t>NO</t>
        </is>
      </c>
      <c r="H1055" s="7" t="n">
        <v>532471</v>
      </c>
      <c r="I1055" s="7" t="n">
        <v>7686463</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1" t="n"/>
      <c r="BN1055" s="337" t="n"/>
      <c r="BO1055" s="251" t="n"/>
      <c r="BP1055" s="251"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24">
        <f>+COUNTA(BV1055:CY1055)</f>
        <v/>
      </c>
      <c r="DA1055" s="251" t="n"/>
      <c r="DB1055" s="251" t="n"/>
      <c r="DC1055" s="251" t="n"/>
      <c r="DD1055" s="207" t="n"/>
      <c r="DE1055" s="251" t="n"/>
      <c r="DF1055" s="251" t="n"/>
      <c r="DG1055" s="251" t="n"/>
      <c r="DH1055" s="251" t="n"/>
      <c r="DI1055" s="214" t="n"/>
      <c r="DJ1055" s="251" t="n"/>
      <c r="DK1055" s="251" t="n"/>
      <c r="DL1055" s="95" t="n"/>
      <c r="DM1055" s="251" t="n"/>
      <c r="DN1055" s="95" t="n"/>
      <c r="DO1055" s="95" t="n"/>
    </row>
    <row r="1056" ht="13" customHeight="1">
      <c r="A1056" s="203" t="inlineStr">
        <is>
          <t>Vertiente 1</t>
        </is>
      </c>
      <c r="B1056" s="305" t="n"/>
      <c r="C1056" s="7" t="n"/>
      <c r="D1056" s="7" t="n"/>
      <c r="E1056" s="7" t="n"/>
      <c r="F1056" s="7" t="n"/>
      <c r="G1056" s="7" t="n"/>
      <c r="H1056" s="7" t="n"/>
      <c r="I1056" s="7" t="n"/>
      <c r="J1056" s="7" t="n"/>
      <c r="K1056" s="7" t="n"/>
      <c r="L1056" s="7" t="n"/>
      <c r="M1056" s="7" t="n"/>
      <c r="N1056" s="7" t="n"/>
      <c r="O1056" s="7" t="n"/>
      <c r="P1056" s="7" t="n"/>
      <c r="Q1056" s="7" t="n"/>
      <c r="R1056" s="7" t="n"/>
      <c r="S1056" s="7" t="n"/>
      <c r="T1056" s="7" t="n"/>
      <c r="U1056" s="7" t="n"/>
      <c r="V1056" s="7" t="n"/>
      <c r="W1056" s="7" t="n"/>
      <c r="X1056" s="7" t="n"/>
      <c r="Y1056" s="7" t="n"/>
      <c r="Z1056" s="7" t="n"/>
      <c r="AA1056" s="7" t="n"/>
      <c r="AB1056" s="7" t="n"/>
      <c r="AC1056" s="7" t="n"/>
      <c r="AD1056" s="7" t="n"/>
      <c r="AE1056" s="7" t="n"/>
      <c r="AF1056" s="7" t="n"/>
      <c r="AG1056" s="7" t="n"/>
      <c r="AH1056" s="7" t="n"/>
      <c r="AI1056" s="7" t="n"/>
      <c r="AJ1056" s="7" t="n"/>
      <c r="AK1056" s="60" t="n"/>
      <c r="AL1056" s="7" t="n"/>
      <c r="AM1056" s="7" t="n"/>
      <c r="AN1056" s="60" t="n"/>
      <c r="AO1056" s="7" t="n"/>
      <c r="AP1056" s="60" t="n"/>
      <c r="AQ1056" s="7" t="n"/>
      <c r="AR1056" s="7" t="n"/>
      <c r="AS1056" s="7" t="n"/>
      <c r="AT1056" s="7" t="n"/>
      <c r="AU1056" s="7" t="n"/>
      <c r="AV1056" s="7" t="n"/>
      <c r="AW1056" s="7" t="n"/>
      <c r="AX1056" s="7" t="n"/>
      <c r="AY1056" s="7" t="n"/>
      <c r="AZ1056" s="7" t="n"/>
      <c r="BA1056" s="7" t="n"/>
      <c r="BB1056" s="7" t="n"/>
      <c r="BC1056" s="7" t="n"/>
      <c r="BD1056" s="7" t="n"/>
      <c r="BE1056" s="7" t="n"/>
      <c r="BF1056" s="7" t="n"/>
      <c r="BG1056" s="7" t="n"/>
      <c r="BH1056" s="7" t="n"/>
      <c r="BI1056" s="7" t="n"/>
      <c r="BJ1056" s="7" t="n"/>
      <c r="BK1056" s="61" t="n"/>
      <c r="BL1056" s="61" t="n"/>
      <c r="BM1056" s="251" t="inlineStr">
        <is>
          <t>CAUDAL</t>
        </is>
      </c>
      <c r="BN1056" s="337" t="inlineStr">
        <is>
          <t>Jachucoposa</t>
        </is>
      </c>
      <c r="BO1056" s="251" t="n"/>
      <c r="BP1056" s="251" t="n"/>
      <c r="BQ1056" s="106">
        <f>VLOOKUP(BP1056,[1]AGUA!$1:$1048576,2,FALSE)</f>
        <v/>
      </c>
      <c r="BR1056" s="106">
        <f>VLOOKUP(BP1056,[1]AGUA!$1:$1048576,6,FALSE)</f>
        <v/>
      </c>
      <c r="BS1056" s="106">
        <f>VLOOKUP(BP1056,[1]AGUA!$1:$1048576,7,FALSE)</f>
        <v/>
      </c>
      <c r="BT1056" s="106" t="inlineStr">
        <is>
          <t>CAV DAP</t>
        </is>
      </c>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24">
        <f>+COUNTA(BV1056:CY1056)</f>
        <v/>
      </c>
      <c r="DA1056" s="251" t="n"/>
      <c r="DB1056" s="251" t="n"/>
      <c r="DC1056" s="251" t="n"/>
      <c r="DD1056" s="251" t="n"/>
      <c r="DE1056" s="251" t="n"/>
      <c r="DF1056" s="251" t="n"/>
      <c r="DG1056" s="251" t="n"/>
      <c r="DH1056" s="251" t="n"/>
      <c r="DI1056" s="251" t="n"/>
      <c r="DJ1056" s="251" t="n"/>
      <c r="DK1056" s="251" t="n"/>
      <c r="DL1056" s="95" t="n"/>
      <c r="DM1056" s="251" t="n"/>
      <c r="DN1056" s="95" t="n"/>
      <c r="DO1056" s="95" t="n"/>
    </row>
    <row r="1057" ht="13" customHeight="1">
      <c r="A1057" s="203" t="inlineStr">
        <is>
          <t>Vertiente 1</t>
        </is>
      </c>
      <c r="B1057" s="305" t="n"/>
      <c r="C1057" s="7" t="n"/>
      <c r="D1057" s="7" t="n"/>
      <c r="E1057" s="7" t="n"/>
      <c r="F1057" s="7" t="n"/>
      <c r="G1057" s="7" t="n"/>
      <c r="H1057" s="7" t="n"/>
      <c r="I1057" s="7" t="n"/>
      <c r="J1057" s="7" t="n"/>
      <c r="K1057" s="7" t="n"/>
      <c r="L1057" s="7" t="n"/>
      <c r="M1057" s="7" t="n"/>
      <c r="N1057" s="7" t="n"/>
      <c r="O1057" s="7" t="n"/>
      <c r="P1057" s="7" t="n"/>
      <c r="Q1057" s="7" t="n"/>
      <c r="R1057" s="7" t="n"/>
      <c r="S1057" s="7" t="n"/>
      <c r="T1057" s="7" t="n"/>
      <c r="U1057" s="7" t="n"/>
      <c r="V1057" s="7" t="n"/>
      <c r="W1057" s="7" t="n"/>
      <c r="X1057" s="7" t="n"/>
      <c r="Y1057" s="7" t="n"/>
      <c r="Z1057" s="7" t="n"/>
      <c r="AA1057" s="7" t="n"/>
      <c r="AB1057" s="7" t="n"/>
      <c r="AC1057" s="7" t="n"/>
      <c r="AD1057" s="7" t="n"/>
      <c r="AE1057" s="7" t="n"/>
      <c r="AF1057" s="7" t="n"/>
      <c r="AG1057" s="7" t="n"/>
      <c r="AH1057" s="7" t="n"/>
      <c r="AI1057" s="7" t="n"/>
      <c r="AJ1057" s="7" t="n"/>
      <c r="AK1057" s="60" t="n"/>
      <c r="AL1057" s="7" t="n"/>
      <c r="AM1057" s="7" t="n"/>
      <c r="AN1057" s="60" t="n"/>
      <c r="AO1057" s="7" t="n"/>
      <c r="AP1057" s="60" t="n"/>
      <c r="AQ1057" s="7" t="n"/>
      <c r="AR1057" s="7" t="n"/>
      <c r="AS1057" s="7" t="n"/>
      <c r="AT1057" s="7" t="n"/>
      <c r="AU1057" s="7" t="n"/>
      <c r="AV1057" s="7" t="n"/>
      <c r="AW1057" s="7" t="n"/>
      <c r="AX1057" s="7" t="n"/>
      <c r="AY1057" s="7" t="n"/>
      <c r="AZ1057" s="7" t="n"/>
      <c r="BA1057" s="7" t="n"/>
      <c r="BB1057" s="7" t="n"/>
      <c r="BC1057" s="7" t="n"/>
      <c r="BD1057" s="7" t="n"/>
      <c r="BE1057" s="7" t="n"/>
      <c r="BF1057" s="7" t="n"/>
      <c r="BG1057" s="7" t="n"/>
      <c r="BH1057" s="7" t="n"/>
      <c r="BI1057" s="7" t="n"/>
      <c r="BJ1057" s="7" t="n"/>
      <c r="BK1057" s="61" t="n"/>
      <c r="BL1057" s="61" t="n"/>
      <c r="BM1057" s="251" t="inlineStr">
        <is>
          <t>ASUP</t>
        </is>
      </c>
      <c r="BN1057" s="337" t="inlineStr">
        <is>
          <t>Jachucoposa</t>
        </is>
      </c>
      <c r="BO1057" s="251" t="n"/>
      <c r="BP1057" s="251" t="n"/>
      <c r="BQ1057" s="106">
        <f>VLOOKUP(BP1057,[1]AGUA!$1:$1048576,2,FALSE)</f>
        <v/>
      </c>
      <c r="BR1057" s="106">
        <f>VLOOKUP(BP1057,[1]AGUA!$1:$1048576,6,FALSE)</f>
        <v/>
      </c>
      <c r="BS1057" s="106">
        <f>VLOOKUP(BP1057,[1]AGUA!$1:$1048576,7,FALSE)</f>
        <v/>
      </c>
      <c r="BT1057" s="106" t="inlineStr">
        <is>
          <t>CAV DAP</t>
        </is>
      </c>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24">
        <f>+COUNTA(BV1057:CY1057)</f>
        <v/>
      </c>
      <c r="DA1057" s="251" t="n"/>
      <c r="DB1057" s="251" t="n"/>
      <c r="DC1057" s="251" t="n"/>
      <c r="DD1057" s="251" t="n"/>
      <c r="DE1057" s="251" t="n"/>
      <c r="DF1057" s="251" t="n"/>
      <c r="DG1057" s="251" t="n"/>
      <c r="DH1057" s="251" t="n"/>
      <c r="DI1057" s="251" t="n"/>
      <c r="DJ1057" s="251" t="n"/>
      <c r="DK1057" s="251" t="n"/>
      <c r="DL1057" s="95" t="n"/>
      <c r="DM1057" s="251" t="n"/>
      <c r="DN1057" s="95" t="n"/>
      <c r="DO1057" s="95" t="n"/>
    </row>
    <row r="1058" ht="13" customHeight="1">
      <c r="A1058" s="203" t="inlineStr">
        <is>
          <t>Vertiente 2</t>
        </is>
      </c>
      <c r="B1058" s="305"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1" t="inlineStr">
        <is>
          <t>CAUDAL</t>
        </is>
      </c>
      <c r="BN1058" s="337" t="inlineStr">
        <is>
          <t>Jachucoposa</t>
        </is>
      </c>
      <c r="BO1058" s="251" t="n"/>
      <c r="BP1058" s="251"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24">
        <f>+COUNTA(BV1058:CY1058)</f>
        <v/>
      </c>
      <c r="DA1058" s="251" t="n"/>
      <c r="DB1058" s="251" t="n"/>
      <c r="DC1058" s="251" t="n"/>
      <c r="DD1058" s="251" t="n"/>
      <c r="DE1058" s="251" t="n"/>
      <c r="DF1058" s="251" t="n"/>
      <c r="DG1058" s="251" t="n"/>
      <c r="DH1058" s="251" t="n"/>
      <c r="DI1058" s="251" t="n"/>
      <c r="DJ1058" s="251" t="n"/>
      <c r="DK1058" s="251" t="n"/>
      <c r="DL1058" s="95" t="n"/>
      <c r="DM1058" s="251" t="n"/>
      <c r="DN1058" s="95" t="n"/>
      <c r="DO1058" s="95" t="n"/>
    </row>
    <row r="1059" ht="13" customHeight="1">
      <c r="A1059" s="203" t="inlineStr">
        <is>
          <t>Vertiente 2</t>
        </is>
      </c>
      <c r="B1059" s="305"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1" t="inlineStr">
        <is>
          <t>ASUP</t>
        </is>
      </c>
      <c r="BN1059" s="337" t="inlineStr">
        <is>
          <t>Jachucoposa</t>
        </is>
      </c>
      <c r="BO1059" s="251" t="n"/>
      <c r="BP1059" s="251"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24">
        <f>+COUNTA(BV1059:CY1059)</f>
        <v/>
      </c>
      <c r="DA1059" s="251" t="n"/>
      <c r="DB1059" s="251" t="n"/>
      <c r="DC1059" s="251" t="n"/>
      <c r="DD1059" s="251" t="n"/>
      <c r="DE1059" s="251" t="n"/>
      <c r="DF1059" s="251" t="n"/>
      <c r="DG1059" s="251" t="n"/>
      <c r="DH1059" s="251" t="n"/>
      <c r="DI1059" s="251" t="n"/>
      <c r="DJ1059" s="251" t="n"/>
      <c r="DK1059" s="251" t="n"/>
      <c r="DL1059" s="95" t="n"/>
      <c r="DM1059" s="251" t="n"/>
      <c r="DN1059" s="95" t="n"/>
      <c r="DO1059" s="95" t="n"/>
    </row>
    <row r="1060" ht="13" customHeight="1">
      <c r="A1060" s="203" t="inlineStr">
        <is>
          <t>Vertedero Grande</t>
        </is>
      </c>
      <c r="B1060" s="305"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1" t="inlineStr">
        <is>
          <t>CAUDAL</t>
        </is>
      </c>
      <c r="BN1060" s="337" t="inlineStr">
        <is>
          <t>Jachucoposa</t>
        </is>
      </c>
      <c r="BO1060" s="251" t="n"/>
      <c r="BP1060" s="251"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24">
        <f>+COUNTA(BV1060:CY1060)</f>
        <v/>
      </c>
      <c r="DA1060" s="251" t="n"/>
      <c r="DB1060" s="251" t="n"/>
      <c r="DC1060" s="251" t="n"/>
      <c r="DD1060" s="251" t="n"/>
      <c r="DE1060" s="251" t="n"/>
      <c r="DF1060" s="251" t="n"/>
      <c r="DG1060" s="251" t="n"/>
      <c r="DH1060" s="251" t="n"/>
      <c r="DI1060" s="251" t="n"/>
      <c r="DJ1060" s="251" t="n"/>
      <c r="DK1060" s="251" t="n"/>
      <c r="DL1060" s="95" t="n"/>
      <c r="DM1060" s="251" t="n"/>
      <c r="DN1060" s="95" t="n"/>
      <c r="DO1060" s="95" t="n"/>
    </row>
    <row r="1061" ht="13" customHeight="1">
      <c r="A1061" s="203" t="inlineStr">
        <is>
          <t>Vertedero Grande</t>
        </is>
      </c>
      <c r="B1061" s="305"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1" t="inlineStr">
        <is>
          <t>ASUP</t>
        </is>
      </c>
      <c r="BN1061" s="337" t="inlineStr">
        <is>
          <t>Jachucoposa</t>
        </is>
      </c>
      <c r="BO1061" s="251" t="n"/>
      <c r="BP1061" s="251"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24">
        <f>+COUNTA(BV1061:CY1061)</f>
        <v/>
      </c>
      <c r="DA1061" s="251" t="n"/>
      <c r="DB1061" s="251" t="n"/>
      <c r="DC1061" s="251" t="n"/>
      <c r="DD1061" s="251" t="n"/>
      <c r="DE1061" s="251" t="n"/>
      <c r="DF1061" s="251" t="n"/>
      <c r="DG1061" s="251" t="n"/>
      <c r="DH1061" s="251" t="n"/>
      <c r="DI1061" s="251" t="n"/>
      <c r="DJ1061" s="251" t="n"/>
      <c r="DK1061" s="251" t="n"/>
      <c r="DL1061" s="95" t="n"/>
      <c r="DM1061" s="251" t="n"/>
      <c r="DN1061" s="95" t="n"/>
      <c r="DO1061" s="95" t="n"/>
    </row>
    <row r="1062" ht="13" customHeight="1">
      <c r="A1062" s="203" t="inlineStr">
        <is>
          <t>Vertedero chico</t>
        </is>
      </c>
      <c r="B1062" s="305"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1" t="inlineStr">
        <is>
          <t>CAUDAL</t>
        </is>
      </c>
      <c r="BN1062" s="337" t="inlineStr">
        <is>
          <t>Jachucoposa</t>
        </is>
      </c>
      <c r="BO1062" s="251" t="n"/>
      <c r="BP1062" s="251"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24">
        <f>+COUNTA(BV1062:CY1062)</f>
        <v/>
      </c>
      <c r="DA1062" s="251" t="n"/>
      <c r="DB1062" s="251" t="n"/>
      <c r="DC1062" s="251" t="n"/>
      <c r="DD1062" s="251" t="n"/>
      <c r="DE1062" s="251" t="n"/>
      <c r="DF1062" s="251" t="n"/>
      <c r="DG1062" s="251" t="n"/>
      <c r="DH1062" s="251" t="n"/>
      <c r="DI1062" s="251" t="n"/>
      <c r="DJ1062" s="251" t="n"/>
      <c r="DK1062" s="251" t="n"/>
      <c r="DL1062" s="95" t="n"/>
      <c r="DM1062" s="251" t="n"/>
      <c r="DN1062" s="95" t="n"/>
      <c r="DO1062" s="95" t="n"/>
    </row>
    <row r="1063" ht="13" customHeight="1">
      <c r="A1063" s="203" t="inlineStr">
        <is>
          <t>Vertedero chico</t>
        </is>
      </c>
      <c r="B1063" s="305"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1" t="inlineStr">
        <is>
          <t>ASUP</t>
        </is>
      </c>
      <c r="BN1063" s="337" t="inlineStr">
        <is>
          <t>Jachucoposa</t>
        </is>
      </c>
      <c r="BO1063" s="251" t="n"/>
      <c r="BP1063" s="251"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24">
        <f>+COUNTA(BV1063:CY1063)</f>
        <v/>
      </c>
      <c r="DA1063" s="251" t="n"/>
      <c r="DB1063" s="251" t="n"/>
      <c r="DC1063" s="251" t="n"/>
      <c r="DD1063" s="251" t="n"/>
      <c r="DE1063" s="251" t="n"/>
      <c r="DF1063" s="251" t="n"/>
      <c r="DG1063" s="251" t="n"/>
      <c r="DH1063" s="251" t="n"/>
      <c r="DI1063" s="251" t="n"/>
      <c r="DJ1063" s="251" t="n"/>
      <c r="DK1063" s="251" t="n"/>
      <c r="DL1063" s="95" t="n"/>
      <c r="DM1063" s="251" t="n"/>
      <c r="DN1063" s="95" t="n"/>
      <c r="DO1063" s="95" t="n"/>
    </row>
    <row r="1064" ht="13" customHeight="1">
      <c r="A1064" s="203" t="inlineStr">
        <is>
          <t>laguna 1</t>
        </is>
      </c>
      <c r="B1064" s="305"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1" t="inlineStr">
        <is>
          <t>ASUP</t>
        </is>
      </c>
      <c r="BN1064" s="337" t="inlineStr">
        <is>
          <t>Jachucoposa</t>
        </is>
      </c>
      <c r="BO1064" s="251" t="n"/>
      <c r="BP1064" s="251"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24">
        <f>+COUNTA(BV1064:CY1064)</f>
        <v/>
      </c>
      <c r="DA1064" s="251" t="n"/>
      <c r="DB1064" s="251" t="n"/>
      <c r="DC1064" s="251" t="n"/>
      <c r="DD1064" s="251" t="n"/>
      <c r="DE1064" s="251" t="n"/>
      <c r="DF1064" s="251" t="n"/>
      <c r="DG1064" s="251" t="n"/>
      <c r="DH1064" s="251" t="n"/>
      <c r="DI1064" s="251" t="n"/>
      <c r="DJ1064" s="251" t="n"/>
      <c r="DK1064" s="251" t="n"/>
      <c r="DL1064" s="95" t="n"/>
      <c r="DM1064" s="251" t="n"/>
      <c r="DN1064" s="95" t="n"/>
      <c r="DO1064" s="95" t="n"/>
    </row>
    <row r="1065" ht="13" customHeight="1">
      <c r="A1065" s="203" t="inlineStr">
        <is>
          <t>laguna 2</t>
        </is>
      </c>
      <c r="B1065" s="305"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1" t="inlineStr">
        <is>
          <t>ASUP</t>
        </is>
      </c>
      <c r="BN1065" s="337" t="inlineStr">
        <is>
          <t>Jachucoposa</t>
        </is>
      </c>
      <c r="BO1065" s="251" t="n"/>
      <c r="BP1065" s="251"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24">
        <f>+COUNTA(BV1065:CY1065)</f>
        <v/>
      </c>
      <c r="DA1065" s="251" t="n"/>
      <c r="DB1065" s="251" t="n"/>
      <c r="DC1065" s="251" t="n"/>
      <c r="DD1065" s="251" t="n"/>
      <c r="DE1065" s="251" t="n"/>
      <c r="DF1065" s="251" t="n"/>
      <c r="DG1065" s="251" t="n"/>
      <c r="DH1065" s="251" t="n"/>
      <c r="DI1065" s="251" t="n"/>
      <c r="DJ1065" s="251" t="n"/>
      <c r="DK1065" s="251" t="n"/>
      <c r="DL1065" s="95" t="n"/>
      <c r="DM1065" s="251" t="n"/>
      <c r="DN1065" s="95" t="n"/>
      <c r="DO1065" s="95" t="n"/>
    </row>
    <row r="1066" ht="13.5" customHeight="1">
      <c r="A1066" s="203" t="inlineStr">
        <is>
          <t>laguna 3</t>
        </is>
      </c>
      <c r="B1066" s="305" t="n"/>
      <c r="C1066" s="7" t="n"/>
      <c r="D1066" s="7" t="inlineStr">
        <is>
          <t>SI</t>
        </is>
      </c>
      <c r="E1066" s="7" t="inlineStr">
        <is>
          <t>SI</t>
        </is>
      </c>
      <c r="F1066" s="7" t="inlineStr">
        <is>
          <t>NO</t>
        </is>
      </c>
      <c r="G1066" s="7" t="inlineStr">
        <is>
          <t>NO</t>
        </is>
      </c>
      <c r="H1066" s="7" t="n">
        <v>532471</v>
      </c>
      <c r="I1066" s="7" t="n">
        <v>7686463</v>
      </c>
      <c r="J1066" s="7" t="inlineStr">
        <is>
          <t>Por implementar</t>
        </is>
      </c>
      <c r="K1066" s="7" t="inlineStr">
        <is>
          <t>-</t>
        </is>
      </c>
      <c r="L1066" s="7" t="inlineStr">
        <is>
          <t>Agua Superficial</t>
        </is>
      </c>
      <c r="M1066" s="7" t="inlineStr">
        <is>
          <t>Cordillera</t>
        </is>
      </c>
      <c r="N1066" s="7" t="inlineStr">
        <is>
          <t>Punto Restitución Caudal</t>
        </is>
      </c>
      <c r="O1066" s="7" t="inlineStr">
        <is>
          <t>Yabricollita</t>
        </is>
      </c>
      <c r="P1066" s="7" t="inlineStr">
        <is>
          <t>NO</t>
        </is>
      </c>
      <c r="Q1066" s="7" t="inlineStr">
        <is>
          <t>-</t>
        </is>
      </c>
      <c r="R1066" s="7" t="inlineStr">
        <is>
          <t>-</t>
        </is>
      </c>
      <c r="S1066" s="7" t="inlineStr">
        <is>
          <t>-</t>
        </is>
      </c>
      <c r="T1066" s="7" t="inlineStr">
        <is>
          <t>NO</t>
        </is>
      </c>
      <c r="U1066" s="7" t="inlineStr">
        <is>
          <t>-</t>
        </is>
      </c>
      <c r="V1066" s="7" t="inlineStr">
        <is>
          <t>NO</t>
        </is>
      </c>
      <c r="W1066" s="7" t="inlineStr">
        <is>
          <t>-</t>
        </is>
      </c>
      <c r="X1066" s="7" t="inlineStr">
        <is>
          <t>NO</t>
        </is>
      </c>
      <c r="Y1066" s="7" t="inlineStr">
        <is>
          <t>-</t>
        </is>
      </c>
      <c r="Z1066" s="7" t="inlineStr">
        <is>
          <t>NO</t>
        </is>
      </c>
      <c r="AA1066" s="7" t="inlineStr">
        <is>
          <t>-</t>
        </is>
      </c>
      <c r="AB1066" s="7" t="inlineStr">
        <is>
          <t>NO</t>
        </is>
      </c>
      <c r="AC1066" s="7" t="inlineStr">
        <is>
          <t>-</t>
        </is>
      </c>
      <c r="AD1066" s="7" t="inlineStr">
        <is>
          <t>SI</t>
        </is>
      </c>
      <c r="AE1066" s="7" t="inlineStr">
        <is>
          <t>-</t>
        </is>
      </c>
      <c r="AF1066" s="7" t="inlineStr">
        <is>
          <t>Flujómetro</t>
        </is>
      </c>
      <c r="AG1066" s="7" t="inlineStr">
        <is>
          <t>NO</t>
        </is>
      </c>
      <c r="AH1066" s="7" t="inlineStr">
        <is>
          <t>-</t>
        </is>
      </c>
      <c r="AI1066" s="7" t="inlineStr">
        <is>
          <t>SI</t>
        </is>
      </c>
      <c r="AJ1066" s="7" t="inlineStr">
        <is>
          <t>Flujómetro</t>
        </is>
      </c>
      <c r="AK1066" s="60" t="inlineStr">
        <is>
          <t>NO</t>
        </is>
      </c>
      <c r="AL1066" s="7" t="inlineStr">
        <is>
          <t>-</t>
        </is>
      </c>
      <c r="AM1066" s="7" t="inlineStr">
        <is>
          <t>-</t>
        </is>
      </c>
      <c r="AN1066" s="60" t="inlineStr">
        <is>
          <t>NO</t>
        </is>
      </c>
      <c r="AO1066" s="7" t="inlineStr">
        <is>
          <t>-</t>
        </is>
      </c>
      <c r="AP1066" s="60" t="inlineStr">
        <is>
          <t>NO</t>
        </is>
      </c>
      <c r="AQ1066" s="7" t="inlineStr">
        <is>
          <t>-</t>
        </is>
      </c>
      <c r="AR1066" s="7" t="inlineStr">
        <is>
          <t>NO</t>
        </is>
      </c>
      <c r="AS1066" s="7" t="inlineStr">
        <is>
          <t>-</t>
        </is>
      </c>
      <c r="AT1066" s="7" t="inlineStr">
        <is>
          <t>NO</t>
        </is>
      </c>
      <c r="AU1066" s="7" t="inlineStr">
        <is>
          <t>-</t>
        </is>
      </c>
      <c r="AV1066" s="7" t="inlineStr">
        <is>
          <t>NO</t>
        </is>
      </c>
      <c r="AW1066" s="7" t="inlineStr">
        <is>
          <t>-</t>
        </is>
      </c>
      <c r="AX1066" s="7" t="inlineStr">
        <is>
          <t>NO</t>
        </is>
      </c>
      <c r="AY1066" s="7" t="inlineStr">
        <is>
          <t>-</t>
        </is>
      </c>
      <c r="AZ1066" s="7" t="inlineStr">
        <is>
          <t>NO</t>
        </is>
      </c>
      <c r="BA1066" s="7" t="inlineStr">
        <is>
          <t>-</t>
        </is>
      </c>
      <c r="BB1066" s="7" t="inlineStr">
        <is>
          <t>NO</t>
        </is>
      </c>
      <c r="BC1066" s="7" t="inlineStr">
        <is>
          <t>-</t>
        </is>
      </c>
      <c r="BD1066" s="7" t="inlineStr">
        <is>
          <t>NO</t>
        </is>
      </c>
      <c r="BE1066" s="7" t="inlineStr">
        <is>
          <t>-</t>
        </is>
      </c>
      <c r="BF1066" s="7" t="inlineStr">
        <is>
          <t>SMA- Comunidad AIA Naciente Collahuasi- Yabricollita Caya</t>
        </is>
      </c>
      <c r="BG1066" s="7" t="inlineStr">
        <is>
          <t>PAF Yabricollita y caya, AIA Naciente Collahuasi - PSA</t>
        </is>
      </c>
      <c r="BH1066" s="7" t="inlineStr">
        <is>
          <t>RCA 20219900112</t>
        </is>
      </c>
      <c r="BI1066" s="7" t="inlineStr">
        <is>
          <t>1. Quebrada con restitución de agua desde el estanque de recolección MM1
2. Plazo de entrega de los informes de laboratorio a la asociación: 1 mes despues de realizada la campaña de terreno
3. Informe Anual</t>
        </is>
      </c>
      <c r="BJ1066" s="7" t="n"/>
      <c r="BK1066" s="61" t="n"/>
      <c r="BL1066" s="61" t="n"/>
      <c r="BM1066" s="251" t="inlineStr">
        <is>
          <t>ASUP</t>
        </is>
      </c>
      <c r="BN1066" s="337" t="inlineStr">
        <is>
          <t>Jachucoposa</t>
        </is>
      </c>
      <c r="BO1066" s="251" t="n"/>
      <c r="BP1066" s="251"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24">
        <f>+COUNTA(BV1066:CY1066)</f>
        <v/>
      </c>
      <c r="DA1066" s="251" t="n"/>
      <c r="DB1066" s="251" t="n"/>
      <c r="DC1066" s="251" t="n"/>
      <c r="DD1066" s="251" t="n"/>
      <c r="DE1066" s="251" t="n"/>
      <c r="DF1066" s="251" t="n"/>
      <c r="DG1066" s="251" t="n"/>
      <c r="DH1066" s="251" t="n"/>
      <c r="DI1066" s="251" t="n"/>
      <c r="DJ1066" s="251" t="n"/>
      <c r="DK1066" s="251" t="n"/>
      <c r="DL1066" s="95" t="n"/>
      <c r="DM1066" s="251" t="n"/>
      <c r="DN1066" s="95" t="n"/>
      <c r="DO1066" s="95" t="n"/>
    </row>
    <row r="1067" ht="12" customHeight="1">
      <c r="A1067" s="139" t="n"/>
      <c r="B1067" s="152" t="n"/>
      <c r="C1067" s="131" t="n"/>
      <c r="D1067" s="191" t="n"/>
      <c r="E1067" s="191" t="n"/>
      <c r="F1067" s="191" t="n"/>
      <c r="G1067" s="191" t="n"/>
      <c r="H1067" s="191" t="n"/>
      <c r="I1067" s="191" t="n"/>
      <c r="J1067" s="191" t="n"/>
      <c r="K1067" s="191" t="n"/>
      <c r="L1067" s="191" t="n"/>
      <c r="M1067" s="191" t="n"/>
      <c r="N1067" s="191" t="n"/>
      <c r="O1067" s="191" t="n"/>
      <c r="P1067" s="191" t="n"/>
      <c r="Q1067" s="191" t="n"/>
      <c r="R1067" s="191" t="n"/>
      <c r="S1067" s="191" t="n"/>
      <c r="T1067" s="191" t="n"/>
      <c r="U1067" s="191" t="n"/>
      <c r="V1067" s="191" t="n"/>
      <c r="W1067" s="191" t="n"/>
      <c r="X1067" s="191" t="n"/>
      <c r="Y1067" s="191" t="n"/>
      <c r="Z1067" s="191" t="n"/>
      <c r="AA1067" s="191" t="n"/>
      <c r="AB1067" s="191" t="n"/>
      <c r="AC1067" s="191" t="n"/>
      <c r="AD1067" s="191" t="n"/>
      <c r="AE1067" s="191" t="n"/>
      <c r="AF1067" s="191" t="n"/>
      <c r="AG1067" s="191" t="n"/>
      <c r="AH1067" s="191" t="n"/>
      <c r="AI1067" s="191" t="n"/>
      <c r="AJ1067" s="191" t="n"/>
      <c r="AK1067" s="191" t="n"/>
      <c r="AL1067" s="191" t="n"/>
      <c r="AM1067" s="191" t="n"/>
      <c r="AN1067" s="191" t="n"/>
      <c r="AO1067" s="191" t="n"/>
      <c r="AP1067" s="191" t="n"/>
      <c r="AQ1067" s="191" t="n"/>
      <c r="AR1067" s="191" t="n"/>
      <c r="AS1067" s="191" t="n"/>
      <c r="AT1067" s="191" t="n"/>
      <c r="AU1067" s="191" t="n"/>
      <c r="AV1067" s="191" t="n"/>
      <c r="AW1067" s="191" t="n"/>
      <c r="AX1067" s="191" t="n"/>
      <c r="AY1067" s="191" t="n"/>
      <c r="AZ1067" s="191" t="n"/>
      <c r="BA1067" s="191" t="n"/>
      <c r="BB1067" s="191" t="n"/>
      <c r="BC1067" s="191" t="n"/>
      <c r="BD1067" s="191" t="n"/>
      <c r="BE1067" s="191" t="n"/>
      <c r="BF1067" s="191" t="n"/>
      <c r="BG1067" s="191" t="n"/>
      <c r="BH1067" s="191" t="n"/>
      <c r="BI1067" s="191" t="n"/>
      <c r="BJ1067" s="191" t="n"/>
      <c r="BK1067" s="136" t="n"/>
      <c r="BL1067" s="136" t="n"/>
      <c r="BM1067" s="133" t="n"/>
      <c r="BN1067" s="134" t="n"/>
      <c r="BO1067" s="133" t="n"/>
      <c r="BP1067" s="133" t="n"/>
      <c r="BQ1067" s="133" t="n"/>
      <c r="BR1067" s="133" t="n"/>
      <c r="BS1067" s="133" t="n"/>
      <c r="BT1067" s="133" t="n"/>
      <c r="BU1067" s="132" t="n"/>
      <c r="BV1067" s="133" t="n"/>
      <c r="BW1067" s="133" t="n"/>
      <c r="BX1067" s="133" t="n"/>
      <c r="BY1067" s="133" t="n"/>
      <c r="BZ1067" s="133" t="n"/>
      <c r="CA1067" s="133" t="n"/>
      <c r="CB1067" s="133" t="n"/>
      <c r="CC1067" s="133" t="n"/>
      <c r="CD1067" s="133" t="n"/>
      <c r="CE1067" s="133" t="n"/>
      <c r="CF1067" s="133" t="n"/>
      <c r="CG1067" s="133" t="n"/>
      <c r="CH1067" s="133" t="n"/>
      <c r="CI1067" s="133" t="n"/>
      <c r="CJ1067" s="133" t="n"/>
      <c r="CK1067" s="133" t="n"/>
      <c r="CL1067" s="133" t="n"/>
      <c r="CM1067" s="133" t="n"/>
      <c r="CN1067" s="133" t="n"/>
      <c r="CO1067" s="133" t="n"/>
      <c r="CP1067" s="133" t="n"/>
      <c r="CQ1067" s="133" t="n"/>
      <c r="CR1067" s="133" t="n"/>
      <c r="CS1067" s="133" t="n"/>
      <c r="CT1067" s="133" t="n"/>
      <c r="CU1067" s="167" t="n"/>
      <c r="CV1067" s="167" t="n"/>
      <c r="CW1067" s="167" t="n"/>
      <c r="CX1067" s="167" t="n"/>
      <c r="CY1067" s="167" t="n"/>
      <c r="CZ1067" s="134" t="n"/>
      <c r="DA1067" s="134" t="n"/>
      <c r="DB1067" s="134" t="n"/>
      <c r="DC1067" s="134" t="n"/>
      <c r="DD1067" s="134" t="n"/>
      <c r="DE1067" s="134" t="n"/>
      <c r="DF1067" s="134" t="n"/>
      <c r="DG1067" s="134" t="n"/>
      <c r="DH1067" s="134" t="n"/>
      <c r="DI1067" s="134" t="n"/>
      <c r="DJ1067" s="133" t="n"/>
      <c r="DK1067" s="135" t="n"/>
      <c r="DL1067" s="135" t="n"/>
      <c r="DM1067" s="133" t="n"/>
      <c r="DN1067" s="135" t="n"/>
      <c r="DO1067" s="135" t="n"/>
    </row>
    <row r="1068" ht="12.5" customHeight="1">
      <c r="A1068" s="252" t="inlineStr">
        <is>
          <t>MPDR</t>
        </is>
      </c>
      <c r="B1068" s="305" t="inlineStr">
        <is>
          <t>MPDR HUINQUINTIPA</t>
        </is>
      </c>
      <c r="C1068" s="7" t="n"/>
      <c r="D1068" s="7" t="inlineStr">
        <is>
          <t>MONITOREO INTERNO</t>
        </is>
      </c>
      <c r="E1068" s="7" t="inlineStr">
        <is>
          <t>NO</t>
        </is>
      </c>
      <c r="F1068" s="7" t="inlineStr">
        <is>
          <t>NO</t>
        </is>
      </c>
      <c r="G1068" s="7" t="inlineStr">
        <is>
          <t>NO</t>
        </is>
      </c>
      <c r="H1068" s="7" t="n">
        <v>527070</v>
      </c>
      <c r="I1068" s="7" t="n">
        <v>7678955</v>
      </c>
      <c r="J1068" s="7" t="inlineStr">
        <is>
          <t>Construido</t>
        </is>
      </c>
      <c r="K1068" s="7" t="inlineStr">
        <is>
          <t>-</t>
        </is>
      </c>
      <c r="L1068" s="7" t="inlineStr">
        <is>
          <t>Agua Superficial</t>
        </is>
      </c>
      <c r="M1068" s="7" t="inlineStr">
        <is>
          <t>Cordillera</t>
        </is>
      </c>
      <c r="N1068" s="7" t="inlineStr">
        <is>
          <t>Punto restitución</t>
        </is>
      </c>
      <c r="O1068" s="7" t="inlineStr">
        <is>
          <t>San Nicolás</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NO</t>
        </is>
      </c>
      <c r="AE1068" s="7" t="inlineStr">
        <is>
          <t>-</t>
        </is>
      </c>
      <c r="AF1068" s="7" t="inlineStr">
        <is>
          <t>-</t>
        </is>
      </c>
      <c r="AG1068" s="7" t="inlineStr">
        <is>
          <t>Si</t>
        </is>
      </c>
      <c r="AH1068" s="7" t="inlineStr">
        <is>
          <t>Dos veces a la semana</t>
        </is>
      </c>
      <c r="AI1068" s="7" t="inlineStr">
        <is>
          <t>Si</t>
        </is>
      </c>
      <c r="AJ1068" s="7" t="inlineStr">
        <is>
          <t>Dos veces a la semana</t>
        </is>
      </c>
      <c r="AK1068" s="60" t="inlineStr">
        <is>
          <t>NO</t>
        </is>
      </c>
      <c r="AL1068" s="7" t="inlineStr">
        <is>
          <t>-</t>
        </is>
      </c>
      <c r="AM1068" s="7" t="inlineStr">
        <is>
          <t>-</t>
        </is>
      </c>
      <c r="AN1068" s="60" t="inlineStr">
        <is>
          <t>NO</t>
        </is>
      </c>
      <c r="AO1068" s="7" t="inlineStr">
        <is>
          <t>-</t>
        </is>
      </c>
      <c r="AP1068" s="60" t="inlineStr">
        <is>
          <t>NO</t>
        </is>
      </c>
      <c r="AQ1068" s="7" t="inlineStr">
        <is>
          <t>-</t>
        </is>
      </c>
      <c r="AR1068" s="60" t="inlineStr">
        <is>
          <t>NO</t>
        </is>
      </c>
      <c r="AS1068" s="7" t="inlineStr">
        <is>
          <t>NO</t>
        </is>
      </c>
      <c r="AT1068" s="7" t="inlineStr">
        <is>
          <t>NO</t>
        </is>
      </c>
      <c r="AU1068" s="7" t="inlineStr">
        <is>
          <t>-</t>
        </is>
      </c>
      <c r="AV1068" s="60"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No aplica</t>
        </is>
      </c>
      <c r="BG1068" s="7" t="inlineStr">
        <is>
          <t>Monitoreo interno</t>
        </is>
      </c>
      <c r="BH1068" s="7" t="inlineStr">
        <is>
          <t>No aplica</t>
        </is>
      </c>
      <c r="BI1068" s="7" t="n"/>
      <c r="BJ1068" s="7" t="n"/>
      <c r="BK1068" s="331" t="n"/>
      <c r="BL1068" s="61" t="inlineStr">
        <is>
          <t>GMAP-SIGA</t>
        </is>
      </c>
      <c r="BM1068" s="251" t="inlineStr">
        <is>
          <t>CAUDAL</t>
        </is>
      </c>
      <c r="BN1068" s="337" t="inlineStr">
        <is>
          <t>San Nicolás</t>
        </is>
      </c>
      <c r="BO1068" s="251" t="inlineStr">
        <is>
          <t>SI</t>
        </is>
      </c>
      <c r="BP1068" s="106" t="inlineStr">
        <is>
          <t>MPDR HUINQUINTIPA/CAUDAL</t>
        </is>
      </c>
      <c r="BQ1068" s="106">
        <f>VLOOKUP(BP1068,[2]MSEWJO!$1:$1048576,2,FALSE)</f>
        <v/>
      </c>
      <c r="BR1068" s="106">
        <f>VLOOKUP(BP1068,[2]MSEWJO!$1:$1048576,6,FALSE)</f>
        <v/>
      </c>
      <c r="BS1068" s="106">
        <f>VLOOKUP(BP1068,[2]MSEWJO!$1:$1048576,7,FALSE)</f>
        <v/>
      </c>
      <c r="BT1068" s="106" t="n"/>
      <c r="BU1068" s="123" t="inlineStr">
        <is>
          <t>SE ELIMINA 17-12-2025</t>
        </is>
      </c>
      <c r="BV1068" s="105" t="n"/>
      <c r="BW1068" s="125" t="n"/>
      <c r="BX1068" s="125" t="n"/>
      <c r="BY1068" s="125" t="n"/>
      <c r="BZ1068" s="125" t="n"/>
      <c r="CA1068" s="125" t="n"/>
      <c r="CB1068" s="125" t="n"/>
      <c r="CC1068" s="125" t="n"/>
      <c r="CD1068" s="125" t="n"/>
      <c r="CE1068" s="125" t="n"/>
      <c r="CF1068" s="125" t="n"/>
      <c r="CG1068" s="125" t="n"/>
      <c r="CH1068" s="125" t="n"/>
      <c r="CI1068" s="125" t="n"/>
      <c r="CJ1068" s="125" t="n"/>
      <c r="CK1068" s="125" t="n"/>
      <c r="CL1068" s="125" t="n"/>
      <c r="CM1068" s="125" t="n"/>
      <c r="CN1068" s="125" t="n"/>
      <c r="CO1068" s="125" t="n"/>
      <c r="CP1068" s="125" t="n"/>
      <c r="CQ1068" s="125" t="n"/>
      <c r="CR1068" s="125" t="n"/>
      <c r="CS1068" s="125" t="n"/>
      <c r="CT1068" s="125" t="n"/>
      <c r="CU1068" s="125" t="n"/>
      <c r="CV1068" s="125" t="n"/>
      <c r="CW1068" s="125" t="n"/>
      <c r="CX1068" s="125" t="n"/>
      <c r="CY1068" s="125" t="n"/>
      <c r="CZ1068" s="124">
        <f>+COUNTA(BV1068:CY1068)</f>
        <v/>
      </c>
      <c r="DA1068" s="251" t="n"/>
      <c r="DB1068" s="251" t="n"/>
      <c r="DC1068" s="251" t="n"/>
      <c r="DD1068" s="251" t="n"/>
      <c r="DE1068" s="251" t="n"/>
      <c r="DF1068" s="251" t="n"/>
      <c r="DG1068" s="251" t="n"/>
      <c r="DH1068" s="251" t="n"/>
      <c r="DI1068" s="251" t="n"/>
      <c r="DJ1068" s="251" t="inlineStr">
        <is>
          <t>2S</t>
        </is>
      </c>
      <c r="DK1068" s="251" t="inlineStr">
        <is>
          <t>R</t>
        </is>
      </c>
      <c r="DL1068" s="95" t="inlineStr">
        <is>
          <t>R</t>
        </is>
      </c>
      <c r="DM1068" s="251" t="n"/>
      <c r="DN1068" s="95" t="n"/>
      <c r="DO1068" s="95" t="n"/>
    </row>
    <row r="1069" ht="12.65" customHeight="1">
      <c r="A1069" s="252" t="inlineStr">
        <is>
          <t>2_98-15</t>
        </is>
      </c>
      <c r="B1069" s="164" t="inlineStr">
        <is>
          <t>2_98-15 ALCONCHA-LOA</t>
        </is>
      </c>
      <c r="C1069" s="7" t="n"/>
      <c r="D1069" s="7" t="inlineStr">
        <is>
          <t>MONITOREO INTERNO</t>
        </is>
      </c>
      <c r="E1069" s="7" t="inlineStr">
        <is>
          <t>NO</t>
        </is>
      </c>
      <c r="F1069" s="7" t="inlineStr">
        <is>
          <t>NO</t>
        </is>
      </c>
      <c r="G1069" s="7" t="inlineStr">
        <is>
          <t>NO</t>
        </is>
      </c>
      <c r="H1069" s="7" t="n">
        <v>539427.99100601</v>
      </c>
      <c r="I1069" s="7" t="n">
        <v>7666147.8388376</v>
      </c>
      <c r="J1069" s="7" t="inlineStr">
        <is>
          <t>Construido</t>
        </is>
      </c>
      <c r="K1069" s="7" t="inlineStr">
        <is>
          <t>-</t>
        </is>
      </c>
      <c r="L1069" s="7" t="inlineStr">
        <is>
          <t>Agua Subterránea</t>
        </is>
      </c>
      <c r="M1069" s="7" t="inlineStr">
        <is>
          <t>Cordillera</t>
        </is>
      </c>
      <c r="N1069" s="7" t="inlineStr">
        <is>
          <t>POZO</t>
        </is>
      </c>
      <c r="O1069" s="7" t="inlineStr">
        <is>
          <t>Alconcha-El Loa</t>
        </is>
      </c>
      <c r="P1069" s="7" t="inlineStr">
        <is>
          <t>NO</t>
        </is>
      </c>
      <c r="Q1069" s="7" t="inlineStr">
        <is>
          <t>-</t>
        </is>
      </c>
      <c r="R1069" s="7" t="inlineStr">
        <is>
          <t>-</t>
        </is>
      </c>
      <c r="S1069" s="7" t="inlineStr">
        <is>
          <t>-</t>
        </is>
      </c>
      <c r="T1069" s="7" t="inlineStr">
        <is>
          <t>SI</t>
        </is>
      </c>
      <c r="U1069" s="7" t="inlineStr">
        <is>
          <t>Trimestral</t>
        </is>
      </c>
      <c r="V1069" s="7" t="inlineStr">
        <is>
          <t>SI</t>
        </is>
      </c>
      <c r="W1069" s="7" t="inlineStr">
        <is>
          <t>Trimestral</t>
        </is>
      </c>
      <c r="X1069" s="7" t="inlineStr">
        <is>
          <t>NO</t>
        </is>
      </c>
      <c r="Y1069" s="7" t="inlineStr">
        <is>
          <t>-</t>
        </is>
      </c>
      <c r="Z1069" s="7" t="inlineStr">
        <is>
          <t>NO</t>
        </is>
      </c>
      <c r="AA1069" s="7" t="inlineStr">
        <is>
          <t>-</t>
        </is>
      </c>
      <c r="AB1069" s="7" t="inlineStr">
        <is>
          <t>NO</t>
        </is>
      </c>
      <c r="AC1069" s="7" t="inlineStr">
        <is>
          <t>-</t>
        </is>
      </c>
      <c r="AD1069" s="7" t="inlineStr">
        <is>
          <t>NO</t>
        </is>
      </c>
      <c r="AE1069" s="7" t="inlineStr">
        <is>
          <t>-</t>
        </is>
      </c>
      <c r="AF1069" s="7" t="inlineStr">
        <is>
          <t>-</t>
        </is>
      </c>
      <c r="AG1069" s="7" t="inlineStr">
        <is>
          <t>NO</t>
        </is>
      </c>
      <c r="AH1069" s="7" t="inlineStr">
        <is>
          <t>-</t>
        </is>
      </c>
      <c r="AI1069" s="7" t="inlineStr">
        <is>
          <t>NO</t>
        </is>
      </c>
      <c r="AJ1069" s="7" t="inlineStr">
        <is>
          <t>-</t>
        </is>
      </c>
      <c r="AK1069" s="60" t="inlineStr">
        <is>
          <t>NO</t>
        </is>
      </c>
      <c r="AL1069" s="7" t="inlineStr">
        <is>
          <t>-</t>
        </is>
      </c>
      <c r="AM1069" s="7" t="inlineStr">
        <is>
          <t>-</t>
        </is>
      </c>
      <c r="AN1069" s="60" t="inlineStr">
        <is>
          <t>NO</t>
        </is>
      </c>
      <c r="AO1069" s="7" t="inlineStr">
        <is>
          <t>-</t>
        </is>
      </c>
      <c r="AP1069" s="60" t="inlineStr">
        <is>
          <t>NO</t>
        </is>
      </c>
      <c r="AQ1069" s="7" t="inlineStr">
        <is>
          <t>-</t>
        </is>
      </c>
      <c r="AR1069" s="60" t="inlineStr">
        <is>
          <t>NO</t>
        </is>
      </c>
      <c r="AS1069" s="7" t="inlineStr">
        <is>
          <t>-</t>
        </is>
      </c>
      <c r="AT1069" s="7" t="inlineStr">
        <is>
          <t>NO</t>
        </is>
      </c>
      <c r="AU1069" s="7" t="inlineStr">
        <is>
          <t>-</t>
        </is>
      </c>
      <c r="AV1069" s="60" t="inlineStr">
        <is>
          <t>NO</t>
        </is>
      </c>
      <c r="AW1069" s="7" t="inlineStr">
        <is>
          <t>-</t>
        </is>
      </c>
      <c r="AX1069" s="7" t="inlineStr">
        <is>
          <t>NO</t>
        </is>
      </c>
      <c r="AY1069" s="7" t="inlineStr">
        <is>
          <t>-</t>
        </is>
      </c>
      <c r="AZ1069" s="7" t="inlineStr">
        <is>
          <t>NO</t>
        </is>
      </c>
      <c r="BA1069" s="7" t="inlineStr">
        <is>
          <t>-</t>
        </is>
      </c>
      <c r="BB1069" s="7" t="inlineStr">
        <is>
          <t>NO</t>
        </is>
      </c>
      <c r="BC1069" s="7" t="inlineStr">
        <is>
          <t>-</t>
        </is>
      </c>
      <c r="BD1069" s="7" t="inlineStr">
        <is>
          <t>NO</t>
        </is>
      </c>
      <c r="BE1069" s="7" t="inlineStr">
        <is>
          <t>-</t>
        </is>
      </c>
      <c r="BF1069" s="7" t="inlineStr">
        <is>
          <t>No aplica</t>
        </is>
      </c>
      <c r="BG1069" s="7" t="inlineStr">
        <is>
          <t>Monitoreo interno</t>
        </is>
      </c>
      <c r="BH1069" s="7" t="inlineStr">
        <is>
          <t>No aplica</t>
        </is>
      </c>
      <c r="BI1069" s="7" t="inlineStr">
        <is>
          <t>Consultar si el punto de monitoreo se debe seguir monitoreando/ se modifico frecuencia</t>
        </is>
      </c>
      <c r="BJ1069" s="7" t="n">
        <v>44795</v>
      </c>
      <c r="BK1069" s="331" t="inlineStr">
        <is>
          <t>532MAALLOA</t>
        </is>
      </c>
      <c r="BL1069" s="61" t="inlineStr">
        <is>
          <t>GMAP-SIGA</t>
        </is>
      </c>
      <c r="BM1069" s="251" t="inlineStr">
        <is>
          <t>NF</t>
        </is>
      </c>
      <c r="BN1069" s="337" t="inlineStr">
        <is>
          <t>Loa</t>
        </is>
      </c>
      <c r="BO1069" s="251" t="inlineStr">
        <is>
          <t>NO</t>
        </is>
      </c>
      <c r="BP1069" s="106" t="inlineStr">
        <is>
          <t>2_98-15 ALCONCHA-LOA/NF</t>
        </is>
      </c>
      <c r="BQ1069" s="106" t="n"/>
      <c r="BR1069" s="106" t="n"/>
      <c r="BS1069" s="106" t="n"/>
      <c r="BT1069" s="106" t="n"/>
      <c r="BU1069" s="101" t="inlineStr">
        <is>
          <t>eliminados de monitoreo desde diciembre 2025</t>
        </is>
      </c>
      <c r="BV1069" s="105" t="n"/>
      <c r="BW1069" s="105" t="n"/>
      <c r="BX1069" s="105" t="n"/>
      <c r="BY1069" s="105" t="n"/>
      <c r="BZ1069" s="105" t="n"/>
      <c r="CA1069" s="105" t="n"/>
      <c r="CB1069" s="105" t="n"/>
      <c r="CC1069" s="105" t="n"/>
      <c r="CD1069" s="105" t="n"/>
      <c r="CE1069" s="105" t="n"/>
      <c r="CF1069" s="105" t="n"/>
      <c r="CG1069" s="105" t="n"/>
      <c r="CH1069" s="105" t="n"/>
      <c r="CI1069" s="105" t="n"/>
      <c r="CJ1069" s="105" t="n"/>
      <c r="CK1069" s="105" t="n"/>
      <c r="CL1069" s="105" t="n"/>
      <c r="CM1069" s="105" t="n"/>
      <c r="CN1069" s="105" t="n"/>
      <c r="CO1069" s="105" t="n"/>
      <c r="CP1069" s="105" t="n"/>
      <c r="CQ1069" s="105" t="n"/>
      <c r="CR1069" s="105" t="n"/>
      <c r="CS1069" s="105" t="n"/>
      <c r="CT1069" s="105" t="n"/>
      <c r="CU1069" s="105" t="n"/>
      <c r="CV1069" s="105" t="n"/>
      <c r="CW1069" s="105" t="n"/>
      <c r="CX1069" s="105" t="n"/>
      <c r="CY1069" s="105" t="n"/>
      <c r="CZ1069" s="124">
        <f>+COUNTA(BV1069:CY1069)</f>
        <v/>
      </c>
      <c r="DA1069" s="251" t="n"/>
      <c r="DB1069" s="251" t="n"/>
      <c r="DC1069" s="251" t="n"/>
      <c r="DD1069" s="251" t="n"/>
      <c r="DE1069" s="251" t="n"/>
      <c r="DF1069" s="251" t="n"/>
      <c r="DG1069" s="251" t="n"/>
      <c r="DH1069" s="251" t="n"/>
      <c r="DI1069" s="251" t="n"/>
      <c r="DJ1069" s="251" t="inlineStr">
        <is>
          <t>TF</t>
        </is>
      </c>
      <c r="DK1069" s="251" t="n">
        <v>15</v>
      </c>
      <c r="DL1069" s="95" t="n">
        <v>28</v>
      </c>
      <c r="DM1069" s="251" t="n"/>
      <c r="DN1069" s="96" t="n">
        <v>8</v>
      </c>
      <c r="DO1069" s="95" t="n"/>
    </row>
    <row r="1070" ht="13" customHeight="1">
      <c r="A1070" s="252" t="inlineStr">
        <is>
          <t>2_98-16</t>
        </is>
      </c>
      <c r="B1070" s="164" t="inlineStr">
        <is>
          <t>2_98-16 ALCONCHA-LOA</t>
        </is>
      </c>
      <c r="C1070" s="7" t="n"/>
      <c r="D1070" s="7" t="inlineStr">
        <is>
          <t>MONITOREO INTERNO</t>
        </is>
      </c>
      <c r="E1070" s="7" t="inlineStr">
        <is>
          <t>NO</t>
        </is>
      </c>
      <c r="F1070" s="7" t="inlineStr">
        <is>
          <t>NO</t>
        </is>
      </c>
      <c r="G1070" s="7" t="inlineStr">
        <is>
          <t>NO</t>
        </is>
      </c>
      <c r="H1070" s="7" t="n">
        <v>540485.14122814</v>
      </c>
      <c r="I1070" s="7" t="n">
        <v>7667559.161567</v>
      </c>
      <c r="J1070" s="7" t="inlineStr">
        <is>
          <t>Construido</t>
        </is>
      </c>
      <c r="K1070" s="7" t="inlineStr">
        <is>
          <t>-</t>
        </is>
      </c>
      <c r="L1070" s="7" t="inlineStr">
        <is>
          <t>Agua Subterránea</t>
        </is>
      </c>
      <c r="M1070" s="7" t="inlineStr">
        <is>
          <t>Cordillera</t>
        </is>
      </c>
      <c r="N1070" s="7" t="inlineStr">
        <is>
          <t>POZO</t>
        </is>
      </c>
      <c r="O1070" s="7" t="inlineStr">
        <is>
          <t>Alconcha-El Loa</t>
        </is>
      </c>
      <c r="P1070" s="7" t="inlineStr">
        <is>
          <t>NO</t>
        </is>
      </c>
      <c r="Q1070" s="7" t="inlineStr">
        <is>
          <t>-</t>
        </is>
      </c>
      <c r="R1070" s="7" t="inlineStr">
        <is>
          <t>-</t>
        </is>
      </c>
      <c r="S1070" s="7" t="inlineStr">
        <is>
          <t>-</t>
        </is>
      </c>
      <c r="T1070" s="7" t="inlineStr">
        <is>
          <t>SI</t>
        </is>
      </c>
      <c r="U1070" s="7" t="inlineStr">
        <is>
          <t>Trimestral</t>
        </is>
      </c>
      <c r="V1070" s="7" t="inlineStr">
        <is>
          <t>SI</t>
        </is>
      </c>
      <c r="W1070" s="7" t="inlineStr">
        <is>
          <t>Trimestral</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NO</t>
        </is>
      </c>
      <c r="AH1070" s="7" t="inlineStr">
        <is>
          <t>-</t>
        </is>
      </c>
      <c r="AI1070" s="7" t="inlineStr">
        <is>
          <t>NO</t>
        </is>
      </c>
      <c r="AJ1070" s="7" t="inlineStr">
        <is>
          <t>-</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252" t="inlineStr">
        <is>
          <t>532MAALLOA</t>
        </is>
      </c>
      <c r="BL1070" s="61" t="inlineStr">
        <is>
          <t>GMAP-SIGA</t>
        </is>
      </c>
      <c r="BM1070" s="251" t="inlineStr">
        <is>
          <t>NF</t>
        </is>
      </c>
      <c r="BN1070" s="337" t="inlineStr">
        <is>
          <t>Loa</t>
        </is>
      </c>
      <c r="BO1070" s="251" t="inlineStr">
        <is>
          <t>NO</t>
        </is>
      </c>
      <c r="BP1070" s="106" t="inlineStr">
        <is>
          <t>2_98-16 ALCONCHA-LOA/NF</t>
        </is>
      </c>
      <c r="BQ1070" s="106" t="n"/>
      <c r="BR1070" s="106" t="n"/>
      <c r="BS1070" s="106" t="n"/>
      <c r="BT1070" s="106" t="n"/>
      <c r="BU1070" s="101" t="inlineStr">
        <is>
          <t>eliminados de monitoreo desde diciembre 2025</t>
        </is>
      </c>
      <c r="BV1070" s="105" t="n"/>
      <c r="BW1070" s="105" t="n"/>
      <c r="BX1070" s="105" t="n"/>
      <c r="BY1070" s="105" t="n"/>
      <c r="BZ1070" s="105" t="n"/>
      <c r="CA1070" s="105" t="n"/>
      <c r="CB1070" s="105" t="n"/>
      <c r="CC1070" s="105" t="n"/>
      <c r="CD1070" s="105" t="n"/>
      <c r="CE1070" s="105" t="n"/>
      <c r="CF1070" s="105" t="n"/>
      <c r="CG1070" s="105" t="n"/>
      <c r="CH1070" s="105" t="n"/>
      <c r="CI1070" s="105" t="n"/>
      <c r="CJ1070" s="105" t="n"/>
      <c r="CK1070" s="105" t="n"/>
      <c r="CL1070" s="105" t="n"/>
      <c r="CM1070" s="105" t="n"/>
      <c r="CN1070" s="105" t="n"/>
      <c r="CO1070" s="105" t="n"/>
      <c r="CP1070" s="105" t="n"/>
      <c r="CQ1070" s="105" t="n"/>
      <c r="CR1070" s="105" t="n"/>
      <c r="CS1070" s="105" t="n"/>
      <c r="CT1070" s="105" t="n"/>
      <c r="CU1070" s="105" t="n"/>
      <c r="CV1070" s="105" t="n"/>
      <c r="CW1070" s="105" t="n"/>
      <c r="CX1070" s="105" t="n"/>
      <c r="CY1070" s="105" t="n"/>
      <c r="CZ1070" s="124">
        <f>+COUNTA(BV1070:CY1070)</f>
        <v/>
      </c>
      <c r="DA1070" s="251" t="n"/>
      <c r="DB1070" s="251" t="n"/>
      <c r="DC1070" s="251" t="n"/>
      <c r="DD1070" s="251" t="n"/>
      <c r="DE1070" s="251" t="n"/>
      <c r="DF1070" s="251" t="n"/>
      <c r="DG1070" s="251" t="n"/>
      <c r="DH1070" s="251" t="n"/>
      <c r="DI1070" s="251" t="n"/>
      <c r="DJ1070" s="251" t="inlineStr">
        <is>
          <t>TF</t>
        </is>
      </c>
      <c r="DK1070" s="251" t="n">
        <v>15</v>
      </c>
      <c r="DL1070" s="95" t="n">
        <v>28</v>
      </c>
      <c r="DM1070" s="251" t="n"/>
      <c r="DN1070" s="95" t="n"/>
      <c r="DO1070" s="95" t="n"/>
    </row>
    <row r="1071" ht="13" customHeight="1">
      <c r="A1071" s="252" t="inlineStr">
        <is>
          <t>2_98-17</t>
        </is>
      </c>
      <c r="B1071" s="164" t="inlineStr">
        <is>
          <t>2_98-17 ALCONCHA-LOA</t>
        </is>
      </c>
      <c r="C1071" s="7" t="n"/>
      <c r="D1071" s="7" t="inlineStr">
        <is>
          <t>MONITOREO INTERNO</t>
        </is>
      </c>
      <c r="E1071" s="7" t="inlineStr">
        <is>
          <t>NO</t>
        </is>
      </c>
      <c r="F1071" s="7" t="inlineStr">
        <is>
          <t>NO</t>
        </is>
      </c>
      <c r="G1071" s="7" t="inlineStr">
        <is>
          <t>NO</t>
        </is>
      </c>
      <c r="H1071" s="7" t="n">
        <v>541593.34971814</v>
      </c>
      <c r="I1071" s="7" t="n">
        <v>7669696.6464881</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n"/>
      <c r="BJ1071" s="7" t="n"/>
      <c r="BK1071" s="252" t="inlineStr">
        <is>
          <t>532MAALLOA</t>
        </is>
      </c>
      <c r="BL1071" s="61" t="inlineStr">
        <is>
          <t>GMAP-SIGA</t>
        </is>
      </c>
      <c r="BM1071" s="251" t="inlineStr">
        <is>
          <t>NF</t>
        </is>
      </c>
      <c r="BN1071" s="337" t="inlineStr">
        <is>
          <t>Loa</t>
        </is>
      </c>
      <c r="BO1071" s="251" t="inlineStr">
        <is>
          <t>NO</t>
        </is>
      </c>
      <c r="BP1071" s="106" t="inlineStr">
        <is>
          <t>2_98-17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24">
        <f>+COUNTA(BV1071:CY1071)</f>
        <v/>
      </c>
      <c r="DA1071" s="251" t="n"/>
      <c r="DB1071" s="251" t="n"/>
      <c r="DC1071" s="251" t="n"/>
      <c r="DD1071" s="251" t="n"/>
      <c r="DE1071" s="251" t="n"/>
      <c r="DF1071" s="251" t="n"/>
      <c r="DG1071" s="251" t="n"/>
      <c r="DH1071" s="251" t="n"/>
      <c r="DI1071" s="251" t="n"/>
      <c r="DJ1071" s="251" t="inlineStr">
        <is>
          <t>TF</t>
        </is>
      </c>
      <c r="DK1071" s="251" t="n">
        <v>15</v>
      </c>
      <c r="DL1071" s="95" t="n">
        <v>28</v>
      </c>
      <c r="DM1071" s="251" t="n"/>
      <c r="DN1071" s="95" t="n"/>
      <c r="DO1071" s="95" t="n"/>
    </row>
    <row r="1072" ht="13" customHeight="1">
      <c r="A1072" s="252" t="inlineStr">
        <is>
          <t>2_98-19</t>
        </is>
      </c>
      <c r="B1072" s="164" t="inlineStr">
        <is>
          <t>2_98-19 ALCONCHA-LOA</t>
        </is>
      </c>
      <c r="C1072" s="7" t="n"/>
      <c r="D1072" s="7" t="inlineStr">
        <is>
          <t>MONITOREO INTERNO</t>
        </is>
      </c>
      <c r="E1072" s="7" t="inlineStr">
        <is>
          <t>NO</t>
        </is>
      </c>
      <c r="F1072" s="7" t="inlineStr">
        <is>
          <t>NO</t>
        </is>
      </c>
      <c r="G1072" s="7" t="inlineStr">
        <is>
          <t>NO</t>
        </is>
      </c>
      <c r="H1072" s="7" t="n">
        <v>542263.18438783</v>
      </c>
      <c r="I1072" s="7" t="n">
        <v>7673682.4751843</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2" t="inlineStr">
        <is>
          <t>532MAALLOA</t>
        </is>
      </c>
      <c r="BL1072" s="61" t="inlineStr">
        <is>
          <t>GMAP-SIGA</t>
        </is>
      </c>
      <c r="BM1072" s="251" t="inlineStr">
        <is>
          <t>NF</t>
        </is>
      </c>
      <c r="BN1072" s="337" t="inlineStr">
        <is>
          <t>Loa</t>
        </is>
      </c>
      <c r="BO1072" s="251" t="inlineStr">
        <is>
          <t>NO</t>
        </is>
      </c>
      <c r="BP1072" s="106" t="inlineStr">
        <is>
          <t>2_98-19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24">
        <f>+COUNTA(BV1072:CY1072)</f>
        <v/>
      </c>
      <c r="DA1072" s="251" t="n"/>
      <c r="DB1072" s="251" t="n"/>
      <c r="DC1072" s="251" t="n"/>
      <c r="DD1072" s="251" t="n"/>
      <c r="DE1072" s="251" t="n"/>
      <c r="DF1072" s="251" t="n"/>
      <c r="DG1072" s="251" t="n"/>
      <c r="DH1072" s="251" t="n"/>
      <c r="DI1072" s="251" t="n"/>
      <c r="DJ1072" s="251" t="inlineStr">
        <is>
          <t>TF</t>
        </is>
      </c>
      <c r="DK1072" s="251" t="n">
        <v>15</v>
      </c>
      <c r="DL1072" s="95" t="n">
        <v>28</v>
      </c>
      <c r="DM1072" s="251" t="n"/>
      <c r="DN1072" s="95" t="n"/>
      <c r="DO1072" s="95" t="n"/>
    </row>
    <row r="1073" ht="13" customHeight="1">
      <c r="A1073" s="252" t="inlineStr">
        <is>
          <t>2_98-21</t>
        </is>
      </c>
      <c r="B1073" s="164" t="inlineStr">
        <is>
          <t>2_98-21 ALCONCHA-LOA</t>
        </is>
      </c>
      <c r="C1073" s="7" t="n"/>
      <c r="D1073" s="7" t="inlineStr">
        <is>
          <t>MONITOREO INTERNO</t>
        </is>
      </c>
      <c r="E1073" s="7" t="inlineStr">
        <is>
          <t>NO</t>
        </is>
      </c>
      <c r="F1073" s="7" t="inlineStr">
        <is>
          <t>NO</t>
        </is>
      </c>
      <c r="G1073" s="7" t="inlineStr">
        <is>
          <t>NO</t>
        </is>
      </c>
      <c r="H1073" s="7" t="n">
        <v>542374.13222283</v>
      </c>
      <c r="I1073" s="7" t="n">
        <v>7667819.4785802</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2" t="inlineStr">
        <is>
          <t>532MAALLOA</t>
        </is>
      </c>
      <c r="BL1073" s="61" t="inlineStr">
        <is>
          <t>GMAP-SIGA</t>
        </is>
      </c>
      <c r="BM1073" s="251" t="inlineStr">
        <is>
          <t>NF</t>
        </is>
      </c>
      <c r="BN1073" s="337" t="inlineStr">
        <is>
          <t>Loa</t>
        </is>
      </c>
      <c r="BO1073" s="251" t="inlineStr">
        <is>
          <t>NO</t>
        </is>
      </c>
      <c r="BP1073" s="106" t="inlineStr">
        <is>
          <t>2_98-21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24">
        <f>+COUNTA(BV1073:CY1073)</f>
        <v/>
      </c>
      <c r="DA1073" s="251" t="n"/>
      <c r="DB1073" s="251" t="n"/>
      <c r="DC1073" s="251" t="n"/>
      <c r="DD1073" s="251" t="n"/>
      <c r="DE1073" s="251" t="n"/>
      <c r="DF1073" s="251" t="n"/>
      <c r="DG1073" s="251" t="n"/>
      <c r="DH1073" s="251" t="n"/>
      <c r="DI1073" s="251" t="n"/>
      <c r="DJ1073" s="251" t="inlineStr">
        <is>
          <t>TF</t>
        </is>
      </c>
      <c r="DK1073" s="251" t="n">
        <v>15</v>
      </c>
      <c r="DL1073" s="95" t="n">
        <v>28</v>
      </c>
      <c r="DM1073" s="251" t="n"/>
      <c r="DN1073" s="95" t="n"/>
      <c r="DO1073" s="95" t="n"/>
    </row>
    <row r="1074" ht="13" customHeight="1">
      <c r="A1074" s="252" t="inlineStr">
        <is>
          <t>A-01</t>
        </is>
      </c>
      <c r="B1074" s="164" t="inlineStr">
        <is>
          <t>A-01 ALCONCHA-LOA</t>
        </is>
      </c>
      <c r="C1074" s="7" t="n"/>
      <c r="D1074" s="7" t="inlineStr">
        <is>
          <t>MONITOREO INTERNO</t>
        </is>
      </c>
      <c r="E1074" s="7" t="inlineStr">
        <is>
          <t>NO</t>
        </is>
      </c>
      <c r="F1074" s="7" t="inlineStr">
        <is>
          <t>NO</t>
        </is>
      </c>
      <c r="G1074" s="7" t="inlineStr">
        <is>
          <t>NO</t>
        </is>
      </c>
      <c r="H1074" s="7" t="n">
        <v>554390.84234458</v>
      </c>
      <c r="I1074" s="7" t="n">
        <v>7672755.7438177</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2" t="inlineStr">
        <is>
          <t>532MAALLOA</t>
        </is>
      </c>
      <c r="BL1074" s="61" t="inlineStr">
        <is>
          <t>GMAP-SIGA</t>
        </is>
      </c>
      <c r="BM1074" s="251" t="inlineStr">
        <is>
          <t>NF</t>
        </is>
      </c>
      <c r="BN1074" s="337" t="inlineStr">
        <is>
          <t>Alconcha</t>
        </is>
      </c>
      <c r="BO1074" s="251" t="inlineStr">
        <is>
          <t>NO</t>
        </is>
      </c>
      <c r="BP1074" s="106" t="inlineStr">
        <is>
          <t>A-01 ALCONCHA-LOA/NF</t>
        </is>
      </c>
      <c r="BQ1074" s="106" t="n"/>
      <c r="BR1074" s="106" t="n"/>
      <c r="BS1074" s="106" t="n"/>
      <c r="BT1074" s="106" t="n"/>
      <c r="BU1074" s="186"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25" t="n"/>
      <c r="CJ1074" s="125" t="n"/>
      <c r="CK1074" s="105" t="n"/>
      <c r="CL1074" s="105" t="n"/>
      <c r="CM1074" s="105" t="n"/>
      <c r="CN1074" s="105" t="n"/>
      <c r="CO1074" s="105" t="n"/>
      <c r="CP1074" s="105" t="n"/>
      <c r="CQ1074" s="231" t="n"/>
      <c r="CR1074" s="105" t="n"/>
      <c r="CS1074" s="105" t="n"/>
      <c r="CT1074" s="105" t="n"/>
      <c r="CU1074" s="105" t="n"/>
      <c r="CV1074" s="105" t="n"/>
      <c r="CW1074" s="105" t="n"/>
      <c r="CX1074" s="105" t="n"/>
      <c r="CY1074" s="105" t="n"/>
      <c r="CZ1074" s="124">
        <f>+COUNTA(BV1074:CY1074)</f>
        <v/>
      </c>
      <c r="DA1074" s="251" t="n"/>
      <c r="DB1074" s="251" t="n"/>
      <c r="DC1074" s="251" t="n"/>
      <c r="DD1074" s="251" t="n"/>
      <c r="DE1074" s="251" t="n"/>
      <c r="DF1074" s="251" t="n"/>
      <c r="DG1074" s="251" t="n"/>
      <c r="DH1074" s="251" t="n"/>
      <c r="DI1074" s="251" t="n"/>
      <c r="DJ1074" s="251" t="inlineStr">
        <is>
          <t>TF</t>
        </is>
      </c>
      <c r="DK1074" s="251" t="n">
        <v>15</v>
      </c>
      <c r="DL1074" s="95" t="n">
        <v>28</v>
      </c>
      <c r="DM1074" s="251" t="n"/>
      <c r="DN1074" s="95" t="n"/>
      <c r="DO1074" s="95" t="n"/>
    </row>
    <row r="1075" ht="13" customHeight="1">
      <c r="A1075" s="252" t="inlineStr">
        <is>
          <t>A-02</t>
        </is>
      </c>
      <c r="B1075" s="164" t="inlineStr">
        <is>
          <t>A-02 ALCONCHA-LOA</t>
        </is>
      </c>
      <c r="C1075" s="7" t="n"/>
      <c r="D1075" s="7" t="inlineStr">
        <is>
          <t>MONITOREO INTERNO</t>
        </is>
      </c>
      <c r="E1075" s="7" t="inlineStr">
        <is>
          <t>NO</t>
        </is>
      </c>
      <c r="F1075" s="7" t="inlineStr">
        <is>
          <t>NO</t>
        </is>
      </c>
      <c r="G1075" s="7" t="inlineStr">
        <is>
          <t>NO</t>
        </is>
      </c>
      <c r="H1075" s="7" t="n">
        <v>556541.24309515</v>
      </c>
      <c r="I1075" s="7" t="n">
        <v>7670402.2928559</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2" t="inlineStr">
        <is>
          <t>532MAALLOA</t>
        </is>
      </c>
      <c r="BL1075" s="61" t="inlineStr">
        <is>
          <t>GMAP-SIGA</t>
        </is>
      </c>
      <c r="BM1075" s="251" t="inlineStr">
        <is>
          <t>NF</t>
        </is>
      </c>
      <c r="BN1075" s="337" t="inlineStr">
        <is>
          <t>Alconcha</t>
        </is>
      </c>
      <c r="BO1075" s="251" t="inlineStr">
        <is>
          <t>NO</t>
        </is>
      </c>
      <c r="BP1075" s="106" t="inlineStr">
        <is>
          <t>A-02 ALCONCHA-LOA/NF</t>
        </is>
      </c>
      <c r="BQ1075" s="106" t="n"/>
      <c r="BR1075" s="106" t="n"/>
      <c r="BS1075" s="106" t="n"/>
      <c r="BT1075" s="106" t="n"/>
      <c r="BU1075" s="186"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25" t="n"/>
      <c r="CJ1075" s="125" t="n"/>
      <c r="CK1075" s="105" t="n"/>
      <c r="CL1075" s="105" t="n"/>
      <c r="CM1075" s="105" t="n"/>
      <c r="CN1075" s="105" t="n"/>
      <c r="CO1075" s="105" t="n"/>
      <c r="CP1075" s="105" t="n"/>
      <c r="CQ1075" s="231" t="n"/>
      <c r="CR1075" s="105" t="n"/>
      <c r="CS1075" s="105" t="n"/>
      <c r="CT1075" s="105" t="n"/>
      <c r="CU1075" s="105" t="n"/>
      <c r="CV1075" s="105" t="n"/>
      <c r="CW1075" s="105" t="n"/>
      <c r="CX1075" s="105" t="n"/>
      <c r="CY1075" s="105" t="n"/>
      <c r="CZ1075" s="124">
        <f>+COUNTA(BV1075:CY1075)</f>
        <v/>
      </c>
      <c r="DA1075" s="251" t="n"/>
      <c r="DB1075" s="251" t="n"/>
      <c r="DC1075" s="251" t="n"/>
      <c r="DD1075" s="251" t="n"/>
      <c r="DE1075" s="251" t="n"/>
      <c r="DF1075" s="251" t="n"/>
      <c r="DG1075" s="251" t="n"/>
      <c r="DH1075" s="251" t="n"/>
      <c r="DI1075" s="251" t="n"/>
      <c r="DJ1075" s="251" t="inlineStr">
        <is>
          <t>TF</t>
        </is>
      </c>
      <c r="DK1075" s="251" t="n">
        <v>15</v>
      </c>
      <c r="DL1075" s="95" t="n">
        <v>28</v>
      </c>
      <c r="DM1075" s="251" t="n"/>
      <c r="DN1075" s="95" t="n"/>
      <c r="DO1075" s="95" t="n"/>
    </row>
    <row r="1076" ht="13" customHeight="1">
      <c r="A1076" s="252" t="inlineStr">
        <is>
          <t>A-03</t>
        </is>
      </c>
      <c r="B1076" s="164" t="inlineStr">
        <is>
          <t>A-03 ALCONCHA-LOA</t>
        </is>
      </c>
      <c r="C1076" s="7" t="n"/>
      <c r="D1076" s="7" t="inlineStr">
        <is>
          <t>MONITOREO INTERNO</t>
        </is>
      </c>
      <c r="E1076" s="7" t="inlineStr">
        <is>
          <t>NO</t>
        </is>
      </c>
      <c r="F1076" s="7" t="inlineStr">
        <is>
          <t>NO</t>
        </is>
      </c>
      <c r="G1076" s="7" t="inlineStr">
        <is>
          <t>NO</t>
        </is>
      </c>
      <c r="H1076" s="7" t="n">
        <v>555144.96603467</v>
      </c>
      <c r="I1076" s="7" t="n">
        <v>7671173.6558472</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2" t="inlineStr">
        <is>
          <t>532MAALLOA</t>
        </is>
      </c>
      <c r="BL1076" s="61" t="inlineStr">
        <is>
          <t>GMAP-SIGA</t>
        </is>
      </c>
      <c r="BM1076" s="251" t="inlineStr">
        <is>
          <t>NF</t>
        </is>
      </c>
      <c r="BN1076" s="337" t="inlineStr">
        <is>
          <t>Alconcha</t>
        </is>
      </c>
      <c r="BO1076" s="251" t="inlineStr">
        <is>
          <t>NO</t>
        </is>
      </c>
      <c r="BP1076" s="106" t="inlineStr">
        <is>
          <t>A-03 ALCONCHA-LOA/NF</t>
        </is>
      </c>
      <c r="BQ1076" s="106" t="n"/>
      <c r="BR1076" s="106" t="n"/>
      <c r="BS1076" s="106" t="n"/>
      <c r="BT1076" s="106" t="n"/>
      <c r="BU1076" s="186"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5" t="n"/>
      <c r="CJ1076" s="125" t="n"/>
      <c r="CK1076" s="105" t="n"/>
      <c r="CL1076" s="105" t="n"/>
      <c r="CM1076" s="105" t="n"/>
      <c r="CN1076" s="105" t="n"/>
      <c r="CO1076" s="105" t="n"/>
      <c r="CP1076" s="105" t="n"/>
      <c r="CQ1076" s="231" t="n"/>
      <c r="CR1076" s="105" t="n"/>
      <c r="CS1076" s="105" t="n"/>
      <c r="CT1076" s="105" t="n"/>
      <c r="CU1076" s="105" t="n"/>
      <c r="CV1076" s="105" t="n"/>
      <c r="CW1076" s="105" t="n"/>
      <c r="CX1076" s="105" t="n"/>
      <c r="CY1076" s="105" t="n"/>
      <c r="CZ1076" s="124">
        <f>+COUNTA(BV1076:CY1076)</f>
        <v/>
      </c>
      <c r="DA1076" s="251" t="n"/>
      <c r="DB1076" s="251" t="n"/>
      <c r="DC1076" s="251" t="n"/>
      <c r="DD1076" s="251" t="n"/>
      <c r="DE1076" s="251" t="n"/>
      <c r="DF1076" s="251" t="n"/>
      <c r="DG1076" s="251" t="n"/>
      <c r="DH1076" s="251" t="n"/>
      <c r="DI1076" s="251" t="n"/>
      <c r="DJ1076" s="251" t="inlineStr">
        <is>
          <t>TF</t>
        </is>
      </c>
      <c r="DK1076" s="251" t="n">
        <v>15</v>
      </c>
      <c r="DL1076" s="95" t="n">
        <v>28</v>
      </c>
      <c r="DM1076" s="251" t="n"/>
      <c r="DN1076" s="95" t="n"/>
      <c r="DO1076" s="95" t="n"/>
    </row>
    <row r="1077" ht="13" customHeight="1">
      <c r="A1077" s="252" t="inlineStr">
        <is>
          <t>A-05</t>
        </is>
      </c>
      <c r="B1077" s="164" t="inlineStr">
        <is>
          <t>A-05 ALCONCHA-LOA</t>
        </is>
      </c>
      <c r="C1077" s="7" t="n"/>
      <c r="D1077" s="7" t="inlineStr">
        <is>
          <t>MONITOREO INTERNO</t>
        </is>
      </c>
      <c r="E1077" s="7" t="inlineStr">
        <is>
          <t>NO</t>
        </is>
      </c>
      <c r="F1077" s="7" t="inlineStr">
        <is>
          <t>NO</t>
        </is>
      </c>
      <c r="G1077" s="7" t="inlineStr">
        <is>
          <t>NO</t>
        </is>
      </c>
      <c r="H1077" s="7" t="n">
        <v>553465.82353146</v>
      </c>
      <c r="I1077" s="7" t="n">
        <v>7670086.9970334</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2" t="inlineStr">
        <is>
          <t>532MAALLOA</t>
        </is>
      </c>
      <c r="BL1077" s="61" t="inlineStr">
        <is>
          <t>GMAP-SIGA</t>
        </is>
      </c>
      <c r="BM1077" s="251" t="inlineStr">
        <is>
          <t>NF</t>
        </is>
      </c>
      <c r="BN1077" s="337" t="inlineStr">
        <is>
          <t>Alconcha</t>
        </is>
      </c>
      <c r="BO1077" s="251" t="inlineStr">
        <is>
          <t>NO</t>
        </is>
      </c>
      <c r="BP1077" s="106" t="inlineStr">
        <is>
          <t>A-05 ALCONCHA-LOA/NF</t>
        </is>
      </c>
      <c r="BQ1077" s="106" t="n"/>
      <c r="BR1077" s="106" t="n"/>
      <c r="BS1077" s="106" t="n"/>
      <c r="BT1077" s="106" t="n"/>
      <c r="BU1077" s="186"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5" t="n"/>
      <c r="CJ1077" s="125" t="n"/>
      <c r="CK1077" s="105" t="n"/>
      <c r="CL1077" s="105" t="n"/>
      <c r="CM1077" s="105" t="n"/>
      <c r="CN1077" s="105" t="n"/>
      <c r="CO1077" s="105" t="n"/>
      <c r="CP1077" s="105" t="n"/>
      <c r="CQ1077" s="231" t="n"/>
      <c r="CR1077" s="105" t="n"/>
      <c r="CS1077" s="105" t="n"/>
      <c r="CT1077" s="105" t="n"/>
      <c r="CU1077" s="105" t="n"/>
      <c r="CV1077" s="105" t="n"/>
      <c r="CW1077" s="105" t="n"/>
      <c r="CX1077" s="105" t="n"/>
      <c r="CY1077" s="105" t="n"/>
      <c r="CZ1077" s="124">
        <f>+COUNTA(BV1077:CY1077)</f>
        <v/>
      </c>
      <c r="DA1077" s="251" t="n"/>
      <c r="DB1077" s="251" t="n"/>
      <c r="DC1077" s="251" t="n"/>
      <c r="DD1077" s="251" t="n"/>
      <c r="DE1077" s="251" t="n"/>
      <c r="DF1077" s="251" t="n"/>
      <c r="DG1077" s="251" t="n"/>
      <c r="DH1077" s="251" t="n"/>
      <c r="DI1077" s="251" t="n"/>
      <c r="DJ1077" s="251" t="inlineStr">
        <is>
          <t>TF</t>
        </is>
      </c>
      <c r="DK1077" s="251" t="n">
        <v>15</v>
      </c>
      <c r="DL1077" s="95" t="n">
        <v>28</v>
      </c>
      <c r="DM1077" s="251" t="n"/>
      <c r="DN1077" s="95" t="n"/>
      <c r="DO1077" s="95" t="n"/>
    </row>
    <row r="1078" ht="13" customHeight="1">
      <c r="A1078" s="252" t="inlineStr">
        <is>
          <t>A-06</t>
        </is>
      </c>
      <c r="B1078" s="164" t="inlineStr">
        <is>
          <t>A-06 ALCONCHA-LOA</t>
        </is>
      </c>
      <c r="C1078" s="7" t="n"/>
      <c r="D1078" s="7" t="inlineStr">
        <is>
          <t>MONITOREO INTERNO</t>
        </is>
      </c>
      <c r="E1078" s="7" t="inlineStr">
        <is>
          <t>NO</t>
        </is>
      </c>
      <c r="F1078" s="7" t="inlineStr">
        <is>
          <t>NO</t>
        </is>
      </c>
      <c r="G1078" s="7" t="inlineStr">
        <is>
          <t>NO</t>
        </is>
      </c>
      <c r="H1078" s="7" t="n">
        <v>553309.2267024301</v>
      </c>
      <c r="I1078" s="7" t="n">
        <v>7673560.3800364</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2" t="inlineStr">
        <is>
          <t>532MAALLOA</t>
        </is>
      </c>
      <c r="BL1078" s="61" t="inlineStr">
        <is>
          <t>GMAP-SIGA</t>
        </is>
      </c>
      <c r="BM1078" s="251" t="inlineStr">
        <is>
          <t>NF</t>
        </is>
      </c>
      <c r="BN1078" s="337" t="inlineStr">
        <is>
          <t>Alconcha</t>
        </is>
      </c>
      <c r="BO1078" s="251" t="inlineStr">
        <is>
          <t>NO</t>
        </is>
      </c>
      <c r="BP1078" s="106" t="inlineStr">
        <is>
          <t>A-06 ALCONCHA-LOA/NF</t>
        </is>
      </c>
      <c r="BQ1078" s="106" t="n"/>
      <c r="BR1078" s="106" t="n"/>
      <c r="BS1078" s="106" t="n"/>
      <c r="BT1078" s="106" t="n"/>
      <c r="BU1078" s="186"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5" t="n"/>
      <c r="CJ1078" s="125" t="n"/>
      <c r="CK1078" s="105" t="n"/>
      <c r="CL1078" s="105" t="n"/>
      <c r="CM1078" s="105" t="n"/>
      <c r="CN1078" s="105" t="n"/>
      <c r="CO1078" s="105" t="n"/>
      <c r="CP1078" s="105" t="n"/>
      <c r="CQ1078" s="231" t="n"/>
      <c r="CR1078" s="105" t="n"/>
      <c r="CS1078" s="105" t="n"/>
      <c r="CT1078" s="105" t="n"/>
      <c r="CU1078" s="105" t="n"/>
      <c r="CV1078" s="105" t="n"/>
      <c r="CW1078" s="105" t="n"/>
      <c r="CX1078" s="105" t="n"/>
      <c r="CY1078" s="105" t="n"/>
      <c r="CZ1078" s="124">
        <f>+COUNTA(BV1078:CY1078)</f>
        <v/>
      </c>
      <c r="DA1078" s="251" t="n"/>
      <c r="DB1078" s="251" t="n"/>
      <c r="DC1078" s="251" t="n"/>
      <c r="DD1078" s="251" t="n"/>
      <c r="DE1078" s="251" t="n"/>
      <c r="DF1078" s="251" t="n"/>
      <c r="DG1078" s="251" t="n"/>
      <c r="DH1078" s="251" t="n"/>
      <c r="DI1078" s="251" t="n"/>
      <c r="DJ1078" s="251" t="inlineStr">
        <is>
          <t>TF</t>
        </is>
      </c>
      <c r="DK1078" s="251" t="n">
        <v>15</v>
      </c>
      <c r="DL1078" s="95" t="n">
        <v>28</v>
      </c>
      <c r="DM1078" s="251" t="n"/>
      <c r="DN1078" s="95" t="n"/>
      <c r="DO1078" s="95" t="n"/>
    </row>
    <row r="1079" ht="13" customHeight="1">
      <c r="A1079" s="252" t="inlineStr">
        <is>
          <t>A-07</t>
        </is>
      </c>
      <c r="B1079" s="164" t="inlineStr">
        <is>
          <t>A-07 ALCONCHA-LOA</t>
        </is>
      </c>
      <c r="C1079" s="7" t="n"/>
      <c r="D1079" s="7" t="inlineStr">
        <is>
          <t>MONITOREO INTERNO</t>
        </is>
      </c>
      <c r="E1079" s="7" t="inlineStr">
        <is>
          <t>NO</t>
        </is>
      </c>
      <c r="F1079" s="7" t="inlineStr">
        <is>
          <t>NO</t>
        </is>
      </c>
      <c r="G1079" s="7" t="inlineStr">
        <is>
          <t>NO</t>
        </is>
      </c>
      <c r="H1079" s="7" t="n">
        <v>553214.18510108</v>
      </c>
      <c r="I1079" s="7" t="n">
        <v>7673543.0435652</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2" t="inlineStr">
        <is>
          <t>532MAALLOA</t>
        </is>
      </c>
      <c r="BL1079" s="61" t="inlineStr">
        <is>
          <t>GMAP-SIGA</t>
        </is>
      </c>
      <c r="BM1079" s="251" t="inlineStr">
        <is>
          <t>NF</t>
        </is>
      </c>
      <c r="BN1079" s="337" t="inlineStr">
        <is>
          <t>Alconcha</t>
        </is>
      </c>
      <c r="BO1079" s="251" t="inlineStr">
        <is>
          <t>NO</t>
        </is>
      </c>
      <c r="BP1079" s="106" t="inlineStr">
        <is>
          <t>A-07 ALCONCHA-LOA/NF</t>
        </is>
      </c>
      <c r="BQ1079" s="106" t="n"/>
      <c r="BR1079" s="106" t="n"/>
      <c r="BS1079" s="106" t="n"/>
      <c r="BT1079" s="106" t="n"/>
      <c r="BU1079" s="186"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5" t="n"/>
      <c r="CJ1079" s="125" t="n"/>
      <c r="CK1079" s="105" t="n"/>
      <c r="CL1079" s="105" t="n"/>
      <c r="CM1079" s="105" t="n"/>
      <c r="CN1079" s="105" t="n"/>
      <c r="CO1079" s="105" t="n"/>
      <c r="CP1079" s="105" t="n"/>
      <c r="CQ1079" s="231" t="n"/>
      <c r="CR1079" s="105" t="n"/>
      <c r="CS1079" s="105" t="n"/>
      <c r="CT1079" s="105" t="n"/>
      <c r="CU1079" s="105" t="n"/>
      <c r="CV1079" s="105" t="n"/>
      <c r="CW1079" s="105" t="n"/>
      <c r="CX1079" s="105" t="n"/>
      <c r="CY1079" s="105" t="n"/>
      <c r="CZ1079" s="124">
        <f>+COUNTA(BV1079:CY1079)</f>
        <v/>
      </c>
      <c r="DA1079" s="251" t="n"/>
      <c r="DB1079" s="251" t="n"/>
      <c r="DC1079" s="251" t="n"/>
      <c r="DD1079" s="251" t="n"/>
      <c r="DE1079" s="251" t="n"/>
      <c r="DF1079" s="251" t="n"/>
      <c r="DG1079" s="251" t="n"/>
      <c r="DH1079" s="251" t="n"/>
      <c r="DI1079" s="251" t="n"/>
      <c r="DJ1079" s="251" t="inlineStr">
        <is>
          <t>TF</t>
        </is>
      </c>
      <c r="DK1079" s="251" t="n">
        <v>15</v>
      </c>
      <c r="DL1079" s="95" t="n">
        <v>28</v>
      </c>
      <c r="DM1079" s="251" t="n"/>
      <c r="DN1079" s="95" t="n"/>
      <c r="DO1079" s="95" t="n"/>
    </row>
    <row r="1080" ht="13" customHeight="1">
      <c r="A1080" s="252" t="inlineStr">
        <is>
          <t>A-08</t>
        </is>
      </c>
      <c r="B1080" s="164" t="inlineStr">
        <is>
          <t>A-08 ALCONCHA-LOA</t>
        </is>
      </c>
      <c r="C1080" s="7" t="n"/>
      <c r="D1080" s="7" t="inlineStr">
        <is>
          <t>MONITOREO INTERNO</t>
        </is>
      </c>
      <c r="E1080" s="7" t="inlineStr">
        <is>
          <t>NO</t>
        </is>
      </c>
      <c r="F1080" s="7" t="inlineStr">
        <is>
          <t>NO</t>
        </is>
      </c>
      <c r="G1080" s="7" t="inlineStr">
        <is>
          <t>NO</t>
        </is>
      </c>
      <c r="H1080" s="7" t="n">
        <v>552414.02486228</v>
      </c>
      <c r="I1080" s="7" t="n">
        <v>7673397.063279</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2" t="inlineStr">
        <is>
          <t>532MAALLOA</t>
        </is>
      </c>
      <c r="BL1080" s="61" t="inlineStr">
        <is>
          <t>GMAP-SIGA</t>
        </is>
      </c>
      <c r="BM1080" s="251" t="inlineStr">
        <is>
          <t>NF</t>
        </is>
      </c>
      <c r="BN1080" s="337" t="inlineStr">
        <is>
          <t>Alconcha</t>
        </is>
      </c>
      <c r="BO1080" s="251" t="inlineStr">
        <is>
          <t>NO</t>
        </is>
      </c>
      <c r="BP1080" s="106" t="inlineStr">
        <is>
          <t>A-08 ALCONCHA-LOA/NF</t>
        </is>
      </c>
      <c r="BQ1080" s="106" t="n"/>
      <c r="BR1080" s="106" t="n"/>
      <c r="BS1080" s="106" t="n"/>
      <c r="BT1080" s="106" t="n"/>
      <c r="BU1080" s="186"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5" t="n"/>
      <c r="CJ1080" s="125" t="n"/>
      <c r="CK1080" s="105" t="n"/>
      <c r="CL1080" s="105" t="n"/>
      <c r="CM1080" s="105" t="n"/>
      <c r="CN1080" s="105" t="n"/>
      <c r="CO1080" s="105" t="n"/>
      <c r="CP1080" s="105" t="n"/>
      <c r="CQ1080" s="231" t="n"/>
      <c r="CR1080" s="105" t="n"/>
      <c r="CS1080" s="105" t="n"/>
      <c r="CT1080" s="105" t="n"/>
      <c r="CU1080" s="105" t="n"/>
      <c r="CV1080" s="105" t="n"/>
      <c r="CW1080" s="105" t="n"/>
      <c r="CX1080" s="105" t="n"/>
      <c r="CY1080" s="105" t="n"/>
      <c r="CZ1080" s="124">
        <f>+COUNTA(BV1080:CY1080)</f>
        <v/>
      </c>
      <c r="DA1080" s="251" t="n"/>
      <c r="DB1080" s="251" t="n"/>
      <c r="DC1080" s="251" t="n"/>
      <c r="DD1080" s="251" t="n"/>
      <c r="DE1080" s="251" t="n"/>
      <c r="DF1080" s="251" t="n"/>
      <c r="DG1080" s="251" t="n"/>
      <c r="DH1080" s="251" t="n"/>
      <c r="DI1080" s="251" t="n"/>
      <c r="DJ1080" s="251" t="inlineStr">
        <is>
          <t>TF</t>
        </is>
      </c>
      <c r="DK1080" s="251" t="n">
        <v>15</v>
      </c>
      <c r="DL1080" s="95" t="n">
        <v>28</v>
      </c>
      <c r="DM1080" s="251" t="n"/>
      <c r="DN1080" s="95" t="n"/>
      <c r="DO1080" s="95" t="n"/>
    </row>
    <row r="1081" ht="13" customHeight="1">
      <c r="A1081" s="252" t="inlineStr">
        <is>
          <t>A-10</t>
        </is>
      </c>
      <c r="B1081" s="164" t="inlineStr">
        <is>
          <t>A-10 ALCONCHA-LOA</t>
        </is>
      </c>
      <c r="C1081" s="7" t="n"/>
      <c r="D1081" s="7" t="inlineStr">
        <is>
          <t>MONITOREO INTERNO</t>
        </is>
      </c>
      <c r="E1081" s="7" t="inlineStr">
        <is>
          <t>NO</t>
        </is>
      </c>
      <c r="F1081" s="7" t="inlineStr">
        <is>
          <t>NO</t>
        </is>
      </c>
      <c r="G1081" s="7" t="inlineStr">
        <is>
          <t>NO</t>
        </is>
      </c>
      <c r="H1081" s="7" t="n">
        <v>555923.71181582</v>
      </c>
      <c r="I1081" s="7" t="n">
        <v>7673327.9973372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2" t="inlineStr">
        <is>
          <t>532MAALLOA</t>
        </is>
      </c>
      <c r="BL1081" s="61" t="inlineStr">
        <is>
          <t>GMAP-SIGA</t>
        </is>
      </c>
      <c r="BM1081" s="251" t="inlineStr">
        <is>
          <t>NF</t>
        </is>
      </c>
      <c r="BN1081" s="337" t="inlineStr">
        <is>
          <t>Alconcha</t>
        </is>
      </c>
      <c r="BO1081" s="251" t="inlineStr">
        <is>
          <t>NO</t>
        </is>
      </c>
      <c r="BP1081" s="106" t="inlineStr">
        <is>
          <t>A-10 ALCONCHA-LOA/NF</t>
        </is>
      </c>
      <c r="BQ1081" s="106" t="n"/>
      <c r="BR1081" s="106" t="n"/>
      <c r="BS1081" s="106" t="n"/>
      <c r="BT1081" s="106" t="n"/>
      <c r="BU1081" s="186"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5" t="n"/>
      <c r="CJ1081" s="125" t="n"/>
      <c r="CK1081" s="105" t="n"/>
      <c r="CL1081" s="105" t="n"/>
      <c r="CM1081" s="105" t="n"/>
      <c r="CN1081" s="105" t="n"/>
      <c r="CO1081" s="105" t="n"/>
      <c r="CP1081" s="105" t="n"/>
      <c r="CQ1081" s="231" t="n"/>
      <c r="CR1081" s="105" t="n"/>
      <c r="CS1081" s="105" t="n"/>
      <c r="CT1081" s="105" t="n"/>
      <c r="CU1081" s="105" t="n"/>
      <c r="CV1081" s="105" t="n"/>
      <c r="CW1081" s="105" t="n"/>
      <c r="CX1081" s="105" t="n"/>
      <c r="CY1081" s="105" t="n"/>
      <c r="CZ1081" s="124">
        <f>+COUNTA(BV1081:CY1081)</f>
        <v/>
      </c>
      <c r="DA1081" s="251" t="n"/>
      <c r="DB1081" s="251" t="n"/>
      <c r="DC1081" s="251" t="n"/>
      <c r="DD1081" s="251" t="n"/>
      <c r="DE1081" s="251" t="n"/>
      <c r="DF1081" s="251" t="n"/>
      <c r="DG1081" s="251" t="n"/>
      <c r="DH1081" s="251" t="n"/>
      <c r="DI1081" s="251" t="n"/>
      <c r="DJ1081" s="251" t="inlineStr">
        <is>
          <t>TF</t>
        </is>
      </c>
      <c r="DK1081" s="251" t="n">
        <v>15</v>
      </c>
      <c r="DL1081" s="95" t="n">
        <v>28</v>
      </c>
      <c r="DM1081" s="251" t="n"/>
      <c r="DN1081" s="95" t="n"/>
      <c r="DO1081" s="95" t="n"/>
    </row>
    <row r="1082" ht="13" customHeight="1">
      <c r="A1082" s="252" t="inlineStr">
        <is>
          <t>A-14</t>
        </is>
      </c>
      <c r="B1082" s="164" t="inlineStr">
        <is>
          <t>A-14 ALCONCHA-LOA</t>
        </is>
      </c>
      <c r="C1082" s="7" t="n"/>
      <c r="D1082" s="7" t="inlineStr">
        <is>
          <t>MONITOREO INTERNO</t>
        </is>
      </c>
      <c r="E1082" s="7" t="inlineStr">
        <is>
          <t>NO</t>
        </is>
      </c>
      <c r="F1082" s="7" t="inlineStr">
        <is>
          <t>NO</t>
        </is>
      </c>
      <c r="G1082" s="7" t="inlineStr">
        <is>
          <t>NO</t>
        </is>
      </c>
      <c r="H1082" s="7" t="n">
        <v>554320.14247559</v>
      </c>
      <c r="I1082" s="7" t="n">
        <v>7672670.1512399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2" t="inlineStr">
        <is>
          <t>532MAALLOA</t>
        </is>
      </c>
      <c r="BL1082" s="61" t="inlineStr">
        <is>
          <t>GMAP-SIGA</t>
        </is>
      </c>
      <c r="BM1082" s="251" t="inlineStr">
        <is>
          <t>NF</t>
        </is>
      </c>
      <c r="BN1082" s="337" t="inlineStr">
        <is>
          <t>Alconcha</t>
        </is>
      </c>
      <c r="BO1082" s="251" t="inlineStr">
        <is>
          <t>NO</t>
        </is>
      </c>
      <c r="BP1082" s="106" t="inlineStr">
        <is>
          <t>A-14 ALCONCHA-LOA/NF</t>
        </is>
      </c>
      <c r="BQ1082" s="106" t="n"/>
      <c r="BR1082" s="106" t="n"/>
      <c r="BS1082" s="106" t="n"/>
      <c r="BT1082" s="106" t="n"/>
      <c r="BU1082" s="186"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5" t="n"/>
      <c r="CJ1082" s="125" t="n"/>
      <c r="CK1082" s="105" t="n"/>
      <c r="CL1082" s="105" t="n"/>
      <c r="CM1082" s="105" t="n"/>
      <c r="CN1082" s="105" t="n"/>
      <c r="CO1082" s="105" t="n"/>
      <c r="CP1082" s="105" t="n"/>
      <c r="CQ1082" s="231" t="n"/>
      <c r="CR1082" s="105" t="n"/>
      <c r="CS1082" s="105" t="n"/>
      <c r="CT1082" s="105" t="n"/>
      <c r="CU1082" s="105" t="n"/>
      <c r="CV1082" s="105" t="n"/>
      <c r="CW1082" s="105" t="n"/>
      <c r="CX1082" s="105" t="n"/>
      <c r="CY1082" s="105" t="n"/>
      <c r="CZ1082" s="124">
        <f>+COUNTA(BV1082:CY1082)</f>
        <v/>
      </c>
      <c r="DA1082" s="251" t="n"/>
      <c r="DB1082" s="251" t="n"/>
      <c r="DC1082" s="251" t="n"/>
      <c r="DD1082" s="251" t="n"/>
      <c r="DE1082" s="251" t="n"/>
      <c r="DF1082" s="251" t="n"/>
      <c r="DG1082" s="251" t="n"/>
      <c r="DH1082" s="251" t="n"/>
      <c r="DI1082" s="251" t="n"/>
      <c r="DJ1082" s="251" t="inlineStr">
        <is>
          <t>TF</t>
        </is>
      </c>
      <c r="DK1082" s="251" t="n">
        <v>15</v>
      </c>
      <c r="DL1082" s="95" t="n">
        <v>28</v>
      </c>
      <c r="DM1082" s="251" t="n"/>
      <c r="DN1082" s="95" t="n"/>
      <c r="DO1082" s="95" t="n"/>
    </row>
    <row r="1083" ht="13" customHeight="1">
      <c r="A1083" s="252" t="inlineStr">
        <is>
          <t>L01</t>
        </is>
      </c>
      <c r="B1083" s="164" t="inlineStr">
        <is>
          <t>L01 ALCONCHA-LOA</t>
        </is>
      </c>
      <c r="C1083" s="7" t="n"/>
      <c r="D1083" s="7" t="inlineStr">
        <is>
          <t>MONITOREO INTERNO</t>
        </is>
      </c>
      <c r="E1083" s="7" t="inlineStr">
        <is>
          <t>NO</t>
        </is>
      </c>
      <c r="F1083" s="7" t="inlineStr">
        <is>
          <t>NO</t>
        </is>
      </c>
      <c r="G1083" s="7" t="inlineStr">
        <is>
          <t>NO</t>
        </is>
      </c>
      <c r="H1083" s="7" t="n">
        <v>540968.8516460001</v>
      </c>
      <c r="I1083" s="7" t="n">
        <v>7667712.45133</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2" t="inlineStr">
        <is>
          <t>532MAALLOA</t>
        </is>
      </c>
      <c r="BL1083" s="61" t="inlineStr">
        <is>
          <t>GMAP-SIGA</t>
        </is>
      </c>
      <c r="BM1083" s="251" t="inlineStr">
        <is>
          <t>NF</t>
        </is>
      </c>
      <c r="BN1083" s="337" t="inlineStr">
        <is>
          <t>Loa</t>
        </is>
      </c>
      <c r="BO1083" s="251" t="inlineStr">
        <is>
          <t>NO</t>
        </is>
      </c>
      <c r="BP1083" s="106" t="inlineStr">
        <is>
          <t>L01 ALCONCHA-LOA/NF</t>
        </is>
      </c>
      <c r="BQ1083" s="106" t="n"/>
      <c r="BR1083" s="106" t="n"/>
      <c r="BS1083" s="106" t="n"/>
      <c r="BT1083" s="106" t="n"/>
      <c r="BU1083" s="101"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05" t="n"/>
      <c r="CJ1083" s="105" t="n"/>
      <c r="CK1083" s="105" t="n"/>
      <c r="CL1083" s="105" t="n"/>
      <c r="CM1083" s="105" t="n"/>
      <c r="CN1083" s="105" t="n"/>
      <c r="CO1083" s="105" t="n"/>
      <c r="CP1083" s="105" t="n"/>
      <c r="CQ1083" s="105" t="n"/>
      <c r="CR1083" s="105" t="n"/>
      <c r="CS1083" s="105" t="n"/>
      <c r="CT1083" s="105" t="n"/>
      <c r="CU1083" s="105" t="n"/>
      <c r="CV1083" s="105" t="n"/>
      <c r="CW1083" s="105" t="n"/>
      <c r="CX1083" s="105" t="n"/>
      <c r="CY1083" s="105" t="n"/>
      <c r="CZ1083" s="124">
        <f>+COUNTA(BV1083:CY1083)</f>
        <v/>
      </c>
      <c r="DA1083" s="251" t="n"/>
      <c r="DB1083" s="251" t="n"/>
      <c r="DC1083" s="251" t="n"/>
      <c r="DD1083" s="251" t="n"/>
      <c r="DE1083" s="251" t="n"/>
      <c r="DF1083" s="251" t="n"/>
      <c r="DG1083" s="251" t="n"/>
      <c r="DH1083" s="251" t="n"/>
      <c r="DI1083" s="251" t="n"/>
      <c r="DJ1083" s="251" t="inlineStr">
        <is>
          <t>TF</t>
        </is>
      </c>
      <c r="DK1083" s="251" t="n">
        <v>15</v>
      </c>
      <c r="DL1083" s="95" t="n">
        <v>28</v>
      </c>
      <c r="DM1083" s="251" t="n"/>
      <c r="DN1083" s="95" t="n"/>
      <c r="DO1083" s="95" t="n"/>
    </row>
    <row r="1084" ht="13" customHeight="1">
      <c r="A1084" s="252" t="inlineStr">
        <is>
          <t>L02</t>
        </is>
      </c>
      <c r="B1084" s="164" t="inlineStr">
        <is>
          <t>L02 ALCONCHA-LOA</t>
        </is>
      </c>
      <c r="C1084" s="7" t="n"/>
      <c r="D1084" s="7" t="inlineStr">
        <is>
          <t>MONITOREO INTERNO</t>
        </is>
      </c>
      <c r="E1084" s="7" t="inlineStr">
        <is>
          <t>NO</t>
        </is>
      </c>
      <c r="F1084" s="7" t="inlineStr">
        <is>
          <t>NO</t>
        </is>
      </c>
      <c r="G1084" s="7" t="inlineStr">
        <is>
          <t>NO</t>
        </is>
      </c>
      <c r="H1084" s="7" t="n">
        <v>540161.225085</v>
      </c>
      <c r="I1084" s="7" t="n">
        <v>7666548.49732</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2" t="inlineStr">
        <is>
          <t>532MAALLOA</t>
        </is>
      </c>
      <c r="BL1084" s="61" t="inlineStr">
        <is>
          <t>GMAP-SIGA</t>
        </is>
      </c>
      <c r="BM1084" s="251" t="inlineStr">
        <is>
          <t>NF</t>
        </is>
      </c>
      <c r="BN1084" s="337" t="inlineStr">
        <is>
          <t>Loa</t>
        </is>
      </c>
      <c r="BO1084" s="251" t="inlineStr">
        <is>
          <t>NO</t>
        </is>
      </c>
      <c r="BP1084" s="106" t="inlineStr">
        <is>
          <t>L02 ALCONCHA-LOA/NF</t>
        </is>
      </c>
      <c r="BQ1084" s="106" t="n"/>
      <c r="BR1084" s="106" t="n"/>
      <c r="BS1084" s="106" t="n"/>
      <c r="BT1084" s="106" t="n"/>
      <c r="BU1084" s="101"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05" t="n"/>
      <c r="CJ1084" s="105" t="n"/>
      <c r="CK1084" s="105" t="n"/>
      <c r="CL1084" s="105" t="n"/>
      <c r="CM1084" s="105" t="n"/>
      <c r="CN1084" s="105" t="n"/>
      <c r="CO1084" s="105" t="n"/>
      <c r="CP1084" s="105" t="n"/>
      <c r="CQ1084" s="105" t="n"/>
      <c r="CR1084" s="105" t="n"/>
      <c r="CS1084" s="105" t="n"/>
      <c r="CT1084" s="105" t="n"/>
      <c r="CU1084" s="105" t="n"/>
      <c r="CV1084" s="105" t="n"/>
      <c r="CW1084" s="105" t="n"/>
      <c r="CX1084" s="105" t="n"/>
      <c r="CY1084" s="105" t="n"/>
      <c r="CZ1084" s="124">
        <f>+COUNTA(BV1084:CY1084)</f>
        <v/>
      </c>
      <c r="DA1084" s="251" t="n"/>
      <c r="DB1084" s="251" t="n"/>
      <c r="DC1084" s="251" t="n"/>
      <c r="DD1084" s="251" t="n"/>
      <c r="DE1084" s="251" t="n"/>
      <c r="DF1084" s="251" t="n"/>
      <c r="DG1084" s="251" t="n"/>
      <c r="DH1084" s="251" t="n"/>
      <c r="DI1084" s="251" t="n"/>
      <c r="DJ1084" s="251" t="inlineStr">
        <is>
          <t>TF</t>
        </is>
      </c>
      <c r="DK1084" s="251" t="n">
        <v>15</v>
      </c>
      <c r="DL1084" s="95" t="n">
        <v>28</v>
      </c>
      <c r="DM1084" s="251" t="n"/>
      <c r="DN1084" s="95" t="n"/>
      <c r="DO1084" s="95" t="n"/>
    </row>
    <row r="1085" ht="13" customHeight="1">
      <c r="A1085" s="252" t="inlineStr">
        <is>
          <t>NN1</t>
        </is>
      </c>
      <c r="B1085" s="164" t="inlineStr">
        <is>
          <t>NN1 ALCONCHA-LOA</t>
        </is>
      </c>
      <c r="C1085" s="7" t="n"/>
      <c r="D1085" s="7" t="inlineStr">
        <is>
          <t>MONITOREO INTERNO</t>
        </is>
      </c>
      <c r="E1085" s="7" t="inlineStr">
        <is>
          <t>NO</t>
        </is>
      </c>
      <c r="F1085" s="7" t="inlineStr">
        <is>
          <t>NO</t>
        </is>
      </c>
      <c r="G1085" s="7" t="inlineStr">
        <is>
          <t>NO</t>
        </is>
      </c>
      <c r="H1085" s="7" t="n">
        <v>536924.441003</v>
      </c>
      <c r="I1085" s="7" t="n">
        <v>7667155.86561</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2" t="inlineStr">
        <is>
          <t>532MAALLOA</t>
        </is>
      </c>
      <c r="BL1085" s="61" t="inlineStr">
        <is>
          <t>GMAP-SIGA</t>
        </is>
      </c>
      <c r="BM1085" s="251" t="inlineStr">
        <is>
          <t>NF</t>
        </is>
      </c>
      <c r="BN1085" s="337" t="inlineStr">
        <is>
          <t>Loa</t>
        </is>
      </c>
      <c r="BO1085" s="251" t="inlineStr">
        <is>
          <t>NO</t>
        </is>
      </c>
      <c r="BP1085" s="106" t="inlineStr">
        <is>
          <t>NN1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24">
        <f>+COUNTA(BV1085:CY1085)</f>
        <v/>
      </c>
      <c r="DA1085" s="251" t="n"/>
      <c r="DB1085" s="251" t="n"/>
      <c r="DC1085" s="251" t="n"/>
      <c r="DD1085" s="251" t="n"/>
      <c r="DE1085" s="251" t="n"/>
      <c r="DF1085" s="251" t="n"/>
      <c r="DG1085" s="251" t="n"/>
      <c r="DH1085" s="251" t="n"/>
      <c r="DI1085" s="251" t="n"/>
      <c r="DJ1085" s="251" t="inlineStr">
        <is>
          <t>TF</t>
        </is>
      </c>
      <c r="DK1085" s="251" t="n">
        <v>15</v>
      </c>
      <c r="DL1085" s="95" t="n">
        <v>28</v>
      </c>
      <c r="DM1085" s="251" t="n"/>
      <c r="DN1085" s="95" t="n"/>
      <c r="DO1085" s="95" t="n"/>
    </row>
    <row r="1086" ht="14.5" customHeight="1">
      <c r="A1086" s="252" t="inlineStr">
        <is>
          <t>NN2</t>
        </is>
      </c>
      <c r="B1086" s="164" t="inlineStr">
        <is>
          <t>NN2 ALCONCHA-LOA</t>
        </is>
      </c>
      <c r="C1086" s="7" t="n"/>
      <c r="D1086" s="7" t="inlineStr">
        <is>
          <t>MONITOREO INTERNO</t>
        </is>
      </c>
      <c r="E1086" s="7" t="inlineStr">
        <is>
          <t>NO</t>
        </is>
      </c>
      <c r="F1086" s="7" t="inlineStr">
        <is>
          <t>NO</t>
        </is>
      </c>
      <c r="G1086" s="7" t="inlineStr">
        <is>
          <t>NO</t>
        </is>
      </c>
      <c r="H1086" s="7" t="n">
        <v>536510.441764</v>
      </c>
      <c r="I1086" s="7" t="n">
        <v>7663744.88242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2" t="inlineStr">
        <is>
          <t>532MAALLOA</t>
        </is>
      </c>
      <c r="BL1086" s="61" t="inlineStr">
        <is>
          <t>GMAP-SIGA</t>
        </is>
      </c>
      <c r="BM1086" s="251" t="inlineStr">
        <is>
          <t>NF</t>
        </is>
      </c>
      <c r="BN1086" s="337" t="inlineStr">
        <is>
          <t>Loa</t>
        </is>
      </c>
      <c r="BO1086" s="251" t="inlineStr">
        <is>
          <t>NO</t>
        </is>
      </c>
      <c r="BP1086" s="106" t="inlineStr">
        <is>
          <t>NN2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24">
        <f>+COUNTA(BV1086:CY1086)</f>
        <v/>
      </c>
      <c r="DA1086" s="251" t="n"/>
      <c r="DB1086" s="251" t="n"/>
      <c r="DC1086" s="251" t="n"/>
      <c r="DD1086" s="251" t="n"/>
      <c r="DE1086" s="251" t="n"/>
      <c r="DF1086" s="251" t="n"/>
      <c r="DG1086" s="251" t="n"/>
      <c r="DH1086" s="251" t="n"/>
      <c r="DI1086" s="251" t="n"/>
      <c r="DJ1086" s="251" t="inlineStr">
        <is>
          <t>TF</t>
        </is>
      </c>
      <c r="DK1086" s="251" t="n">
        <v>15</v>
      </c>
      <c r="DL1086" s="95" t="n">
        <v>28</v>
      </c>
      <c r="DM1086" s="251" t="n"/>
      <c r="DN1086" s="95" t="n"/>
      <c r="DO1086" s="95" t="n"/>
    </row>
    <row r="1087" ht="13" customHeight="1">
      <c r="A1087" s="252" t="inlineStr">
        <is>
          <t>PEA-01</t>
        </is>
      </c>
      <c r="B1087" s="164" t="inlineStr">
        <is>
          <t>PEA-01 ALCONCHA-LOA</t>
        </is>
      </c>
      <c r="C1087" s="7" t="n"/>
      <c r="D1087" s="7" t="inlineStr">
        <is>
          <t>MONITOREO INTERNO</t>
        </is>
      </c>
      <c r="E1087" s="7" t="inlineStr">
        <is>
          <t>NO</t>
        </is>
      </c>
      <c r="F1087" s="7" t="inlineStr">
        <is>
          <t>NO</t>
        </is>
      </c>
      <c r="G1087" s="7" t="inlineStr">
        <is>
          <t>NO</t>
        </is>
      </c>
      <c r="H1087" s="7" t="n">
        <v>551552.844098</v>
      </c>
      <c r="I1087" s="7" t="n">
        <v>7674790.98227</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2" t="inlineStr">
        <is>
          <t>532MAALLOA</t>
        </is>
      </c>
      <c r="BL1087" s="61" t="inlineStr">
        <is>
          <t>GMAP-SIGA</t>
        </is>
      </c>
      <c r="BM1087" s="251" t="inlineStr">
        <is>
          <t>NF</t>
        </is>
      </c>
      <c r="BN1087" s="337" t="inlineStr">
        <is>
          <t>Alconcha</t>
        </is>
      </c>
      <c r="BO1087" s="251" t="inlineStr">
        <is>
          <t>NO</t>
        </is>
      </c>
      <c r="BP1087" s="106" t="inlineStr">
        <is>
          <t>PEA-01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24">
        <f>+COUNTA(BV1087:CY1087)</f>
        <v/>
      </c>
      <c r="DA1087" s="251" t="n"/>
      <c r="DB1087" s="251" t="n"/>
      <c r="DC1087" s="251" t="n"/>
      <c r="DD1087" s="251" t="n"/>
      <c r="DE1087" s="251" t="n"/>
      <c r="DF1087" s="251" t="n"/>
      <c r="DG1087" s="251" t="n"/>
      <c r="DH1087" s="251" t="n"/>
      <c r="DI1087" s="251" t="n"/>
      <c r="DJ1087" s="251" t="inlineStr">
        <is>
          <t>TF</t>
        </is>
      </c>
      <c r="DK1087" s="251" t="n">
        <v>15</v>
      </c>
      <c r="DL1087" s="95" t="n">
        <v>28</v>
      </c>
      <c r="DM1087" s="251" t="n"/>
      <c r="DN1087" s="95" t="n"/>
      <c r="DO1087" s="95" t="n"/>
    </row>
    <row r="1088" ht="13" customHeight="1">
      <c r="A1088" s="252" t="inlineStr">
        <is>
          <t>PEA-02A</t>
        </is>
      </c>
      <c r="B1088" s="164" t="inlineStr">
        <is>
          <t>PEA-02A ALCONCHA-LOA</t>
        </is>
      </c>
      <c r="C1088" s="7" t="n"/>
      <c r="D1088" s="7" t="inlineStr">
        <is>
          <t>MONITOREO INTERNO</t>
        </is>
      </c>
      <c r="E1088" s="7" t="inlineStr">
        <is>
          <t>NO</t>
        </is>
      </c>
      <c r="F1088" s="7" t="inlineStr">
        <is>
          <t>NO</t>
        </is>
      </c>
      <c r="G1088" s="7" t="inlineStr">
        <is>
          <t>NO</t>
        </is>
      </c>
      <c r="H1088" s="7" t="n">
        <v>551164.5257840001</v>
      </c>
      <c r="I1088" s="7" t="n">
        <v>7674468.52401</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2" t="inlineStr">
        <is>
          <t>532MAALLOA</t>
        </is>
      </c>
      <c r="BL1088" s="61" t="inlineStr">
        <is>
          <t>GMAP-SIGA</t>
        </is>
      </c>
      <c r="BM1088" s="251" t="inlineStr">
        <is>
          <t>NF</t>
        </is>
      </c>
      <c r="BN1088" s="337" t="inlineStr">
        <is>
          <t>Alconcha</t>
        </is>
      </c>
      <c r="BO1088" s="251" t="inlineStr">
        <is>
          <t>NO</t>
        </is>
      </c>
      <c r="BP1088" s="106" t="inlineStr">
        <is>
          <t>PEA-02A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24">
        <f>+COUNTA(BV1088:CY1088)</f>
        <v/>
      </c>
      <c r="DA1088" s="251" t="n"/>
      <c r="DB1088" s="251" t="n"/>
      <c r="DC1088" s="251" t="n"/>
      <c r="DD1088" s="251" t="n"/>
      <c r="DE1088" s="251" t="n"/>
      <c r="DF1088" s="251" t="n"/>
      <c r="DG1088" s="251" t="n"/>
      <c r="DH1088" s="251" t="n"/>
      <c r="DI1088" s="251" t="n"/>
      <c r="DJ1088" s="251" t="inlineStr">
        <is>
          <t>TF</t>
        </is>
      </c>
      <c r="DK1088" s="251" t="n">
        <v>15</v>
      </c>
      <c r="DL1088" s="95" t="n">
        <v>28</v>
      </c>
      <c r="DM1088" s="251" t="n"/>
      <c r="DN1088" s="95" t="n"/>
      <c r="DO1088" s="95" t="n"/>
    </row>
    <row r="1089" ht="13" customHeight="1">
      <c r="A1089" s="252" t="inlineStr">
        <is>
          <t>RC12</t>
        </is>
      </c>
      <c r="B1089" s="164" t="inlineStr">
        <is>
          <t>RC12 ALCONCHA-LOA</t>
        </is>
      </c>
      <c r="C1089" s="7" t="n"/>
      <c r="D1089" s="7" t="inlineStr">
        <is>
          <t>MONITOREO INTERNO</t>
        </is>
      </c>
      <c r="E1089" s="7" t="inlineStr">
        <is>
          <t>NO</t>
        </is>
      </c>
      <c r="F1089" s="7" t="inlineStr">
        <is>
          <t>NO</t>
        </is>
      </c>
      <c r="G1089" s="7" t="inlineStr">
        <is>
          <t>NO</t>
        </is>
      </c>
      <c r="H1089" s="7" t="n">
        <v>537961.64076071</v>
      </c>
      <c r="I1089" s="7" t="n">
        <v>7664758.9515416</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2" t="inlineStr">
        <is>
          <t>532MAALLOA</t>
        </is>
      </c>
      <c r="BL1089" s="61" t="inlineStr">
        <is>
          <t>GMAP-SIGA</t>
        </is>
      </c>
      <c r="BM1089" s="251" t="inlineStr">
        <is>
          <t>NF</t>
        </is>
      </c>
      <c r="BN1089" s="337" t="inlineStr">
        <is>
          <t>Loa</t>
        </is>
      </c>
      <c r="BO1089" s="251" t="inlineStr">
        <is>
          <t>NO</t>
        </is>
      </c>
      <c r="BP1089" s="106" t="inlineStr">
        <is>
          <t>RC12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24">
        <f>+COUNTA(BV1089:CY1089)</f>
        <v/>
      </c>
      <c r="DA1089" s="251" t="n"/>
      <c r="DB1089" s="251" t="n"/>
      <c r="DC1089" s="251" t="n"/>
      <c r="DD1089" s="251" t="n"/>
      <c r="DE1089" s="251" t="n"/>
      <c r="DF1089" s="251" t="n"/>
      <c r="DG1089" s="251" t="n"/>
      <c r="DH1089" s="251" t="n"/>
      <c r="DI1089" s="251" t="n"/>
      <c r="DJ1089" s="251" t="inlineStr">
        <is>
          <t>TF</t>
        </is>
      </c>
      <c r="DK1089" s="251" t="n">
        <v>15</v>
      </c>
      <c r="DL1089" s="95" t="n">
        <v>28</v>
      </c>
      <c r="DM1089" s="251" t="n"/>
      <c r="DN1089" s="95" t="n"/>
      <c r="DO1089" s="95" t="n"/>
    </row>
    <row r="1090" ht="14.25" customHeight="1">
      <c r="A1090" s="235" t="inlineStr">
        <is>
          <t>AA-08</t>
        </is>
      </c>
      <c r="B1090" s="236" t="inlineStr">
        <is>
          <t>AA-08 QUEBRADA CAYA</t>
        </is>
      </c>
      <c r="C1090" s="108" t="n"/>
      <c r="D1090" s="7" t="inlineStr">
        <is>
          <t>MONITOREO INTERNO</t>
        </is>
      </c>
      <c r="E1090" s="7" t="inlineStr">
        <is>
          <t>NO</t>
        </is>
      </c>
      <c r="F1090" s="7" t="inlineStr">
        <is>
          <t>NO</t>
        </is>
      </c>
      <c r="G1090" s="7" t="inlineStr">
        <is>
          <t>NO</t>
        </is>
      </c>
      <c r="H1090" s="7" t="n">
        <v>507979.584441</v>
      </c>
      <c r="I1090" s="7" t="n">
        <v>7708604.67901</v>
      </c>
      <c r="J1090" s="7" t="inlineStr">
        <is>
          <t>Construido</t>
        </is>
      </c>
      <c r="K1090" s="7" t="inlineStr">
        <is>
          <t>-</t>
        </is>
      </c>
      <c r="L1090" s="7" t="inlineStr">
        <is>
          <t>Agua Subterránea</t>
        </is>
      </c>
      <c r="M1090" s="7" t="inlineStr">
        <is>
          <t>Cordillera</t>
        </is>
      </c>
      <c r="N1090" s="7" t="inlineStr">
        <is>
          <t>Puntera</t>
        </is>
      </c>
      <c r="O1090" s="7" t="inlineStr">
        <is>
          <t>Quebrada Caya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331" t="inlineStr">
        <is>
          <t>532MAQCY</t>
        </is>
      </c>
      <c r="BL1090" s="61" t="inlineStr">
        <is>
          <t>GMAP-SIGA</t>
        </is>
      </c>
      <c r="BM1090" s="251" t="inlineStr">
        <is>
          <t>NF</t>
        </is>
      </c>
      <c r="BN1090" s="337" t="inlineStr">
        <is>
          <t>Quebrada Caya</t>
        </is>
      </c>
      <c r="BO1090" s="251" t="inlineStr">
        <is>
          <t>NO</t>
        </is>
      </c>
      <c r="BP1090" s="306" t="inlineStr">
        <is>
          <t>AA-08 QUEBRADA CAYA/NF</t>
        </is>
      </c>
      <c r="BQ1090" s="337" t="n"/>
      <c r="BR1090" s="337" t="n"/>
      <c r="BS1090" s="337" t="n"/>
      <c r="BT1090" s="336" t="n"/>
      <c r="BU1090" s="102" t="inlineStr">
        <is>
          <t>CAMIBIO DE FRECUENCIA A PARTIR DE SEPTIEMBRE 2025 X CMDIC DE MENSUAL A TRIMESTRAL</t>
        </is>
      </c>
      <c r="BV1090" s="178" t="n"/>
      <c r="BW1090" s="251" t="n"/>
      <c r="BX1090" s="251" t="n"/>
      <c r="BY1090" s="251" t="n"/>
      <c r="BZ1090" s="251" t="n"/>
      <c r="CA1090" s="251" t="n"/>
      <c r="CB1090" s="251" t="n"/>
      <c r="CC1090" s="337" t="n"/>
      <c r="CD1090" s="251" t="n"/>
      <c r="CE1090" s="251" t="n"/>
      <c r="CF1090" s="251" t="n"/>
      <c r="CG1090" s="251" t="n"/>
      <c r="CH1090" s="251" t="n"/>
      <c r="CI1090" s="251" t="n"/>
      <c r="CJ1090" s="251" t="n"/>
      <c r="CK1090" s="251" t="n"/>
      <c r="CL1090" s="251" t="n"/>
      <c r="CM1090" s="251" t="n"/>
      <c r="CN1090" s="251" t="n"/>
      <c r="CO1090" s="251" t="n"/>
      <c r="CP1090" s="251" t="n"/>
      <c r="CQ1090" s="251" t="n"/>
      <c r="CR1090" s="251" t="n"/>
      <c r="CS1090" s="251" t="n"/>
      <c r="CT1090" s="251" t="n"/>
      <c r="CU1090" s="253" t="n"/>
      <c r="CV1090" s="253" t="n"/>
      <c r="CW1090" s="253" t="n"/>
      <c r="CX1090" s="253" t="n"/>
      <c r="CY1090" s="253" t="n"/>
      <c r="CZ1090" s="124" t="n"/>
      <c r="DA1090" s="124" t="n"/>
      <c r="DB1090" s="124" t="n"/>
      <c r="DC1090" s="124" t="n"/>
      <c r="DD1090" s="124" t="n"/>
      <c r="DE1090" s="124" t="n"/>
      <c r="DF1090" s="124" t="n"/>
      <c r="DG1090" s="124" t="n"/>
      <c r="DH1090" s="124" t="n"/>
      <c r="DI1090" s="124" t="n"/>
      <c r="DJ1090" s="251" t="inlineStr">
        <is>
          <t>SE ELIMINA</t>
        </is>
      </c>
      <c r="DK1090" s="251" t="n">
        <v>8</v>
      </c>
      <c r="DL1090" s="95" t="n">
        <v>14</v>
      </c>
      <c r="DM1090" s="251" t="n"/>
      <c r="DN1090" s="95" t="n"/>
      <c r="DO1090" s="95" t="n"/>
    </row>
    <row r="1091" ht="14.25" customHeight="1">
      <c r="A1091" s="235" t="inlineStr">
        <is>
          <t>FAD (especial)</t>
        </is>
      </c>
      <c r="B1091" s="236" t="n"/>
      <c r="C1091" s="108" t="n"/>
      <c r="D1091" s="7" t="n"/>
      <c r="E1091" s="7" t="n"/>
      <c r="F1091" s="7" t="n"/>
      <c r="G1091" s="7" t="n"/>
      <c r="H1091" s="7" t="n"/>
      <c r="I1091" s="7" t="n"/>
      <c r="J1091" s="7" t="n"/>
      <c r="K1091" s="7" t="n"/>
      <c r="L1091" s="7" t="n"/>
      <c r="M1091" s="7" t="n"/>
      <c r="N1091" s="7" t="n"/>
      <c r="O1091" s="7" t="n"/>
      <c r="P1091" s="7" t="n"/>
      <c r="Q1091" s="7" t="n"/>
      <c r="R1091" s="7" t="n"/>
      <c r="S1091" s="7" t="n"/>
      <c r="T1091" s="7" t="n"/>
      <c r="U1091" s="7" t="n"/>
      <c r="V1091" s="7" t="n"/>
      <c r="W1091" s="7" t="n"/>
      <c r="X1091" s="7" t="n"/>
      <c r="Y1091" s="7" t="n"/>
      <c r="Z1091" s="7" t="n"/>
      <c r="AA1091" s="7" t="n"/>
      <c r="AB1091" s="7" t="n"/>
      <c r="AC1091" s="7" t="n"/>
      <c r="AD1091" s="7" t="n"/>
      <c r="AE1091" s="7" t="n"/>
      <c r="AF1091" s="7" t="n"/>
      <c r="AG1091" s="7" t="n"/>
      <c r="AH1091" s="7" t="n"/>
      <c r="AI1091" s="7" t="n"/>
      <c r="AJ1091" s="7" t="n"/>
      <c r="AK1091" s="60" t="n"/>
      <c r="AL1091" s="7" t="n"/>
      <c r="AM1091" s="7" t="n"/>
      <c r="AN1091" s="60" t="n"/>
      <c r="AO1091" s="7" t="n"/>
      <c r="AP1091" s="60" t="n"/>
      <c r="AQ1091" s="7" t="n"/>
      <c r="AR1091" s="7" t="n"/>
      <c r="AS1091" s="7" t="n"/>
      <c r="AT1091" s="7" t="n"/>
      <c r="AU1091" s="7" t="n"/>
      <c r="AV1091" s="7" t="n"/>
      <c r="AW1091" s="7" t="n"/>
      <c r="AX1091" s="7" t="n"/>
      <c r="AY1091" s="7" t="n"/>
      <c r="AZ1091" s="7" t="n"/>
      <c r="BA1091" s="7" t="n"/>
      <c r="BB1091" s="7" t="n"/>
      <c r="BC1091" s="7" t="n"/>
      <c r="BD1091" s="7" t="n"/>
      <c r="BE1091" s="7" t="n"/>
      <c r="BF1091" s="7" t="n"/>
      <c r="BG1091" s="7" t="n"/>
      <c r="BH1091" s="7" t="n"/>
      <c r="BI1091" s="7" t="n"/>
      <c r="BJ1091" s="7" t="n"/>
      <c r="BK1091" s="331" t="n"/>
      <c r="BL1091" s="61" t="inlineStr">
        <is>
          <t>PUERTO</t>
        </is>
      </c>
      <c r="BM1091" s="251" t="inlineStr">
        <is>
          <t>ASUP</t>
        </is>
      </c>
      <c r="BN1091" s="337" t="inlineStr">
        <is>
          <t>Puerto Collahuasi</t>
        </is>
      </c>
      <c r="BO1091" s="251" t="inlineStr">
        <is>
          <t>NO</t>
        </is>
      </c>
      <c r="BP1091" s="306" t="inlineStr">
        <is>
          <t>ASUP</t>
        </is>
      </c>
      <c r="BQ1091" s="337" t="n"/>
      <c r="BR1091" s="337" t="n"/>
      <c r="BS1091" s="337" t="n"/>
      <c r="BT1091" s="336" t="n"/>
      <c r="BU1091" s="102" t="inlineStr">
        <is>
          <t>SE ELIMINA</t>
        </is>
      </c>
      <c r="BV1091" s="130" t="n"/>
      <c r="BW1091" s="251" t="n"/>
      <c r="BX1091" s="105" t="n"/>
      <c r="BY1091" s="251" t="n"/>
      <c r="BZ1091" s="105" t="n"/>
      <c r="CA1091" s="251" t="n"/>
      <c r="CB1091" s="105" t="n"/>
      <c r="CC1091" s="7" t="n"/>
      <c r="CD1091" s="251" t="n"/>
      <c r="CE1091" s="251" t="n"/>
      <c r="CF1091" s="251" t="n"/>
      <c r="CG1091" s="251" t="n"/>
      <c r="CH1091" s="251" t="n"/>
      <c r="CI1091" s="251" t="n"/>
      <c r="CJ1091" s="7" t="n"/>
      <c r="CK1091" s="251" t="n"/>
      <c r="CL1091" s="251" t="n"/>
      <c r="CM1091" s="251" t="n"/>
      <c r="CN1091" s="251" t="n"/>
      <c r="CO1091" s="251" t="n"/>
      <c r="CP1091" s="251" t="n"/>
      <c r="CQ1091" s="251" t="n"/>
      <c r="CR1091" s="251" t="n"/>
      <c r="CS1091" s="251" t="n"/>
      <c r="CT1091" s="251" t="n"/>
      <c r="CU1091" s="251" t="n"/>
      <c r="CV1091" s="251" t="n"/>
      <c r="CW1091" s="251" t="n"/>
      <c r="CX1091" s="251" t="n"/>
      <c r="CY1091" s="251" t="n"/>
      <c r="CZ1091" s="124">
        <f>+COUNTA(BV1091:CY1091)</f>
        <v/>
      </c>
      <c r="DA1091" s="124" t="n"/>
      <c r="DB1091" s="124" t="n"/>
      <c r="DC1091" s="124" t="n"/>
      <c r="DD1091" s="124" t="n"/>
      <c r="DE1091" s="124" t="n"/>
      <c r="DF1091" s="124" t="n"/>
      <c r="DG1091" s="124" t="n"/>
      <c r="DH1091" s="124" t="n"/>
      <c r="DI1091" s="124" t="n"/>
      <c r="DJ1091" s="251" t="n"/>
      <c r="DK1091" s="251" t="n"/>
      <c r="DL1091" s="95" t="n"/>
      <c r="DM1091" s="251" t="n"/>
      <c r="DN1091" s="95" t="n"/>
      <c r="DO1091" s="95" t="n"/>
    </row>
    <row r="1092" ht="14.25" customHeight="1">
      <c r="A1092" s="235" t="inlineStr">
        <is>
          <t>TK-035</t>
        </is>
      </c>
      <c r="B1092" s="236" t="n"/>
      <c r="C1092" s="7" t="n"/>
      <c r="D1092" s="7" t="n"/>
      <c r="E1092" s="7" t="n"/>
      <c r="F1092" s="7" t="n"/>
      <c r="G1092" s="7" t="n"/>
      <c r="H1092" s="7" t="n"/>
      <c r="I1092" s="7" t="n"/>
      <c r="J1092" s="7" t="n"/>
      <c r="K1092" s="7" t="n"/>
      <c r="L1092" s="7" t="n"/>
      <c r="M1092" s="7" t="n"/>
      <c r="N1092" s="7" t="n"/>
      <c r="O1092" s="7" t="n"/>
      <c r="P1092" s="7" t="n"/>
      <c r="Q1092" s="7" t="n"/>
      <c r="R1092" s="7" t="n"/>
      <c r="S1092" s="7" t="n"/>
      <c r="T1092" s="7" t="n"/>
      <c r="U1092" s="7" t="n"/>
      <c r="V1092" s="7" t="n"/>
      <c r="W1092" s="7" t="n"/>
      <c r="X1092" s="7" t="n"/>
      <c r="Y1092" s="7" t="n"/>
      <c r="Z1092" s="7" t="n"/>
      <c r="AA1092" s="7" t="n"/>
      <c r="AB1092" s="7" t="n"/>
      <c r="AC1092" s="7" t="n"/>
      <c r="AD1092" s="7" t="n"/>
      <c r="AE1092" s="7" t="n"/>
      <c r="AF1092" s="7" t="n"/>
      <c r="AG1092" s="7" t="n"/>
      <c r="AH1092" s="7" t="n"/>
      <c r="AI1092" s="7" t="n"/>
      <c r="AJ1092" s="7" t="n"/>
      <c r="AK1092" s="60" t="n"/>
      <c r="AL1092" s="7" t="n"/>
      <c r="AM1092" s="7" t="n"/>
      <c r="AN1092" s="60" t="n"/>
      <c r="AO1092" s="7" t="n"/>
      <c r="AP1092" s="60" t="n"/>
      <c r="AQ1092" s="7" t="n"/>
      <c r="AR1092" s="7" t="n"/>
      <c r="AS1092" s="7" t="n"/>
      <c r="AT1092" s="7" t="n"/>
      <c r="AU1092" s="7" t="n"/>
      <c r="AV1092" s="7" t="n"/>
      <c r="AW1092" s="7" t="n"/>
      <c r="AX1092" s="7" t="n"/>
      <c r="AY1092" s="7" t="n"/>
      <c r="AZ1092" s="7" t="n"/>
      <c r="BA1092" s="7" t="n"/>
      <c r="BB1092" s="7" t="n"/>
      <c r="BC1092" s="7" t="n"/>
      <c r="BD1092" s="7" t="n"/>
      <c r="BE1092" s="7" t="n"/>
      <c r="BF1092" s="7" t="n"/>
      <c r="BG1092" s="7" t="n"/>
      <c r="BH1092" s="7" t="n"/>
      <c r="BI1092" s="7" t="n"/>
      <c r="BJ1092" s="7" t="n"/>
      <c r="BK1092" s="331" t="n"/>
      <c r="BL1092" s="61" t="inlineStr">
        <is>
          <t>PUERTO</t>
        </is>
      </c>
      <c r="BM1092" s="251" t="inlineStr">
        <is>
          <t>ASUP</t>
        </is>
      </c>
      <c r="BN1092" s="337" t="inlineStr">
        <is>
          <t>Puerto Collahuasi</t>
        </is>
      </c>
      <c r="BO1092" s="251" t="inlineStr">
        <is>
          <t>NO</t>
        </is>
      </c>
      <c r="BP1092" s="306" t="inlineStr">
        <is>
          <t>ASUP</t>
        </is>
      </c>
      <c r="BQ1092" s="337" t="n"/>
      <c r="BR1092" s="337" t="n"/>
      <c r="BS1092" s="337" t="n"/>
      <c r="BT1092" s="336" t="n"/>
      <c r="BU1092" s="102" t="inlineStr">
        <is>
          <t>SE ELIMINA</t>
        </is>
      </c>
      <c r="BV1092" s="130" t="n"/>
      <c r="BW1092" s="251" t="n"/>
      <c r="BX1092" s="105" t="n"/>
      <c r="BY1092" s="251" t="n"/>
      <c r="BZ1092" s="105" t="n"/>
      <c r="CA1092" s="251" t="n"/>
      <c r="CB1092" s="105" t="n"/>
      <c r="CC1092" s="7" t="n"/>
      <c r="CD1092" s="251" t="n"/>
      <c r="CE1092" s="251" t="n"/>
      <c r="CF1092" s="251" t="n"/>
      <c r="CG1092" s="251" t="n"/>
      <c r="CH1092" s="251" t="n"/>
      <c r="CI1092" s="251" t="n"/>
      <c r="CJ1092" s="7" t="n"/>
      <c r="CK1092" s="251" t="n"/>
      <c r="CL1092" s="251" t="n"/>
      <c r="CM1092" s="251" t="n"/>
      <c r="CN1092" s="251" t="n"/>
      <c r="CO1092" s="251" t="n"/>
      <c r="CP1092" s="251" t="n"/>
      <c r="CQ1092" s="251" t="n"/>
      <c r="CR1092" s="251" t="n"/>
      <c r="CS1092" s="251" t="n"/>
      <c r="CT1092" s="251" t="n"/>
      <c r="CU1092" s="251" t="n"/>
      <c r="CV1092" s="251" t="n"/>
      <c r="CW1092" s="251" t="n"/>
      <c r="CX1092" s="251" t="n"/>
      <c r="CY1092" s="251" t="n"/>
      <c r="CZ1092" s="124">
        <f>+COUNTA(BV1092:CY1092)</f>
        <v/>
      </c>
      <c r="DA1092" s="124" t="n"/>
      <c r="DB1092" s="124" t="n"/>
      <c r="DC1092" s="124" t="n"/>
      <c r="DD1092" s="124" t="n"/>
      <c r="DE1092" s="124" t="n"/>
      <c r="DF1092" s="124" t="n"/>
      <c r="DG1092" s="124" t="n"/>
      <c r="DH1092" s="124" t="n"/>
      <c r="DI1092" s="124" t="n"/>
      <c r="DJ1092" s="251" t="n"/>
      <c r="DK1092" s="251" t="n"/>
      <c r="DL1092" s="95" t="n"/>
      <c r="DM1092" s="251" t="n"/>
      <c r="DN1092" s="97" t="n"/>
      <c r="DO1092" s="97" t="n"/>
    </row>
    <row r="1093" ht="14.25" customHeight="1">
      <c r="A1093" s="145" t="inlineStr">
        <is>
          <t>HTC-1</t>
        </is>
      </c>
      <c r="B1093" s="153" t="n"/>
      <c r="C1093" s="146" t="n"/>
      <c r="D1093" s="7" t="inlineStr">
        <is>
          <t>SI</t>
        </is>
      </c>
      <c r="E1093" s="7" t="inlineStr">
        <is>
          <t>NO</t>
        </is>
      </c>
      <c r="F1093" s="7" t="inlineStr">
        <is>
          <t>SI</t>
        </is>
      </c>
      <c r="G1093" s="7" t="inlineStr">
        <is>
          <t>NO</t>
        </is>
      </c>
      <c r="H1093" s="7" t="n">
        <v>494521</v>
      </c>
      <c r="I1093" s="7" t="n">
        <v>7685965</v>
      </c>
      <c r="J1093" s="7" t="inlineStr">
        <is>
          <t>Punto de monitoreo no cumple el objetivo, se propone eliminar  (Anexo10.1)</t>
        </is>
      </c>
      <c r="K1093" s="7" t="inlineStr">
        <is>
          <t>-</t>
        </is>
      </c>
      <c r="L1093" s="7" t="inlineStr">
        <is>
          <t>Agua Potable</t>
        </is>
      </c>
      <c r="M1093" s="7" t="inlineStr">
        <is>
          <t>Cordillera</t>
        </is>
      </c>
      <c r="N1093" s="7" t="inlineStr">
        <is>
          <t>Vertiente</t>
        </is>
      </c>
      <c r="O1093" s="7" t="inlineStr">
        <is>
          <t>Michincha</t>
        </is>
      </c>
      <c r="P1093" s="7" t="inlineStr">
        <is>
          <t>NO</t>
        </is>
      </c>
      <c r="Q1093" s="7" t="inlineStr">
        <is>
          <t>-</t>
        </is>
      </c>
      <c r="R1093" s="7" t="inlineStr">
        <is>
          <t>-</t>
        </is>
      </c>
      <c r="S1093" s="7" t="inlineStr">
        <is>
          <t>-</t>
        </is>
      </c>
      <c r="T1093" s="7" t="inlineStr">
        <is>
          <t>NO</t>
        </is>
      </c>
      <c r="U1093" s="7" t="inlineStr">
        <is>
          <t>-</t>
        </is>
      </c>
      <c r="V1093" s="7" t="inlineStr">
        <is>
          <t>NO</t>
        </is>
      </c>
      <c r="W1093" s="7" t="inlineStr">
        <is>
          <t>-</t>
        </is>
      </c>
      <c r="X1093" s="7" t="inlineStr">
        <is>
          <t>NO</t>
        </is>
      </c>
      <c r="Y1093" s="7" t="inlineStr">
        <is>
          <t>-</t>
        </is>
      </c>
      <c r="Z1093" s="7" t="inlineStr">
        <is>
          <t>NO</t>
        </is>
      </c>
      <c r="AA1093" s="7" t="inlineStr">
        <is>
          <t>-</t>
        </is>
      </c>
      <c r="AB1093" s="7" t="inlineStr">
        <is>
          <t>NO</t>
        </is>
      </c>
      <c r="AC1093" s="7" t="inlineStr">
        <is>
          <t>-</t>
        </is>
      </c>
      <c r="AD1093" s="7" t="inlineStr">
        <is>
          <t>NO</t>
        </is>
      </c>
      <c r="AE1093" s="7" t="inlineStr">
        <is>
          <t>-</t>
        </is>
      </c>
      <c r="AF1093" s="7" t="inlineStr">
        <is>
          <t>-</t>
        </is>
      </c>
      <c r="AG1093" s="7" t="inlineStr">
        <is>
          <t>NO</t>
        </is>
      </c>
      <c r="AH1093" s="7" t="inlineStr">
        <is>
          <t>-</t>
        </is>
      </c>
      <c r="AI1093" s="7" t="inlineStr">
        <is>
          <t>NO</t>
        </is>
      </c>
      <c r="AJ1093" s="7" t="inlineStr">
        <is>
          <t>-</t>
        </is>
      </c>
      <c r="AK1093" s="60" t="inlineStr">
        <is>
          <t>NO</t>
        </is>
      </c>
      <c r="AL1093" s="7" t="inlineStr">
        <is>
          <t>-</t>
        </is>
      </c>
      <c r="AM1093" s="7" t="inlineStr">
        <is>
          <t>-</t>
        </is>
      </c>
      <c r="AN1093" s="60" t="inlineStr">
        <is>
          <t>Plan NCH 409 Completa + plan base + Nitrogeno de Nitritos+ CU Disuelto  + Nitrogeno Amoniacal</t>
        </is>
      </c>
      <c r="AO1093" s="7" t="inlineStr">
        <is>
          <t>Trimestral</t>
        </is>
      </c>
      <c r="AP1093" s="60" t="inlineStr">
        <is>
          <t>NO</t>
        </is>
      </c>
      <c r="AQ1093" s="7" t="inlineStr">
        <is>
          <t>-</t>
        </is>
      </c>
      <c r="AR1093" s="60" t="inlineStr">
        <is>
          <t>NO</t>
        </is>
      </c>
      <c r="AS1093" s="7" t="inlineStr">
        <is>
          <t>-</t>
        </is>
      </c>
      <c r="AT1093" s="7" t="inlineStr">
        <is>
          <t>SI</t>
        </is>
      </c>
      <c r="AU1093" s="7" t="inlineStr">
        <is>
          <t>Trimestral</t>
        </is>
      </c>
      <c r="AV1093" s="60" t="inlineStr">
        <is>
          <t>NO</t>
        </is>
      </c>
      <c r="AW1093" s="7" t="inlineStr">
        <is>
          <t>-</t>
        </is>
      </c>
      <c r="AX1093" s="7" t="inlineStr">
        <is>
          <t>NO</t>
        </is>
      </c>
      <c r="AY1093" s="7" t="inlineStr">
        <is>
          <t>-</t>
        </is>
      </c>
      <c r="AZ1093" s="7" t="inlineStr">
        <is>
          <t>NO</t>
        </is>
      </c>
      <c r="BA1093" s="7" t="inlineStr">
        <is>
          <t>-</t>
        </is>
      </c>
      <c r="BB1093" s="7" t="inlineStr">
        <is>
          <t>NO</t>
        </is>
      </c>
      <c r="BC1093" s="7" t="inlineStr">
        <is>
          <t>-</t>
        </is>
      </c>
      <c r="BD1093" s="7" t="inlineStr">
        <is>
          <t>NO</t>
        </is>
      </c>
      <c r="BE1093" s="7" t="inlineStr">
        <is>
          <t>-</t>
        </is>
      </c>
      <c r="BF1093" s="7" t="inlineStr">
        <is>
          <t>SMA</t>
        </is>
      </c>
      <c r="BG1093" s="7" t="inlineStr">
        <is>
          <t>PSA</t>
        </is>
      </c>
      <c r="BH1093" s="7" t="inlineStr">
        <is>
          <t>Res. Ex. N° 167/2001</t>
        </is>
      </c>
      <c r="BI1093" s="7" t="n"/>
      <c r="BJ1093" s="7" t="n"/>
      <c r="BK1093" s="144" t="inlineStr">
        <is>
          <t>532MAHTC</t>
        </is>
      </c>
      <c r="BL1093" s="144" t="inlineStr">
        <is>
          <t>GMAP-SIGA</t>
        </is>
      </c>
      <c r="BM1093" s="148" t="inlineStr">
        <is>
          <t>AP</t>
        </is>
      </c>
      <c r="BN1093" s="155" t="inlineStr">
        <is>
          <t>Huatacondo</t>
        </is>
      </c>
      <c r="BO1093" s="143" t="inlineStr">
        <is>
          <t>SI</t>
        </is>
      </c>
      <c r="BP1093" s="162" t="n"/>
      <c r="BQ1093" s="162" t="n"/>
      <c r="BR1093" s="162" t="n"/>
      <c r="BS1093" s="162" t="n"/>
      <c r="BT1093" s="162" t="n"/>
      <c r="BU1093" s="103" t="inlineStr">
        <is>
          <t>CAMPING</t>
        </is>
      </c>
      <c r="BV1093" s="178" t="n"/>
      <c r="BW1093" s="251" t="n"/>
      <c r="BX1093" s="251" t="n"/>
      <c r="BY1093" s="251" t="n"/>
      <c r="BZ1093" s="251" t="n"/>
      <c r="CA1093" s="251" t="n"/>
      <c r="CB1093" s="251" t="n"/>
      <c r="CC1093" s="251" t="n"/>
      <c r="CD1093" s="251" t="n"/>
      <c r="CE1093" s="251" t="n"/>
      <c r="CF1093" s="251" t="n"/>
      <c r="CG1093" s="251" t="n"/>
      <c r="CH1093" s="251" t="n"/>
      <c r="CI1093" s="251" t="n"/>
      <c r="CJ1093" s="251" t="n"/>
      <c r="CK1093" s="251" t="n"/>
      <c r="CL1093" s="251" t="n"/>
      <c r="CM1093" s="251" t="n"/>
      <c r="CN1093" s="251" t="n"/>
      <c r="CO1093" s="352" t="n"/>
      <c r="CP1093" s="251" t="n"/>
      <c r="CQ1093" s="251" t="n"/>
      <c r="CR1093" s="251" t="n"/>
      <c r="CS1093" s="251" t="n"/>
      <c r="CT1093" s="251" t="n"/>
      <c r="CU1093" s="251" t="n"/>
      <c r="CV1093" s="251" t="n"/>
      <c r="CW1093" s="251" t="n"/>
      <c r="CX1093" s="251" t="n"/>
      <c r="CY1093" s="251" t="n"/>
      <c r="CZ1093" s="124">
        <f>+COUNT(BV1093:CY1093)</f>
        <v/>
      </c>
      <c r="DA1093" s="124" t="n"/>
      <c r="DB1093" s="124" t="n"/>
      <c r="DC1093" s="124" t="n"/>
      <c r="DD1093" s="124" t="n"/>
      <c r="DE1093" s="124" t="n"/>
      <c r="DF1093" s="124" t="n"/>
      <c r="DG1093" s="124" t="n"/>
      <c r="DH1093" s="124" t="n"/>
      <c r="DI1093" s="124" t="n"/>
      <c r="DJ1093" s="251" t="inlineStr">
        <is>
          <t>SE ELIMINA</t>
        </is>
      </c>
      <c r="DK1093" s="251" t="n"/>
      <c r="DL1093" s="95" t="n"/>
      <c r="DM1093" s="251" t="inlineStr">
        <is>
          <t>N/A</t>
        </is>
      </c>
      <c r="DN1093" s="95" t="n"/>
      <c r="DO1093" s="95" t="n"/>
    </row>
    <row r="1094" ht="14.25" customHeight="1">
      <c r="A1094" s="145" t="inlineStr">
        <is>
          <t>HTC-3</t>
        </is>
      </c>
      <c r="B1094" s="153" t="n"/>
      <c r="C1094" s="146" t="n"/>
      <c r="D1094" s="7" t="inlineStr">
        <is>
          <t>SI</t>
        </is>
      </c>
      <c r="E1094" s="7" t="inlineStr">
        <is>
          <t>NO</t>
        </is>
      </c>
      <c r="F1094" s="7" t="inlineStr">
        <is>
          <t>SI</t>
        </is>
      </c>
      <c r="G1094" s="7" t="inlineStr">
        <is>
          <t>NO</t>
        </is>
      </c>
      <c r="H1094" s="7" t="n">
        <v>494608</v>
      </c>
      <c r="I1094" s="7" t="n">
        <v>7685975</v>
      </c>
      <c r="J1094" s="7" t="inlineStr">
        <is>
          <t>Punto de monitoreo no cumple el objetivo, se propone eliminar  (Anexo10.1)</t>
        </is>
      </c>
      <c r="K1094" s="7" t="inlineStr">
        <is>
          <t>-</t>
        </is>
      </c>
      <c r="L1094" s="7" t="inlineStr">
        <is>
          <t>Agua Potable</t>
        </is>
      </c>
      <c r="M1094" s="7" t="inlineStr">
        <is>
          <t>Cordillera</t>
        </is>
      </c>
      <c r="N1094" s="7" t="inlineStr">
        <is>
          <t>Llave</t>
        </is>
      </c>
      <c r="O1094" s="7" t="inlineStr">
        <is>
          <t>Michincha</t>
        </is>
      </c>
      <c r="P1094" s="7" t="inlineStr">
        <is>
          <t>NO</t>
        </is>
      </c>
      <c r="Q1094" s="7" t="inlineStr">
        <is>
          <t>-</t>
        </is>
      </c>
      <c r="R1094" s="7" t="inlineStr">
        <is>
          <t>-</t>
        </is>
      </c>
      <c r="S1094" s="7" t="inlineStr">
        <is>
          <t>-</t>
        </is>
      </c>
      <c r="T1094" s="7" t="inlineStr">
        <is>
          <t>NO</t>
        </is>
      </c>
      <c r="U1094" s="7" t="inlineStr">
        <is>
          <t>-</t>
        </is>
      </c>
      <c r="V1094" s="7" t="inlineStr">
        <is>
          <t>NO</t>
        </is>
      </c>
      <c r="W1094" s="7" t="inlineStr">
        <is>
          <t>-</t>
        </is>
      </c>
      <c r="X1094" s="7" t="inlineStr">
        <is>
          <t>NO</t>
        </is>
      </c>
      <c r="Y1094" s="7" t="inlineStr">
        <is>
          <t>-</t>
        </is>
      </c>
      <c r="Z1094" s="7" t="inlineStr">
        <is>
          <t>NO</t>
        </is>
      </c>
      <c r="AA1094" s="7" t="inlineStr">
        <is>
          <t>-</t>
        </is>
      </c>
      <c r="AB1094" s="7" t="inlineStr">
        <is>
          <t>NO</t>
        </is>
      </c>
      <c r="AC1094" s="7" t="inlineStr">
        <is>
          <t>-</t>
        </is>
      </c>
      <c r="AD1094" s="7" t="inlineStr">
        <is>
          <t>NO</t>
        </is>
      </c>
      <c r="AE1094" s="7" t="inlineStr">
        <is>
          <t>-</t>
        </is>
      </c>
      <c r="AF1094" s="7" t="inlineStr">
        <is>
          <t>-</t>
        </is>
      </c>
      <c r="AG1094" s="7" t="inlineStr">
        <is>
          <t>NO</t>
        </is>
      </c>
      <c r="AH1094" s="7" t="inlineStr">
        <is>
          <t>-</t>
        </is>
      </c>
      <c r="AI1094" s="7" t="inlineStr">
        <is>
          <t>NO</t>
        </is>
      </c>
      <c r="AJ1094" s="7" t="inlineStr">
        <is>
          <t>-</t>
        </is>
      </c>
      <c r="AK1094" s="60" t="inlineStr">
        <is>
          <t>NO</t>
        </is>
      </c>
      <c r="AL1094" s="7" t="inlineStr">
        <is>
          <t>-</t>
        </is>
      </c>
      <c r="AM1094" s="7" t="inlineStr">
        <is>
          <t>-</t>
        </is>
      </c>
      <c r="AN1094" s="60" t="inlineStr">
        <is>
          <t>Plan base+ N de nitritos+ CU disuelto+ N amoniacal</t>
        </is>
      </c>
      <c r="AO1094" s="7" t="inlineStr">
        <is>
          <t>Trimestral</t>
        </is>
      </c>
      <c r="AP1094" s="60" t="inlineStr">
        <is>
          <t>NO</t>
        </is>
      </c>
      <c r="AQ1094" s="7" t="inlineStr">
        <is>
          <t>-</t>
        </is>
      </c>
      <c r="AR1094" s="60" t="inlineStr">
        <is>
          <t>NO</t>
        </is>
      </c>
      <c r="AS1094" s="7" t="inlineStr">
        <is>
          <t>-</t>
        </is>
      </c>
      <c r="AT1094" s="7" t="inlineStr">
        <is>
          <t>SI</t>
        </is>
      </c>
      <c r="AU1094" s="7" t="inlineStr">
        <is>
          <t>Trimestral</t>
        </is>
      </c>
      <c r="AV1094" s="60" t="inlineStr">
        <is>
          <t>NO</t>
        </is>
      </c>
      <c r="AW1094" s="7" t="inlineStr">
        <is>
          <t>-</t>
        </is>
      </c>
      <c r="AX1094" s="7" t="inlineStr">
        <is>
          <t>NO</t>
        </is>
      </c>
      <c r="AY1094" s="7" t="inlineStr">
        <is>
          <t>-</t>
        </is>
      </c>
      <c r="AZ1094" s="7" t="inlineStr">
        <is>
          <t>NO</t>
        </is>
      </c>
      <c r="BA1094" s="7" t="inlineStr">
        <is>
          <t>-</t>
        </is>
      </c>
      <c r="BB1094" s="7" t="inlineStr">
        <is>
          <t>NO</t>
        </is>
      </c>
      <c r="BC1094" s="7" t="inlineStr">
        <is>
          <t>-</t>
        </is>
      </c>
      <c r="BD1094" s="7" t="inlineStr">
        <is>
          <t>NO</t>
        </is>
      </c>
      <c r="BE1094" s="7" t="inlineStr">
        <is>
          <t>-</t>
        </is>
      </c>
      <c r="BF1094" s="7" t="inlineStr">
        <is>
          <t>SMA</t>
        </is>
      </c>
      <c r="BG1094" s="7" t="inlineStr">
        <is>
          <t>PSA</t>
        </is>
      </c>
      <c r="BH1094" s="7" t="inlineStr">
        <is>
          <t>Res. Ex. N° 167/2001</t>
        </is>
      </c>
      <c r="BI1094" s="7" t="n"/>
      <c r="BJ1094" s="7" t="n"/>
      <c r="BK1094" s="144" t="inlineStr">
        <is>
          <t>S/TAG</t>
        </is>
      </c>
      <c r="BL1094" s="144" t="inlineStr">
        <is>
          <t>GMAP-SIGA</t>
        </is>
      </c>
      <c r="BM1094" s="148" t="inlineStr">
        <is>
          <t>AP</t>
        </is>
      </c>
      <c r="BN1094" s="155" t="inlineStr">
        <is>
          <t>Huatacondo</t>
        </is>
      </c>
      <c r="BO1094" s="143" t="inlineStr">
        <is>
          <t>SI</t>
        </is>
      </c>
      <c r="BP1094" s="162" t="n"/>
      <c r="BQ1094" s="162" t="n"/>
      <c r="BR1094" s="162" t="n"/>
      <c r="BS1094" s="162" t="n"/>
      <c r="BT1094" s="162" t="n"/>
      <c r="BU1094" s="103" t="inlineStr">
        <is>
          <t>ESTANQUE</t>
        </is>
      </c>
      <c r="BV1094" s="178" t="n"/>
      <c r="BW1094" s="251" t="n"/>
      <c r="BX1094" s="251" t="n"/>
      <c r="BY1094" s="251" t="n"/>
      <c r="BZ1094" s="251" t="n"/>
      <c r="CA1094" s="251" t="n"/>
      <c r="CB1094" s="251" t="n"/>
      <c r="CC1094" s="251" t="n"/>
      <c r="CD1094" s="251" t="n"/>
      <c r="CE1094" s="251" t="n"/>
      <c r="CF1094" s="251" t="n"/>
      <c r="CG1094" s="251" t="n"/>
      <c r="CH1094" s="251" t="n"/>
      <c r="CI1094" s="251" t="n"/>
      <c r="CJ1094" s="251" t="n"/>
      <c r="CK1094" s="251" t="n"/>
      <c r="CL1094" s="251" t="n"/>
      <c r="CM1094" s="251" t="n"/>
      <c r="CN1094" s="251" t="n"/>
      <c r="CO1094" s="352" t="n"/>
      <c r="CP1094" s="251" t="n"/>
      <c r="CQ1094" s="251" t="n"/>
      <c r="CR1094" s="251" t="n"/>
      <c r="CS1094" s="251" t="n"/>
      <c r="CT1094" s="251" t="n"/>
      <c r="CU1094" s="251" t="n"/>
      <c r="CV1094" s="251" t="n"/>
      <c r="CW1094" s="251" t="n"/>
      <c r="CX1094" s="251" t="n"/>
      <c r="CY1094" s="251" t="n"/>
      <c r="CZ1094" s="124">
        <f>+COUNT(BV1094:CY1094)</f>
        <v/>
      </c>
      <c r="DA1094" s="124" t="n"/>
      <c r="DB1094" s="124" t="n"/>
      <c r="DC1094" s="124" t="n"/>
      <c r="DD1094" s="124" t="n"/>
      <c r="DE1094" s="124" t="n"/>
      <c r="DF1094" s="124" t="n"/>
      <c r="DG1094" s="124" t="n"/>
      <c r="DH1094" s="124" t="n"/>
      <c r="DI1094" s="124" t="n"/>
      <c r="DJ1094" s="251" t="inlineStr">
        <is>
          <t>SE ELIMINA</t>
        </is>
      </c>
      <c r="DK1094" s="251" t="n"/>
      <c r="DL1094" s="95" t="n"/>
      <c r="DM1094" s="251" t="inlineStr">
        <is>
          <t>N/A</t>
        </is>
      </c>
      <c r="DN1094" s="95" t="n"/>
      <c r="DO1094" s="95" t="n"/>
    </row>
    <row r="1095" ht="14.25" customHeight="1">
      <c r="A1095" s="145" t="inlineStr">
        <is>
          <t>HTC-4A</t>
        </is>
      </c>
      <c r="B1095" s="153" t="n"/>
      <c r="C1095" s="146" t="n"/>
      <c r="D1095" s="7" t="inlineStr">
        <is>
          <t>SI</t>
        </is>
      </c>
      <c r="E1095" s="7" t="inlineStr">
        <is>
          <t>NO</t>
        </is>
      </c>
      <c r="F1095" s="7" t="inlineStr">
        <is>
          <t>SI</t>
        </is>
      </c>
      <c r="G1095" s="7" t="inlineStr">
        <is>
          <t>NO</t>
        </is>
      </c>
      <c r="H1095" s="7" t="n">
        <v>494251</v>
      </c>
      <c r="I1095" s="7" t="n">
        <v>7685800</v>
      </c>
      <c r="J1095" s="7" t="inlineStr">
        <is>
          <t>Punto de monitoreo no cumple el objetivo, se propone eliminar  (Anexo10.1)</t>
        </is>
      </c>
      <c r="K1095" s="7" t="inlineStr">
        <is>
          <t>-</t>
        </is>
      </c>
      <c r="L1095" s="7" t="inlineStr">
        <is>
          <t>Agua Potable</t>
        </is>
      </c>
      <c r="M1095" s="7" t="inlineStr">
        <is>
          <t>Cordillera</t>
        </is>
      </c>
      <c r="N1095" s="7" t="inlineStr">
        <is>
          <t>Llave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base+ N de nitritos+ CU disuelto+ N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4" t="inlineStr">
        <is>
          <t>S/TAG</t>
        </is>
      </c>
      <c r="BL1095" s="144" t="inlineStr">
        <is>
          <t>GMAP-SIGA</t>
        </is>
      </c>
      <c r="BM1095" s="148" t="inlineStr">
        <is>
          <t>AP</t>
        </is>
      </c>
      <c r="BN1095" s="155" t="inlineStr">
        <is>
          <t>Huatacondo</t>
        </is>
      </c>
      <c r="BO1095" s="143" t="inlineStr">
        <is>
          <t>SI</t>
        </is>
      </c>
      <c r="BP1095" s="162" t="n"/>
      <c r="BQ1095" s="162" t="n"/>
      <c r="BR1095" s="162" t="n"/>
      <c r="BS1095" s="162" t="n"/>
      <c r="BT1095" s="162" t="n"/>
      <c r="BU1095" s="103" t="inlineStr">
        <is>
          <t>CASA</t>
        </is>
      </c>
      <c r="BV1095" s="251" t="n"/>
      <c r="BW1095" s="251" t="n"/>
      <c r="BX1095" s="251" t="n"/>
      <c r="BY1095" s="251" t="n"/>
      <c r="BZ1095" s="251" t="n"/>
      <c r="CA1095" s="251" t="n"/>
      <c r="CB1095" s="251" t="n"/>
      <c r="CC1095" s="251" t="n"/>
      <c r="CD1095" s="251" t="n"/>
      <c r="CE1095" s="251" t="n"/>
      <c r="CF1095" s="251" t="n"/>
      <c r="CG1095" s="251" t="n"/>
      <c r="CH1095" s="251" t="n"/>
      <c r="CI1095" s="251" t="n"/>
      <c r="CJ1095" s="251" t="n"/>
      <c r="CK1095" s="251" t="n"/>
      <c r="CL1095" s="251" t="n"/>
      <c r="CM1095" s="251" t="n"/>
      <c r="CN1095" s="251" t="n"/>
      <c r="CO1095" s="352" t="n"/>
      <c r="CP1095" s="251" t="n"/>
      <c r="CQ1095" s="251" t="n"/>
      <c r="CR1095" s="251" t="n"/>
      <c r="CS1095" s="251" t="n"/>
      <c r="CT1095" s="251" t="n"/>
      <c r="CU1095" s="251" t="n"/>
      <c r="CV1095" s="251" t="n"/>
      <c r="CW1095" s="251" t="n"/>
      <c r="CX1095" s="251" t="n"/>
      <c r="CY1095" s="251" t="n"/>
      <c r="CZ1095" s="124">
        <f>+COUNT(BV1095:CY1095)</f>
        <v/>
      </c>
      <c r="DA1095" s="124" t="n"/>
      <c r="DB1095" s="124" t="n"/>
      <c r="DC1095" s="124" t="n"/>
      <c r="DD1095" s="124" t="n"/>
      <c r="DE1095" s="124" t="n"/>
      <c r="DF1095" s="124" t="n"/>
      <c r="DG1095" s="124" t="n"/>
      <c r="DH1095" s="124" t="n"/>
      <c r="DI1095" s="124" t="n"/>
      <c r="DJ1095" s="251" t="inlineStr">
        <is>
          <t>SE ELIMINA</t>
        </is>
      </c>
      <c r="DK1095" s="251" t="n"/>
      <c r="DL1095" s="95" t="n"/>
      <c r="DM1095" s="251" t="inlineStr">
        <is>
          <t>N/A</t>
        </is>
      </c>
      <c r="DN1095" s="95" t="n"/>
      <c r="DO1095" s="95" t="n"/>
    </row>
    <row r="1096" ht="14.25" customHeight="1">
      <c r="A1096" s="147" t="inlineStr">
        <is>
          <t>AR-256</t>
        </is>
      </c>
      <c r="B1096" s="151" t="n"/>
      <c r="C1096" s="108" t="n"/>
      <c r="D1096" s="7" t="inlineStr">
        <is>
          <t>MONITOREO INTERNO</t>
        </is>
      </c>
      <c r="E1096" s="7" t="inlineStr">
        <is>
          <t>NO</t>
        </is>
      </c>
      <c r="F1096" s="7" t="inlineStr">
        <is>
          <t>NO</t>
        </is>
      </c>
      <c r="G1096" s="7" t="inlineStr">
        <is>
          <t>NO</t>
        </is>
      </c>
      <c r="H1096" s="7" t="n">
        <v>532224.098098</v>
      </c>
      <c r="I1096" s="7" t="n">
        <v>7680624.81259</v>
      </c>
      <c r="J1096" s="7" t="inlineStr">
        <is>
          <t>Construido</t>
        </is>
      </c>
      <c r="K1096" s="7" t="inlineStr">
        <is>
          <t>-</t>
        </is>
      </c>
      <c r="L1096" s="7" t="inlineStr">
        <is>
          <t>Agua Subterránea</t>
        </is>
      </c>
      <c r="M1096" s="7" t="inlineStr">
        <is>
          <t>Cordillera</t>
        </is>
      </c>
      <c r="N1096" s="7" t="inlineStr">
        <is>
          <t>POZO</t>
        </is>
      </c>
      <c r="O1096" s="7" t="inlineStr">
        <is>
          <t>Rosario</t>
        </is>
      </c>
      <c r="P1096" s="7" t="inlineStr">
        <is>
          <t>NO</t>
        </is>
      </c>
      <c r="Q1096" s="7" t="inlineStr">
        <is>
          <t>-</t>
        </is>
      </c>
      <c r="R1096" s="7" t="inlineStr">
        <is>
          <t>-</t>
        </is>
      </c>
      <c r="S1096" s="7" t="inlineStr">
        <is>
          <t>-</t>
        </is>
      </c>
      <c r="T1096" s="7" t="inlineStr">
        <is>
          <t>SI</t>
        </is>
      </c>
      <c r="U1096" s="7" t="inlineStr">
        <is>
          <t>Bimestral</t>
        </is>
      </c>
      <c r="V1096" s="7" t="inlineStr">
        <is>
          <t>SI</t>
        </is>
      </c>
      <c r="W1096" s="7" t="inlineStr">
        <is>
          <t>Bimestral</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NO</t>
        </is>
      </c>
      <c r="AO1096" s="7" t="inlineStr">
        <is>
          <t>-</t>
        </is>
      </c>
      <c r="AP1096" s="60" t="inlineStr">
        <is>
          <t>NO</t>
        </is>
      </c>
      <c r="AQ1096" s="7" t="inlineStr">
        <is>
          <t>-</t>
        </is>
      </c>
      <c r="AR1096" s="60" t="inlineStr">
        <is>
          <t>NO</t>
        </is>
      </c>
      <c r="AS1096" s="7" t="inlineStr">
        <is>
          <t>-</t>
        </is>
      </c>
      <c r="AT1096" s="7" t="inlineStr">
        <is>
          <t>NO</t>
        </is>
      </c>
      <c r="AU1096" s="7" t="inlineStr">
        <is>
          <t>-</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No aplica</t>
        </is>
      </c>
      <c r="BG1096" s="7" t="inlineStr">
        <is>
          <t>Monitoreo interno</t>
        </is>
      </c>
      <c r="BH1096" s="7" t="inlineStr">
        <is>
          <t>No aplica</t>
        </is>
      </c>
      <c r="BI1096" s="7" t="inlineStr">
        <is>
          <t>Consultar si el punto de monitoreo se debe seguir monitoreando</t>
        </is>
      </c>
      <c r="BJ1096" s="7" t="n"/>
      <c r="BK1096" s="61" t="inlineStr">
        <is>
          <t>532MAAR256</t>
        </is>
      </c>
      <c r="BL1096" s="61" t="inlineStr">
        <is>
          <t>GMAP-SIGA</t>
        </is>
      </c>
      <c r="BM1096" s="251" t="inlineStr">
        <is>
          <t>ASUB</t>
        </is>
      </c>
      <c r="BN1096" s="337" t="inlineStr">
        <is>
          <t>Rosario</t>
        </is>
      </c>
      <c r="BO1096" s="251" t="inlineStr">
        <is>
          <t>NO</t>
        </is>
      </c>
      <c r="BP1096" s="253" t="n"/>
      <c r="BQ1096" s="253" t="n"/>
      <c r="BR1096" s="253" t="n"/>
      <c r="BS1096" s="253" t="n"/>
      <c r="BT1096" s="253" t="n"/>
      <c r="BU1096" s="102" t="inlineStr">
        <is>
          <t>SE ELIMINA</t>
        </is>
      </c>
      <c r="BV1096" s="251" t="n"/>
      <c r="BW1096" s="251" t="n"/>
      <c r="BX1096" s="251" t="n"/>
      <c r="BY1096" s="251" t="n"/>
      <c r="BZ1096" s="251" t="n"/>
      <c r="CA1096" s="251" t="n"/>
      <c r="CB1096" s="251" t="n"/>
      <c r="CC1096" s="251" t="n"/>
      <c r="CD1096" s="251" t="n"/>
      <c r="CE1096" s="251" t="n"/>
      <c r="CF1096" s="251" t="n"/>
      <c r="CG1096" s="251" t="n"/>
      <c r="CH1096" s="251" t="n"/>
      <c r="CI1096" s="251" t="n"/>
      <c r="CJ1096" s="251" t="n"/>
      <c r="CK1096" s="251" t="n"/>
      <c r="CL1096" s="251" t="n"/>
      <c r="CM1096" s="251" t="n"/>
      <c r="CN1096" s="251" t="n"/>
      <c r="CO1096" s="251" t="n"/>
      <c r="CP1096" s="251" t="n"/>
      <c r="CQ1096" s="251" t="n"/>
      <c r="CR1096" s="251" t="n"/>
      <c r="CS1096" s="251" t="n"/>
      <c r="CT1096" s="251" t="n"/>
      <c r="CU1096" s="251" t="n"/>
      <c r="CV1096" s="251" t="n"/>
      <c r="CW1096" s="251" t="n"/>
      <c r="CX1096" s="251" t="n"/>
      <c r="CY1096" s="251" t="n"/>
      <c r="CZ1096" s="124">
        <f>+COUNT(BV1096:CY1096)</f>
        <v/>
      </c>
      <c r="DA1096" s="124" t="n"/>
      <c r="DB1096" s="124" t="n"/>
      <c r="DC1096" s="124" t="n"/>
      <c r="DD1096" s="124" t="n"/>
      <c r="DE1096" s="124" t="n"/>
      <c r="DF1096" s="124" t="n"/>
      <c r="DG1096" s="124" t="n"/>
      <c r="DH1096" s="124" t="n"/>
      <c r="DI1096" s="124" t="n"/>
      <c r="DJ1096" s="251" t="inlineStr">
        <is>
          <t>SE ELIMINA</t>
        </is>
      </c>
      <c r="DK1096" s="251" t="n"/>
      <c r="DL1096" s="95" t="n"/>
      <c r="DM1096" s="251" t="inlineStr">
        <is>
          <t>N/A</t>
        </is>
      </c>
      <c r="DN1096" s="95" t="n"/>
      <c r="DO1096" s="95" t="n"/>
    </row>
    <row r="1097" ht="14.25" customHeight="1">
      <c r="A1097" s="147" t="inlineStr">
        <is>
          <t>CMW-07</t>
        </is>
      </c>
      <c r="B1097" s="151" t="n"/>
      <c r="C1097" s="108" t="n"/>
      <c r="D1097" s="7" t="inlineStr">
        <is>
          <t>SI</t>
        </is>
      </c>
      <c r="E1097" s="7" t="inlineStr">
        <is>
          <t>NO</t>
        </is>
      </c>
      <c r="F1097" s="7" t="inlineStr">
        <is>
          <t>SI</t>
        </is>
      </c>
      <c r="G1097" s="7" t="inlineStr">
        <is>
          <t>NO</t>
        </is>
      </c>
      <c r="H1097" s="7" t="n">
        <v>535821</v>
      </c>
      <c r="I1097" s="7" t="n">
        <v>7721624</v>
      </c>
      <c r="J1097" s="7" t="inlineStr">
        <is>
          <t>Dejará de ser parte de la red de monitoreo, información redundante Anexo 10.1</t>
        </is>
      </c>
      <c r="K1097" s="7" t="inlineStr">
        <is>
          <t>-</t>
        </is>
      </c>
      <c r="L1097" s="7" t="inlineStr">
        <is>
          <t>Agua Subterránea</t>
        </is>
      </c>
      <c r="M1097" s="7" t="inlineStr">
        <is>
          <t>Cordillera</t>
        </is>
      </c>
      <c r="N1097" s="7" t="inlineStr">
        <is>
          <t>POZO</t>
        </is>
      </c>
      <c r="O1097" s="7" t="inlineStr">
        <is>
          <t xml:space="preserve">Coposa Centro </t>
        </is>
      </c>
      <c r="P1097" s="7" t="inlineStr">
        <is>
          <t>NO</t>
        </is>
      </c>
      <c r="Q1097" s="7" t="inlineStr">
        <is>
          <t>-</t>
        </is>
      </c>
      <c r="R1097" s="7" t="inlineStr">
        <is>
          <t>-</t>
        </is>
      </c>
      <c r="S1097" s="7" t="inlineStr">
        <is>
          <t>-</t>
        </is>
      </c>
      <c r="T1097" s="7" t="inlineStr">
        <is>
          <t>SI</t>
        </is>
      </c>
      <c r="U1097" s="7" t="inlineStr">
        <is>
          <t>Mensual</t>
        </is>
      </c>
      <c r="V1097" s="7" t="inlineStr">
        <is>
          <t>SI</t>
        </is>
      </c>
      <c r="W1097" s="7" t="inlineStr">
        <is>
          <t>Mensual</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NO</t>
        </is>
      </c>
      <c r="AO1097" s="7" t="inlineStr">
        <is>
          <t>-</t>
        </is>
      </c>
      <c r="AP1097" s="60" t="inlineStr">
        <is>
          <t>NO</t>
        </is>
      </c>
      <c r="AQ1097" s="7" t="inlineStr">
        <is>
          <t>-</t>
        </is>
      </c>
      <c r="AR1097" s="60" t="inlineStr">
        <is>
          <t>NO</t>
        </is>
      </c>
      <c r="AS1097" s="7" t="inlineStr">
        <is>
          <t>-</t>
        </is>
      </c>
      <c r="AT1097" s="7" t="inlineStr">
        <is>
          <t>NO</t>
        </is>
      </c>
      <c r="AU1097" s="7" t="inlineStr">
        <is>
          <t>-</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144/2006</t>
        </is>
      </c>
      <c r="BI1097" s="7" t="n"/>
      <c r="BJ1097" s="7" t="n"/>
      <c r="BK1097" s="61" t="inlineStr">
        <is>
          <t>S/TAG</t>
        </is>
      </c>
      <c r="BL1097" s="61" t="inlineStr">
        <is>
          <t>GMAP-SIGA</t>
        </is>
      </c>
      <c r="BM1097" s="251" t="inlineStr">
        <is>
          <t>ASUB</t>
        </is>
      </c>
      <c r="BN1097" s="337" t="inlineStr">
        <is>
          <t xml:space="preserve">Coposa Centro </t>
        </is>
      </c>
      <c r="BO1097" s="251" t="inlineStr">
        <is>
          <t>SI</t>
        </is>
      </c>
      <c r="BP1097" s="253" t="n"/>
      <c r="BQ1097" s="253" t="n"/>
      <c r="BR1097" s="253" t="n"/>
      <c r="BS1097" s="253" t="n"/>
      <c r="BT1097" s="253" t="n"/>
      <c r="BU1097" s="123" t="inlineStr">
        <is>
          <t>SE ELIMINO (29-09-2023) X CMDIC</t>
        </is>
      </c>
      <c r="BV1097" s="251" t="n"/>
      <c r="BW1097" s="251" t="n"/>
      <c r="BX1097" s="251" t="n"/>
      <c r="BY1097" s="251" t="n"/>
      <c r="BZ1097" s="251" t="n"/>
      <c r="CA1097" s="251" t="n"/>
      <c r="CB1097" s="251" t="n"/>
      <c r="CC1097" s="251" t="n"/>
      <c r="CD1097" s="251" t="n"/>
      <c r="CE1097" s="251" t="n"/>
      <c r="CF1097" s="251" t="n"/>
      <c r="CG1097" s="251" t="n"/>
      <c r="CH1097" s="251" t="n"/>
      <c r="CI1097" s="251" t="n"/>
      <c r="CJ1097" s="251" t="n"/>
      <c r="CK1097" s="251" t="n"/>
      <c r="CL1097" s="251" t="n"/>
      <c r="CM1097" s="251" t="n"/>
      <c r="CN1097" s="251" t="n"/>
      <c r="CO1097" s="251" t="n"/>
      <c r="CP1097" s="251" t="n"/>
      <c r="CQ1097" s="251" t="n"/>
      <c r="CR1097" s="251" t="n"/>
      <c r="CS1097" s="251" t="n"/>
      <c r="CT1097" s="251" t="n"/>
      <c r="CU1097" s="251" t="n"/>
      <c r="CV1097" s="251" t="n"/>
      <c r="CW1097" s="251" t="n"/>
      <c r="CX1097" s="251" t="n"/>
      <c r="CY1097" s="251" t="n"/>
      <c r="CZ1097" s="124">
        <f>+COUNT(BV1097:CY1097)</f>
        <v/>
      </c>
      <c r="DA1097" s="124" t="n"/>
      <c r="DB1097" s="124" t="n"/>
      <c r="DC1097" s="124" t="n"/>
      <c r="DD1097" s="124" t="n"/>
      <c r="DE1097" s="124" t="n"/>
      <c r="DF1097" s="124" t="n"/>
      <c r="DG1097" s="124" t="n"/>
      <c r="DH1097" s="124" t="n"/>
      <c r="DI1097" s="124" t="n"/>
      <c r="DJ1097" s="251" t="inlineStr">
        <is>
          <t>SE ELIMINA</t>
        </is>
      </c>
      <c r="DK1097" s="251" t="n">
        <v>22</v>
      </c>
      <c r="DL1097" s="95" t="n">
        <v>28</v>
      </c>
      <c r="DM1097" s="251" t="inlineStr">
        <is>
          <t>N/A</t>
        </is>
      </c>
      <c r="DN1097" s="95" t="n"/>
      <c r="DO1097" s="95" t="n"/>
    </row>
    <row r="1098" ht="14.25" customHeight="1">
      <c r="A1098" s="147" t="inlineStr">
        <is>
          <t>CMW-09</t>
        </is>
      </c>
      <c r="B1098" s="151" t="n"/>
      <c r="C1098" s="108" t="n"/>
      <c r="D1098" s="7" t="inlineStr">
        <is>
          <t>SI</t>
        </is>
      </c>
      <c r="E1098" s="7" t="inlineStr">
        <is>
          <t>SI</t>
        </is>
      </c>
      <c r="F1098" s="7" t="inlineStr">
        <is>
          <t>SI</t>
        </is>
      </c>
      <c r="G1098" s="7" t="inlineStr">
        <is>
          <t>NO</t>
        </is>
      </c>
      <c r="H1098" s="7" t="n">
        <v>539820</v>
      </c>
      <c r="I1098" s="7" t="n">
        <v>7721623</v>
      </c>
      <c r="J1098" s="7" t="inlineStr">
        <is>
          <t>Construido</t>
        </is>
      </c>
      <c r="K1098" s="7" t="inlineStr">
        <is>
          <t>-</t>
        </is>
      </c>
      <c r="L1098" s="7" t="inlineStr">
        <is>
          <t>Agua Subterránea</t>
        </is>
      </c>
      <c r="M1098" s="7" t="inlineStr">
        <is>
          <t>Cordillera</t>
        </is>
      </c>
      <c r="N1098" s="7" t="inlineStr">
        <is>
          <t>Puntera</t>
        </is>
      </c>
      <c r="O1098" s="7" t="inlineStr">
        <is>
          <t>Salar de Coposa</t>
        </is>
      </c>
      <c r="P1098" s="7" t="inlineStr">
        <is>
          <t>SI</t>
        </is>
      </c>
      <c r="Q1098" s="7" t="inlineStr">
        <is>
          <t>Mensual</t>
        </is>
      </c>
      <c r="R1098" s="7" t="inlineStr">
        <is>
          <t>-</t>
        </is>
      </c>
      <c r="S1098" s="7" t="inlineStr">
        <is>
          <t>-</t>
        </is>
      </c>
      <c r="T1098" s="7" t="inlineStr">
        <is>
          <t>SI</t>
        </is>
      </c>
      <c r="U1098" s="7" t="inlineStr">
        <is>
          <t>Mensual</t>
        </is>
      </c>
      <c r="V1098" s="7" t="inlineStr">
        <is>
          <t>SI</t>
        </is>
      </c>
      <c r="W1098" s="7" t="inlineStr">
        <is>
          <t>Mensual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SMA</t>
        </is>
      </c>
      <c r="BG1098" s="7" t="inlineStr">
        <is>
          <t>PMA Frontera - PSA</t>
        </is>
      </c>
      <c r="BH1098" s="7" t="inlineStr">
        <is>
          <t>Res. Ex. N° 144/2006</t>
        </is>
      </c>
      <c r="BI1098" s="7" t="n"/>
      <c r="BJ1098" s="7" t="n"/>
      <c r="BK1098" s="61" t="inlineStr">
        <is>
          <t>S/TAG</t>
        </is>
      </c>
      <c r="BL1098" s="61" t="inlineStr">
        <is>
          <t>GMAP-SIGA</t>
        </is>
      </c>
      <c r="BM1098" s="251" t="inlineStr">
        <is>
          <t>ASUB</t>
        </is>
      </c>
      <c r="BN1098" s="337" t="inlineStr">
        <is>
          <t xml:space="preserve">Coposa Centro </t>
        </is>
      </c>
      <c r="BO1098" s="251" t="inlineStr">
        <is>
          <t>SI</t>
        </is>
      </c>
      <c r="BP1098" s="253" t="n"/>
      <c r="BQ1098" s="253" t="n"/>
      <c r="BR1098" s="253" t="n"/>
      <c r="BS1098" s="253" t="n"/>
      <c r="BT1098" s="253" t="n"/>
      <c r="BU1098" s="123" t="inlineStr">
        <is>
          <t>SE ELIMINO (29-09-2023) X CMDIC</t>
        </is>
      </c>
      <c r="BV1098" s="251" t="n"/>
      <c r="BW1098" s="251" t="n"/>
      <c r="BX1098" s="251" t="n"/>
      <c r="BY1098" s="251" t="n"/>
      <c r="BZ1098" s="251" t="n"/>
      <c r="CA1098" s="251" t="n"/>
      <c r="CB1098" s="251" t="n"/>
      <c r="CC1098" s="251" t="n"/>
      <c r="CD1098" s="251" t="n"/>
      <c r="CE1098" s="251" t="n"/>
      <c r="CF1098" s="251" t="n"/>
      <c r="CG1098" s="251" t="n"/>
      <c r="CH1098" s="251" t="n"/>
      <c r="CI1098" s="251" t="n"/>
      <c r="CJ1098" s="251" t="n"/>
      <c r="CK1098" s="251" t="n"/>
      <c r="CL1098" s="251" t="n"/>
      <c r="CM1098" s="251" t="n"/>
      <c r="CN1098" s="251" t="n"/>
      <c r="CO1098" s="251" t="n"/>
      <c r="CP1098" s="251" t="n"/>
      <c r="CQ1098" s="251" t="inlineStr">
        <is>
          <t>|</t>
        </is>
      </c>
      <c r="CR1098" s="251" t="n"/>
      <c r="CS1098" s="251" t="n"/>
      <c r="CT1098" s="251" t="n"/>
      <c r="CU1098" s="251" t="n"/>
      <c r="CV1098" s="251" t="n"/>
      <c r="CW1098" s="251" t="n"/>
      <c r="CX1098" s="251" t="n"/>
      <c r="CY1098" s="251" t="n"/>
      <c r="CZ1098" s="124">
        <f>+COUNT(BV1098:CY1098)</f>
        <v/>
      </c>
      <c r="DA1098" s="124" t="n"/>
      <c r="DB1098" s="124" t="n"/>
      <c r="DC1098" s="124" t="n"/>
      <c r="DD1098" s="124" t="n"/>
      <c r="DE1098" s="124" t="n"/>
      <c r="DF1098" s="124" t="n"/>
      <c r="DG1098" s="124" t="n"/>
      <c r="DH1098" s="124" t="n"/>
      <c r="DI1098" s="124" t="n"/>
      <c r="DJ1098" s="251" t="inlineStr">
        <is>
          <t>SE ELIMINA</t>
        </is>
      </c>
      <c r="DK1098" s="251" t="n">
        <v>8</v>
      </c>
      <c r="DL1098" s="95" t="n">
        <v>14</v>
      </c>
      <c r="DM1098" s="251" t="inlineStr">
        <is>
          <t>N/A</t>
        </is>
      </c>
      <c r="DN1098" s="95" t="n"/>
      <c r="DO1098" s="95" t="n"/>
    </row>
    <row r="1099" ht="14.25" customHeight="1">
      <c r="A1099" s="147" t="inlineStr">
        <is>
          <t>CMW-10</t>
        </is>
      </c>
      <c r="B1099" s="151" t="n"/>
      <c r="C1099" s="108" t="n"/>
      <c r="D1099" s="7" t="inlineStr">
        <is>
          <t>SI</t>
        </is>
      </c>
      <c r="E1099" s="7" t="inlineStr">
        <is>
          <t>NO</t>
        </is>
      </c>
      <c r="F1099" s="7" t="inlineStr">
        <is>
          <t>SI</t>
        </is>
      </c>
      <c r="G1099" s="7" t="inlineStr">
        <is>
          <t>NO</t>
        </is>
      </c>
      <c r="H1099" s="7" t="n">
        <v>534818</v>
      </c>
      <c r="I1099" s="7" t="n">
        <v>7720625</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1" t="inlineStr">
        <is>
          <t>ASUB</t>
        </is>
      </c>
      <c r="BN1099" s="337" t="inlineStr">
        <is>
          <t xml:space="preserve">Coposa Centro </t>
        </is>
      </c>
      <c r="BO1099" s="251" t="inlineStr">
        <is>
          <t>SI</t>
        </is>
      </c>
      <c r="BP1099" s="253" t="n"/>
      <c r="BQ1099" s="253" t="n"/>
      <c r="BR1099" s="253" t="n"/>
      <c r="BS1099" s="253" t="n"/>
      <c r="BT1099" s="253" t="n"/>
      <c r="BU1099" s="123" t="inlineStr">
        <is>
          <t>SE ELIMINO (29-09-2023) X CMDIC</t>
        </is>
      </c>
      <c r="BV1099" s="251" t="n"/>
      <c r="BW1099" s="251" t="n"/>
      <c r="BX1099" s="251" t="n"/>
      <c r="BY1099" s="251" t="n"/>
      <c r="BZ1099" s="251" t="n"/>
      <c r="CA1099" s="251" t="n"/>
      <c r="CB1099" s="251" t="n"/>
      <c r="CC1099" s="251" t="n"/>
      <c r="CD1099" s="251" t="n"/>
      <c r="CE1099" s="251" t="n"/>
      <c r="CF1099" s="251" t="n"/>
      <c r="CG1099" s="251" t="n"/>
      <c r="CH1099" s="251" t="n"/>
      <c r="CI1099" s="251" t="n"/>
      <c r="CJ1099" s="251" t="n"/>
      <c r="CK1099" s="251" t="n"/>
      <c r="CL1099" s="251" t="n"/>
      <c r="CM1099" s="251" t="n"/>
      <c r="CN1099" s="251" t="n"/>
      <c r="CO1099" s="251" t="n"/>
      <c r="CP1099" s="251" t="n"/>
      <c r="CQ1099" s="251" t="n"/>
      <c r="CR1099" s="251" t="n"/>
      <c r="CS1099" s="251" t="n"/>
      <c r="CT1099" s="251" t="n"/>
      <c r="CU1099" s="251" t="n"/>
      <c r="CV1099" s="251" t="n"/>
      <c r="CW1099" s="251" t="n"/>
      <c r="CX1099" s="251" t="n"/>
      <c r="CY1099" s="251" t="n"/>
      <c r="CZ1099" s="124">
        <f>+COUNT(BV1099:CY1099)</f>
        <v/>
      </c>
      <c r="DA1099" s="124" t="n"/>
      <c r="DB1099" s="124" t="n"/>
      <c r="DC1099" s="124" t="n"/>
      <c r="DD1099" s="124" t="n"/>
      <c r="DE1099" s="124" t="n"/>
      <c r="DF1099" s="124" t="n"/>
      <c r="DG1099" s="124" t="n"/>
      <c r="DH1099" s="124" t="n"/>
      <c r="DI1099" s="124" t="n"/>
      <c r="DJ1099" s="251" t="inlineStr">
        <is>
          <t>SE ELIMINA</t>
        </is>
      </c>
      <c r="DK1099" s="251" t="n">
        <v>22</v>
      </c>
      <c r="DL1099" s="95" t="n">
        <v>28</v>
      </c>
      <c r="DM1099" s="251" t="inlineStr">
        <is>
          <t>N/A</t>
        </is>
      </c>
      <c r="DN1099" s="95" t="n"/>
      <c r="DO1099" s="95" t="n"/>
    </row>
    <row r="1100" ht="14.25" customHeight="1">
      <c r="A1100" s="147" t="inlineStr">
        <is>
          <t>CMW-14</t>
        </is>
      </c>
      <c r="B1100" s="151" t="n"/>
      <c r="C1100" s="108" t="n"/>
      <c r="D1100" s="7" t="inlineStr">
        <is>
          <t>SI</t>
        </is>
      </c>
      <c r="E1100" s="7" t="inlineStr">
        <is>
          <t>NO</t>
        </is>
      </c>
      <c r="F1100" s="7" t="inlineStr">
        <is>
          <t>SI</t>
        </is>
      </c>
      <c r="G1100" s="7" t="inlineStr">
        <is>
          <t>NO</t>
        </is>
      </c>
      <c r="H1100" s="7" t="n">
        <v>533818</v>
      </c>
      <c r="I1100" s="7" t="n">
        <v>7719627</v>
      </c>
      <c r="J1100" s="7" t="inlineStr">
        <is>
          <t>Dejará de ser parte de la red de monitoreo, información redundante Anexo 10.1</t>
        </is>
      </c>
      <c r="K1100" s="7" t="inlineStr">
        <is>
          <t>-</t>
        </is>
      </c>
      <c r="L1100" s="7" t="inlineStr">
        <is>
          <t>Agua Subterránea</t>
        </is>
      </c>
      <c r="M1100" s="7" t="inlineStr">
        <is>
          <t>Cordillera</t>
        </is>
      </c>
      <c r="N1100" s="7" t="inlineStr">
        <is>
          <t>POZO</t>
        </is>
      </c>
      <c r="O1100" s="7" t="inlineStr">
        <is>
          <t xml:space="preserve">Coposa Centro </t>
        </is>
      </c>
      <c r="P1100" s="7" t="inlineStr">
        <is>
          <t>NO</t>
        </is>
      </c>
      <c r="Q1100" s="7" t="inlineStr">
        <is>
          <t>-</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PSA</t>
        </is>
      </c>
      <c r="BH1100" s="7" t="inlineStr">
        <is>
          <t>Res. Ex. N° 144/2006</t>
        </is>
      </c>
      <c r="BI1100" s="7" t="n"/>
      <c r="BJ1100" s="7" t="n"/>
      <c r="BK1100" s="61" t="inlineStr">
        <is>
          <t>S/TAG</t>
        </is>
      </c>
      <c r="BL1100" s="61" t="inlineStr">
        <is>
          <t>GMAP-SIGA</t>
        </is>
      </c>
      <c r="BM1100" s="251" t="inlineStr">
        <is>
          <t>ASUB</t>
        </is>
      </c>
      <c r="BN1100" s="337" t="inlineStr">
        <is>
          <t xml:space="preserve">Coposa Centro </t>
        </is>
      </c>
      <c r="BO1100" s="251" t="inlineStr">
        <is>
          <t>SI</t>
        </is>
      </c>
      <c r="BP1100" s="253" t="n"/>
      <c r="BQ1100" s="253" t="n"/>
      <c r="BR1100" s="253" t="n"/>
      <c r="BS1100" s="253" t="n"/>
      <c r="BT1100" s="253" t="n"/>
      <c r="BU1100" s="123" t="inlineStr">
        <is>
          <t>SE ELIMINO (29-09-2023) X CMDIC</t>
        </is>
      </c>
      <c r="BV1100" s="251" t="n"/>
      <c r="BW1100" s="251" t="n"/>
      <c r="BX1100" s="251" t="n"/>
      <c r="BY1100" s="251" t="n"/>
      <c r="BZ1100" s="251" t="n"/>
      <c r="CA1100" s="251" t="n"/>
      <c r="CB1100" s="251" t="n"/>
      <c r="CC1100" s="251" t="n"/>
      <c r="CD1100" s="251" t="n"/>
      <c r="CE1100" s="251" t="n"/>
      <c r="CF1100" s="251" t="n"/>
      <c r="CG1100" s="251" t="n"/>
      <c r="CH1100" s="251" t="n"/>
      <c r="CI1100" s="251" t="n"/>
      <c r="CJ1100" s="251" t="n"/>
      <c r="CK1100" s="251" t="n"/>
      <c r="CL1100" s="251" t="n"/>
      <c r="CM1100" s="251" t="n"/>
      <c r="CN1100" s="251" t="n"/>
      <c r="CO1100" s="251" t="n"/>
      <c r="CP1100" s="251" t="n"/>
      <c r="CQ1100" s="251" t="n"/>
      <c r="CR1100" s="251" t="n"/>
      <c r="CS1100" s="251" t="n"/>
      <c r="CT1100" s="251" t="n"/>
      <c r="CU1100" s="251" t="n"/>
      <c r="CV1100" s="251" t="n"/>
      <c r="CW1100" s="251" t="n"/>
      <c r="CX1100" s="251" t="n"/>
      <c r="CY1100" s="251" t="n"/>
      <c r="CZ1100" s="124">
        <f>+COUNT(BV1100:CY1100)</f>
        <v/>
      </c>
      <c r="DA1100" s="124" t="n"/>
      <c r="DB1100" s="124" t="n"/>
      <c r="DC1100" s="124" t="n"/>
      <c r="DD1100" s="124" t="n"/>
      <c r="DE1100" s="124" t="n"/>
      <c r="DF1100" s="124" t="n"/>
      <c r="DG1100" s="124" t="n"/>
      <c r="DH1100" s="124" t="n"/>
      <c r="DI1100" s="124" t="n"/>
      <c r="DJ1100" s="251" t="inlineStr">
        <is>
          <t>SE ELIMINA</t>
        </is>
      </c>
      <c r="DK1100" s="251" t="n">
        <v>22</v>
      </c>
      <c r="DL1100" s="95" t="n">
        <v>28</v>
      </c>
      <c r="DM1100" s="251" t="inlineStr">
        <is>
          <t>N/A</t>
        </is>
      </c>
      <c r="DN1100" s="95" t="n"/>
      <c r="DO1100" s="95" t="n"/>
    </row>
    <row r="1101" ht="14.25" customHeight="1">
      <c r="A1101" s="147" t="inlineStr">
        <is>
          <t>CMW-16</t>
        </is>
      </c>
      <c r="B1101" s="151" t="n"/>
      <c r="C1101" s="108" t="n"/>
      <c r="D1101" s="7" t="inlineStr">
        <is>
          <t>SI</t>
        </is>
      </c>
      <c r="E1101" s="7" t="inlineStr">
        <is>
          <t>NO</t>
        </is>
      </c>
      <c r="F1101" s="7" t="inlineStr">
        <is>
          <t>SI</t>
        </is>
      </c>
      <c r="G1101" s="7" t="inlineStr">
        <is>
          <t>NO</t>
        </is>
      </c>
      <c r="H1101" s="7" t="n">
        <v>537820</v>
      </c>
      <c r="I1101" s="7" t="n">
        <v>7719624</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1" t="inlineStr">
        <is>
          <t>ASUB</t>
        </is>
      </c>
      <c r="BN1101" s="337" t="inlineStr">
        <is>
          <t xml:space="preserve">Coposa Centro </t>
        </is>
      </c>
      <c r="BO1101" s="251" t="inlineStr">
        <is>
          <t>SI</t>
        </is>
      </c>
      <c r="BP1101" s="253" t="n"/>
      <c r="BQ1101" s="253" t="n"/>
      <c r="BR1101" s="253" t="n"/>
      <c r="BS1101" s="253" t="n"/>
      <c r="BT1101" s="253" t="n"/>
      <c r="BU1101" s="123" t="inlineStr">
        <is>
          <t>SE ELIMINO (29-09-2023) X CMDIC</t>
        </is>
      </c>
      <c r="BV1101" s="251" t="n"/>
      <c r="BW1101" s="251" t="n"/>
      <c r="BX1101" s="251" t="n"/>
      <c r="BY1101" s="251" t="n"/>
      <c r="BZ1101" s="251" t="n"/>
      <c r="CA1101" s="251" t="n"/>
      <c r="CB1101" s="251" t="n"/>
      <c r="CC1101" s="251" t="n"/>
      <c r="CD1101" s="251" t="n"/>
      <c r="CE1101" s="251" t="n"/>
      <c r="CF1101" s="251" t="n"/>
      <c r="CG1101" s="251" t="n"/>
      <c r="CH1101" s="251" t="n"/>
      <c r="CI1101" s="251" t="n"/>
      <c r="CJ1101" s="251" t="n"/>
      <c r="CK1101" s="251" t="n"/>
      <c r="CL1101" s="251" t="n"/>
      <c r="CM1101" s="251" t="n"/>
      <c r="CN1101" s="251" t="n"/>
      <c r="CO1101" s="251" t="n"/>
      <c r="CP1101" s="251" t="n"/>
      <c r="CQ1101" s="251" t="n"/>
      <c r="CR1101" s="251" t="n"/>
      <c r="CS1101" s="251" t="n"/>
      <c r="CT1101" s="251" t="n"/>
      <c r="CU1101" s="251" t="n"/>
      <c r="CV1101" s="251" t="n"/>
      <c r="CW1101" s="251" t="n"/>
      <c r="CX1101" s="251" t="n"/>
      <c r="CY1101" s="251" t="n"/>
      <c r="CZ1101" s="124">
        <f>+COUNT(BV1101:CY1101)</f>
        <v/>
      </c>
      <c r="DA1101" s="124" t="n"/>
      <c r="DB1101" s="124" t="n"/>
      <c r="DC1101" s="124" t="n"/>
      <c r="DD1101" s="124" t="n"/>
      <c r="DE1101" s="124" t="n"/>
      <c r="DF1101" s="124" t="n"/>
      <c r="DG1101" s="124" t="n"/>
      <c r="DH1101" s="124" t="n"/>
      <c r="DI1101" s="124" t="n"/>
      <c r="DJ1101" s="251" t="inlineStr">
        <is>
          <t>SE ELIMINA</t>
        </is>
      </c>
      <c r="DK1101" s="251" t="n">
        <v>22</v>
      </c>
      <c r="DL1101" s="95" t="n">
        <v>28</v>
      </c>
      <c r="DM1101" s="251" t="inlineStr">
        <is>
          <t>N/A</t>
        </is>
      </c>
      <c r="DN1101" s="95" t="n"/>
      <c r="DO1101" s="95" t="n"/>
    </row>
    <row r="1102" ht="14.25" customHeight="1">
      <c r="A1102" s="147" t="inlineStr">
        <is>
          <t>CMW-17B</t>
        </is>
      </c>
      <c r="B1102" s="151" t="n"/>
      <c r="C1102" s="108" t="n"/>
      <c r="D1102" s="7" t="inlineStr">
        <is>
          <t>SI</t>
        </is>
      </c>
      <c r="E1102" s="7" t="inlineStr">
        <is>
          <t>NO</t>
        </is>
      </c>
      <c r="F1102" s="7" t="inlineStr">
        <is>
          <t>SI</t>
        </is>
      </c>
      <c r="G1102" s="7" t="inlineStr">
        <is>
          <t>NO</t>
        </is>
      </c>
      <c r="H1102" s="7" t="n">
        <v>532818</v>
      </c>
      <c r="I1102" s="7" t="n">
        <v>7718626.25985</v>
      </c>
      <c r="J1102" s="7" t="inlineStr">
        <is>
          <t>Construido</t>
        </is>
      </c>
      <c r="K1102" s="7" t="inlineStr">
        <is>
          <t>-</t>
        </is>
      </c>
      <c r="L1102" s="7" t="inlineStr">
        <is>
          <t>Agua Subterránea</t>
        </is>
      </c>
      <c r="M1102" s="7" t="inlineStr">
        <is>
          <t>Cordillera</t>
        </is>
      </c>
      <c r="N1102" s="7" t="inlineStr">
        <is>
          <t>POZO</t>
        </is>
      </c>
      <c r="O1102" s="7" t="inlineStr">
        <is>
          <t>Coposa Centro</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1" t="inlineStr">
        <is>
          <t>ASUB</t>
        </is>
      </c>
      <c r="BN1102" s="337" t="inlineStr">
        <is>
          <t xml:space="preserve">Coposa Centro </t>
        </is>
      </c>
      <c r="BO1102" s="251" t="inlineStr">
        <is>
          <t>SI</t>
        </is>
      </c>
      <c r="BP1102" s="253" t="n"/>
      <c r="BQ1102" s="253" t="n"/>
      <c r="BR1102" s="253" t="n"/>
      <c r="BS1102" s="253" t="n"/>
      <c r="BT1102" s="253" t="n"/>
      <c r="BU1102" s="123" t="inlineStr">
        <is>
          <t>SE ELIMINO (29-09-2023) X CMDIC</t>
        </is>
      </c>
      <c r="BV1102" s="251" t="n"/>
      <c r="BW1102" s="251" t="n"/>
      <c r="BX1102" s="251" t="n"/>
      <c r="BY1102" s="251" t="n"/>
      <c r="BZ1102" s="251" t="n"/>
      <c r="CA1102" s="251" t="n"/>
      <c r="CB1102" s="251" t="n"/>
      <c r="CC1102" s="251" t="n"/>
      <c r="CD1102" s="251" t="n"/>
      <c r="CE1102" s="251" t="n"/>
      <c r="CF1102" s="251" t="n"/>
      <c r="CG1102" s="251" t="n"/>
      <c r="CH1102" s="251" t="n"/>
      <c r="CI1102" s="251" t="n"/>
      <c r="CJ1102" s="251" t="n"/>
      <c r="CK1102" s="251" t="n"/>
      <c r="CL1102" s="251" t="n"/>
      <c r="CM1102" s="251" t="n"/>
      <c r="CN1102" s="251" t="n"/>
      <c r="CO1102" s="251" t="n"/>
      <c r="CP1102" s="251" t="n"/>
      <c r="CQ1102" s="251" t="n"/>
      <c r="CR1102" s="251" t="n"/>
      <c r="CS1102" s="251" t="n"/>
      <c r="CT1102" s="251" t="n"/>
      <c r="CU1102" s="251" t="n"/>
      <c r="CV1102" s="251" t="n"/>
      <c r="CW1102" s="251" t="n"/>
      <c r="CX1102" s="251" t="n"/>
      <c r="CY1102" s="251" t="n"/>
      <c r="CZ1102" s="124">
        <f>+COUNT(BV1102:CY1102)</f>
        <v/>
      </c>
      <c r="DA1102" s="124" t="n"/>
      <c r="DB1102" s="124" t="n"/>
      <c r="DC1102" s="124" t="n"/>
      <c r="DD1102" s="124" t="n"/>
      <c r="DE1102" s="124" t="n"/>
      <c r="DF1102" s="124" t="n"/>
      <c r="DG1102" s="124" t="n"/>
      <c r="DH1102" s="124" t="n"/>
      <c r="DI1102" s="124" t="n"/>
      <c r="DJ1102" s="251" t="inlineStr">
        <is>
          <t>SE ELIMINA</t>
        </is>
      </c>
      <c r="DK1102" s="251" t="n">
        <v>22</v>
      </c>
      <c r="DL1102" s="95" t="n">
        <v>28</v>
      </c>
      <c r="DM1102" s="251" t="inlineStr">
        <is>
          <t>N/A</t>
        </is>
      </c>
      <c r="DN1102" s="95" t="n"/>
      <c r="DO1102" s="95" t="n"/>
    </row>
    <row r="1103" ht="14.25" customHeight="1">
      <c r="A1103" s="147" t="inlineStr">
        <is>
          <t>CMW-19</t>
        </is>
      </c>
      <c r="B1103" s="151" t="n"/>
      <c r="C1103" s="108" t="n"/>
      <c r="D1103" s="7" t="inlineStr">
        <is>
          <t>SI</t>
        </is>
      </c>
      <c r="E1103" s="7" t="inlineStr">
        <is>
          <t>NO</t>
        </is>
      </c>
      <c r="F1103" s="7" t="inlineStr">
        <is>
          <t>SI</t>
        </is>
      </c>
      <c r="G1103" s="7" t="inlineStr">
        <is>
          <t>NO</t>
        </is>
      </c>
      <c r="H1103" s="7" t="n">
        <v>536818</v>
      </c>
      <c r="I1103" s="7" t="n">
        <v>7718625</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1" t="inlineStr">
        <is>
          <t>ASUB</t>
        </is>
      </c>
      <c r="BN1103" s="337" t="inlineStr">
        <is>
          <t xml:space="preserve">Coposa Centro </t>
        </is>
      </c>
      <c r="BO1103" s="251" t="inlineStr">
        <is>
          <t>SI</t>
        </is>
      </c>
      <c r="BP1103" s="253" t="n"/>
      <c r="BQ1103" s="253" t="n"/>
      <c r="BR1103" s="253" t="n"/>
      <c r="BS1103" s="253" t="n"/>
      <c r="BT1103" s="253" t="n"/>
      <c r="BU1103" s="123" t="inlineStr">
        <is>
          <t>SE ELIMINO (29-09-2023) X CMDIC</t>
        </is>
      </c>
      <c r="BV1103" s="251" t="n"/>
      <c r="BW1103" s="251" t="n"/>
      <c r="BX1103" s="251" t="n"/>
      <c r="BY1103" s="251" t="n"/>
      <c r="BZ1103" s="251" t="n"/>
      <c r="CA1103" s="251" t="n"/>
      <c r="CB1103" s="251" t="n"/>
      <c r="CC1103" s="251" t="n"/>
      <c r="CD1103" s="251" t="n"/>
      <c r="CE1103" s="251" t="n"/>
      <c r="CF1103" s="251" t="n"/>
      <c r="CG1103" s="251" t="n"/>
      <c r="CH1103" s="251" t="n"/>
      <c r="CI1103" s="251" t="n"/>
      <c r="CJ1103" s="251" t="n"/>
      <c r="CK1103" s="251" t="n"/>
      <c r="CL1103" s="251" t="n"/>
      <c r="CM1103" s="251" t="n"/>
      <c r="CN1103" s="251" t="n"/>
      <c r="CO1103" s="251" t="n"/>
      <c r="CP1103" s="251" t="n"/>
      <c r="CQ1103" s="251" t="n"/>
      <c r="CR1103" s="251" t="n"/>
      <c r="CS1103" s="251" t="n"/>
      <c r="CT1103" s="251" t="n"/>
      <c r="CU1103" s="251" t="n"/>
      <c r="CV1103" s="251" t="n"/>
      <c r="CW1103" s="251" t="n"/>
      <c r="CX1103" s="251" t="n"/>
      <c r="CY1103" s="251" t="n"/>
      <c r="CZ1103" s="124">
        <f>+COUNT(BV1103:CY1103)</f>
        <v/>
      </c>
      <c r="DA1103" s="124" t="n"/>
      <c r="DB1103" s="124" t="n"/>
      <c r="DC1103" s="124" t="n"/>
      <c r="DD1103" s="124" t="n"/>
      <c r="DE1103" s="124" t="n"/>
      <c r="DF1103" s="124" t="n"/>
      <c r="DG1103" s="124" t="n"/>
      <c r="DH1103" s="124" t="n"/>
      <c r="DI1103" s="124" t="n"/>
      <c r="DJ1103" s="251" t="inlineStr">
        <is>
          <t>SE ELIMINA</t>
        </is>
      </c>
      <c r="DK1103" s="251" t="n">
        <v>22</v>
      </c>
      <c r="DL1103" s="95" t="n">
        <v>28</v>
      </c>
      <c r="DM1103" s="251" t="inlineStr">
        <is>
          <t>N/A</t>
        </is>
      </c>
      <c r="DN1103" s="95" t="n"/>
      <c r="DO1103" s="95" t="n"/>
    </row>
    <row r="1104" ht="14.25" customHeight="1">
      <c r="A1104" s="147" t="inlineStr">
        <is>
          <t>CMW-24</t>
        </is>
      </c>
      <c r="B1104" s="151" t="n"/>
      <c r="C1104" s="108" t="n"/>
      <c r="D1104" s="7" t="inlineStr">
        <is>
          <t>SI</t>
        </is>
      </c>
      <c r="E1104" s="7" t="inlineStr">
        <is>
          <t>NO</t>
        </is>
      </c>
      <c r="F1104" s="7" t="inlineStr">
        <is>
          <t>SI</t>
        </is>
      </c>
      <c r="G1104" s="7" t="inlineStr">
        <is>
          <t>NO</t>
        </is>
      </c>
      <c r="H1104" s="7" t="n">
        <v>535816</v>
      </c>
      <c r="I1104" s="7" t="n">
        <v>7717625</v>
      </c>
      <c r="J1104" s="7" t="inlineStr">
        <is>
          <t>Dejará de ser parte de la red de monitoreo, información redundante Anexo 10.1</t>
        </is>
      </c>
      <c r="K1104" s="7" t="inlineStr">
        <is>
          <t>-</t>
        </is>
      </c>
      <c r="L1104" s="7" t="inlineStr">
        <is>
          <t>Agua Subterránea</t>
        </is>
      </c>
      <c r="M1104" s="7" t="inlineStr">
        <is>
          <t>Cordillera</t>
        </is>
      </c>
      <c r="N1104" s="7" t="inlineStr">
        <is>
          <t>POZO</t>
        </is>
      </c>
      <c r="O1104" s="7" t="inlineStr">
        <is>
          <t xml:space="preserve">Coposa Centro </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mas</t>
        </is>
      </c>
      <c r="BL1104" s="61" t="inlineStr">
        <is>
          <t>GMAP-SIGA</t>
        </is>
      </c>
      <c r="BM1104" s="251" t="inlineStr">
        <is>
          <t>ASUB</t>
        </is>
      </c>
      <c r="BN1104" s="337" t="inlineStr">
        <is>
          <t xml:space="preserve">Coposa Centro </t>
        </is>
      </c>
      <c r="BO1104" s="251" t="inlineStr">
        <is>
          <t>SI</t>
        </is>
      </c>
      <c r="BP1104" s="253" t="n"/>
      <c r="BQ1104" s="253" t="n"/>
      <c r="BR1104" s="253" t="n"/>
      <c r="BS1104" s="253" t="n"/>
      <c r="BT1104" s="253" t="n"/>
      <c r="BU1104" s="123" t="inlineStr">
        <is>
          <t>SE ELIMINO (29-09-2023) X CMDIC</t>
        </is>
      </c>
      <c r="BV1104" s="251" t="n"/>
      <c r="BW1104" s="251" t="n"/>
      <c r="BX1104" s="251" t="n"/>
      <c r="BY1104" s="251" t="n"/>
      <c r="BZ1104" s="251" t="n"/>
      <c r="CA1104" s="251" t="n"/>
      <c r="CB1104" s="251" t="n"/>
      <c r="CC1104" s="251" t="n"/>
      <c r="CD1104" s="251" t="n"/>
      <c r="CE1104" s="251" t="n"/>
      <c r="CF1104" s="251" t="n"/>
      <c r="CG1104" s="251" t="n"/>
      <c r="CH1104" s="251" t="n"/>
      <c r="CI1104" s="251" t="n"/>
      <c r="CJ1104" s="251" t="n"/>
      <c r="CK1104" s="251" t="n"/>
      <c r="CL1104" s="251" t="n"/>
      <c r="CM1104" s="251" t="n"/>
      <c r="CN1104" s="251" t="n"/>
      <c r="CO1104" s="251" t="n"/>
      <c r="CP1104" s="251" t="n"/>
      <c r="CQ1104" s="251" t="n"/>
      <c r="CR1104" s="251" t="n"/>
      <c r="CS1104" s="251" t="n"/>
      <c r="CT1104" s="251" t="n"/>
      <c r="CU1104" s="251" t="n"/>
      <c r="CV1104" s="251" t="n"/>
      <c r="CW1104" s="251" t="n"/>
      <c r="CX1104" s="251" t="n"/>
      <c r="CY1104" s="251" t="n"/>
      <c r="CZ1104" s="124">
        <f>+COUNT(BV1104:CY1104)</f>
        <v/>
      </c>
      <c r="DA1104" s="124" t="n"/>
      <c r="DB1104" s="124" t="n"/>
      <c r="DC1104" s="124" t="n"/>
      <c r="DD1104" s="124" t="n"/>
      <c r="DE1104" s="124" t="n"/>
      <c r="DF1104" s="124" t="n"/>
      <c r="DG1104" s="124" t="n"/>
      <c r="DH1104" s="124" t="n"/>
      <c r="DI1104" s="124" t="n"/>
      <c r="DJ1104" s="251" t="inlineStr">
        <is>
          <t>SE ELIMINA</t>
        </is>
      </c>
      <c r="DK1104" s="251" t="n">
        <v>22</v>
      </c>
      <c r="DL1104" s="95" t="n">
        <v>28</v>
      </c>
      <c r="DM1104" s="251" t="inlineStr">
        <is>
          <t>N/A</t>
        </is>
      </c>
      <c r="DN1104" s="95" t="n"/>
      <c r="DO1104" s="95" t="n"/>
    </row>
    <row r="1105" ht="14.25" customHeight="1">
      <c r="A1105" s="147" t="inlineStr">
        <is>
          <t>CMW-26</t>
        </is>
      </c>
      <c r="B1105" s="151" t="n"/>
      <c r="C1105" s="108" t="n"/>
      <c r="D1105" s="7" t="inlineStr">
        <is>
          <t>SI</t>
        </is>
      </c>
      <c r="E1105" s="7" t="inlineStr">
        <is>
          <t>NO</t>
        </is>
      </c>
      <c r="F1105" s="7" t="inlineStr">
        <is>
          <t>SI</t>
        </is>
      </c>
      <c r="G1105" s="7" t="inlineStr">
        <is>
          <t>NO</t>
        </is>
      </c>
      <c r="H1105" s="7" t="n">
        <v>532817</v>
      </c>
      <c r="I1105" s="7" t="n">
        <v>7716627</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30" t="inlineStr">
        <is>
          <t>ASUB</t>
        </is>
      </c>
      <c r="BN1105" s="337" t="inlineStr">
        <is>
          <t xml:space="preserve">Coposa Centro </t>
        </is>
      </c>
      <c r="BO1105" s="251" t="inlineStr">
        <is>
          <t>SI</t>
        </is>
      </c>
      <c r="BP1105" s="253" t="n"/>
      <c r="BQ1105" s="253" t="n"/>
      <c r="BR1105" s="253" t="n"/>
      <c r="BS1105" s="253" t="n"/>
      <c r="BT1105" s="253" t="n"/>
      <c r="BU1105" s="123" t="inlineStr">
        <is>
          <t>SE ELIMINO (29-09-2023) X CMDIC</t>
        </is>
      </c>
      <c r="BV1105" s="251" t="n"/>
      <c r="BW1105" s="251" t="n"/>
      <c r="BX1105" s="251" t="n"/>
      <c r="BY1105" s="251" t="n"/>
      <c r="BZ1105" s="251" t="n"/>
      <c r="CA1105" s="251" t="n"/>
      <c r="CB1105" s="251" t="n"/>
      <c r="CC1105" s="251" t="n"/>
      <c r="CD1105" s="251" t="n"/>
      <c r="CE1105" s="251" t="n"/>
      <c r="CF1105" s="251" t="n"/>
      <c r="CG1105" s="251" t="n"/>
      <c r="CH1105" s="251" t="n"/>
      <c r="CI1105" s="251" t="n"/>
      <c r="CJ1105" s="251" t="n"/>
      <c r="CK1105" s="251" t="n"/>
      <c r="CL1105" s="251" t="n"/>
      <c r="CM1105" s="251" t="n"/>
      <c r="CN1105" s="251" t="n"/>
      <c r="CO1105" s="251" t="n"/>
      <c r="CP1105" s="251" t="n"/>
      <c r="CQ1105" s="251" t="n"/>
      <c r="CR1105" s="251" t="n"/>
      <c r="CS1105" s="251" t="n"/>
      <c r="CT1105" s="251" t="n"/>
      <c r="CU1105" s="251" t="n"/>
      <c r="CV1105" s="251" t="n"/>
      <c r="CW1105" s="251" t="n"/>
      <c r="CX1105" s="251" t="n"/>
      <c r="CY1105" s="251" t="n"/>
      <c r="CZ1105" s="124">
        <f>+COUNT(BV1105:CY1105)</f>
        <v/>
      </c>
      <c r="DA1105" s="124" t="n"/>
      <c r="DB1105" s="124" t="n"/>
      <c r="DC1105" s="124" t="n"/>
      <c r="DD1105" s="124" t="n"/>
      <c r="DE1105" s="124" t="n"/>
      <c r="DF1105" s="124" t="n"/>
      <c r="DG1105" s="124" t="n"/>
      <c r="DH1105" s="124" t="n"/>
      <c r="DI1105" s="124" t="n"/>
      <c r="DJ1105" s="251" t="inlineStr">
        <is>
          <t>SE ELIMINA</t>
        </is>
      </c>
      <c r="DK1105" s="251" t="n">
        <v>22</v>
      </c>
      <c r="DL1105" s="95" t="n">
        <v>28</v>
      </c>
      <c r="DM1105" s="251" t="inlineStr">
        <is>
          <t>N/A</t>
        </is>
      </c>
      <c r="DN1105" s="95" t="n"/>
      <c r="DO1105" s="95" t="n"/>
    </row>
    <row r="1106" ht="14.25" customHeight="1">
      <c r="A1106" s="147" t="inlineStr">
        <is>
          <t>CMW-28B</t>
        </is>
      </c>
      <c r="B1106" s="151" t="n"/>
      <c r="C1106" s="108" t="n"/>
      <c r="D1106" s="7" t="inlineStr">
        <is>
          <t>SI</t>
        </is>
      </c>
      <c r="E1106" s="7" t="inlineStr">
        <is>
          <t>NO</t>
        </is>
      </c>
      <c r="F1106" s="7" t="inlineStr">
        <is>
          <t>SI</t>
        </is>
      </c>
      <c r="G1106" s="7" t="inlineStr">
        <is>
          <t>NO</t>
        </is>
      </c>
      <c r="H1106" s="7" t="n">
        <v>536821</v>
      </c>
      <c r="I1106" s="7" t="n">
        <v>7716626</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S/TAG</t>
        </is>
      </c>
      <c r="BL1106" s="61" t="inlineStr">
        <is>
          <t>GMAP-SIGA</t>
        </is>
      </c>
      <c r="BM1106" s="251" t="inlineStr">
        <is>
          <t>ASUB</t>
        </is>
      </c>
      <c r="BN1106" s="337" t="inlineStr">
        <is>
          <t xml:space="preserve">Coposa Centro </t>
        </is>
      </c>
      <c r="BO1106" s="251" t="inlineStr">
        <is>
          <t>SI</t>
        </is>
      </c>
      <c r="BP1106" s="253" t="n"/>
      <c r="BQ1106" s="253" t="n"/>
      <c r="BR1106" s="253" t="n"/>
      <c r="BS1106" s="253" t="n"/>
      <c r="BT1106" s="253" t="n"/>
      <c r="BU1106" s="123" t="inlineStr">
        <is>
          <t>SE ELIMINO (29-09-2023) X CMDIC</t>
        </is>
      </c>
      <c r="BV1106" s="251" t="n"/>
      <c r="BW1106" s="251" t="n"/>
      <c r="BX1106" s="251" t="n"/>
      <c r="BY1106" s="251" t="n"/>
      <c r="BZ1106" s="251" t="n"/>
      <c r="CA1106" s="251" t="n"/>
      <c r="CB1106" s="251" t="n"/>
      <c r="CC1106" s="251" t="n"/>
      <c r="CD1106" s="251" t="n"/>
      <c r="CE1106" s="251" t="n"/>
      <c r="CF1106" s="251" t="n"/>
      <c r="CG1106" s="251" t="n"/>
      <c r="CH1106" s="251" t="n"/>
      <c r="CI1106" s="251" t="n"/>
      <c r="CJ1106" s="251" t="n"/>
      <c r="CK1106" s="251" t="n"/>
      <c r="CL1106" s="251" t="n"/>
      <c r="CM1106" s="251" t="n"/>
      <c r="CN1106" s="251" t="n"/>
      <c r="CO1106" s="251" t="n"/>
      <c r="CP1106" s="251" t="n"/>
      <c r="CQ1106" s="251" t="n"/>
      <c r="CR1106" s="251" t="n"/>
      <c r="CS1106" s="251" t="n"/>
      <c r="CT1106" s="251" t="n"/>
      <c r="CU1106" s="251" t="n"/>
      <c r="CV1106" s="251" t="n"/>
      <c r="CW1106" s="251" t="n"/>
      <c r="CX1106" s="251" t="n"/>
      <c r="CY1106" s="251" t="n"/>
      <c r="CZ1106" s="124">
        <f>+COUNT(BV1106:CY1106)</f>
        <v/>
      </c>
      <c r="DA1106" s="124" t="n"/>
      <c r="DB1106" s="124" t="n"/>
      <c r="DC1106" s="124" t="n"/>
      <c r="DD1106" s="124" t="n"/>
      <c r="DE1106" s="124" t="n"/>
      <c r="DF1106" s="124" t="n"/>
      <c r="DG1106" s="124" t="n"/>
      <c r="DH1106" s="124" t="n"/>
      <c r="DI1106" s="124" t="n"/>
      <c r="DJ1106" s="251" t="inlineStr">
        <is>
          <t>SE ELIMINA</t>
        </is>
      </c>
      <c r="DK1106" s="251" t="n">
        <v>22</v>
      </c>
      <c r="DL1106" s="95" t="n">
        <v>28</v>
      </c>
      <c r="DM1106" s="251" t="inlineStr">
        <is>
          <t>N/A</t>
        </is>
      </c>
      <c r="DN1106" s="95" t="n"/>
      <c r="DO1106" s="95" t="n"/>
    </row>
    <row r="1107" ht="14.25" customHeight="1">
      <c r="A1107" s="147" t="inlineStr">
        <is>
          <t>CMW-31</t>
        </is>
      </c>
      <c r="B1107" s="151" t="n"/>
      <c r="C1107" s="108" t="n"/>
      <c r="D1107" s="7" t="inlineStr">
        <is>
          <t>SI</t>
        </is>
      </c>
      <c r="E1107" s="7" t="inlineStr">
        <is>
          <t>NO</t>
        </is>
      </c>
      <c r="F1107" s="7" t="inlineStr">
        <is>
          <t>SI</t>
        </is>
      </c>
      <c r="G1107" s="7" t="inlineStr">
        <is>
          <t>NO</t>
        </is>
      </c>
      <c r="H1107" s="7" t="n">
        <v>535816</v>
      </c>
      <c r="I1107" s="7" t="n">
        <v>7715625</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51" t="inlineStr">
        <is>
          <t>ASUB</t>
        </is>
      </c>
      <c r="BN1107" s="337" t="inlineStr">
        <is>
          <t xml:space="preserve">Coposa Centro </t>
        </is>
      </c>
      <c r="BO1107" s="251" t="inlineStr">
        <is>
          <t>SI</t>
        </is>
      </c>
      <c r="BP1107" s="253" t="n"/>
      <c r="BQ1107" s="253" t="n"/>
      <c r="BR1107" s="253" t="n"/>
      <c r="BS1107" s="253" t="n"/>
      <c r="BT1107" s="253" t="n"/>
      <c r="BU1107" s="123" t="inlineStr">
        <is>
          <t>SE ELIMINO (29-09-2023) X CMDIC</t>
        </is>
      </c>
      <c r="BV1107" s="251" t="n"/>
      <c r="BW1107" s="251" t="n"/>
      <c r="BX1107" s="251" t="n"/>
      <c r="BY1107" s="251" t="n"/>
      <c r="BZ1107" s="251" t="n"/>
      <c r="CA1107" s="251" t="n"/>
      <c r="CB1107" s="251" t="n"/>
      <c r="CC1107" s="251" t="n"/>
      <c r="CD1107" s="251" t="n"/>
      <c r="CE1107" s="251" t="n"/>
      <c r="CF1107" s="251" t="n"/>
      <c r="CG1107" s="251" t="n"/>
      <c r="CH1107" s="251" t="n"/>
      <c r="CI1107" s="251" t="n"/>
      <c r="CJ1107" s="251" t="n"/>
      <c r="CK1107" s="251" t="n"/>
      <c r="CL1107" s="251" t="n"/>
      <c r="CM1107" s="251" t="n"/>
      <c r="CN1107" s="251" t="n"/>
      <c r="CO1107" s="251" t="n"/>
      <c r="CP1107" s="251" t="n"/>
      <c r="CQ1107" s="251" t="n"/>
      <c r="CR1107" s="251" t="n"/>
      <c r="CS1107" s="251" t="n"/>
      <c r="CT1107" s="251" t="n"/>
      <c r="CU1107" s="251" t="n"/>
      <c r="CV1107" s="251" t="n"/>
      <c r="CW1107" s="251" t="n"/>
      <c r="CX1107" s="251" t="n"/>
      <c r="CY1107" s="251" t="n"/>
      <c r="CZ1107" s="124">
        <f>+COUNT(BV1107:CY1107)</f>
        <v/>
      </c>
      <c r="DA1107" s="124" t="n"/>
      <c r="DB1107" s="124" t="n"/>
      <c r="DC1107" s="124" t="n"/>
      <c r="DD1107" s="124" t="n"/>
      <c r="DE1107" s="124" t="n"/>
      <c r="DF1107" s="124" t="n"/>
      <c r="DG1107" s="124" t="n"/>
      <c r="DH1107" s="124" t="n"/>
      <c r="DI1107" s="124" t="n"/>
      <c r="DJ1107" s="251" t="inlineStr">
        <is>
          <t>SE ELIMINA</t>
        </is>
      </c>
      <c r="DK1107" s="251" t="n">
        <v>22</v>
      </c>
      <c r="DL1107" s="95" t="n">
        <v>28</v>
      </c>
      <c r="DM1107" s="251" t="inlineStr">
        <is>
          <t>N/A</t>
        </is>
      </c>
      <c r="DN1107" s="95" t="n"/>
      <c r="DO1107" s="95" t="n"/>
    </row>
    <row r="1108" ht="14.25" customHeight="1">
      <c r="A1108" s="147" t="inlineStr">
        <is>
          <t>CMW-34</t>
        </is>
      </c>
      <c r="B1108" s="151" t="n"/>
      <c r="C1108" s="108" t="n"/>
      <c r="D1108" s="7" t="inlineStr">
        <is>
          <t>SI</t>
        </is>
      </c>
      <c r="E1108" s="7" t="inlineStr">
        <is>
          <t>NO</t>
        </is>
      </c>
      <c r="F1108" s="7" t="inlineStr">
        <is>
          <t>SI</t>
        </is>
      </c>
      <c r="G1108" s="7" t="inlineStr">
        <is>
          <t>NO</t>
        </is>
      </c>
      <c r="H1108" s="7" t="n">
        <v>534814</v>
      </c>
      <c r="I1108" s="7" t="n">
        <v>7714626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1" t="inlineStr">
        <is>
          <t>ASUB</t>
        </is>
      </c>
      <c r="BN1108" s="337" t="inlineStr">
        <is>
          <t xml:space="preserve">Coposa Centro </t>
        </is>
      </c>
      <c r="BO1108" s="251" t="inlineStr">
        <is>
          <t>SI</t>
        </is>
      </c>
      <c r="BP1108" s="253" t="n"/>
      <c r="BQ1108" s="253" t="n"/>
      <c r="BR1108" s="253" t="n"/>
      <c r="BS1108" s="253" t="n"/>
      <c r="BT1108" s="253" t="n"/>
      <c r="BU1108" s="123" t="inlineStr">
        <is>
          <t>SE ELIMINO (29-09-2023) X CMDIC</t>
        </is>
      </c>
      <c r="BV1108" s="251" t="n"/>
      <c r="BW1108" s="251" t="n"/>
      <c r="BX1108" s="251" t="n"/>
      <c r="BY1108" s="251" t="n"/>
      <c r="BZ1108" s="251" t="n"/>
      <c r="CA1108" s="251" t="n"/>
      <c r="CB1108" s="251" t="n"/>
      <c r="CC1108" s="251" t="n"/>
      <c r="CD1108" s="251" t="n"/>
      <c r="CE1108" s="251" t="n"/>
      <c r="CF1108" s="251" t="n"/>
      <c r="CG1108" s="251" t="n"/>
      <c r="CH1108" s="251" t="n"/>
      <c r="CI1108" s="251" t="n"/>
      <c r="CJ1108" s="251" t="n"/>
      <c r="CK1108" s="251" t="n"/>
      <c r="CL1108" s="251" t="n"/>
      <c r="CM1108" s="251" t="n"/>
      <c r="CN1108" s="251" t="n"/>
      <c r="CO1108" s="251" t="n"/>
      <c r="CP1108" s="251" t="n"/>
      <c r="CQ1108" s="251" t="n"/>
      <c r="CR1108" s="251" t="n"/>
      <c r="CS1108" s="251" t="n"/>
      <c r="CT1108" s="251" t="n"/>
      <c r="CU1108" s="251" t="n"/>
      <c r="CV1108" s="251" t="n"/>
      <c r="CW1108" s="251" t="n"/>
      <c r="CX1108" s="251" t="n"/>
      <c r="CY1108" s="251" t="n"/>
      <c r="CZ1108" s="124">
        <f>+COUNT(BV1108:CY1108)</f>
        <v/>
      </c>
      <c r="DA1108" s="124" t="n"/>
      <c r="DB1108" s="124" t="n"/>
      <c r="DC1108" s="124" t="n"/>
      <c r="DD1108" s="124" t="n"/>
      <c r="DE1108" s="124" t="n"/>
      <c r="DF1108" s="124" t="n"/>
      <c r="DG1108" s="124" t="n"/>
      <c r="DH1108" s="124" t="n"/>
      <c r="DI1108" s="124" t="n"/>
      <c r="DJ1108" s="251" t="inlineStr">
        <is>
          <t>SE ELIMINA</t>
        </is>
      </c>
      <c r="DK1108" s="251" t="n">
        <v>22</v>
      </c>
      <c r="DL1108" s="95" t="n">
        <v>28</v>
      </c>
      <c r="DM1108" s="251" t="inlineStr">
        <is>
          <t>N/A</t>
        </is>
      </c>
      <c r="DN1108" s="95" t="n"/>
      <c r="DO1108" s="95" t="n"/>
    </row>
    <row r="1109" ht="14.25" customHeight="1">
      <c r="A1109" s="147" t="inlineStr">
        <is>
          <t>CPMA-02</t>
        </is>
      </c>
      <c r="B1109" s="151" t="n"/>
      <c r="C1109" s="108" t="n"/>
      <c r="D1109" s="7" t="inlineStr">
        <is>
          <t>SI</t>
        </is>
      </c>
      <c r="E1109" s="7" t="inlineStr">
        <is>
          <t>NO</t>
        </is>
      </c>
      <c r="F1109" s="7" t="inlineStr">
        <is>
          <t>SI</t>
        </is>
      </c>
      <c r="G1109" s="7" t="inlineStr">
        <is>
          <t>NO</t>
        </is>
      </c>
      <c r="H1109" s="7" t="n">
        <v>530476</v>
      </c>
      <c r="I1109" s="7" t="n">
        <v>7717450</v>
      </c>
      <c r="J1109" s="7" t="inlineStr">
        <is>
          <t>Dejará de ser parte de la red de monitoreo, información redundante Anexo 10.1</t>
        </is>
      </c>
      <c r="K1109" s="7" t="inlineStr">
        <is>
          <t>-</t>
        </is>
      </c>
      <c r="L1109" s="7" t="inlineStr">
        <is>
          <t>Agua Subterránea</t>
        </is>
      </c>
      <c r="M1109" s="7" t="inlineStr">
        <is>
          <t>Cordillera</t>
        </is>
      </c>
      <c r="N1109" s="7" t="inlineStr">
        <is>
          <t>Piezometros</t>
        </is>
      </c>
      <c r="O1109" s="7" t="inlineStr">
        <is>
          <t>Jachucoposa</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PLAN SALAR</t>
        </is>
      </c>
      <c r="AO1109" s="7" t="inlineStr">
        <is>
          <t>Mensual</t>
        </is>
      </c>
      <c r="AP1109" s="60" t="inlineStr">
        <is>
          <t>Conductividad Electrica+ pH+ T°</t>
        </is>
      </c>
      <c r="AQ1109" s="7" t="inlineStr">
        <is>
          <t>Trimestral</t>
        </is>
      </c>
      <c r="AR1109" s="60" t="inlineStr">
        <is>
          <t>NO</t>
        </is>
      </c>
      <c r="AS1109" s="7" t="inlineStr">
        <is>
          <t>-</t>
        </is>
      </c>
      <c r="AT1109" s="7" t="inlineStr">
        <is>
          <t>SI</t>
        </is>
      </c>
      <c r="AU1109" s="7" t="inlineStr">
        <is>
          <t>Mensual</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COREMA 23/2006</t>
        </is>
      </c>
      <c r="BI1109" s="7" t="n"/>
      <c r="BJ1109" s="7" t="n"/>
      <c r="BK1109" s="61" t="inlineStr">
        <is>
          <t>532MACPMA</t>
        </is>
      </c>
      <c r="BL1109" s="61" t="inlineStr">
        <is>
          <t>GMAP-SIGA</t>
        </is>
      </c>
      <c r="BM1109" s="251" t="inlineStr">
        <is>
          <t>ASUB</t>
        </is>
      </c>
      <c r="BN1109" s="337" t="inlineStr">
        <is>
          <t>Jachucoposa</t>
        </is>
      </c>
      <c r="BO1109" s="251" t="inlineStr">
        <is>
          <t>SI</t>
        </is>
      </c>
      <c r="BP1109" s="253" t="n"/>
      <c r="BQ1109" s="253" t="n"/>
      <c r="BR1109" s="253" t="n"/>
      <c r="BS1109" s="253" t="n"/>
      <c r="BT1109" s="253" t="n"/>
      <c r="BU1109" s="123" t="inlineStr">
        <is>
          <t>SE ELIMINO (29-09-2023) X CMDIC</t>
        </is>
      </c>
      <c r="BV1109" s="105" t="n"/>
      <c r="BW1109" s="104" t="n"/>
      <c r="BX1109" s="337" t="n"/>
      <c r="BY1109" s="104" t="n"/>
      <c r="BZ1109" s="106" t="n"/>
      <c r="CA1109" s="251" t="n"/>
      <c r="CB1109" s="104" t="n"/>
      <c r="CC1109" s="105" t="n"/>
      <c r="CD1109" s="105" t="n"/>
      <c r="CE1109" s="105" t="n"/>
      <c r="CF1109" s="105" t="n"/>
      <c r="CG1109" s="105" t="n"/>
      <c r="CH1109" s="105" t="n"/>
      <c r="CI1109" s="105" t="n"/>
      <c r="CJ1109" s="105" t="n"/>
      <c r="CK1109" s="105" t="n"/>
      <c r="CL1109" s="105" t="n"/>
      <c r="CM1109" s="105" t="n"/>
      <c r="CN1109" s="105" t="n"/>
      <c r="CO1109" s="105" t="n"/>
      <c r="CP1109" s="105" t="n"/>
      <c r="CQ1109" s="105" t="n"/>
      <c r="CR1109" s="105" t="n"/>
      <c r="CS1109" s="105" t="n"/>
      <c r="CT1109" s="105" t="n"/>
      <c r="CU1109" s="105" t="n"/>
      <c r="CV1109" s="105" t="n"/>
      <c r="CW1109" s="105" t="n"/>
      <c r="CX1109" s="105" t="n"/>
      <c r="CY1109" s="105" t="n"/>
      <c r="CZ1109" s="124">
        <f>+COUNT(BV1109:CY1109)</f>
        <v/>
      </c>
      <c r="DA1109" s="124" t="n"/>
      <c r="DB1109" s="124" t="n"/>
      <c r="DC1109" s="124" t="n"/>
      <c r="DD1109" s="124" t="n"/>
      <c r="DE1109" s="124" t="n"/>
      <c r="DF1109" s="124" t="n"/>
      <c r="DG1109" s="124" t="n"/>
      <c r="DH1109" s="124" t="n"/>
      <c r="DI1109" s="124" t="n"/>
      <c r="DJ1109" s="127" t="inlineStr">
        <is>
          <t>SE ELIMINO</t>
        </is>
      </c>
      <c r="DK1109" s="251" t="n">
        <v>1</v>
      </c>
      <c r="DL1109" s="95" t="n">
        <v>7</v>
      </c>
      <c r="DM1109" s="127" t="inlineStr">
        <is>
          <t>SE ELIMINO</t>
        </is>
      </c>
      <c r="DN1109" s="95" t="n">
        <v>1</v>
      </c>
      <c r="DO1109" s="95" t="n">
        <v>7</v>
      </c>
    </row>
    <row r="1110" ht="14.25" customHeight="1">
      <c r="A1110" s="147" t="inlineStr">
        <is>
          <t>CWE-04</t>
        </is>
      </c>
      <c r="B1110" s="151" t="n"/>
      <c r="C1110" s="108" t="n"/>
      <c r="D1110" s="7" t="inlineStr">
        <is>
          <t>MONITOREO INTERNO</t>
        </is>
      </c>
      <c r="E1110" s="7" t="inlineStr">
        <is>
          <t>NO</t>
        </is>
      </c>
      <c r="F1110" s="7" t="inlineStr">
        <is>
          <t>NO</t>
        </is>
      </c>
      <c r="G1110" s="7" t="inlineStr">
        <is>
          <t>NO</t>
        </is>
      </c>
      <c r="H1110" s="7" t="n">
        <v>536814.5625539999</v>
      </c>
      <c r="I1110" s="7" t="n">
        <v>7697128.75428</v>
      </c>
      <c r="J1110" s="7" t="inlineStr">
        <is>
          <t>Construido</t>
        </is>
      </c>
      <c r="K1110" s="7" t="inlineStr">
        <is>
          <t>-</t>
        </is>
      </c>
      <c r="L1110" s="7" t="inlineStr">
        <is>
          <t>Agua Subterránea</t>
        </is>
      </c>
      <c r="M1110" s="7" t="inlineStr">
        <is>
          <t>Cordillera</t>
        </is>
      </c>
      <c r="N1110" s="7" t="inlineStr">
        <is>
          <t>POZO</t>
        </is>
      </c>
      <c r="O1110" s="7" t="inlineStr">
        <is>
          <t>Falla Pabellón</t>
        </is>
      </c>
      <c r="P1110" s="7" t="inlineStr">
        <is>
          <t>NO</t>
        </is>
      </c>
      <c r="Q1110" s="7" t="inlineStr">
        <is>
          <t>-</t>
        </is>
      </c>
      <c r="R1110" s="7" t="inlineStr">
        <is>
          <t>-</t>
        </is>
      </c>
      <c r="S1110" s="7" t="inlineStr">
        <is>
          <t>-</t>
        </is>
      </c>
      <c r="T1110" s="7" t="inlineStr">
        <is>
          <t>SI</t>
        </is>
      </c>
      <c r="U1110" s="7" t="inlineStr">
        <is>
          <t>Trimestral</t>
        </is>
      </c>
      <c r="V1110" s="7" t="inlineStr">
        <is>
          <t>SI</t>
        </is>
      </c>
      <c r="W1110" s="7" t="inlineStr">
        <is>
          <t>Trimestral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No aplica</t>
        </is>
      </c>
      <c r="BG1110" s="7" t="inlineStr">
        <is>
          <t>Monitoreo interno</t>
        </is>
      </c>
      <c r="BH1110" s="7" t="inlineStr">
        <is>
          <t>No aplica</t>
        </is>
      </c>
      <c r="BI1110" s="7" t="inlineStr">
        <is>
          <t>Consultar si el punto de monitoreo se debe seguir monitoreando</t>
        </is>
      </c>
      <c r="BJ1110" s="7" t="n"/>
      <c r="BK1110" s="61" t="inlineStr">
        <is>
          <t>532MACWE</t>
        </is>
      </c>
      <c r="BL1110" s="61" t="inlineStr">
        <is>
          <t>GMAP-SIGA</t>
        </is>
      </c>
      <c r="BM1110" s="251" t="inlineStr">
        <is>
          <t>ASUB</t>
        </is>
      </c>
      <c r="BN1110" s="106" t="inlineStr">
        <is>
          <t>Falla Pabellón</t>
        </is>
      </c>
      <c r="BO1110" s="251" t="inlineStr">
        <is>
          <t>NO</t>
        </is>
      </c>
      <c r="BP1110" s="253" t="n"/>
      <c r="BQ1110" s="253" t="n"/>
      <c r="BR1110" s="253" t="n"/>
      <c r="BS1110" s="253" t="n"/>
      <c r="BT1110" s="253" t="n"/>
      <c r="BU1110" s="102" t="inlineStr">
        <is>
          <t>SE ELIMINA</t>
        </is>
      </c>
      <c r="BV1110" s="105" t="n"/>
      <c r="BW1110" s="105" t="n"/>
      <c r="BX1110" s="105" t="n"/>
      <c r="BY1110" s="105" t="n"/>
      <c r="BZ1110" s="105" t="n"/>
      <c r="CA1110" s="105" t="n"/>
      <c r="CB1110" s="105" t="n"/>
      <c r="CC1110" s="105" t="n"/>
      <c r="CD1110" s="105" t="n"/>
      <c r="CE1110" s="105" t="n"/>
      <c r="CF1110" s="105" t="n"/>
      <c r="CG1110" s="105" t="n"/>
      <c r="CH1110" s="105" t="n"/>
      <c r="CI1110" s="105" t="n"/>
      <c r="CJ1110" s="105" t="n"/>
      <c r="CK1110" s="105" t="n"/>
      <c r="CL1110" s="105" t="n"/>
      <c r="CM1110" s="105" t="n"/>
      <c r="CN1110" s="106" t="n"/>
      <c r="CO1110" s="105" t="n"/>
      <c r="CP1110" s="105" t="n"/>
      <c r="CQ1110" s="105" t="n"/>
      <c r="CR1110" s="105" t="n"/>
      <c r="CS1110" s="105" t="n"/>
      <c r="CT1110" s="105" t="n"/>
      <c r="CU1110" s="105" t="n"/>
      <c r="CV1110" s="105" t="n"/>
      <c r="CW1110" s="105" t="n"/>
      <c r="CX1110" s="105" t="n"/>
      <c r="CY1110" s="105" t="n"/>
      <c r="CZ1110" s="124">
        <f>+COUNT(BV1110:CY1110)</f>
        <v/>
      </c>
      <c r="DA1110" s="124" t="n"/>
      <c r="DB1110" s="124" t="n"/>
      <c r="DC1110" s="124" t="n"/>
      <c r="DD1110" s="124" t="n"/>
      <c r="DE1110" s="124" t="n"/>
      <c r="DF1110" s="124" t="n"/>
      <c r="DG1110" s="124" t="n"/>
      <c r="DH1110" s="124" t="n"/>
      <c r="DI1110" s="124" t="n"/>
      <c r="DJ1110" s="251" t="inlineStr">
        <is>
          <t>N/A</t>
        </is>
      </c>
      <c r="DK1110" s="251" t="n"/>
      <c r="DL1110" s="95" t="n"/>
      <c r="DM1110" s="251" t="inlineStr">
        <is>
          <t>N/A</t>
        </is>
      </c>
      <c r="DN1110" s="95" t="n"/>
      <c r="DO1110" s="95" t="n"/>
    </row>
    <row r="1111" ht="14.25" customHeight="1">
      <c r="A1111" s="147" t="inlineStr">
        <is>
          <t>CPS-30</t>
        </is>
      </c>
      <c r="B1111" s="151" t="n"/>
      <c r="C1111" s="108" t="n"/>
      <c r="D1111" s="7" t="inlineStr">
        <is>
          <t>MONITOREO INTERNO</t>
        </is>
      </c>
      <c r="E1111" s="7" t="inlineStr">
        <is>
          <t>NO</t>
        </is>
      </c>
      <c r="F1111" s="7" t="inlineStr">
        <is>
          <t>NO</t>
        </is>
      </c>
      <c r="G1111" s="7" t="inlineStr">
        <is>
          <t>NO</t>
        </is>
      </c>
      <c r="H1111" s="7" t="n">
        <v>532661.5370670001</v>
      </c>
      <c r="I1111" s="7" t="n">
        <v>7714457.37812</v>
      </c>
      <c r="J1111" s="7" t="inlineStr">
        <is>
          <t>Construido</t>
        </is>
      </c>
      <c r="K1111" s="7" t="inlineStr">
        <is>
          <t>-</t>
        </is>
      </c>
      <c r="L1111" s="7" t="inlineStr">
        <is>
          <t>Agua Subterránea</t>
        </is>
      </c>
      <c r="M1111" s="7" t="inlineStr">
        <is>
          <t>Cordillera</t>
        </is>
      </c>
      <c r="N1111" s="7" t="inlineStr">
        <is>
          <t>Puntera</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NO</t>
        </is>
      </c>
      <c r="AO1111" s="7" t="inlineStr">
        <is>
          <t>-</t>
        </is>
      </c>
      <c r="AP1111" s="60" t="inlineStr">
        <is>
          <t>NO</t>
        </is>
      </c>
      <c r="AQ1111" s="7" t="inlineStr">
        <is>
          <t>-</t>
        </is>
      </c>
      <c r="AR1111" s="60" t="inlineStr">
        <is>
          <t>NO</t>
        </is>
      </c>
      <c r="AS1111" s="7" t="inlineStr">
        <is>
          <t>-</t>
        </is>
      </c>
      <c r="AT1111" s="7" t="inlineStr">
        <is>
          <t>NO</t>
        </is>
      </c>
      <c r="AU1111" s="7" t="inlineStr">
        <is>
          <t>-</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No aplica</t>
        </is>
      </c>
      <c r="BG1111" s="7" t="inlineStr">
        <is>
          <t>Monitoreo interno</t>
        </is>
      </c>
      <c r="BH1111" s="7" t="inlineStr">
        <is>
          <t>No aplica</t>
        </is>
      </c>
      <c r="BI1111" s="7" t="n"/>
      <c r="BJ1111" s="7" t="n"/>
      <c r="BK1111" s="61" t="inlineStr">
        <is>
          <t>S/TAG</t>
        </is>
      </c>
      <c r="BL1111" s="61" t="inlineStr">
        <is>
          <t>GMAP-SIGA</t>
        </is>
      </c>
      <c r="BM1111" s="168" t="inlineStr">
        <is>
          <t>ASUB</t>
        </is>
      </c>
      <c r="BN1111" s="337" t="inlineStr">
        <is>
          <t>Jachucoposa</t>
        </is>
      </c>
      <c r="BO1111" s="251" t="inlineStr">
        <is>
          <t>NO</t>
        </is>
      </c>
      <c r="BP1111" s="253" t="n"/>
      <c r="BQ1111" s="253" t="n"/>
      <c r="BR1111" s="253" t="n"/>
      <c r="BS1111" s="253" t="n"/>
      <c r="BT1111" s="253" t="n"/>
      <c r="BU1111" s="102" t="inlineStr">
        <is>
          <t>SE ELIMINA</t>
        </is>
      </c>
      <c r="BV1111" s="105" t="n"/>
      <c r="BW1111" s="105" t="n"/>
      <c r="BX1111" s="105" t="n"/>
      <c r="BY1111" s="105" t="n"/>
      <c r="BZ1111" s="105" t="n"/>
      <c r="CA1111" s="105" t="n"/>
      <c r="CB1111" s="105" t="n"/>
      <c r="CC1111" s="105" t="n"/>
      <c r="CD1111" s="105" t="n"/>
      <c r="CE1111" s="105" t="n"/>
      <c r="CF1111" s="105" t="n"/>
      <c r="CG1111" s="105" t="n"/>
      <c r="CH1111" s="105" t="n"/>
      <c r="CI1111" s="105" t="n"/>
      <c r="CJ1111" s="105" t="n"/>
      <c r="CK1111" s="105" t="n"/>
      <c r="CL1111" s="105" t="n"/>
      <c r="CM1111" s="105" t="n"/>
      <c r="CN1111" s="105" t="n"/>
      <c r="CO1111" s="106" t="n"/>
      <c r="CP1111" s="105" t="n"/>
      <c r="CQ1111" s="105" t="n"/>
      <c r="CR1111" s="105" t="n"/>
      <c r="CS1111" s="105" t="n"/>
      <c r="CT1111" s="105" t="n"/>
      <c r="CU1111" s="105" t="n"/>
      <c r="CV1111" s="105" t="n"/>
      <c r="CW1111" s="105" t="n"/>
      <c r="CX1111" s="105" t="n"/>
      <c r="CY1111" s="105" t="n"/>
      <c r="CZ1111" s="124">
        <f>+COUNT(BV1111:CY1111)</f>
        <v/>
      </c>
      <c r="DA1111" s="124" t="n"/>
      <c r="DB1111" s="124" t="n"/>
      <c r="DC1111" s="124" t="n"/>
      <c r="DD1111" s="124" t="n"/>
      <c r="DE1111" s="124" t="n"/>
      <c r="DF1111" s="124" t="n"/>
      <c r="DG1111" s="124" t="n"/>
      <c r="DH1111" s="124" t="n"/>
      <c r="DI1111" s="124" t="n"/>
      <c r="DJ1111" s="251" t="inlineStr">
        <is>
          <t>N/A</t>
        </is>
      </c>
      <c r="DK1111" s="251" t="n"/>
      <c r="DL1111" s="95" t="n"/>
      <c r="DM1111" s="251" t="inlineStr">
        <is>
          <t>N/A</t>
        </is>
      </c>
      <c r="DN1111" s="95" t="n"/>
      <c r="DO1111" s="95" t="n"/>
    </row>
    <row r="1112" ht="14.25" customHeight="1">
      <c r="A1112" s="147" t="inlineStr">
        <is>
          <t>DDH-R236</t>
        </is>
      </c>
      <c r="B1112" s="151" t="n"/>
      <c r="C1112" s="108" t="n"/>
      <c r="D1112" s="7" t="inlineStr">
        <is>
          <t>MONITOREO INTERNO</t>
        </is>
      </c>
      <c r="E1112" s="7" t="inlineStr">
        <is>
          <t>NO</t>
        </is>
      </c>
      <c r="F1112" s="7" t="inlineStr">
        <is>
          <t>NO</t>
        </is>
      </c>
      <c r="G1112" s="7" t="inlineStr">
        <is>
          <t>NO</t>
        </is>
      </c>
      <c r="H1112" s="7" t="n">
        <v>528013.397155</v>
      </c>
      <c r="I1112" s="7" t="n">
        <v>7713668.56299</v>
      </c>
      <c r="J1112" s="7" t="inlineStr">
        <is>
          <t>Construido</t>
        </is>
      </c>
      <c r="K1112" s="7" t="inlineStr">
        <is>
          <t>-</t>
        </is>
      </c>
      <c r="L1112" s="7" t="inlineStr">
        <is>
          <t>Agua Subterránea</t>
        </is>
      </c>
      <c r="M1112" s="7" t="inlineStr">
        <is>
          <t>Cordillera</t>
        </is>
      </c>
      <c r="N1112" s="7" t="inlineStr">
        <is>
          <t>POZO</t>
        </is>
      </c>
      <c r="O1112" s="7" t="inlineStr">
        <is>
          <t>Jachucoposa</t>
        </is>
      </c>
      <c r="P1112" s="7" t="inlineStr">
        <is>
          <t>NO</t>
        </is>
      </c>
      <c r="Q1112" s="7" t="inlineStr">
        <is>
          <t>-</t>
        </is>
      </c>
      <c r="R1112" s="7" t="inlineStr">
        <is>
          <t>-</t>
        </is>
      </c>
      <c r="S1112" s="7" t="inlineStr">
        <is>
          <t>-</t>
        </is>
      </c>
      <c r="T1112" s="7" t="inlineStr">
        <is>
          <t>SI</t>
        </is>
      </c>
      <c r="U1112" s="7" t="inlineStr">
        <is>
          <t>Mensual</t>
        </is>
      </c>
      <c r="V1112" s="7" t="inlineStr">
        <is>
          <t>SI</t>
        </is>
      </c>
      <c r="W1112" s="7" t="inlineStr">
        <is>
          <t>Mensual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n"/>
      <c r="BJ1112" s="7" t="n"/>
      <c r="BK1112" s="61" t="inlineStr">
        <is>
          <t>532DRHR236</t>
        </is>
      </c>
      <c r="BL1112" s="61" t="inlineStr">
        <is>
          <t>GMAP-SIGA</t>
        </is>
      </c>
      <c r="BM1112" s="251" t="inlineStr">
        <is>
          <t>ASUB</t>
        </is>
      </c>
      <c r="BN1112" s="337" t="inlineStr">
        <is>
          <t>Jachucoposa</t>
        </is>
      </c>
      <c r="BO1112" s="251" t="inlineStr">
        <is>
          <t>NO</t>
        </is>
      </c>
      <c r="BP1112" s="253" t="n"/>
      <c r="BQ1112" s="253" t="n"/>
      <c r="BR1112" s="253" t="n"/>
      <c r="BS1112" s="253" t="n"/>
      <c r="BT1112" s="253"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5" t="n"/>
      <c r="CO1112" s="105" t="n"/>
      <c r="CP1112" s="105" t="n"/>
      <c r="CQ1112" s="105" t="n"/>
      <c r="CR1112" s="105" t="n"/>
      <c r="CS1112" s="105" t="n"/>
      <c r="CT1112" s="105" t="n"/>
      <c r="CU1112" s="105" t="n"/>
      <c r="CV1112" s="105" t="n"/>
      <c r="CW1112" s="105" t="n"/>
      <c r="CX1112" s="105" t="n"/>
      <c r="CY1112" s="105" t="n"/>
      <c r="CZ1112" s="124">
        <f>+COUNT(BV1112:CY1112)</f>
        <v/>
      </c>
      <c r="DA1112" s="124" t="n"/>
      <c r="DB1112" s="124" t="n"/>
      <c r="DC1112" s="124" t="n"/>
      <c r="DD1112" s="124" t="n"/>
      <c r="DE1112" s="124" t="n"/>
      <c r="DF1112" s="124" t="n"/>
      <c r="DG1112" s="124" t="n"/>
      <c r="DH1112" s="124" t="n"/>
      <c r="DI1112" s="124" t="n"/>
      <c r="DJ1112" s="251" t="inlineStr">
        <is>
          <t>N/A</t>
        </is>
      </c>
      <c r="DK1112" s="251" t="n"/>
      <c r="DL1112" s="95" t="n"/>
      <c r="DM1112" s="251" t="inlineStr">
        <is>
          <t>N/A</t>
        </is>
      </c>
      <c r="DN1112" s="95" t="n"/>
      <c r="DO1112" s="95" t="n"/>
    </row>
    <row r="1113" ht="14.25" customHeight="1">
      <c r="A1113" s="147" t="inlineStr">
        <is>
          <t>DEB-02</t>
        </is>
      </c>
      <c r="B1113" s="151" t="n"/>
      <c r="C1113" s="108" t="n"/>
      <c r="D1113" s="7" t="inlineStr">
        <is>
          <t>MONITOREO INTERNO</t>
        </is>
      </c>
      <c r="E1113" s="7" t="inlineStr">
        <is>
          <t>NO</t>
        </is>
      </c>
      <c r="F1113" s="7" t="inlineStr">
        <is>
          <t>NO</t>
        </is>
      </c>
      <c r="G1113" s="7" t="inlineStr">
        <is>
          <t>NO</t>
        </is>
      </c>
      <c r="H1113" s="7" t="n">
        <v>530290.196175</v>
      </c>
      <c r="I1113" s="7" t="n">
        <v>7677227.23933</v>
      </c>
      <c r="J1113" s="7" t="inlineStr">
        <is>
          <t>Construido</t>
        </is>
      </c>
      <c r="K1113" s="7" t="inlineStr">
        <is>
          <t>-</t>
        </is>
      </c>
      <c r="L1113" s="7" t="inlineStr">
        <is>
          <t>Agua Subterránea</t>
        </is>
      </c>
      <c r="M1113" s="7" t="inlineStr">
        <is>
          <t>Cordillera</t>
        </is>
      </c>
      <c r="N1113" s="7" t="inlineStr">
        <is>
          <t>POZO</t>
        </is>
      </c>
      <c r="O1113" s="7" t="inlineStr">
        <is>
          <t>Rosario</t>
        </is>
      </c>
      <c r="P1113" s="7" t="inlineStr">
        <is>
          <t>NO</t>
        </is>
      </c>
      <c r="Q1113" s="7" t="inlineStr">
        <is>
          <t>-</t>
        </is>
      </c>
      <c r="R1113" s="7" t="inlineStr">
        <is>
          <t>-</t>
        </is>
      </c>
      <c r="S1113" s="7" t="inlineStr">
        <is>
          <t>-</t>
        </is>
      </c>
      <c r="T1113" s="7" t="inlineStr">
        <is>
          <t>SI</t>
        </is>
      </c>
      <c r="U1113" s="7" t="inlineStr">
        <is>
          <t>Bimestral</t>
        </is>
      </c>
      <c r="V1113" s="7" t="inlineStr">
        <is>
          <t>SI</t>
        </is>
      </c>
      <c r="W1113" s="7" t="inlineStr">
        <is>
          <t>Bimestral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inlineStr">
        <is>
          <t>Consultar si el punto de monitoreo se debe seguir monitoreando</t>
        </is>
      </c>
      <c r="BJ1113" s="7" t="n"/>
      <c r="BK1113" s="61" t="inlineStr">
        <is>
          <t>S/TAG</t>
        </is>
      </c>
      <c r="BL1113" s="61" t="n">
        <v>0</v>
      </c>
      <c r="BM1113" s="251" t="inlineStr">
        <is>
          <t>ASUB</t>
        </is>
      </c>
      <c r="BN1113" s="337" t="inlineStr">
        <is>
          <t>Rosario</t>
        </is>
      </c>
      <c r="BO1113" s="251" t="inlineStr">
        <is>
          <t>NO</t>
        </is>
      </c>
      <c r="BP1113" s="253" t="n"/>
      <c r="BQ1113" s="253" t="n"/>
      <c r="BR1113" s="253" t="n"/>
      <c r="BS1113" s="253" t="n"/>
      <c r="BT1113" s="253" t="n"/>
      <c r="BU1113" s="109" t="inlineStr">
        <is>
          <t>ARCADIS</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5" t="n"/>
      <c r="CP1113" s="105" t="n"/>
      <c r="CQ1113" s="105" t="n"/>
      <c r="CR1113" s="105" t="n"/>
      <c r="CS1113" s="105" t="n"/>
      <c r="CT1113" s="105" t="n"/>
      <c r="CU1113" s="105" t="n"/>
      <c r="CV1113" s="105" t="n"/>
      <c r="CW1113" s="105" t="n"/>
      <c r="CX1113" s="105" t="n"/>
      <c r="CY1113" s="105" t="n"/>
      <c r="CZ1113" s="124">
        <f>+COUNT(BV1113:CY1113)</f>
        <v/>
      </c>
      <c r="DA1113" s="124" t="n"/>
      <c r="DB1113" s="124" t="n"/>
      <c r="DC1113" s="124" t="n"/>
      <c r="DD1113" s="124" t="n"/>
      <c r="DE1113" s="124" t="n"/>
      <c r="DF1113" s="124" t="n"/>
      <c r="DG1113" s="124" t="n"/>
      <c r="DH1113" s="124" t="n"/>
      <c r="DI1113" s="124" t="n"/>
      <c r="DJ1113" s="98" t="inlineStr">
        <is>
          <t>N/A</t>
        </is>
      </c>
      <c r="DK1113" s="251" t="n"/>
      <c r="DL1113" s="95" t="n"/>
      <c r="DM1113" s="251" t="inlineStr">
        <is>
          <t>N/A</t>
        </is>
      </c>
      <c r="DN1113" s="95" t="n"/>
      <c r="DO1113" s="95" t="n"/>
    </row>
    <row r="1114" ht="14.25" customHeight="1">
      <c r="A1114" s="147" t="inlineStr">
        <is>
          <t>DEB-03</t>
        </is>
      </c>
      <c r="B1114" s="151" t="n"/>
      <c r="C1114" s="108" t="n"/>
      <c r="D1114" s="7" t="inlineStr">
        <is>
          <t>MONITOREO INTERNO</t>
        </is>
      </c>
      <c r="E1114" s="7" t="inlineStr">
        <is>
          <t>NO</t>
        </is>
      </c>
      <c r="F1114" s="7" t="inlineStr">
        <is>
          <t>NO</t>
        </is>
      </c>
      <c r="G1114" s="7" t="inlineStr">
        <is>
          <t>NO</t>
        </is>
      </c>
      <c r="H1114" s="7" t="n">
        <v>530415.74552</v>
      </c>
      <c r="I1114" s="7" t="n">
        <v>7677029.29024</v>
      </c>
      <c r="J1114" s="7" t="inlineStr">
        <is>
          <t>Construido</t>
        </is>
      </c>
      <c r="K1114" s="7" t="inlineStr">
        <is>
          <t>-</t>
        </is>
      </c>
      <c r="L1114" s="7" t="inlineStr">
        <is>
          <t>Agua Subterránea</t>
        </is>
      </c>
      <c r="M1114" s="7" t="inlineStr">
        <is>
          <t>Cordillera</t>
        </is>
      </c>
      <c r="N1114" s="7" t="inlineStr">
        <is>
          <t>POZO</t>
        </is>
      </c>
      <c r="O1114" s="7" t="inlineStr">
        <is>
          <t>Rosario</t>
        </is>
      </c>
      <c r="P1114" s="7" t="inlineStr">
        <is>
          <t>NO</t>
        </is>
      </c>
      <c r="Q1114" s="7" t="inlineStr">
        <is>
          <t>-</t>
        </is>
      </c>
      <c r="R1114" s="7" t="inlineStr">
        <is>
          <t>-</t>
        </is>
      </c>
      <c r="S1114" s="7" t="inlineStr">
        <is>
          <t>-</t>
        </is>
      </c>
      <c r="T1114" s="7" t="inlineStr">
        <is>
          <t>SI</t>
        </is>
      </c>
      <c r="U1114" s="7" t="inlineStr">
        <is>
          <t>Bimestral</t>
        </is>
      </c>
      <c r="V1114" s="7" t="inlineStr">
        <is>
          <t>SI</t>
        </is>
      </c>
      <c r="W1114" s="7" t="inlineStr">
        <is>
          <t>Bimestral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inlineStr">
        <is>
          <t>Consultar si el punto de monitoreo se debe seguir monitoreando</t>
        </is>
      </c>
      <c r="BJ1114" s="7" t="n"/>
      <c r="BK1114" s="61" t="inlineStr">
        <is>
          <t>S/TAG</t>
        </is>
      </c>
      <c r="BL1114" s="61" t="n">
        <v>0</v>
      </c>
      <c r="BM1114" s="251" t="inlineStr">
        <is>
          <t>ASUB</t>
        </is>
      </c>
      <c r="BN1114" s="337" t="inlineStr">
        <is>
          <t>Rosario</t>
        </is>
      </c>
      <c r="BO1114" s="251" t="inlineStr">
        <is>
          <t>NO</t>
        </is>
      </c>
      <c r="BP1114" s="253" t="n"/>
      <c r="BQ1114" s="253" t="n"/>
      <c r="BR1114" s="253" t="n"/>
      <c r="BS1114" s="253" t="n"/>
      <c r="BT1114" s="253" t="n"/>
      <c r="BU1114" s="109" t="inlineStr">
        <is>
          <t>ARCADIS</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24">
        <f>+COUNT(BV1114:CY1114)</f>
        <v/>
      </c>
      <c r="DA1114" s="124" t="n"/>
      <c r="DB1114" s="124" t="n"/>
      <c r="DC1114" s="124" t="n"/>
      <c r="DD1114" s="124" t="n"/>
      <c r="DE1114" s="124" t="n"/>
      <c r="DF1114" s="124" t="n"/>
      <c r="DG1114" s="124" t="n"/>
      <c r="DH1114" s="124" t="n"/>
      <c r="DI1114" s="124" t="n"/>
      <c r="DJ1114" s="98" t="inlineStr">
        <is>
          <t>N/A</t>
        </is>
      </c>
      <c r="DK1114" s="251" t="n"/>
      <c r="DL1114" s="95" t="n"/>
      <c r="DM1114" s="251" t="inlineStr">
        <is>
          <t>N/A</t>
        </is>
      </c>
      <c r="DN1114" s="95" t="n"/>
      <c r="DO1114" s="95" t="n"/>
    </row>
    <row r="1115" ht="14.25" customHeight="1">
      <c r="A1115" s="147" t="inlineStr">
        <is>
          <t>DEB-04</t>
        </is>
      </c>
      <c r="B1115" s="151" t="n"/>
      <c r="C1115" s="108" t="n"/>
      <c r="D1115" s="7" t="inlineStr">
        <is>
          <t>MONITOREO INTERNO</t>
        </is>
      </c>
      <c r="E1115" s="7" t="inlineStr">
        <is>
          <t>NO</t>
        </is>
      </c>
      <c r="F1115" s="7" t="inlineStr">
        <is>
          <t>NO</t>
        </is>
      </c>
      <c r="G1115" s="7" t="inlineStr">
        <is>
          <t>NO</t>
        </is>
      </c>
      <c r="H1115" s="7" t="n">
        <v>530515.37526</v>
      </c>
      <c r="I1115" s="7" t="n">
        <v>7677729.46687</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1" t="inlineStr">
        <is>
          <t>ASUB</t>
        </is>
      </c>
      <c r="BN1115" s="337" t="inlineStr">
        <is>
          <t>Rosario</t>
        </is>
      </c>
      <c r="BO1115" s="251" t="inlineStr">
        <is>
          <t>NO</t>
        </is>
      </c>
      <c r="BP1115" s="253" t="n"/>
      <c r="BQ1115" s="253" t="n"/>
      <c r="BR1115" s="253" t="n"/>
      <c r="BS1115" s="253" t="n"/>
      <c r="BT1115" s="253" t="n"/>
      <c r="BU1115" s="109" t="inlineStr">
        <is>
          <t>ARCADIS</t>
        </is>
      </c>
      <c r="BV1115" s="130"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24">
        <f>+COUNT(BV1115:CY1115)</f>
        <v/>
      </c>
      <c r="DA1115" s="124" t="n"/>
      <c r="DB1115" s="124" t="n"/>
      <c r="DC1115" s="124" t="n"/>
      <c r="DD1115" s="124" t="n"/>
      <c r="DE1115" s="124" t="n"/>
      <c r="DF1115" s="124" t="n"/>
      <c r="DG1115" s="124" t="n"/>
      <c r="DH1115" s="124" t="n"/>
      <c r="DI1115" s="124" t="n"/>
      <c r="DJ1115" s="98" t="inlineStr">
        <is>
          <t>N/A</t>
        </is>
      </c>
      <c r="DK1115" s="251" t="n"/>
      <c r="DL1115" s="95" t="n"/>
      <c r="DM1115" s="251" t="inlineStr">
        <is>
          <t>N/A</t>
        </is>
      </c>
      <c r="DN1115" s="95" t="n"/>
      <c r="DO1115" s="95" t="n"/>
    </row>
    <row r="1116" ht="14.25" customHeight="1">
      <c r="A1116" s="147" t="inlineStr">
        <is>
          <t>DEB-05</t>
        </is>
      </c>
      <c r="B1116" s="151" t="n"/>
      <c r="C1116" s="108" t="n"/>
      <c r="D1116" s="7" t="inlineStr">
        <is>
          <t>MONITOREO INTERNO</t>
        </is>
      </c>
      <c r="E1116" s="7" t="inlineStr">
        <is>
          <t>NO</t>
        </is>
      </c>
      <c r="F1116" s="7" t="inlineStr">
        <is>
          <t>NO</t>
        </is>
      </c>
      <c r="G1116" s="7" t="inlineStr">
        <is>
          <t>NO</t>
        </is>
      </c>
      <c r="H1116" s="7" t="n">
        <v>529639.36925</v>
      </c>
      <c r="I1116" s="7" t="n">
        <v>7677190.2297</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1" t="inlineStr">
        <is>
          <t>ASUB</t>
        </is>
      </c>
      <c r="BN1116" s="337" t="inlineStr">
        <is>
          <t>Rosario</t>
        </is>
      </c>
      <c r="BO1116" s="251" t="inlineStr">
        <is>
          <t>NO</t>
        </is>
      </c>
      <c r="BP1116" s="253" t="n"/>
      <c r="BQ1116" s="253" t="n"/>
      <c r="BR1116" s="253" t="n"/>
      <c r="BS1116" s="253" t="n"/>
      <c r="BT1116" s="253" t="n"/>
      <c r="BU1116" s="109" t="inlineStr">
        <is>
          <t>ARCADIS</t>
        </is>
      </c>
      <c r="BV1116" s="130"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24">
        <f>+COUNT(BV1116:CY1116)</f>
        <v/>
      </c>
      <c r="DA1116" s="124" t="n"/>
      <c r="DB1116" s="124" t="n"/>
      <c r="DC1116" s="124" t="n"/>
      <c r="DD1116" s="124" t="n"/>
      <c r="DE1116" s="124" t="n"/>
      <c r="DF1116" s="124" t="n"/>
      <c r="DG1116" s="124" t="n"/>
      <c r="DH1116" s="124" t="n"/>
      <c r="DI1116" s="124" t="n"/>
      <c r="DJ1116" s="98" t="inlineStr">
        <is>
          <t>N/A</t>
        </is>
      </c>
      <c r="DK1116" s="251" t="n"/>
      <c r="DL1116" s="95" t="n"/>
      <c r="DM1116" s="251" t="inlineStr">
        <is>
          <t>N/A</t>
        </is>
      </c>
      <c r="DN1116" s="95" t="n"/>
      <c r="DO1116" s="95" t="n"/>
    </row>
    <row r="1117" ht="14.25" customHeight="1">
      <c r="A1117" s="147" t="inlineStr">
        <is>
          <t>DEB-06</t>
        </is>
      </c>
      <c r="B1117" s="151" t="n"/>
      <c r="C1117" s="108" t="n"/>
      <c r="D1117" s="7" t="inlineStr">
        <is>
          <t>MONITOREO INTERNO</t>
        </is>
      </c>
      <c r="E1117" s="7" t="inlineStr">
        <is>
          <t>NO</t>
        </is>
      </c>
      <c r="F1117" s="7" t="inlineStr">
        <is>
          <t>NO</t>
        </is>
      </c>
      <c r="G1117" s="7" t="inlineStr">
        <is>
          <t>NO</t>
        </is>
      </c>
      <c r="H1117" s="7" t="n">
        <v>530039.567249</v>
      </c>
      <c r="I1117" s="7" t="n">
        <v>7676846.42122</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1" t="inlineStr">
        <is>
          <t>ASUB</t>
        </is>
      </c>
      <c r="BN1117" s="337" t="inlineStr">
        <is>
          <t>Rosario</t>
        </is>
      </c>
      <c r="BO1117" s="251" t="inlineStr">
        <is>
          <t>NO</t>
        </is>
      </c>
      <c r="BP1117" s="253" t="n"/>
      <c r="BQ1117" s="253" t="n"/>
      <c r="BR1117" s="253" t="n"/>
      <c r="BS1117" s="253" t="n"/>
      <c r="BT1117" s="253" t="n"/>
      <c r="BU1117" s="109" t="inlineStr">
        <is>
          <t>ARCADIS</t>
        </is>
      </c>
      <c r="BV1117" s="130"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24">
        <f>+COUNT(BV1117:CY1117)</f>
        <v/>
      </c>
      <c r="DA1117" s="124" t="n"/>
      <c r="DB1117" s="124" t="n"/>
      <c r="DC1117" s="124" t="n"/>
      <c r="DD1117" s="124" t="n"/>
      <c r="DE1117" s="124" t="n"/>
      <c r="DF1117" s="124" t="n"/>
      <c r="DG1117" s="124" t="n"/>
      <c r="DH1117" s="124" t="n"/>
      <c r="DI1117" s="124" t="n"/>
      <c r="DJ1117" s="98" t="inlineStr">
        <is>
          <t>N/A</t>
        </is>
      </c>
      <c r="DK1117" s="251" t="n"/>
      <c r="DL1117" s="95" t="n"/>
      <c r="DM1117" s="251" t="inlineStr">
        <is>
          <t>N/A</t>
        </is>
      </c>
      <c r="DN1117" s="95" t="n"/>
      <c r="DO1117" s="95" t="n"/>
    </row>
    <row r="1118" ht="14.25" customHeight="1">
      <c r="A1118" s="147" t="inlineStr">
        <is>
          <t>DEB-07</t>
        </is>
      </c>
      <c r="B1118" s="151" t="n"/>
      <c r="C1118" s="108" t="n"/>
      <c r="D1118" s="7" t="inlineStr">
        <is>
          <t>MONITOREO INTERNO</t>
        </is>
      </c>
      <c r="E1118" s="7" t="inlineStr">
        <is>
          <t>NO</t>
        </is>
      </c>
      <c r="F1118" s="7" t="inlineStr">
        <is>
          <t>NO</t>
        </is>
      </c>
      <c r="G1118" s="7" t="inlineStr">
        <is>
          <t>NO</t>
        </is>
      </c>
      <c r="H1118" s="7" t="n">
        <v>527252.0099609999</v>
      </c>
      <c r="I1118" s="7" t="n">
        <v>7674947.5011</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1" t="inlineStr">
        <is>
          <t>ASUB</t>
        </is>
      </c>
      <c r="BN1118" s="337" t="inlineStr">
        <is>
          <t>Rosario</t>
        </is>
      </c>
      <c r="BO1118" s="251" t="inlineStr">
        <is>
          <t>NO</t>
        </is>
      </c>
      <c r="BP1118" s="253" t="n"/>
      <c r="BQ1118" s="253" t="n"/>
      <c r="BR1118" s="253" t="n"/>
      <c r="BS1118" s="253" t="n"/>
      <c r="BT1118" s="253" t="n"/>
      <c r="BU1118" s="109" t="inlineStr">
        <is>
          <t>ARCADIS</t>
        </is>
      </c>
      <c r="BV1118" s="130"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24">
        <f>+COUNT(BV1118:CY1118)</f>
        <v/>
      </c>
      <c r="DA1118" s="124" t="n"/>
      <c r="DB1118" s="124" t="n"/>
      <c r="DC1118" s="124" t="n"/>
      <c r="DD1118" s="124" t="n"/>
      <c r="DE1118" s="124" t="n"/>
      <c r="DF1118" s="124" t="n"/>
      <c r="DG1118" s="124" t="n"/>
      <c r="DH1118" s="124" t="n"/>
      <c r="DI1118" s="124" t="n"/>
      <c r="DJ1118" s="98" t="inlineStr">
        <is>
          <t>N/A</t>
        </is>
      </c>
      <c r="DK1118" s="251" t="n"/>
      <c r="DL1118" s="95" t="n"/>
      <c r="DM1118" s="251" t="inlineStr">
        <is>
          <t>N/A</t>
        </is>
      </c>
      <c r="DN1118" s="95" t="n"/>
      <c r="DO1118" s="95" t="n"/>
    </row>
    <row r="1119" ht="14.25" customHeight="1">
      <c r="A1119" s="147" t="inlineStr">
        <is>
          <t>DEB-08</t>
        </is>
      </c>
      <c r="B1119" s="151" t="n"/>
      <c r="C1119" s="108" t="n"/>
      <c r="D1119" s="7" t="inlineStr">
        <is>
          <t>MONITOREO INTERNO</t>
        </is>
      </c>
      <c r="E1119" s="7" t="inlineStr">
        <is>
          <t>NO</t>
        </is>
      </c>
      <c r="F1119" s="7" t="inlineStr">
        <is>
          <t>NO</t>
        </is>
      </c>
      <c r="G1119" s="7" t="inlineStr">
        <is>
          <t>NO</t>
        </is>
      </c>
      <c r="H1119" s="7" t="n">
        <v>530291.915913</v>
      </c>
      <c r="I1119" s="7" t="n">
        <v>7676387.33334</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1" t="inlineStr">
        <is>
          <t>ASUB</t>
        </is>
      </c>
      <c r="BN1119" s="337" t="inlineStr">
        <is>
          <t>Rosario</t>
        </is>
      </c>
      <c r="BO1119" s="251" t="inlineStr">
        <is>
          <t>NO</t>
        </is>
      </c>
      <c r="BP1119" s="253" t="n"/>
      <c r="BQ1119" s="253" t="n"/>
      <c r="BR1119" s="253" t="n"/>
      <c r="BS1119" s="253" t="n"/>
      <c r="BT1119" s="253" t="n"/>
      <c r="BU1119" s="109" t="inlineStr">
        <is>
          <t>ARCADIS</t>
        </is>
      </c>
      <c r="BV1119" s="130"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24">
        <f>+COUNT(BV1119:CY1119)</f>
        <v/>
      </c>
      <c r="DA1119" s="124" t="n"/>
      <c r="DB1119" s="124" t="n"/>
      <c r="DC1119" s="124" t="n"/>
      <c r="DD1119" s="124" t="n"/>
      <c r="DE1119" s="124" t="n"/>
      <c r="DF1119" s="124" t="n"/>
      <c r="DG1119" s="124" t="n"/>
      <c r="DH1119" s="124" t="n"/>
      <c r="DI1119" s="124" t="n"/>
      <c r="DJ1119" s="98" t="inlineStr">
        <is>
          <t>N/A</t>
        </is>
      </c>
      <c r="DK1119" s="251" t="n"/>
      <c r="DL1119" s="95" t="n"/>
      <c r="DM1119" s="251" t="inlineStr">
        <is>
          <t>N/A</t>
        </is>
      </c>
      <c r="DN1119" s="95" t="n"/>
      <c r="DO1119" s="95" t="n"/>
    </row>
    <row r="1120" ht="14.25" customHeight="1">
      <c r="A1120" s="147" t="inlineStr">
        <is>
          <t>DEB-09</t>
        </is>
      </c>
      <c r="B1120" s="151" t="n"/>
      <c r="C1120" s="108" t="n"/>
      <c r="D1120" s="7" t="inlineStr">
        <is>
          <t>MONITOREO INTERNO</t>
        </is>
      </c>
      <c r="E1120" s="7" t="inlineStr">
        <is>
          <t>NO</t>
        </is>
      </c>
      <c r="F1120" s="7" t="inlineStr">
        <is>
          <t>NO</t>
        </is>
      </c>
      <c r="G1120" s="7" t="inlineStr">
        <is>
          <t>NO</t>
        </is>
      </c>
      <c r="H1120" s="7" t="n">
        <v>528617.834021</v>
      </c>
      <c r="I1120" s="7" t="n">
        <v>7676934.44122</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1" t="inlineStr">
        <is>
          <t>ASUB</t>
        </is>
      </c>
      <c r="BN1120" s="337" t="inlineStr">
        <is>
          <t>Rosario</t>
        </is>
      </c>
      <c r="BO1120" s="251" t="inlineStr">
        <is>
          <t>NO</t>
        </is>
      </c>
      <c r="BP1120" s="253" t="n"/>
      <c r="BQ1120" s="253" t="n"/>
      <c r="BR1120" s="253" t="n"/>
      <c r="BS1120" s="253" t="n"/>
      <c r="BT1120" s="253" t="n"/>
      <c r="BU1120" s="109" t="inlineStr">
        <is>
          <t>ARCADIS</t>
        </is>
      </c>
      <c r="BV1120" s="130"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24">
        <f>+COUNT(BV1120:CY1120)</f>
        <v/>
      </c>
      <c r="DA1120" s="124" t="n"/>
      <c r="DB1120" s="124" t="n"/>
      <c r="DC1120" s="124" t="n"/>
      <c r="DD1120" s="124" t="n"/>
      <c r="DE1120" s="124" t="n"/>
      <c r="DF1120" s="124" t="n"/>
      <c r="DG1120" s="124" t="n"/>
      <c r="DH1120" s="124" t="n"/>
      <c r="DI1120" s="124" t="n"/>
      <c r="DJ1120" s="98" t="inlineStr">
        <is>
          <t>N/A</t>
        </is>
      </c>
      <c r="DK1120" s="251" t="n"/>
      <c r="DL1120" s="95" t="n"/>
      <c r="DM1120" s="251" t="inlineStr">
        <is>
          <t>N/A</t>
        </is>
      </c>
      <c r="DN1120" s="95" t="n"/>
      <c r="DO1120" s="95" t="n"/>
    </row>
    <row r="1121" ht="14.25" customHeight="1">
      <c r="A1121" s="147" t="inlineStr">
        <is>
          <t>DER-01</t>
        </is>
      </c>
      <c r="B1121" s="151" t="n"/>
      <c r="C1121" s="108" t="n"/>
      <c r="D1121" s="7" t="inlineStr">
        <is>
          <t>MONITOREO INTERNO</t>
        </is>
      </c>
      <c r="E1121" s="7" t="inlineStr">
        <is>
          <t>NO</t>
        </is>
      </c>
      <c r="F1121" s="7" t="inlineStr">
        <is>
          <t>NO</t>
        </is>
      </c>
      <c r="G1121" s="7" t="inlineStr">
        <is>
          <t>NO</t>
        </is>
      </c>
      <c r="H1121" s="7" t="n">
        <v>531964.868991</v>
      </c>
      <c r="I1121" s="7" t="n">
        <v>7679597.80754</v>
      </c>
      <c r="J1121" s="7" t="inlineStr">
        <is>
          <t>Construido</t>
        </is>
      </c>
      <c r="K1121" s="7" t="inlineStr">
        <is>
          <t>-</t>
        </is>
      </c>
      <c r="L1121" s="7" t="inlineStr">
        <is>
          <t>Agua Subterránea</t>
        </is>
      </c>
      <c r="M1121" s="7" t="inlineStr">
        <is>
          <t>Cordillera</t>
        </is>
      </c>
      <c r="N1121" s="7" t="inlineStr">
        <is>
          <t>Piezometro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1" t="inlineStr">
        <is>
          <t>ASUB</t>
        </is>
      </c>
      <c r="BN1121" s="337" t="inlineStr">
        <is>
          <t>Rosario</t>
        </is>
      </c>
      <c r="BO1121" s="251" t="inlineStr">
        <is>
          <t>NO</t>
        </is>
      </c>
      <c r="BP1121" s="253" t="n"/>
      <c r="BQ1121" s="253" t="n"/>
      <c r="BR1121" s="253" t="n"/>
      <c r="BS1121" s="253" t="n"/>
      <c r="BT1121" s="253" t="n"/>
      <c r="BU1121" s="109" t="inlineStr">
        <is>
          <t>ARCADIS</t>
        </is>
      </c>
      <c r="BV1121" s="130"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24">
        <f>+COUNT(BV1121:CY1121)</f>
        <v/>
      </c>
      <c r="DA1121" s="124" t="n"/>
      <c r="DB1121" s="124" t="n"/>
      <c r="DC1121" s="124" t="n"/>
      <c r="DD1121" s="124" t="n"/>
      <c r="DE1121" s="124" t="n"/>
      <c r="DF1121" s="124" t="n"/>
      <c r="DG1121" s="124" t="n"/>
      <c r="DH1121" s="124" t="n"/>
      <c r="DI1121" s="124" t="n"/>
      <c r="DJ1121" s="98" t="inlineStr">
        <is>
          <t>N/A</t>
        </is>
      </c>
      <c r="DK1121" s="251" t="n"/>
      <c r="DL1121" s="95" t="n"/>
      <c r="DM1121" s="251" t="inlineStr">
        <is>
          <t>N/A</t>
        </is>
      </c>
      <c r="DN1121" s="95" t="n"/>
      <c r="DO1121" s="95" t="n"/>
    </row>
    <row r="1122" ht="14.25" customHeight="1">
      <c r="A1122" s="147" t="inlineStr">
        <is>
          <t>DER-02</t>
        </is>
      </c>
      <c r="B1122" s="151" t="n"/>
      <c r="C1122" s="108" t="n"/>
      <c r="D1122" s="7" t="inlineStr">
        <is>
          <t>MONITOREO INTERNO</t>
        </is>
      </c>
      <c r="E1122" s="7" t="inlineStr">
        <is>
          <t>NO</t>
        </is>
      </c>
      <c r="F1122" s="7" t="inlineStr">
        <is>
          <t>NO</t>
        </is>
      </c>
      <c r="G1122" s="7" t="inlineStr">
        <is>
          <t>NO</t>
        </is>
      </c>
      <c r="H1122" s="7" t="n">
        <v>531106.892965</v>
      </c>
      <c r="I1122" s="7" t="n">
        <v>7679361.63893</v>
      </c>
      <c r="J1122" s="7" t="inlineStr">
        <is>
          <t>Construido</t>
        </is>
      </c>
      <c r="K1122" s="7" t="inlineStr">
        <is>
          <t>-</t>
        </is>
      </c>
      <c r="L1122" s="7" t="inlineStr">
        <is>
          <t>Agua Subterránea</t>
        </is>
      </c>
      <c r="M1122" s="7" t="inlineStr">
        <is>
          <t>Cordillera</t>
        </is>
      </c>
      <c r="N1122" s="7" t="inlineStr">
        <is>
          <t>Piezometro</t>
        </is>
      </c>
      <c r="O1122" s="7" t="inlineStr">
        <is>
          <t>Rosario</t>
        </is>
      </c>
      <c r="P1122" s="7" t="inlineStr">
        <is>
          <t>NO</t>
        </is>
      </c>
      <c r="Q1122" s="7" t="inlineStr">
        <is>
          <t>-</t>
        </is>
      </c>
      <c r="R1122" s="7" t="inlineStr">
        <is>
          <t>-</t>
        </is>
      </c>
      <c r="S1122" s="7" t="inlineStr">
        <is>
          <t>-</t>
        </is>
      </c>
      <c r="T1122" s="7" t="inlineStr">
        <is>
          <t>SI</t>
        </is>
      </c>
      <c r="U1122" s="7" t="inlineStr">
        <is>
          <t>Mensual</t>
        </is>
      </c>
      <c r="V1122" s="7" t="inlineStr">
        <is>
          <t>SI</t>
        </is>
      </c>
      <c r="W1122" s="7" t="inlineStr">
        <is>
          <t>Mensual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1" t="inlineStr">
        <is>
          <t>ASUB</t>
        </is>
      </c>
      <c r="BN1122" s="337" t="inlineStr">
        <is>
          <t>Rosario</t>
        </is>
      </c>
      <c r="BO1122" s="251" t="inlineStr">
        <is>
          <t>NO</t>
        </is>
      </c>
      <c r="BP1122" s="253" t="n"/>
      <c r="BQ1122" s="253" t="n"/>
      <c r="BR1122" s="253" t="n"/>
      <c r="BS1122" s="253" t="n"/>
      <c r="BT1122" s="253" t="n"/>
      <c r="BU1122" s="101" t="inlineStr">
        <is>
          <t>ARCADIS</t>
        </is>
      </c>
      <c r="BV1122" s="130"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24">
        <f>+COUNT(BV1122:CY1122)</f>
        <v/>
      </c>
      <c r="DA1122" s="124" t="n"/>
      <c r="DB1122" s="124" t="n"/>
      <c r="DC1122" s="124" t="n"/>
      <c r="DD1122" s="124" t="n"/>
      <c r="DE1122" s="124" t="n"/>
      <c r="DF1122" s="124" t="n"/>
      <c r="DG1122" s="124" t="n"/>
      <c r="DH1122" s="124" t="n"/>
      <c r="DI1122" s="124" t="n"/>
      <c r="DJ1122" s="98" t="inlineStr">
        <is>
          <t>N/A</t>
        </is>
      </c>
      <c r="DK1122" s="251" t="n"/>
      <c r="DL1122" s="95" t="n"/>
      <c r="DM1122" s="251" t="inlineStr">
        <is>
          <t>N/A</t>
        </is>
      </c>
      <c r="DN1122" s="95" t="n"/>
      <c r="DO1122" s="95" t="n"/>
    </row>
    <row r="1123" ht="14.25" customHeight="1">
      <c r="A1123" s="147" t="inlineStr">
        <is>
          <t>DER-03</t>
        </is>
      </c>
      <c r="B1123" s="151" t="n"/>
      <c r="C1123" s="108" t="n"/>
      <c r="D1123" s="7" t="inlineStr">
        <is>
          <t>MONITOREO INTERNO</t>
        </is>
      </c>
      <c r="E1123" s="7" t="inlineStr">
        <is>
          <t>NO</t>
        </is>
      </c>
      <c r="F1123" s="7" t="inlineStr">
        <is>
          <t>NO</t>
        </is>
      </c>
      <c r="G1123" s="7" t="inlineStr">
        <is>
          <t>NO</t>
        </is>
      </c>
      <c r="H1123" s="7" t="n">
        <v>531156.173599</v>
      </c>
      <c r="I1123" s="7" t="n">
        <v>7682145.89575</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Mensual</t>
        </is>
      </c>
      <c r="V1123" s="7" t="inlineStr">
        <is>
          <t>SI</t>
        </is>
      </c>
      <c r="W1123" s="7" t="inlineStr">
        <is>
          <t>Mensual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1" t="inlineStr">
        <is>
          <t>ASUB</t>
        </is>
      </c>
      <c r="BN1123" s="337" t="inlineStr">
        <is>
          <t>Rosario</t>
        </is>
      </c>
      <c r="BO1123" s="251" t="inlineStr">
        <is>
          <t>NO</t>
        </is>
      </c>
      <c r="BP1123" s="253" t="n"/>
      <c r="BQ1123" s="253" t="n"/>
      <c r="BR1123" s="253" t="n"/>
      <c r="BS1123" s="253" t="n"/>
      <c r="BT1123" s="253" t="n"/>
      <c r="BU1123" s="101" t="inlineStr">
        <is>
          <t>ARCADIS</t>
        </is>
      </c>
      <c r="BV1123" s="130"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24">
        <f>+COUNT(BV1123:CY1123)</f>
        <v/>
      </c>
      <c r="DA1123" s="124" t="n"/>
      <c r="DB1123" s="124" t="n"/>
      <c r="DC1123" s="124" t="n"/>
      <c r="DD1123" s="124" t="n"/>
      <c r="DE1123" s="124" t="n"/>
      <c r="DF1123" s="124" t="n"/>
      <c r="DG1123" s="124" t="n"/>
      <c r="DH1123" s="124" t="n"/>
      <c r="DI1123" s="124" t="n"/>
      <c r="DJ1123" s="98" t="inlineStr">
        <is>
          <t>N/A</t>
        </is>
      </c>
      <c r="DK1123" s="251" t="n"/>
      <c r="DL1123" s="95" t="n"/>
      <c r="DM1123" s="251" t="inlineStr">
        <is>
          <t>N/A</t>
        </is>
      </c>
      <c r="DN1123" s="95" t="n"/>
      <c r="DO1123" s="95" t="n"/>
    </row>
    <row r="1124" ht="14.25" customHeight="1">
      <c r="A1124" s="147" t="inlineStr">
        <is>
          <t>DER-05</t>
        </is>
      </c>
      <c r="B1124" s="151" t="n"/>
      <c r="C1124" s="108" t="n"/>
      <c r="D1124" s="7" t="inlineStr">
        <is>
          <t>MONITOREO INTERNO</t>
        </is>
      </c>
      <c r="E1124" s="7" t="inlineStr">
        <is>
          <t>NO</t>
        </is>
      </c>
      <c r="F1124" s="7" t="inlineStr">
        <is>
          <t>NO</t>
        </is>
      </c>
      <c r="G1124" s="7" t="inlineStr">
        <is>
          <t>NO</t>
        </is>
      </c>
      <c r="H1124" s="7" t="n">
        <v>532232.568319</v>
      </c>
      <c r="I1124" s="7" t="n">
        <v>7681435.79876</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1" t="inlineStr">
        <is>
          <t>ASUB</t>
        </is>
      </c>
      <c r="BN1124" s="337" t="inlineStr">
        <is>
          <t>Rosario</t>
        </is>
      </c>
      <c r="BO1124" s="251" t="inlineStr">
        <is>
          <t>NO</t>
        </is>
      </c>
      <c r="BP1124" s="253" t="n"/>
      <c r="BQ1124" s="253" t="n"/>
      <c r="BR1124" s="253" t="n"/>
      <c r="BS1124" s="253" t="n"/>
      <c r="BT1124" s="253" t="n"/>
      <c r="BU1124" s="101" t="inlineStr">
        <is>
          <t>ARCADIS</t>
        </is>
      </c>
      <c r="BV1124" s="130"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24">
        <f>+COUNT(BV1124:CY1124)</f>
        <v/>
      </c>
      <c r="DA1124" s="124" t="n"/>
      <c r="DB1124" s="124" t="n"/>
      <c r="DC1124" s="124" t="n"/>
      <c r="DD1124" s="124" t="n"/>
      <c r="DE1124" s="124" t="n"/>
      <c r="DF1124" s="124" t="n"/>
      <c r="DG1124" s="124" t="n"/>
      <c r="DH1124" s="124" t="n"/>
      <c r="DI1124" s="124" t="n"/>
      <c r="DJ1124" s="98" t="inlineStr">
        <is>
          <t>N/A</t>
        </is>
      </c>
      <c r="DK1124" s="251" t="n"/>
      <c r="DL1124" s="95" t="n"/>
      <c r="DM1124" s="251" t="inlineStr">
        <is>
          <t>N/A</t>
        </is>
      </c>
      <c r="DN1124" s="95" t="n"/>
      <c r="DO1124" s="95" t="n"/>
    </row>
    <row r="1125" ht="14.25" customHeight="1">
      <c r="A1125" s="147" t="inlineStr">
        <is>
          <t>DER-08</t>
        </is>
      </c>
      <c r="B1125" s="151" t="n"/>
      <c r="C1125" s="108" t="n"/>
      <c r="D1125" s="7" t="inlineStr">
        <is>
          <t>MONITOREO INTERNO</t>
        </is>
      </c>
      <c r="E1125" s="7" t="inlineStr">
        <is>
          <t>NO</t>
        </is>
      </c>
      <c r="F1125" s="7" t="inlineStr">
        <is>
          <t>NO</t>
        </is>
      </c>
      <c r="G1125" s="7" t="inlineStr">
        <is>
          <t>NO</t>
        </is>
      </c>
      <c r="H1125" s="7" t="n">
        <v>532079.559431</v>
      </c>
      <c r="I1125" s="7" t="n">
        <v>7682660.94303</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1" t="inlineStr">
        <is>
          <t>ASUB</t>
        </is>
      </c>
      <c r="BN1125" s="337" t="inlineStr">
        <is>
          <t>Rosario</t>
        </is>
      </c>
      <c r="BO1125" s="251" t="inlineStr">
        <is>
          <t>NO</t>
        </is>
      </c>
      <c r="BP1125" s="253" t="n"/>
      <c r="BQ1125" s="253" t="n"/>
      <c r="BR1125" s="253" t="n"/>
      <c r="BS1125" s="253" t="n"/>
      <c r="BT1125" s="253" t="n"/>
      <c r="BU1125" s="101" t="inlineStr">
        <is>
          <t>ARCADIS</t>
        </is>
      </c>
      <c r="BV1125" s="130"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24">
        <f>+COUNT(BV1125:CY1125)</f>
        <v/>
      </c>
      <c r="DA1125" s="124" t="n"/>
      <c r="DB1125" s="124" t="n"/>
      <c r="DC1125" s="124" t="n"/>
      <c r="DD1125" s="124" t="n"/>
      <c r="DE1125" s="124" t="n"/>
      <c r="DF1125" s="124" t="n"/>
      <c r="DG1125" s="124" t="n"/>
      <c r="DH1125" s="124" t="n"/>
      <c r="DI1125" s="124" t="n"/>
      <c r="DJ1125" s="98" t="inlineStr">
        <is>
          <t>N/A</t>
        </is>
      </c>
      <c r="DK1125" s="251" t="n"/>
      <c r="DL1125" s="95" t="n"/>
      <c r="DM1125" s="251" t="inlineStr">
        <is>
          <t>N/A</t>
        </is>
      </c>
      <c r="DN1125" s="95" t="n"/>
      <c r="DO1125" s="95" t="n"/>
    </row>
    <row r="1126" ht="14.25" customHeight="1">
      <c r="A1126" s="147" t="inlineStr">
        <is>
          <t>DER-12</t>
        </is>
      </c>
      <c r="B1126" s="151" t="n"/>
      <c r="C1126" s="108" t="n"/>
      <c r="D1126" s="7" t="inlineStr">
        <is>
          <t>MONITOREO INTERNO</t>
        </is>
      </c>
      <c r="E1126" s="7" t="inlineStr">
        <is>
          <t>NO</t>
        </is>
      </c>
      <c r="F1126" s="7" t="inlineStr">
        <is>
          <t>NO</t>
        </is>
      </c>
      <c r="G1126" s="7" t="inlineStr">
        <is>
          <t>NO</t>
        </is>
      </c>
      <c r="H1126" s="7" t="n">
        <v>532184.418269</v>
      </c>
      <c r="I1126" s="7" t="n">
        <v>7680574.77284</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1" t="inlineStr">
        <is>
          <t>ASUB</t>
        </is>
      </c>
      <c r="BN1126" s="337" t="inlineStr">
        <is>
          <t>Rosario</t>
        </is>
      </c>
      <c r="BO1126" s="251" t="inlineStr">
        <is>
          <t>NO</t>
        </is>
      </c>
      <c r="BP1126" s="253" t="n"/>
      <c r="BQ1126" s="253" t="n"/>
      <c r="BR1126" s="253" t="n"/>
      <c r="BS1126" s="253" t="n"/>
      <c r="BT1126" s="253" t="n"/>
      <c r="BU1126" s="101" t="inlineStr">
        <is>
          <t>ARCADIS</t>
        </is>
      </c>
      <c r="BV1126" s="130"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24">
        <f>+COUNT(BV1126:CY1126)</f>
        <v/>
      </c>
      <c r="DA1126" s="124" t="n"/>
      <c r="DB1126" s="124" t="n"/>
      <c r="DC1126" s="124" t="n"/>
      <c r="DD1126" s="124" t="n"/>
      <c r="DE1126" s="124" t="n"/>
      <c r="DF1126" s="124" t="n"/>
      <c r="DG1126" s="124" t="n"/>
      <c r="DH1126" s="124" t="n"/>
      <c r="DI1126" s="124" t="n"/>
      <c r="DJ1126" s="98" t="inlineStr">
        <is>
          <t>N/A</t>
        </is>
      </c>
      <c r="DK1126" s="251" t="n"/>
      <c r="DL1126" s="95" t="n"/>
      <c r="DM1126" s="251" t="inlineStr">
        <is>
          <t>N/A</t>
        </is>
      </c>
      <c r="DN1126" s="95" t="n"/>
      <c r="DO1126" s="95" t="n"/>
    </row>
    <row r="1127" ht="14.25" customHeight="1">
      <c r="A1127" s="147" t="inlineStr">
        <is>
          <t>DER-15</t>
        </is>
      </c>
      <c r="B1127" s="151" t="n"/>
      <c r="C1127" s="108" t="n"/>
      <c r="D1127" s="7" t="inlineStr">
        <is>
          <t>MONITOREO INTERNO</t>
        </is>
      </c>
      <c r="E1127" s="7" t="inlineStr">
        <is>
          <t>NO</t>
        </is>
      </c>
      <c r="F1127" s="7" t="inlineStr">
        <is>
          <t>NO</t>
        </is>
      </c>
      <c r="G1127" s="7" t="inlineStr">
        <is>
          <t>NO</t>
        </is>
      </c>
      <c r="H1127" s="7" t="n">
        <v>528470.855365</v>
      </c>
      <c r="I1127" s="7" t="n">
        <v>7679209.40044</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1" t="inlineStr">
        <is>
          <t>ASUB</t>
        </is>
      </c>
      <c r="BN1127" s="337" t="inlineStr">
        <is>
          <t>Rosario</t>
        </is>
      </c>
      <c r="BO1127" s="251" t="inlineStr">
        <is>
          <t>NO</t>
        </is>
      </c>
      <c r="BP1127" s="253" t="n"/>
      <c r="BQ1127" s="253" t="n"/>
      <c r="BR1127" s="253" t="n"/>
      <c r="BS1127" s="253" t="n"/>
      <c r="BT1127" s="253" t="n"/>
      <c r="BU1127" s="101" t="inlineStr">
        <is>
          <t>ARCADIS</t>
        </is>
      </c>
      <c r="BV1127" s="130"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24">
        <f>+COUNT(BV1127:CY1127)</f>
        <v/>
      </c>
      <c r="DA1127" s="124" t="n"/>
      <c r="DB1127" s="124" t="n"/>
      <c r="DC1127" s="124" t="n"/>
      <c r="DD1127" s="124" t="n"/>
      <c r="DE1127" s="124" t="n"/>
      <c r="DF1127" s="124" t="n"/>
      <c r="DG1127" s="124" t="n"/>
      <c r="DH1127" s="124" t="n"/>
      <c r="DI1127" s="124" t="n"/>
      <c r="DJ1127" s="98" t="inlineStr">
        <is>
          <t>N/A</t>
        </is>
      </c>
      <c r="DK1127" s="251" t="n"/>
      <c r="DL1127" s="95" t="n"/>
      <c r="DM1127" s="251" t="inlineStr">
        <is>
          <t>N/A</t>
        </is>
      </c>
      <c r="DN1127" s="95" t="n"/>
      <c r="DO1127" s="95" t="n"/>
    </row>
    <row r="1128" ht="14.25" customHeight="1">
      <c r="A1128" s="147" t="inlineStr">
        <is>
          <t>DER-18</t>
        </is>
      </c>
      <c r="B1128" s="151" t="n"/>
      <c r="C1128" s="108" t="n"/>
      <c r="D1128" s="7" t="inlineStr">
        <is>
          <t>MONITOREO INTERNO</t>
        </is>
      </c>
      <c r="E1128" s="7" t="inlineStr">
        <is>
          <t>NO</t>
        </is>
      </c>
      <c r="F1128" s="7" t="inlineStr">
        <is>
          <t>NO</t>
        </is>
      </c>
      <c r="G1128" s="7" t="inlineStr">
        <is>
          <t>NO</t>
        </is>
      </c>
      <c r="H1128" s="7" t="n">
        <v>531811.270363</v>
      </c>
      <c r="I1128" s="7" t="n">
        <v>7681637.21794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1" t="inlineStr">
        <is>
          <t>ASUB</t>
        </is>
      </c>
      <c r="BN1128" s="337" t="inlineStr">
        <is>
          <t>Rosario</t>
        </is>
      </c>
      <c r="BO1128" s="251" t="inlineStr">
        <is>
          <t>NO</t>
        </is>
      </c>
      <c r="BP1128" s="253" t="n"/>
      <c r="BQ1128" s="253" t="n"/>
      <c r="BR1128" s="253" t="n"/>
      <c r="BS1128" s="253" t="n"/>
      <c r="BT1128" s="253" t="n"/>
      <c r="BU1128" s="101" t="inlineStr">
        <is>
          <t>ARCADIS</t>
        </is>
      </c>
      <c r="BV1128" s="130"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24">
        <f>+COUNT(BV1128:CY1128)</f>
        <v/>
      </c>
      <c r="DA1128" s="124" t="n"/>
      <c r="DB1128" s="124" t="n"/>
      <c r="DC1128" s="124" t="n"/>
      <c r="DD1128" s="124" t="n"/>
      <c r="DE1128" s="124" t="n"/>
      <c r="DF1128" s="124" t="n"/>
      <c r="DG1128" s="124" t="n"/>
      <c r="DH1128" s="124" t="n"/>
      <c r="DI1128" s="124" t="n"/>
      <c r="DJ1128" s="98" t="inlineStr">
        <is>
          <t>N/A</t>
        </is>
      </c>
      <c r="DK1128" s="251" t="n"/>
      <c r="DL1128" s="95" t="n"/>
      <c r="DM1128" s="251" t="inlineStr">
        <is>
          <t>N/A</t>
        </is>
      </c>
      <c r="DN1128" s="95" t="n"/>
      <c r="DO1128" s="95" t="n"/>
    </row>
    <row r="1129" ht="14.25" customHeight="1">
      <c r="A1129" s="147" t="inlineStr">
        <is>
          <t>DER-20</t>
        </is>
      </c>
      <c r="B1129" s="151" t="n"/>
      <c r="C1129" s="108" t="n"/>
      <c r="D1129" s="7" t="inlineStr">
        <is>
          <t>MONITOREO INTERNO</t>
        </is>
      </c>
      <c r="E1129" s="7" t="inlineStr">
        <is>
          <t>NO</t>
        </is>
      </c>
      <c r="F1129" s="7" t="inlineStr">
        <is>
          <t>NO</t>
        </is>
      </c>
      <c r="G1129" s="7" t="inlineStr">
        <is>
          <t>NO</t>
        </is>
      </c>
      <c r="H1129" s="7" t="n">
        <v>533575.331703</v>
      </c>
      <c r="I1129" s="7" t="n">
        <v>7680522.38263</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1" t="inlineStr">
        <is>
          <t>ASUB</t>
        </is>
      </c>
      <c r="BN1129" s="337" t="inlineStr">
        <is>
          <t>Rosario</t>
        </is>
      </c>
      <c r="BO1129" s="251" t="inlineStr">
        <is>
          <t>NO</t>
        </is>
      </c>
      <c r="BP1129" s="253" t="n"/>
      <c r="BQ1129" s="253" t="n"/>
      <c r="BR1129" s="253" t="n"/>
      <c r="BS1129" s="253" t="n"/>
      <c r="BT1129" s="253" t="n"/>
      <c r="BU1129" s="101" t="inlineStr">
        <is>
          <t>ARCADIS</t>
        </is>
      </c>
      <c r="BV1129" s="130"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24">
        <f>+COUNT(BV1129:CY1129)</f>
        <v/>
      </c>
      <c r="DA1129" s="124" t="n"/>
      <c r="DB1129" s="124" t="n"/>
      <c r="DC1129" s="124" t="n"/>
      <c r="DD1129" s="124" t="n"/>
      <c r="DE1129" s="124" t="n"/>
      <c r="DF1129" s="124" t="n"/>
      <c r="DG1129" s="124" t="n"/>
      <c r="DH1129" s="124" t="n"/>
      <c r="DI1129" s="124" t="n"/>
      <c r="DJ1129" s="98" t="inlineStr">
        <is>
          <t>N/A</t>
        </is>
      </c>
      <c r="DK1129" s="251" t="n"/>
      <c r="DL1129" s="95" t="n"/>
      <c r="DM1129" s="251" t="inlineStr">
        <is>
          <t>N/A</t>
        </is>
      </c>
      <c r="DN1129" s="95" t="n"/>
      <c r="DO1129" s="95" t="n"/>
    </row>
    <row r="1130" ht="14.25" customHeight="1">
      <c r="A1130" s="147" t="inlineStr">
        <is>
          <t>DER-21</t>
        </is>
      </c>
      <c r="B1130" s="151" t="n"/>
      <c r="C1130" s="108" t="n"/>
      <c r="D1130" s="7" t="inlineStr">
        <is>
          <t>MONITOREO INTERNO</t>
        </is>
      </c>
      <c r="E1130" s="7" t="inlineStr">
        <is>
          <t>NO</t>
        </is>
      </c>
      <c r="F1130" s="7" t="inlineStr">
        <is>
          <t>NO</t>
        </is>
      </c>
      <c r="G1130" s="7" t="inlineStr">
        <is>
          <t>NO</t>
        </is>
      </c>
      <c r="H1130" s="7" t="n">
        <v>530916.3036409999</v>
      </c>
      <c r="I1130" s="7" t="n">
        <v>7678635.05244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1" t="inlineStr">
        <is>
          <t>ASUB</t>
        </is>
      </c>
      <c r="BN1130" s="337" t="inlineStr">
        <is>
          <t>Rosario</t>
        </is>
      </c>
      <c r="BO1130" s="251" t="inlineStr">
        <is>
          <t>NO</t>
        </is>
      </c>
      <c r="BP1130" s="253" t="n"/>
      <c r="BQ1130" s="253" t="n"/>
      <c r="BR1130" s="253" t="n"/>
      <c r="BS1130" s="253" t="n"/>
      <c r="BT1130" s="253" t="n"/>
      <c r="BU1130" s="101" t="inlineStr">
        <is>
          <t>ARCADIS</t>
        </is>
      </c>
      <c r="BV1130" s="130"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24">
        <f>+COUNT(BV1130:CY1130)</f>
        <v/>
      </c>
      <c r="DA1130" s="124" t="n"/>
      <c r="DB1130" s="124" t="n"/>
      <c r="DC1130" s="124" t="n"/>
      <c r="DD1130" s="124" t="n"/>
      <c r="DE1130" s="124" t="n"/>
      <c r="DF1130" s="124" t="n"/>
      <c r="DG1130" s="124" t="n"/>
      <c r="DH1130" s="124" t="n"/>
      <c r="DI1130" s="124" t="n"/>
      <c r="DJ1130" s="98" t="inlineStr">
        <is>
          <t>N/A</t>
        </is>
      </c>
      <c r="DK1130" s="251" t="n"/>
      <c r="DL1130" s="95" t="n"/>
      <c r="DM1130" s="251" t="inlineStr">
        <is>
          <t>N/A</t>
        </is>
      </c>
      <c r="DN1130" s="95" t="n"/>
      <c r="DO1130" s="95" t="n"/>
    </row>
    <row r="1131" ht="14.25" customHeight="1">
      <c r="A1131" s="147" t="inlineStr">
        <is>
          <t>DER-23</t>
        </is>
      </c>
      <c r="B1131" s="151" t="n"/>
      <c r="C1131" s="108" t="n"/>
      <c r="D1131" s="7" t="inlineStr">
        <is>
          <t>MONITOREO INTERNO</t>
        </is>
      </c>
      <c r="E1131" s="7" t="inlineStr">
        <is>
          <t>NO</t>
        </is>
      </c>
      <c r="F1131" s="7" t="inlineStr">
        <is>
          <t>NO</t>
        </is>
      </c>
      <c r="G1131" s="7" t="inlineStr">
        <is>
          <t>NO</t>
        </is>
      </c>
      <c r="H1131" s="7" t="n">
        <v>530598.7666720001</v>
      </c>
      <c r="I1131" s="7" t="n">
        <v>7683643.39887</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n"/>
      <c r="BJ1131" s="7" t="n"/>
      <c r="BK1131" s="61" t="inlineStr">
        <is>
          <t>S/TAG</t>
        </is>
      </c>
      <c r="BL1131" s="61" t="n">
        <v>0</v>
      </c>
      <c r="BM1131" s="251" t="inlineStr">
        <is>
          <t>ASUB</t>
        </is>
      </c>
      <c r="BN1131" s="337" t="inlineStr">
        <is>
          <t>Rosario</t>
        </is>
      </c>
      <c r="BO1131" s="251" t="inlineStr">
        <is>
          <t>NO</t>
        </is>
      </c>
      <c r="BP1131" s="253" t="n"/>
      <c r="BQ1131" s="253" t="n"/>
      <c r="BR1131" s="253" t="n"/>
      <c r="BS1131" s="253" t="n"/>
      <c r="BT1131" s="253" t="n"/>
      <c r="BU1131" s="101" t="inlineStr">
        <is>
          <t>Retirado por CMDIC</t>
        </is>
      </c>
      <c r="BV1131" s="130"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24">
        <f>+COUNT(BV1131:CY1131)</f>
        <v/>
      </c>
      <c r="DA1131" s="124" t="n"/>
      <c r="DB1131" s="124" t="n"/>
      <c r="DC1131" s="124" t="n"/>
      <c r="DD1131" s="124" t="n"/>
      <c r="DE1131" s="124" t="n"/>
      <c r="DF1131" s="124" t="n"/>
      <c r="DG1131" s="124" t="n"/>
      <c r="DH1131" s="124" t="n"/>
      <c r="DI1131" s="124" t="n"/>
      <c r="DJ1131" s="98" t="inlineStr">
        <is>
          <t>N/A</t>
        </is>
      </c>
      <c r="DK1131" s="251" t="n"/>
      <c r="DL1131" s="95" t="n"/>
      <c r="DM1131" s="251" t="inlineStr">
        <is>
          <t>N/A</t>
        </is>
      </c>
      <c r="DN1131" s="95" t="n"/>
      <c r="DO1131" s="95" t="n"/>
    </row>
    <row r="1132" ht="14.25" customHeight="1">
      <c r="A1132" s="147" t="inlineStr">
        <is>
          <t>DER-26</t>
        </is>
      </c>
      <c r="B1132" s="151" t="n"/>
      <c r="C1132" s="108" t="n"/>
      <c r="D1132" s="7" t="inlineStr">
        <is>
          <t>MONITOREO INTERNO</t>
        </is>
      </c>
      <c r="E1132" s="7" t="inlineStr">
        <is>
          <t>NO</t>
        </is>
      </c>
      <c r="F1132" s="7" t="inlineStr">
        <is>
          <t>NO</t>
        </is>
      </c>
      <c r="G1132" s="7" t="inlineStr">
        <is>
          <t>NO</t>
        </is>
      </c>
      <c r="H1132" s="7" t="n">
        <v>532782.105962</v>
      </c>
      <c r="I1132" s="7" t="n">
        <v>7682124.37533</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Bimestral</t>
        </is>
      </c>
      <c r="V1132" s="7" t="inlineStr">
        <is>
          <t>SI</t>
        </is>
      </c>
      <c r="W1132" s="7" t="inlineStr">
        <is>
          <t>Bimestral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1" t="inlineStr">
        <is>
          <t>ASUB</t>
        </is>
      </c>
      <c r="BN1132" s="337" t="inlineStr">
        <is>
          <t>Rosario</t>
        </is>
      </c>
      <c r="BO1132" s="251" t="inlineStr">
        <is>
          <t>NO</t>
        </is>
      </c>
      <c r="BP1132" s="253" t="n"/>
      <c r="BQ1132" s="253" t="n"/>
      <c r="BR1132" s="253" t="n"/>
      <c r="BS1132" s="253" t="n"/>
      <c r="BT1132" s="253" t="n"/>
      <c r="BU1132" s="109" t="inlineStr">
        <is>
          <t>ARCADIS</t>
        </is>
      </c>
      <c r="BV1132" s="130"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24">
        <f>+COUNT(BV1132:CY1132)</f>
        <v/>
      </c>
      <c r="DA1132" s="124" t="n"/>
      <c r="DB1132" s="124" t="n"/>
      <c r="DC1132" s="124" t="n"/>
      <c r="DD1132" s="124" t="n"/>
      <c r="DE1132" s="124" t="n"/>
      <c r="DF1132" s="124" t="n"/>
      <c r="DG1132" s="124" t="n"/>
      <c r="DH1132" s="124" t="n"/>
      <c r="DI1132" s="124" t="n"/>
      <c r="DJ1132" s="98" t="inlineStr">
        <is>
          <t>N/A</t>
        </is>
      </c>
      <c r="DK1132" s="251" t="n"/>
      <c r="DL1132" s="95" t="n"/>
      <c r="DM1132" s="251" t="inlineStr">
        <is>
          <t>N/A</t>
        </is>
      </c>
      <c r="DN1132" s="95" t="n"/>
      <c r="DO1132" s="95" t="n"/>
    </row>
    <row r="1133" ht="14.25" customHeight="1">
      <c r="A1133" s="147" t="inlineStr">
        <is>
          <t>DER-28</t>
        </is>
      </c>
      <c r="B1133" s="151" t="n"/>
      <c r="C1133" s="108" t="n"/>
      <c r="D1133" s="7" t="inlineStr">
        <is>
          <t>MONITOREO INTERNO</t>
        </is>
      </c>
      <c r="E1133" s="7" t="inlineStr">
        <is>
          <t>NO</t>
        </is>
      </c>
      <c r="F1133" s="7" t="inlineStr">
        <is>
          <t>NO</t>
        </is>
      </c>
      <c r="G1133" s="7" t="inlineStr">
        <is>
          <t>NO</t>
        </is>
      </c>
      <c r="H1133" s="7" t="n">
        <v>530863.714953</v>
      </c>
      <c r="I1133" s="7" t="n">
        <v>7682085.65612</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inlineStr">
        <is>
          <t>Consultar si el punto de monitoreo se debe seguir monitoreando</t>
        </is>
      </c>
      <c r="BJ1133" s="7" t="n"/>
      <c r="BK1133" s="61" t="inlineStr">
        <is>
          <t>S/TAG</t>
        </is>
      </c>
      <c r="BL1133" s="61" t="n">
        <v>0</v>
      </c>
      <c r="BM1133" s="251" t="inlineStr">
        <is>
          <t>ASUB</t>
        </is>
      </c>
      <c r="BN1133" s="337" t="inlineStr">
        <is>
          <t>Rosario</t>
        </is>
      </c>
      <c r="BO1133" s="251" t="inlineStr">
        <is>
          <t>NO</t>
        </is>
      </c>
      <c r="BP1133" s="253" t="n"/>
      <c r="BQ1133" s="253" t="n"/>
      <c r="BR1133" s="253" t="n"/>
      <c r="BS1133" s="253" t="n"/>
      <c r="BT1133" s="253" t="n"/>
      <c r="BU1133" s="101" t="inlineStr">
        <is>
          <t>ARCADIS</t>
        </is>
      </c>
      <c r="BV1133" s="130"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24">
        <f>+COUNT(BV1133:CY1133)</f>
        <v/>
      </c>
      <c r="DA1133" s="124" t="n"/>
      <c r="DB1133" s="124" t="n"/>
      <c r="DC1133" s="124" t="n"/>
      <c r="DD1133" s="124" t="n"/>
      <c r="DE1133" s="124" t="n"/>
      <c r="DF1133" s="124" t="n"/>
      <c r="DG1133" s="124" t="n"/>
      <c r="DH1133" s="124" t="n"/>
      <c r="DI1133" s="124" t="n"/>
      <c r="DJ1133" s="98" t="inlineStr">
        <is>
          <t>N/A</t>
        </is>
      </c>
      <c r="DK1133" s="251" t="n"/>
      <c r="DL1133" s="95" t="n"/>
      <c r="DM1133" s="251" t="inlineStr">
        <is>
          <t>N/A</t>
        </is>
      </c>
      <c r="DN1133" s="95" t="n"/>
      <c r="DO1133" s="95" t="n"/>
    </row>
    <row r="1134" ht="14.25" customHeight="1">
      <c r="A1134" s="147" t="inlineStr">
        <is>
          <t>DER-42</t>
        </is>
      </c>
      <c r="B1134" s="151" t="n"/>
      <c r="C1134" s="108" t="n"/>
      <c r="D1134" s="7" t="inlineStr">
        <is>
          <t>MONITOREO INTERNO</t>
        </is>
      </c>
      <c r="E1134" s="7" t="inlineStr">
        <is>
          <t>NO</t>
        </is>
      </c>
      <c r="F1134" s="7" t="inlineStr">
        <is>
          <t>NO</t>
        </is>
      </c>
      <c r="G1134" s="7" t="inlineStr">
        <is>
          <t>NO</t>
        </is>
      </c>
      <c r="H1134" s="7" t="n">
        <v>533520.222131</v>
      </c>
      <c r="I1134" s="7" t="n">
        <v>7681025.64027</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Mensual</t>
        </is>
      </c>
      <c r="V1134" s="7" t="inlineStr">
        <is>
          <t>SI</t>
        </is>
      </c>
      <c r="W1134" s="7" t="inlineStr">
        <is>
          <t>Mensual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1" t="inlineStr">
        <is>
          <t>ASUB</t>
        </is>
      </c>
      <c r="BN1134" s="337" t="inlineStr">
        <is>
          <t>Rosario</t>
        </is>
      </c>
      <c r="BO1134" s="251" t="inlineStr">
        <is>
          <t>NO</t>
        </is>
      </c>
      <c r="BP1134" s="253" t="n"/>
      <c r="BQ1134" s="253" t="n"/>
      <c r="BR1134" s="253" t="n"/>
      <c r="BS1134" s="253" t="n"/>
      <c r="BT1134" s="253" t="n"/>
      <c r="BU1134" s="101" t="inlineStr">
        <is>
          <t>ARCADIS</t>
        </is>
      </c>
      <c r="BV1134" s="130"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24">
        <f>+COUNT(BV1134:CY1134)</f>
        <v/>
      </c>
      <c r="DA1134" s="124" t="n"/>
      <c r="DB1134" s="124" t="n"/>
      <c r="DC1134" s="124" t="n"/>
      <c r="DD1134" s="124" t="n"/>
      <c r="DE1134" s="124" t="n"/>
      <c r="DF1134" s="124" t="n"/>
      <c r="DG1134" s="124" t="n"/>
      <c r="DH1134" s="124" t="n"/>
      <c r="DI1134" s="124" t="n"/>
      <c r="DJ1134" s="98" t="inlineStr">
        <is>
          <t>N/A</t>
        </is>
      </c>
      <c r="DK1134" s="251" t="n"/>
      <c r="DL1134" s="95" t="n"/>
      <c r="DM1134" s="251" t="inlineStr">
        <is>
          <t>N/A</t>
        </is>
      </c>
      <c r="DN1134" s="95" t="n"/>
      <c r="DO1134" s="95" t="n"/>
    </row>
    <row r="1135" ht="14.25" customHeight="1">
      <c r="A1135" s="147" t="inlineStr">
        <is>
          <t>DPA-02</t>
        </is>
      </c>
      <c r="B1135" s="151" t="n"/>
      <c r="C1135" s="108" t="n"/>
      <c r="D1135" s="7" t="inlineStr">
        <is>
          <t>MONITOREO INTERNO</t>
        </is>
      </c>
      <c r="E1135" s="7" t="inlineStr">
        <is>
          <t>NO</t>
        </is>
      </c>
      <c r="F1135" s="7" t="inlineStr">
        <is>
          <t>NO</t>
        </is>
      </c>
      <c r="G1135" s="7" t="inlineStr">
        <is>
          <t>NO</t>
        </is>
      </c>
      <c r="H1135" s="7" t="inlineStr">
        <is>
          <t>REVISAR</t>
        </is>
      </c>
      <c r="I1135" s="7" t="inlineStr">
        <is>
          <t>REVISAR</t>
        </is>
      </c>
      <c r="J1135" s="7" t="inlineStr">
        <is>
          <t>Construido</t>
        </is>
      </c>
      <c r="K1135" s="7" t="inlineStr">
        <is>
          <t>-</t>
        </is>
      </c>
      <c r="L1135" s="7" t="inlineStr">
        <is>
          <t>Agua Subterránea</t>
        </is>
      </c>
      <c r="M1135" s="7" t="inlineStr">
        <is>
          <t>Cordillera</t>
        </is>
      </c>
      <c r="N1135" s="7" t="inlineStr">
        <is>
          <t>POZO</t>
        </is>
      </c>
      <c r="O1135" s="7" t="inlineStr">
        <is>
          <t>Huasco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Trimestral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n"/>
      <c r="BJ1135" s="7" t="n"/>
      <c r="BK1135" s="61" t="inlineStr">
        <is>
          <t>S/TAG</t>
        </is>
      </c>
      <c r="BL1135" s="61" t="inlineStr">
        <is>
          <t>GMAP-SIGA</t>
        </is>
      </c>
      <c r="BM1135" s="251" t="inlineStr">
        <is>
          <t>ASUB</t>
        </is>
      </c>
      <c r="BN1135" s="337" t="inlineStr">
        <is>
          <t>HUASCO</t>
        </is>
      </c>
      <c r="BO1135" s="251" t="inlineStr">
        <is>
          <t>NO</t>
        </is>
      </c>
      <c r="BP1135" s="253" t="n"/>
      <c r="BQ1135" s="253" t="n"/>
      <c r="BR1135" s="253" t="n"/>
      <c r="BS1135" s="253" t="n"/>
      <c r="BT1135" s="253" t="n"/>
      <c r="BU1135" s="102" t="inlineStr">
        <is>
          <t>SE ELIMINA</t>
        </is>
      </c>
      <c r="BV1135" s="130"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6" t="n"/>
      <c r="CQ1135" s="105" t="n"/>
      <c r="CR1135" s="105" t="n"/>
      <c r="CS1135" s="105" t="n"/>
      <c r="CT1135" s="105" t="n"/>
      <c r="CU1135" s="105" t="n"/>
      <c r="CV1135" s="105" t="n"/>
      <c r="CW1135" s="105" t="n"/>
      <c r="CX1135" s="105" t="n"/>
      <c r="CY1135" s="105" t="n"/>
      <c r="CZ1135" s="124">
        <f>+COUNT(BV1135:CY1135)</f>
        <v/>
      </c>
      <c r="DA1135" s="124" t="n"/>
      <c r="DB1135" s="124" t="n"/>
      <c r="DC1135" s="124" t="n"/>
      <c r="DD1135" s="124" t="n"/>
      <c r="DE1135" s="124" t="n"/>
      <c r="DF1135" s="124" t="n"/>
      <c r="DG1135" s="124" t="n"/>
      <c r="DH1135" s="124" t="n"/>
      <c r="DI1135" s="124" t="n"/>
      <c r="DJ1135" s="251" t="inlineStr">
        <is>
          <t>N/A</t>
        </is>
      </c>
      <c r="DK1135" s="251" t="n"/>
      <c r="DL1135" s="95" t="n"/>
      <c r="DM1135" s="251" t="inlineStr">
        <is>
          <t>N/A</t>
        </is>
      </c>
      <c r="DN1135" s="95" t="n"/>
      <c r="DO1135" s="95" t="n"/>
    </row>
    <row r="1136" ht="14.25" customHeight="1">
      <c r="A1136" s="147" t="inlineStr">
        <is>
          <t>HE-149</t>
        </is>
      </c>
      <c r="B1136" s="151" t="n"/>
      <c r="C1136" s="108" t="n"/>
      <c r="D1136" s="7" t="inlineStr">
        <is>
          <t>ELIMINADO RCA 20219900112</t>
        </is>
      </c>
      <c r="E1136" s="7" t="inlineStr">
        <is>
          <t>NO</t>
        </is>
      </c>
      <c r="F1136" s="7" t="inlineStr">
        <is>
          <t>NO</t>
        </is>
      </c>
      <c r="G1136" s="7" t="inlineStr">
        <is>
          <t>NO</t>
        </is>
      </c>
      <c r="H1136" s="7" t="inlineStr">
        <is>
          <t>Eliminado</t>
        </is>
      </c>
      <c r="I1136" s="7" t="inlineStr">
        <is>
          <t>Eliminado</t>
        </is>
      </c>
      <c r="J1136" s="7" t="inlineStr">
        <is>
          <t>Tapado por botadero, reemplazado por PDR-82/Eliminado EIA</t>
        </is>
      </c>
      <c r="K1136" s="7" t="inlineStr">
        <is>
          <t>-</t>
        </is>
      </c>
      <c r="L1136" s="7" t="inlineStr">
        <is>
          <t>Agua Subterránea</t>
        </is>
      </c>
      <c r="M1136" s="7" t="inlineStr">
        <is>
          <t>Cordillera</t>
        </is>
      </c>
      <c r="N1136" s="7" t="inlineStr">
        <is>
          <t>POZO</t>
        </is>
      </c>
      <c r="O1136" s="7" t="inlineStr">
        <is>
          <t xml:space="preserve">Huinquintipa </t>
        </is>
      </c>
      <c r="P1136" s="7" t="inlineStr">
        <is>
          <t>NO</t>
        </is>
      </c>
      <c r="Q1136" s="7" t="inlineStr">
        <is>
          <t>-</t>
        </is>
      </c>
      <c r="R1136" s="7" t="inlineStr">
        <is>
          <t>-</t>
        </is>
      </c>
      <c r="S1136" s="7" t="inlineStr">
        <is>
          <t>-</t>
        </is>
      </c>
      <c r="T1136" s="7" t="inlineStr">
        <is>
          <t>NO</t>
        </is>
      </c>
      <c r="U1136" s="7" t="inlineStr">
        <is>
          <t>-</t>
        </is>
      </c>
      <c r="V1136" s="7" t="inlineStr">
        <is>
          <t>NO</t>
        </is>
      </c>
      <c r="W1136" s="7" t="inlineStr">
        <is>
          <t>-</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Eliminado</t>
        </is>
      </c>
      <c r="BH1136" s="7" t="inlineStr">
        <is>
          <t>-</t>
        </is>
      </c>
      <c r="BI1136" s="7" t="inlineStr">
        <is>
          <t>Reemplazado</t>
        </is>
      </c>
      <c r="BJ1136" s="7" t="n"/>
      <c r="BK1136" s="61" t="inlineStr">
        <is>
          <t>S/TAG</t>
        </is>
      </c>
      <c r="BL1136" s="61" t="n">
        <v>0</v>
      </c>
      <c r="BM1136" s="251" t="inlineStr">
        <is>
          <t>ASUB</t>
        </is>
      </c>
      <c r="BN1136" s="337" t="inlineStr">
        <is>
          <t xml:space="preserve">Huinquintipa </t>
        </is>
      </c>
      <c r="BO1136" s="251" t="inlineStr">
        <is>
          <t>SI</t>
        </is>
      </c>
      <c r="BP1136" s="253" t="n"/>
      <c r="BQ1136" s="253" t="n"/>
      <c r="BR1136" s="253" t="n"/>
      <c r="BS1136" s="253" t="n"/>
      <c r="BT1136" s="253" t="n"/>
      <c r="BU1136" s="101" t="inlineStr">
        <is>
          <t>Tapado por botadero</t>
        </is>
      </c>
      <c r="BV1136" s="130"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24">
        <f>+COUNT(BV1136:CY1136)</f>
        <v/>
      </c>
      <c r="DA1136" s="124" t="n"/>
      <c r="DB1136" s="124" t="n"/>
      <c r="DC1136" s="124" t="n"/>
      <c r="DD1136" s="124" t="n"/>
      <c r="DE1136" s="124" t="n"/>
      <c r="DF1136" s="124" t="n"/>
      <c r="DG1136" s="124" t="n"/>
      <c r="DH1136" s="124" t="n"/>
      <c r="DI1136" s="124" t="n"/>
      <c r="DJ1136" s="251" t="inlineStr">
        <is>
          <t>N/A</t>
        </is>
      </c>
      <c r="DK1136" s="251" t="n"/>
      <c r="DL1136" s="95" t="n"/>
      <c r="DM1136" s="251" t="inlineStr">
        <is>
          <t>N/A</t>
        </is>
      </c>
      <c r="DN1136" s="95" t="n"/>
      <c r="DO1136" s="95" t="n"/>
    </row>
    <row r="1137" ht="14.25" customHeight="1">
      <c r="A1137" s="147" t="inlineStr">
        <is>
          <t>HPS-02</t>
        </is>
      </c>
      <c r="B1137" s="151" t="n"/>
      <c r="C1137" s="108" t="n"/>
      <c r="D1137" s="7" t="inlineStr">
        <is>
          <t>MONITOREO INTERNO</t>
        </is>
      </c>
      <c r="E1137" s="7" t="inlineStr">
        <is>
          <t>NO</t>
        </is>
      </c>
      <c r="F1137" s="7" t="inlineStr">
        <is>
          <t>NO</t>
        </is>
      </c>
      <c r="G1137" s="7" t="inlineStr">
        <is>
          <t>NO</t>
        </is>
      </c>
      <c r="H1137" s="7" t="n">
        <v>512973.018887</v>
      </c>
      <c r="I1137" s="7" t="n">
        <v>7759433.64525</v>
      </c>
      <c r="J1137" s="7" t="inlineStr">
        <is>
          <t>Construido</t>
        </is>
      </c>
      <c r="K1137" s="7" t="inlineStr">
        <is>
          <t>-</t>
        </is>
      </c>
      <c r="L1137" s="7" t="inlineStr">
        <is>
          <t>Agua Subterránea</t>
        </is>
      </c>
      <c r="M1137" s="7" t="inlineStr">
        <is>
          <t>Cordillera</t>
        </is>
      </c>
      <c r="N1137" s="7" t="inlineStr">
        <is>
          <t>Puntera</t>
        </is>
      </c>
      <c r="O1137" s="7" t="inlineStr">
        <is>
          <t>Huasco</t>
        </is>
      </c>
      <c r="P1137" s="7" t="inlineStr">
        <is>
          <t>NO</t>
        </is>
      </c>
      <c r="Q1137" s="7" t="inlineStr">
        <is>
          <t>-</t>
        </is>
      </c>
      <c r="R1137" s="7" t="inlineStr">
        <is>
          <t>-</t>
        </is>
      </c>
      <c r="S1137" s="7" t="inlineStr">
        <is>
          <t>-</t>
        </is>
      </c>
      <c r="T1137" s="7" t="inlineStr">
        <is>
          <t>SI</t>
        </is>
      </c>
      <c r="U1137" s="7" t="inlineStr">
        <is>
          <t>Trimestral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1" t="inlineStr">
        <is>
          <t>ASUB</t>
        </is>
      </c>
      <c r="BN1137" s="337" t="inlineStr">
        <is>
          <t>Huasco</t>
        </is>
      </c>
      <c r="BO1137" s="251" t="inlineStr">
        <is>
          <t>NO</t>
        </is>
      </c>
      <c r="BP1137" s="253" t="n"/>
      <c r="BQ1137" s="253" t="n"/>
      <c r="BR1137" s="253" t="n"/>
      <c r="BS1137" s="253" t="n"/>
      <c r="BT1137" s="253" t="n"/>
      <c r="BU1137" s="102" t="inlineStr">
        <is>
          <t>SE ELIMINA</t>
        </is>
      </c>
      <c r="BV1137" s="178" t="n"/>
      <c r="BW1137" s="251" t="n"/>
      <c r="BX1137" s="251" t="n"/>
      <c r="BY1137" s="251" t="n"/>
      <c r="BZ1137" s="251" t="n"/>
      <c r="CA1137" s="251" t="n"/>
      <c r="CB1137" s="251" t="n"/>
      <c r="CC1137" s="251" t="n"/>
      <c r="CD1137" s="251" t="n"/>
      <c r="CE1137" s="251" t="n"/>
      <c r="CF1137" s="251" t="n"/>
      <c r="CG1137" s="251" t="n"/>
      <c r="CH1137" s="251" t="n"/>
      <c r="CI1137" s="251" t="n"/>
      <c r="CJ1137" s="251" t="n"/>
      <c r="CK1137" s="251" t="n"/>
      <c r="CL1137" s="251" t="n"/>
      <c r="CM1137" s="251" t="n"/>
      <c r="CN1137" s="251" t="n"/>
      <c r="CO1137" s="251" t="n"/>
      <c r="CP1137" s="337" t="n"/>
      <c r="CQ1137" s="251" t="n"/>
      <c r="CR1137" s="251" t="n"/>
      <c r="CS1137" s="251" t="n"/>
      <c r="CT1137" s="251" t="n"/>
      <c r="CU1137" s="251" t="n"/>
      <c r="CV1137" s="251" t="n"/>
      <c r="CW1137" s="251" t="n"/>
      <c r="CX1137" s="251" t="n"/>
      <c r="CY1137" s="251" t="n"/>
      <c r="CZ1137" s="124">
        <f>+COUNT(BV1137:CY1137)</f>
        <v/>
      </c>
      <c r="DA1137" s="124" t="n"/>
      <c r="DB1137" s="124" t="n"/>
      <c r="DC1137" s="124" t="n"/>
      <c r="DD1137" s="124" t="n"/>
      <c r="DE1137" s="124" t="n"/>
      <c r="DF1137" s="124" t="n"/>
      <c r="DG1137" s="124" t="n"/>
      <c r="DH1137" s="124" t="n"/>
      <c r="DI1137" s="124" t="n"/>
      <c r="DJ1137" s="251" t="inlineStr">
        <is>
          <t>SE ELIMINA</t>
        </is>
      </c>
      <c r="DK1137" s="251" t="n"/>
      <c r="DL1137" s="95" t="n"/>
      <c r="DM1137" s="251" t="inlineStr">
        <is>
          <t>N/A</t>
        </is>
      </c>
      <c r="DN1137" s="95" t="n"/>
      <c r="DO1137" s="95" t="n"/>
    </row>
    <row r="1138" ht="14.25" customHeight="1">
      <c r="A1138" s="147" t="inlineStr">
        <is>
          <t>HPS-04</t>
        </is>
      </c>
      <c r="B1138" s="151" t="n"/>
      <c r="C1138" s="108" t="n"/>
      <c r="D1138" s="7" t="inlineStr">
        <is>
          <t>MONITOREO INTERNO</t>
        </is>
      </c>
      <c r="E1138" s="7" t="inlineStr">
        <is>
          <t>NO</t>
        </is>
      </c>
      <c r="F1138" s="7" t="inlineStr">
        <is>
          <t>NO</t>
        </is>
      </c>
      <c r="G1138" s="7" t="inlineStr">
        <is>
          <t>NO</t>
        </is>
      </c>
      <c r="H1138" s="7" t="n">
        <v>511704.943584</v>
      </c>
      <c r="I1138" s="7" t="n">
        <v>7757079.9247</v>
      </c>
      <c r="J1138" s="7" t="inlineStr">
        <is>
          <t>Construido</t>
        </is>
      </c>
      <c r="K1138" s="7" t="inlineStr">
        <is>
          <t>-</t>
        </is>
      </c>
      <c r="L1138" s="7" t="inlineStr">
        <is>
          <t>Agua Subterránea</t>
        </is>
      </c>
      <c r="M1138" s="7" t="inlineStr">
        <is>
          <t>Cordillera</t>
        </is>
      </c>
      <c r="N1138" s="7" t="inlineStr">
        <is>
          <t>Puntera</t>
        </is>
      </c>
      <c r="O1138" s="7" t="inlineStr">
        <is>
          <t>Huasco</t>
        </is>
      </c>
      <c r="P1138" s="7" t="inlineStr">
        <is>
          <t>NO</t>
        </is>
      </c>
      <c r="Q1138" s="7" t="inlineStr">
        <is>
          <t>-</t>
        </is>
      </c>
      <c r="R1138" s="7" t="inlineStr">
        <is>
          <t>-</t>
        </is>
      </c>
      <c r="S1138" s="7" t="inlineStr">
        <is>
          <t>-</t>
        </is>
      </c>
      <c r="T1138" s="7" t="inlineStr">
        <is>
          <t>SI</t>
        </is>
      </c>
      <c r="U1138" s="7" t="inlineStr">
        <is>
          <t>Trimestral</t>
        </is>
      </c>
      <c r="V1138" s="7" t="inlineStr">
        <is>
          <t>SI</t>
        </is>
      </c>
      <c r="W1138" s="7" t="inlineStr">
        <is>
          <t>Trimestral</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Monitoreo interno</t>
        </is>
      </c>
      <c r="BH1138" s="7" t="inlineStr">
        <is>
          <t>No aplica</t>
        </is>
      </c>
      <c r="BI1138" s="7" t="n"/>
      <c r="BJ1138" s="7" t="n"/>
      <c r="BK1138" s="61" t="inlineStr">
        <is>
          <t>S/TAG</t>
        </is>
      </c>
      <c r="BL1138" s="61" t="inlineStr">
        <is>
          <t>GMAP-SIGA</t>
        </is>
      </c>
      <c r="BM1138" s="251" t="inlineStr">
        <is>
          <t>ASUB</t>
        </is>
      </c>
      <c r="BN1138" s="337" t="inlineStr">
        <is>
          <t>HUASCO</t>
        </is>
      </c>
      <c r="BO1138" s="251" t="inlineStr">
        <is>
          <t>NO</t>
        </is>
      </c>
      <c r="BP1138" s="253" t="n"/>
      <c r="BQ1138" s="253" t="n"/>
      <c r="BR1138" s="253" t="n"/>
      <c r="BS1138" s="253" t="n"/>
      <c r="BT1138" s="253" t="n"/>
      <c r="BU1138" s="101" t="inlineStr">
        <is>
          <t>Desaparecido</t>
        </is>
      </c>
      <c r="BV1138" s="130"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6" t="n"/>
      <c r="CQ1138" s="105" t="n"/>
      <c r="CR1138" s="105" t="n"/>
      <c r="CS1138" s="105" t="n"/>
      <c r="CT1138" s="105" t="n"/>
      <c r="CU1138" s="105" t="n"/>
      <c r="CV1138" s="105" t="n"/>
      <c r="CW1138" s="105" t="n"/>
      <c r="CX1138" s="105" t="n"/>
      <c r="CY1138" s="105" t="n"/>
      <c r="CZ1138" s="124">
        <f>+COUNT(BV1138:CY1138)</f>
        <v/>
      </c>
      <c r="DA1138" s="124" t="n"/>
      <c r="DB1138" s="124" t="n"/>
      <c r="DC1138" s="124" t="n"/>
      <c r="DD1138" s="124" t="n"/>
      <c r="DE1138" s="124" t="n"/>
      <c r="DF1138" s="124" t="n"/>
      <c r="DG1138" s="124" t="n"/>
      <c r="DH1138" s="124" t="n"/>
      <c r="DI1138" s="124" t="n"/>
      <c r="DJ1138" s="251" t="inlineStr">
        <is>
          <t>N/A</t>
        </is>
      </c>
      <c r="DK1138" s="251" t="n"/>
      <c r="DL1138" s="95" t="n"/>
      <c r="DM1138" s="251" t="inlineStr">
        <is>
          <t>N/A</t>
        </is>
      </c>
      <c r="DN1138" s="95" t="n"/>
      <c r="DO1138" s="95" t="n"/>
    </row>
    <row r="1139" ht="14.25" customHeight="1">
      <c r="A1139" s="147" t="inlineStr">
        <is>
          <t>HPS-40A</t>
        </is>
      </c>
      <c r="B1139" s="151" t="n"/>
      <c r="C1139" s="108" t="n"/>
      <c r="D1139" s="7" t="inlineStr">
        <is>
          <t>MONITOREO INTERNO</t>
        </is>
      </c>
      <c r="E1139" s="7" t="inlineStr">
        <is>
          <t>NO</t>
        </is>
      </c>
      <c r="F1139" s="7" t="inlineStr">
        <is>
          <t>NO</t>
        </is>
      </c>
      <c r="G1139" s="7" t="inlineStr">
        <is>
          <t>NO</t>
        </is>
      </c>
      <c r="H1139" s="7" t="n">
        <v>516162.485092</v>
      </c>
      <c r="I1139" s="7" t="n">
        <v>7751387.66681</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1" t="inlineStr">
        <is>
          <t>ASUB</t>
        </is>
      </c>
      <c r="BN1139" s="337" t="inlineStr">
        <is>
          <t>Huasco</t>
        </is>
      </c>
      <c r="BO1139" s="251" t="inlineStr">
        <is>
          <t>NO</t>
        </is>
      </c>
      <c r="BP1139" s="253" t="n"/>
      <c r="BQ1139" s="253" t="n"/>
      <c r="BR1139" s="253" t="n"/>
      <c r="BS1139" s="253" t="n"/>
      <c r="BT1139" s="253" t="n"/>
      <c r="BU1139" s="102" t="inlineStr">
        <is>
          <t>SE ELIMINA</t>
        </is>
      </c>
      <c r="BV1139" s="130" t="n"/>
      <c r="BW1139" s="105" t="n"/>
      <c r="BX1139" s="105" t="n"/>
      <c r="BY1139" s="105" t="n"/>
      <c r="BZ1139" s="105" t="n"/>
      <c r="CA1139" s="105" t="n"/>
      <c r="CB1139" s="105" t="n"/>
      <c r="CC1139" s="105" t="n"/>
      <c r="CD1139" s="105" t="n"/>
      <c r="CE1139" s="105" t="n"/>
      <c r="CF1139" s="105" t="n"/>
      <c r="CG1139" s="105" t="n"/>
      <c r="CH1139" s="105" t="n"/>
      <c r="CI1139" s="105" t="n"/>
      <c r="CJ1139" s="105" t="n"/>
      <c r="CK1139" s="105" t="n"/>
      <c r="CL1139" s="105" t="n"/>
      <c r="CM1139" s="105" t="n"/>
      <c r="CN1139" s="105" t="n"/>
      <c r="CO1139" s="105" t="n"/>
      <c r="CP1139" s="106" t="n"/>
      <c r="CQ1139" s="105" t="n"/>
      <c r="CR1139" s="105" t="n"/>
      <c r="CS1139" s="105" t="n"/>
      <c r="CT1139" s="105" t="n"/>
      <c r="CU1139" s="105" t="n"/>
      <c r="CV1139" s="105" t="n"/>
      <c r="CW1139" s="105" t="n"/>
      <c r="CX1139" s="105" t="n"/>
      <c r="CY1139" s="105" t="n"/>
      <c r="CZ1139" s="124">
        <f>+COUNT(BV1139:CY1139)</f>
        <v/>
      </c>
      <c r="DA1139" s="124" t="n"/>
      <c r="DB1139" s="124" t="n"/>
      <c r="DC1139" s="124" t="n"/>
      <c r="DD1139" s="124" t="n"/>
      <c r="DE1139" s="124" t="n"/>
      <c r="DF1139" s="124" t="n"/>
      <c r="DG1139" s="124" t="n"/>
      <c r="DH1139" s="124" t="n"/>
      <c r="DI1139" s="124" t="n"/>
      <c r="DJ1139" s="251" t="inlineStr">
        <is>
          <t>N/A</t>
        </is>
      </c>
      <c r="DK1139" s="251" t="n"/>
      <c r="DL1139" s="95" t="n"/>
      <c r="DM1139" s="251" t="inlineStr">
        <is>
          <t>N/A</t>
        </is>
      </c>
      <c r="DN1139" s="95" t="n"/>
      <c r="DO1139" s="95" t="n"/>
    </row>
    <row r="1140" ht="14.25" customHeight="1">
      <c r="A1140" s="147" t="inlineStr">
        <is>
          <t>MA-09B</t>
        </is>
      </c>
      <c r="B1140" s="151" t="n"/>
      <c r="C1140" s="108" t="n"/>
      <c r="D1140" s="7" t="inlineStr">
        <is>
          <t>MONITOREO INTERNO</t>
        </is>
      </c>
      <c r="E1140" s="7" t="inlineStr">
        <is>
          <t>NO</t>
        </is>
      </c>
      <c r="F1140" s="7" t="inlineStr">
        <is>
          <t>NO</t>
        </is>
      </c>
      <c r="G1140" s="7" t="inlineStr">
        <is>
          <t>NO</t>
        </is>
      </c>
      <c r="H1140" s="7" t="n">
        <v>533705</v>
      </c>
      <c r="I1140" s="7" t="n">
        <v>7699170.99</v>
      </c>
      <c r="J1140" s="7" t="inlineStr">
        <is>
          <t>Construido</t>
        </is>
      </c>
      <c r="K1140" s="7" t="inlineStr">
        <is>
          <t>-</t>
        </is>
      </c>
      <c r="L1140" s="7" t="inlineStr">
        <is>
          <t>Agua Subterránea</t>
        </is>
      </c>
      <c r="M1140" s="7" t="inlineStr">
        <is>
          <t>Cordillera</t>
        </is>
      </c>
      <c r="N1140" s="7" t="inlineStr">
        <is>
          <t>Pozo Vertedero Industrial</t>
        </is>
      </c>
      <c r="O1140" s="7" t="inlineStr">
        <is>
          <t>Falla Pabellón</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Plan Vertedero</t>
        </is>
      </c>
      <c r="AO1140" s="7" t="inlineStr">
        <is>
          <t>Trimestral</t>
        </is>
      </c>
      <c r="AP1140" s="60" t="inlineStr">
        <is>
          <t>NO</t>
        </is>
      </c>
      <c r="AQ1140" s="7" t="inlineStr">
        <is>
          <t>-</t>
        </is>
      </c>
      <c r="AR1140" s="60" t="inlineStr">
        <is>
          <t>NO</t>
        </is>
      </c>
      <c r="AS1140" s="7" t="inlineStr">
        <is>
          <t>-</t>
        </is>
      </c>
      <c r="AT1140" s="7" t="inlineStr">
        <is>
          <t>SI</t>
        </is>
      </c>
      <c r="AU1140" s="7" t="inlineStr">
        <is>
          <t>Trimestral</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532MAMA</t>
        </is>
      </c>
      <c r="BL1140" s="61" t="inlineStr">
        <is>
          <t>GMAP-SIGA</t>
        </is>
      </c>
      <c r="BM1140" s="251" t="inlineStr">
        <is>
          <t>ASUB</t>
        </is>
      </c>
      <c r="BN1140" s="106" t="inlineStr">
        <is>
          <t>Falla Pabellón</t>
        </is>
      </c>
      <c r="BO1140" s="251" t="inlineStr">
        <is>
          <t>NO</t>
        </is>
      </c>
      <c r="BP1140" s="253" t="n"/>
      <c r="BQ1140" s="253" t="n"/>
      <c r="BR1140" s="253" t="n"/>
      <c r="BS1140" s="253" t="n"/>
      <c r="BT1140" s="253" t="n"/>
      <c r="BU1140" s="102" t="inlineStr">
        <is>
          <t>SE ELIMINO</t>
        </is>
      </c>
      <c r="BV1140" s="178" t="n"/>
      <c r="BW1140" s="251" t="n"/>
      <c r="BX1140" s="251" t="n"/>
      <c r="BY1140" s="251" t="n"/>
      <c r="BZ1140" s="251" t="n"/>
      <c r="CA1140" s="251" t="n"/>
      <c r="CB1140" s="251" t="n"/>
      <c r="CC1140" s="251" t="n"/>
      <c r="CD1140" s="251" t="n"/>
      <c r="CE1140" s="251" t="n"/>
      <c r="CF1140" s="251" t="n"/>
      <c r="CG1140" s="251" t="n"/>
      <c r="CH1140" s="251" t="n"/>
      <c r="CI1140" s="251" t="n"/>
      <c r="CJ1140" s="251" t="n"/>
      <c r="CK1140" s="251" t="n"/>
      <c r="CL1140" s="251" t="n"/>
      <c r="CM1140" s="251" t="n"/>
      <c r="CN1140" s="337" t="n"/>
      <c r="CO1140" s="251" t="n"/>
      <c r="CP1140" s="251" t="n"/>
      <c r="CQ1140" s="251" t="n"/>
      <c r="CR1140" s="251" t="n"/>
      <c r="CS1140" s="251" t="n"/>
      <c r="CT1140" s="251" t="n"/>
      <c r="CU1140" s="251" t="n"/>
      <c r="CV1140" s="251" t="n"/>
      <c r="CW1140" s="251" t="n"/>
      <c r="CX1140" s="251" t="n"/>
      <c r="CY1140" s="251" t="n"/>
      <c r="CZ1140" s="124">
        <f>+COUNT(BV1140:CY1140)</f>
        <v/>
      </c>
      <c r="DA1140" s="124" t="n"/>
      <c r="DB1140" s="124" t="n"/>
      <c r="DC1140" s="124" t="n"/>
      <c r="DD1140" s="124" t="n"/>
      <c r="DE1140" s="124" t="n"/>
      <c r="DF1140" s="124" t="n"/>
      <c r="DG1140" s="124" t="n"/>
      <c r="DH1140" s="124" t="n"/>
      <c r="DI1140" s="124" t="n"/>
      <c r="DJ1140" s="251" t="inlineStr">
        <is>
          <t>SE ELIMINA</t>
        </is>
      </c>
      <c r="DK1140" s="251" t="n"/>
      <c r="DL1140" s="95" t="n"/>
      <c r="DM1140" s="251" t="inlineStr">
        <is>
          <t>SE ELIMINA</t>
        </is>
      </c>
      <c r="DN1140" s="95" t="n"/>
      <c r="DO1140" s="95" t="n"/>
    </row>
    <row r="1141" ht="14.25" customHeight="1">
      <c r="A1141" s="147" t="inlineStr">
        <is>
          <t>MAU-11</t>
        </is>
      </c>
      <c r="B1141" s="151" t="n"/>
      <c r="C1141" s="108" t="n"/>
      <c r="D1141" s="7" t="inlineStr">
        <is>
          <t>ELIMINADO Y REEMPLAZADO POR MAU-11B</t>
        </is>
      </c>
      <c r="E1141" s="7" t="inlineStr">
        <is>
          <t>NO</t>
        </is>
      </c>
      <c r="F1141" s="7" t="inlineStr">
        <is>
          <t>NO</t>
        </is>
      </c>
      <c r="G1141" s="7" t="inlineStr">
        <is>
          <t>NO</t>
        </is>
      </c>
      <c r="H1141" s="7" t="inlineStr">
        <is>
          <t>Eliminado</t>
        </is>
      </c>
      <c r="I1141" s="7" t="inlineStr">
        <is>
          <t>Eliminado</t>
        </is>
      </c>
      <c r="J1141" s="7" t="inlineStr">
        <is>
          <t>Pozo sellado -reemplazo MAU-11B</t>
        </is>
      </c>
      <c r="K1141" s="7" t="inlineStr">
        <is>
          <t>-</t>
        </is>
      </c>
      <c r="L1141" s="7" t="inlineStr">
        <is>
          <t>Agua Subterránea</t>
        </is>
      </c>
      <c r="M1141" s="7" t="inlineStr">
        <is>
          <t>Cordillera</t>
        </is>
      </c>
      <c r="N1141" s="7" t="inlineStr">
        <is>
          <t>POZO</t>
        </is>
      </c>
      <c r="O1141" s="7" t="inlineStr">
        <is>
          <t>Lixiviación</t>
        </is>
      </c>
      <c r="P1141" s="7" t="inlineStr">
        <is>
          <t>NO</t>
        </is>
      </c>
      <c r="Q1141" s="7" t="inlineStr">
        <is>
          <t>-</t>
        </is>
      </c>
      <c r="R1141" s="7" t="inlineStr">
        <is>
          <t>-</t>
        </is>
      </c>
      <c r="S1141" s="7" t="inlineStr">
        <is>
          <t>-</t>
        </is>
      </c>
      <c r="T1141" s="7" t="inlineStr">
        <is>
          <t>NO</t>
        </is>
      </c>
      <c r="U1141" s="7" t="inlineStr">
        <is>
          <t>-</t>
        </is>
      </c>
      <c r="V1141" s="7" t="inlineStr">
        <is>
          <t>NO</t>
        </is>
      </c>
      <c r="W1141" s="7" t="inlineStr">
        <is>
          <t>-</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Eliminado</t>
        </is>
      </c>
      <c r="BH1141" s="7" t="inlineStr">
        <is>
          <t>-</t>
        </is>
      </c>
      <c r="BI1141" s="7" t="inlineStr">
        <is>
          <t>Reemplazado y eliminado RCA 20219900112</t>
        </is>
      </c>
      <c r="BJ1141" s="7" t="n"/>
      <c r="BK1141" s="61" t="inlineStr">
        <is>
          <t>532MAMAU</t>
        </is>
      </c>
      <c r="BL1141" s="61" t="n">
        <v>0</v>
      </c>
      <c r="BM1141" s="251" t="inlineStr">
        <is>
          <t>ASUB</t>
        </is>
      </c>
      <c r="BN1141" s="337" t="inlineStr">
        <is>
          <t>Lixiviación</t>
        </is>
      </c>
      <c r="BO1141" s="251" t="inlineStr">
        <is>
          <t>SI</t>
        </is>
      </c>
      <c r="BP1141" s="253" t="n"/>
      <c r="BQ1141" s="253" t="n"/>
      <c r="BR1141" s="253" t="n"/>
      <c r="BS1141" s="253" t="n"/>
      <c r="BT1141" s="253" t="n"/>
      <c r="BU1141" s="101" t="inlineStr">
        <is>
          <t xml:space="preserve">pozo se encuentra sellado por cmdic </t>
        </is>
      </c>
      <c r="BV1141" s="178" t="n"/>
      <c r="BW1141" s="251" t="n"/>
      <c r="BX1141" s="251" t="n"/>
      <c r="BY1141" s="251" t="n"/>
      <c r="BZ1141" s="251" t="n"/>
      <c r="CA1141" s="251" t="n"/>
      <c r="CB1141" s="251" t="n"/>
      <c r="CC1141" s="251" t="n"/>
      <c r="CD1141" s="251" t="n"/>
      <c r="CE1141" s="251" t="n"/>
      <c r="CF1141" s="251" t="n"/>
      <c r="CG1141" s="251" t="n"/>
      <c r="CH1141" s="251" t="n"/>
      <c r="CI1141" s="251" t="n"/>
      <c r="CJ1141" s="251" t="n"/>
      <c r="CK1141" s="251" t="n"/>
      <c r="CL1141" s="251" t="n"/>
      <c r="CM1141" s="251" t="n"/>
      <c r="CN1141" s="251" t="n"/>
      <c r="CO1141" s="251" t="n"/>
      <c r="CP1141" s="251" t="n"/>
      <c r="CQ1141" s="251" t="n"/>
      <c r="CR1141" s="251" t="n"/>
      <c r="CS1141" s="251" t="n"/>
      <c r="CT1141" s="251" t="n"/>
      <c r="CU1141" s="251" t="n"/>
      <c r="CV1141" s="251" t="n"/>
      <c r="CW1141" s="251" t="n"/>
      <c r="CX1141" s="251" t="n"/>
      <c r="CY1141" s="251" t="n"/>
      <c r="CZ1141" s="124">
        <f>+COUNT(BV1141:CY1141)</f>
        <v/>
      </c>
      <c r="DA1141" s="124" t="n"/>
      <c r="DB1141" s="124" t="n"/>
      <c r="DC1141" s="124" t="n"/>
      <c r="DD1141" s="124" t="n"/>
      <c r="DE1141" s="124" t="n"/>
      <c r="DF1141" s="124" t="n"/>
      <c r="DG1141" s="124" t="n"/>
      <c r="DH1141" s="124" t="n"/>
      <c r="DI1141" s="124" t="n"/>
      <c r="DJ1141" s="251" t="inlineStr">
        <is>
          <t>SE ELIMINA</t>
        </is>
      </c>
      <c r="DK1141" s="251" t="inlineStr">
        <is>
          <t>N/A</t>
        </is>
      </c>
      <c r="DL1141" s="251" t="inlineStr">
        <is>
          <t>N/A</t>
        </is>
      </c>
      <c r="DM1141" s="251" t="inlineStr">
        <is>
          <t>N/A</t>
        </is>
      </c>
      <c r="DN1141" s="95" t="n"/>
      <c r="DO1141" s="95" t="n"/>
    </row>
    <row r="1142" ht="14.25" customHeight="1">
      <c r="A1142" s="147" t="inlineStr">
        <is>
          <t>MAU-06</t>
        </is>
      </c>
      <c r="B1142" s="151" t="n"/>
      <c r="C1142" s="108" t="n"/>
      <c r="D1142" s="7" t="inlineStr">
        <is>
          <t>ELIMINADO Y REEMPLAZADO POR MAU-11B</t>
        </is>
      </c>
      <c r="E1142" s="7" t="inlineStr">
        <is>
          <t>NO</t>
        </is>
      </c>
      <c r="F1142" s="7" t="inlineStr">
        <is>
          <t>SI</t>
        </is>
      </c>
      <c r="G1142" s="7" t="inlineStr">
        <is>
          <t>NO</t>
        </is>
      </c>
      <c r="H1142" s="7" t="n">
        <v>540922</v>
      </c>
      <c r="I1142" s="7" t="n">
        <v>7680571</v>
      </c>
      <c r="J1142" s="7" t="inlineStr">
        <is>
          <t>Pozo desaparecido, dejará de ser parte del seguimiento, Anexo 10.1, reemplazado por MAU-11B</t>
        </is>
      </c>
      <c r="K1142" s="7" t="inlineStr">
        <is>
          <t>-</t>
        </is>
      </c>
      <c r="L1142" s="7" t="inlineStr">
        <is>
          <t>Agua Subterránea</t>
        </is>
      </c>
      <c r="M1142" s="7" t="inlineStr">
        <is>
          <t>Cordillera</t>
        </is>
      </c>
      <c r="N1142" s="7" t="inlineStr">
        <is>
          <t>POZO</t>
        </is>
      </c>
      <c r="O1142" s="7" t="inlineStr">
        <is>
          <t>Lixiviación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NO</t>
        </is>
      </c>
      <c r="AO1142" s="7" t="inlineStr">
        <is>
          <t>-</t>
        </is>
      </c>
      <c r="AP1142" s="60" t="inlineStr">
        <is>
          <t>NO</t>
        </is>
      </c>
      <c r="AQ1142" s="7" t="inlineStr">
        <is>
          <t>-</t>
        </is>
      </c>
      <c r="AR1142" s="60" t="inlineStr">
        <is>
          <t>NO</t>
        </is>
      </c>
      <c r="AS1142" s="7" t="inlineStr">
        <is>
          <t>-</t>
        </is>
      </c>
      <c r="AT1142" s="7" t="inlineStr">
        <is>
          <t>NO</t>
        </is>
      </c>
      <c r="AU1142" s="7" t="inlineStr">
        <is>
          <t>-</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Eliminado</t>
        </is>
      </c>
      <c r="BH1142" s="7" t="inlineStr">
        <is>
          <t>Res. Ex. N° 167/2001</t>
        </is>
      </c>
      <c r="BI1142" s="7" t="inlineStr">
        <is>
          <t xml:space="preserve">Reemplazado y eliminado RCA 20219900112
</t>
        </is>
      </c>
      <c r="BJ1142" s="7" t="n"/>
      <c r="BK1142" s="61" t="inlineStr">
        <is>
          <t>532MAMAU</t>
        </is>
      </c>
      <c r="BL1142" s="61" t="inlineStr">
        <is>
          <t>LIXIVIACIÓN</t>
        </is>
      </c>
      <c r="BM1142" s="251" t="inlineStr">
        <is>
          <t>ASUB</t>
        </is>
      </c>
      <c r="BN1142" s="337" t="inlineStr">
        <is>
          <t>Lixiviación</t>
        </is>
      </c>
      <c r="BO1142" s="251" t="inlineStr">
        <is>
          <t>SI</t>
        </is>
      </c>
      <c r="BP1142" s="253" t="n"/>
      <c r="BQ1142" s="253" t="n"/>
      <c r="BR1142" s="253" t="n"/>
      <c r="BS1142" s="253" t="n"/>
      <c r="BT1142" s="253" t="n"/>
      <c r="BU1142" s="102" t="inlineStr">
        <is>
          <t>POZO DESAPARECIDO SE ELIMINA</t>
        </is>
      </c>
      <c r="BV1142" s="178" t="n"/>
      <c r="BW1142" s="251" t="n"/>
      <c r="BX1142" s="251" t="n"/>
      <c r="BY1142" s="251" t="n"/>
      <c r="BZ1142" s="251" t="n"/>
      <c r="CA1142" s="251" t="n"/>
      <c r="CB1142" s="251" t="n"/>
      <c r="CC1142" s="251" t="n"/>
      <c r="CD1142" s="251" t="n"/>
      <c r="CE1142" s="251" t="n"/>
      <c r="CF1142" s="251" t="n"/>
      <c r="CG1142" s="251" t="n"/>
      <c r="CH1142" s="251" t="n"/>
      <c r="CI1142" s="251" t="n"/>
      <c r="CJ1142" s="251" t="n"/>
      <c r="CK1142" s="251" t="n"/>
      <c r="CL1142" s="251" t="n"/>
      <c r="CM1142" s="251" t="n"/>
      <c r="CN1142" s="251" t="n"/>
      <c r="CO1142" s="251" t="n"/>
      <c r="CP1142" s="251" t="n"/>
      <c r="CQ1142" s="251" t="n"/>
      <c r="CR1142" s="251" t="n"/>
      <c r="CS1142" s="251" t="n"/>
      <c r="CT1142" s="251" t="n"/>
      <c r="CU1142" s="251" t="n"/>
      <c r="CV1142" s="251" t="n"/>
      <c r="CW1142" s="251" t="n"/>
      <c r="CX1142" s="251" t="n"/>
      <c r="CY1142" s="251" t="n"/>
      <c r="CZ1142" s="124">
        <f>+COUNT(BV1142:CY1142)</f>
        <v/>
      </c>
      <c r="DA1142" s="124" t="n"/>
      <c r="DB1142" s="124" t="n"/>
      <c r="DC1142" s="124" t="n"/>
      <c r="DD1142" s="124" t="n"/>
      <c r="DE1142" s="124" t="n"/>
      <c r="DF1142" s="124" t="n"/>
      <c r="DG1142" s="124" t="n"/>
      <c r="DH1142" s="124" t="n"/>
      <c r="DI1142" s="124" t="n"/>
      <c r="DJ1142" s="251" t="inlineStr">
        <is>
          <t>SE ELIMINA</t>
        </is>
      </c>
      <c r="DK1142" s="251" t="n"/>
      <c r="DL1142" s="95" t="n"/>
      <c r="DM1142" s="251" t="inlineStr">
        <is>
          <t>N/A</t>
        </is>
      </c>
      <c r="DN1142" s="95" t="n"/>
      <c r="DO1142" s="95" t="n"/>
    </row>
    <row r="1143" ht="14.25" customHeight="1">
      <c r="A1143" s="147" t="inlineStr">
        <is>
          <t>MAU-07</t>
        </is>
      </c>
      <c r="B1143" s="151" t="n"/>
      <c r="C1143" s="108" t="n"/>
      <c r="D1143" s="7" t="inlineStr">
        <is>
          <t>ELIMINADO POZO REEMPLAZADO MAU-07B</t>
        </is>
      </c>
      <c r="E1143" s="7" t="inlineStr">
        <is>
          <t>NO</t>
        </is>
      </c>
      <c r="F1143" s="7" t="inlineStr">
        <is>
          <t>NO</t>
        </is>
      </c>
      <c r="G1143" s="7" t="inlineStr">
        <is>
          <t>NO</t>
        </is>
      </c>
      <c r="H1143" s="7" t="inlineStr">
        <is>
          <t>Eliminado</t>
        </is>
      </c>
      <c r="I1143" s="7" t="inlineStr">
        <is>
          <t>Eliminado</t>
        </is>
      </c>
      <c r="J1143" s="7" t="inlineStr">
        <is>
          <t>Pozo sellado -reemplazo MAU-07B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t>
        </is>
      </c>
      <c r="BJ1143" s="7" t="n"/>
      <c r="BK1143" s="61" t="inlineStr">
        <is>
          <t>S/TAG</t>
        </is>
      </c>
      <c r="BL1143" s="61" t="n">
        <v>0</v>
      </c>
      <c r="BM1143" s="251" t="inlineStr">
        <is>
          <t>ASUB</t>
        </is>
      </c>
      <c r="BN1143" s="337" t="inlineStr">
        <is>
          <t>Lixiviación</t>
        </is>
      </c>
      <c r="BO1143" s="251" t="inlineStr">
        <is>
          <t>SI</t>
        </is>
      </c>
      <c r="BP1143" s="253" t="n"/>
      <c r="BQ1143" s="253" t="n"/>
      <c r="BR1143" s="253" t="n"/>
      <c r="BS1143" s="253" t="n"/>
      <c r="BT1143" s="253" t="n"/>
      <c r="BU1143" s="101" t="inlineStr">
        <is>
          <t>sellado por CMDIC</t>
        </is>
      </c>
      <c r="BV1143" s="178" t="n"/>
      <c r="BW1143" s="251" t="n"/>
      <c r="BX1143" s="251" t="n"/>
      <c r="BY1143" s="251" t="n"/>
      <c r="BZ1143" s="251" t="n"/>
      <c r="CA1143" s="251" t="n"/>
      <c r="CB1143" s="251" t="n"/>
      <c r="CC1143" s="251" t="n"/>
      <c r="CD1143" s="251" t="n"/>
      <c r="CE1143" s="251" t="n"/>
      <c r="CF1143" s="251" t="n"/>
      <c r="CG1143" s="251" t="n"/>
      <c r="CH1143" s="251" t="n"/>
      <c r="CI1143" s="251" t="n"/>
      <c r="CJ1143" s="251" t="n"/>
      <c r="CK1143" s="251" t="n"/>
      <c r="CL1143" s="251" t="n"/>
      <c r="CM1143" s="251" t="n"/>
      <c r="CN1143" s="251" t="n"/>
      <c r="CO1143" s="251" t="n"/>
      <c r="CP1143" s="251" t="n"/>
      <c r="CQ1143" s="251" t="n"/>
      <c r="CR1143" s="251" t="n"/>
      <c r="CS1143" s="251" t="n"/>
      <c r="CT1143" s="251" t="n"/>
      <c r="CU1143" s="251" t="n"/>
      <c r="CV1143" s="251" t="n"/>
      <c r="CW1143" s="251" t="n"/>
      <c r="CX1143" s="251" t="n"/>
      <c r="CY1143" s="251" t="n"/>
      <c r="CZ1143" s="124">
        <f>+COUNT(BV1143:CY1143)</f>
        <v/>
      </c>
      <c r="DA1143" s="124" t="n"/>
      <c r="DB1143" s="124" t="n"/>
      <c r="DC1143" s="124" t="n"/>
      <c r="DD1143" s="124" t="n"/>
      <c r="DE1143" s="124" t="n"/>
      <c r="DF1143" s="124" t="n"/>
      <c r="DG1143" s="124" t="n"/>
      <c r="DH1143" s="124" t="n"/>
      <c r="DI1143" s="124" t="n"/>
      <c r="DJ1143" s="251" t="inlineStr">
        <is>
          <t>SE ELIMINA</t>
        </is>
      </c>
      <c r="DK1143" s="251" t="inlineStr">
        <is>
          <t>N/A</t>
        </is>
      </c>
      <c r="DL1143" s="251" t="inlineStr">
        <is>
          <t>N/A</t>
        </is>
      </c>
      <c r="DM1143" s="251" t="inlineStr">
        <is>
          <t>N/A</t>
        </is>
      </c>
      <c r="DN1143" s="95" t="n"/>
      <c r="DO1143" s="95" t="n"/>
    </row>
    <row r="1144" ht="14.25" customHeight="1">
      <c r="A1144" s="147" t="inlineStr">
        <is>
          <t>MAU-08</t>
        </is>
      </c>
      <c r="B1144" s="151" t="n"/>
      <c r="C1144" s="108" t="n"/>
      <c r="D1144" s="7" t="inlineStr">
        <is>
          <t>ELIMINADO POZO REEMPLAZADO MAU-08B</t>
        </is>
      </c>
      <c r="E1144" s="7" t="inlineStr">
        <is>
          <t>NO</t>
        </is>
      </c>
      <c r="F1144" s="7" t="inlineStr">
        <is>
          <t>NO</t>
        </is>
      </c>
      <c r="G1144" s="7" t="inlineStr">
        <is>
          <t>NO</t>
        </is>
      </c>
      <c r="H1144" s="7" t="inlineStr">
        <is>
          <t>Eliminado</t>
        </is>
      </c>
      <c r="I1144" s="7" t="inlineStr">
        <is>
          <t>Eliminado</t>
        </is>
      </c>
      <c r="J1144" s="7" t="inlineStr">
        <is>
          <t>Pozo sellado -reemplazo MAU-08B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NO</t>
        </is>
      </c>
      <c r="U1144" s="7" t="inlineStr">
        <is>
          <t>-</t>
        </is>
      </c>
      <c r="V1144" s="7" t="inlineStr">
        <is>
          <t>NO</t>
        </is>
      </c>
      <c r="W1144" s="7" t="inlineStr">
        <is>
          <t>-</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t>
        </is>
      </c>
      <c r="BI1144" s="7" t="inlineStr">
        <is>
          <t>Reemplazado</t>
        </is>
      </c>
      <c r="BJ1144" s="7" t="n"/>
      <c r="BK1144" s="61" t="inlineStr">
        <is>
          <t>532MAMAU</t>
        </is>
      </c>
      <c r="BL1144" s="61" t="n">
        <v>0</v>
      </c>
      <c r="BM1144" s="251" t="inlineStr">
        <is>
          <t>ASUB</t>
        </is>
      </c>
      <c r="BN1144" s="337" t="inlineStr">
        <is>
          <t>Lixiviación</t>
        </is>
      </c>
      <c r="BO1144" s="251" t="inlineStr">
        <is>
          <t>SI</t>
        </is>
      </c>
      <c r="BP1144" s="253" t="n"/>
      <c r="BQ1144" s="253" t="n"/>
      <c r="BR1144" s="253" t="n"/>
      <c r="BS1144" s="253" t="n"/>
      <c r="BT1144" s="253" t="n"/>
      <c r="BU1144" s="101" t="inlineStr">
        <is>
          <t>sellado por CMDIC</t>
        </is>
      </c>
      <c r="BV1144" s="178" t="n"/>
      <c r="BW1144" s="251" t="n"/>
      <c r="BX1144" s="251" t="n"/>
      <c r="BY1144" s="251" t="n"/>
      <c r="BZ1144" s="251" t="n"/>
      <c r="CA1144" s="251" t="n"/>
      <c r="CB1144" s="251" t="n"/>
      <c r="CC1144" s="251" t="n"/>
      <c r="CD1144" s="251" t="n"/>
      <c r="CE1144" s="251" t="n"/>
      <c r="CF1144" s="251" t="n"/>
      <c r="CG1144" s="251" t="n"/>
      <c r="CH1144" s="251" t="n"/>
      <c r="CI1144" s="251" t="n"/>
      <c r="CJ1144" s="251" t="n"/>
      <c r="CK1144" s="251" t="n"/>
      <c r="CL1144" s="251" t="n"/>
      <c r="CM1144" s="251" t="n"/>
      <c r="CN1144" s="251" t="n"/>
      <c r="CO1144" s="251" t="n"/>
      <c r="CP1144" s="251" t="n"/>
      <c r="CQ1144" s="251" t="n"/>
      <c r="CR1144" s="251" t="n"/>
      <c r="CS1144" s="251" t="n"/>
      <c r="CT1144" s="251" t="n"/>
      <c r="CU1144" s="251" t="n"/>
      <c r="CV1144" s="251" t="n"/>
      <c r="CW1144" s="251" t="n"/>
      <c r="CX1144" s="251" t="n"/>
      <c r="CY1144" s="251" t="n"/>
      <c r="CZ1144" s="124">
        <f>+COUNT(BV1144:CY1144)</f>
        <v/>
      </c>
      <c r="DA1144" s="124" t="n"/>
      <c r="DB1144" s="124" t="n"/>
      <c r="DC1144" s="124" t="n"/>
      <c r="DD1144" s="124" t="n"/>
      <c r="DE1144" s="124" t="n"/>
      <c r="DF1144" s="124" t="n"/>
      <c r="DG1144" s="124" t="n"/>
      <c r="DH1144" s="124" t="n"/>
      <c r="DI1144" s="124" t="n"/>
      <c r="DJ1144" s="251" t="inlineStr">
        <is>
          <t>SE ELIMINA</t>
        </is>
      </c>
      <c r="DK1144" s="251" t="inlineStr">
        <is>
          <t>N/A</t>
        </is>
      </c>
      <c r="DL1144" s="251" t="inlineStr">
        <is>
          <t>N/A</t>
        </is>
      </c>
      <c r="DM1144" s="251" t="inlineStr">
        <is>
          <t>N/A</t>
        </is>
      </c>
      <c r="DN1144" s="95" t="n"/>
      <c r="DO1144" s="95" t="n"/>
    </row>
    <row r="1145" ht="14.25" customHeight="1">
      <c r="A1145" s="147" t="inlineStr">
        <is>
          <t>Mitigación Jachucoposa (actual)</t>
        </is>
      </c>
      <c r="B1145" s="151" t="n"/>
      <c r="C1145" s="108" t="n"/>
      <c r="D1145" s="7" t="inlineStr">
        <is>
          <t>SI</t>
        </is>
      </c>
      <c r="E1145" s="7" t="inlineStr">
        <is>
          <t>NO</t>
        </is>
      </c>
      <c r="F1145" s="7" t="inlineStr">
        <is>
          <t>SI</t>
        </is>
      </c>
      <c r="G1145" s="7" t="inlineStr">
        <is>
          <t>NO</t>
        </is>
      </c>
      <c r="H1145" s="7" t="inlineStr">
        <is>
          <t>REVISAR</t>
        </is>
      </c>
      <c r="I1145" s="7" t="inlineStr">
        <is>
          <t>REVISAR</t>
        </is>
      </c>
      <c r="J1145" s="7" t="inlineStr">
        <is>
          <t>Construido</t>
        </is>
      </c>
      <c r="K1145" s="7" t="inlineStr">
        <is>
          <t>-</t>
        </is>
      </c>
      <c r="L1145" s="7" t="inlineStr">
        <is>
          <t>Agua Subterránea</t>
        </is>
      </c>
      <c r="M1145" s="7" t="inlineStr">
        <is>
          <t>Cordillera</t>
        </is>
      </c>
      <c r="N1145" s="7" t="inlineStr">
        <is>
          <t>Llave</t>
        </is>
      </c>
      <c r="O1145" s="7" t="inlineStr">
        <is>
          <t>Falla Pabellón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Plan base + Salinidad</t>
        </is>
      </c>
      <c r="AO1145" s="7" t="inlineStr">
        <is>
          <t>Mensual</t>
        </is>
      </c>
      <c r="AP1145" s="60" t="inlineStr">
        <is>
          <t>NO</t>
        </is>
      </c>
      <c r="AQ1145" s="7" t="inlineStr">
        <is>
          <t>-</t>
        </is>
      </c>
      <c r="AR1145" s="60" t="inlineStr">
        <is>
          <t>NO</t>
        </is>
      </c>
      <c r="AS1145" s="7" t="inlineStr">
        <is>
          <t>-</t>
        </is>
      </c>
      <c r="AT1145" s="7" t="inlineStr">
        <is>
          <t>SI</t>
        </is>
      </c>
      <c r="AU1145" s="7" t="inlineStr">
        <is>
          <t>Mensual</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REVISAR</t>
        </is>
      </c>
      <c r="BG1145" s="7" t="inlineStr">
        <is>
          <t>REVISAR</t>
        </is>
      </c>
      <c r="BH1145" s="7" t="inlineStr">
        <is>
          <t>REVISAR</t>
        </is>
      </c>
      <c r="BI1145" s="7" t="n"/>
      <c r="BJ1145" s="7" t="n"/>
      <c r="BK1145" s="61" t="n"/>
      <c r="BL1145" s="61" t="inlineStr">
        <is>
          <t>GTAM</t>
        </is>
      </c>
      <c r="BM1145" s="251" t="inlineStr">
        <is>
          <t>ASUB</t>
        </is>
      </c>
      <c r="BN1145" s="106" t="inlineStr">
        <is>
          <t>Falla Pabellón</t>
        </is>
      </c>
      <c r="BO1145" s="251" t="inlineStr">
        <is>
          <t>SI</t>
        </is>
      </c>
      <c r="BP1145" s="253" t="n"/>
      <c r="BQ1145" s="253" t="n"/>
      <c r="BR1145" s="253" t="n"/>
      <c r="BS1145" s="253" t="n"/>
      <c r="BT1145" s="253" t="n"/>
      <c r="BU1145" s="123" t="inlineStr">
        <is>
          <t>ELIMINADO x CP-03M (Mitigación nueva)</t>
        </is>
      </c>
      <c r="BV1145" s="178" t="n"/>
      <c r="BW1145" s="352" t="n"/>
      <c r="BX1145" s="251" t="n"/>
      <c r="BY1145" s="251" t="n"/>
      <c r="BZ1145" s="251" t="n"/>
      <c r="CA1145" s="251" t="n"/>
      <c r="CB1145" s="251" t="n"/>
      <c r="CC1145" s="251" t="n"/>
      <c r="CD1145" s="251" t="n"/>
      <c r="CE1145" s="251" t="n"/>
      <c r="CF1145" s="251" t="n"/>
      <c r="CG1145" s="251" t="n"/>
      <c r="CH1145" s="251" t="n"/>
      <c r="CI1145" s="251" t="n"/>
      <c r="CJ1145" s="352" t="n"/>
      <c r="CK1145" s="251" t="n"/>
      <c r="CL1145" s="251" t="n"/>
      <c r="CM1145" s="337" t="n"/>
      <c r="CN1145" s="337" t="n"/>
      <c r="CO1145" s="352" t="n"/>
      <c r="CP1145" s="251" t="n"/>
      <c r="CQ1145" s="251" t="n"/>
      <c r="CR1145" s="251" t="n"/>
      <c r="CS1145" s="251" t="n"/>
      <c r="CT1145" s="251" t="n"/>
      <c r="CU1145" s="251" t="n"/>
      <c r="CV1145" s="251" t="n"/>
      <c r="CW1145" s="251" t="n"/>
      <c r="CX1145" s="251" t="n"/>
      <c r="CY1145" s="251" t="n"/>
      <c r="CZ1145" s="124">
        <f>+COUNT(BV1145:CY1145)</f>
        <v/>
      </c>
      <c r="DA1145" s="124" t="n"/>
      <c r="DB1145" s="124" t="n"/>
      <c r="DC1145" s="124" t="n"/>
      <c r="DD1145" s="124" t="n"/>
      <c r="DE1145" s="124" t="n"/>
      <c r="DF1145" s="124" t="n"/>
      <c r="DG1145" s="124" t="n"/>
      <c r="DH1145" s="124" t="n"/>
      <c r="DI1145" s="124" t="n"/>
      <c r="DJ1145" s="251" t="inlineStr">
        <is>
          <t>SE ELIMINA</t>
        </is>
      </c>
      <c r="DK1145" s="251" t="n"/>
      <c r="DL1145" s="95" t="n"/>
      <c r="DM1145" s="251" t="inlineStr">
        <is>
          <t>N/A</t>
        </is>
      </c>
      <c r="DN1145" s="95" t="n">
        <v>15</v>
      </c>
      <c r="DO1145" s="95" t="n">
        <v>21</v>
      </c>
    </row>
    <row r="1146" ht="14.25" customHeight="1">
      <c r="A1146" s="147" t="inlineStr">
        <is>
          <t>MPZ-05B</t>
        </is>
      </c>
      <c r="B1146" s="151" t="n"/>
      <c r="C1146" s="108" t="n"/>
      <c r="D1146" s="7" t="inlineStr">
        <is>
          <t>MONITOREO INTERNO</t>
        </is>
      </c>
      <c r="E1146" s="7" t="inlineStr">
        <is>
          <t>NO</t>
        </is>
      </c>
      <c r="F1146" s="7" t="inlineStr">
        <is>
          <t>NO</t>
        </is>
      </c>
      <c r="G1146" s="7" t="inlineStr">
        <is>
          <t>NO</t>
        </is>
      </c>
      <c r="H1146" s="7" t="n">
        <v>543093.419776</v>
      </c>
      <c r="I1146" s="7" t="n">
        <v>7687240.76741</v>
      </c>
      <c r="J1146" s="7" t="inlineStr">
        <is>
          <t>Construido</t>
        </is>
      </c>
      <c r="K1146" s="7" t="inlineStr">
        <is>
          <t>-</t>
        </is>
      </c>
      <c r="L1146" s="7" t="inlineStr">
        <is>
          <t>Agua Subterránea</t>
        </is>
      </c>
      <c r="M1146" s="7" t="inlineStr">
        <is>
          <t>Cordillera</t>
        </is>
      </c>
      <c r="N1146" s="7" t="inlineStr">
        <is>
          <t>POZO</t>
        </is>
      </c>
      <c r="O1146" s="7" t="inlineStr">
        <is>
          <t>Michincha</t>
        </is>
      </c>
      <c r="P1146" s="7" t="inlineStr">
        <is>
          <t>NO</t>
        </is>
      </c>
      <c r="Q1146" s="7" t="inlineStr">
        <is>
          <t>-</t>
        </is>
      </c>
      <c r="R1146" s="7" t="inlineStr">
        <is>
          <t>-</t>
        </is>
      </c>
      <c r="S1146" s="7" t="inlineStr">
        <is>
          <t>-</t>
        </is>
      </c>
      <c r="T1146" s="7" t="inlineStr">
        <is>
          <t>SI</t>
        </is>
      </c>
      <c r="U1146" s="7" t="inlineStr">
        <is>
          <t>Mensual</t>
        </is>
      </c>
      <c r="V1146" s="7" t="inlineStr">
        <is>
          <t>SI</t>
        </is>
      </c>
      <c r="W1146" s="7" t="inlineStr">
        <is>
          <t>Mensual</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Monitoreo interno</t>
        </is>
      </c>
      <c r="BH1146" s="7" t="inlineStr">
        <is>
          <t>No aplica</t>
        </is>
      </c>
      <c r="BI1146" s="7" t="inlineStr">
        <is>
          <t>Consultar si el punto de monitoreo se debe seguir monitoreando</t>
        </is>
      </c>
      <c r="BJ1146" s="7" t="n"/>
      <c r="BK1146" s="61" t="inlineStr">
        <is>
          <t>S/TAG</t>
        </is>
      </c>
      <c r="BL1146" s="61" t="inlineStr">
        <is>
          <t>GMAP-SIGA</t>
        </is>
      </c>
      <c r="BM1146" s="251" t="inlineStr">
        <is>
          <t>ASUB</t>
        </is>
      </c>
      <c r="BN1146" s="337" t="inlineStr">
        <is>
          <t>Tranque</t>
        </is>
      </c>
      <c r="BO1146" s="251" t="inlineStr">
        <is>
          <t>NO</t>
        </is>
      </c>
      <c r="BP1146" s="253" t="n"/>
      <c r="BQ1146" s="253" t="n"/>
      <c r="BR1146" s="253" t="n"/>
      <c r="BS1146" s="253" t="n"/>
      <c r="BT1146" s="253" t="n"/>
      <c r="BU1146" s="102" t="inlineStr">
        <is>
          <t>ELIMINADO</t>
        </is>
      </c>
      <c r="BV1146" s="178" t="n"/>
      <c r="BW1146" s="251" t="n"/>
      <c r="BX1146" s="251" t="n"/>
      <c r="BY1146" s="251" t="n"/>
      <c r="BZ1146" s="251" t="n"/>
      <c r="CA1146" s="251" t="n"/>
      <c r="CB1146" s="251" t="n"/>
      <c r="CC1146" s="251" t="n"/>
      <c r="CD1146" s="251" t="n"/>
      <c r="CE1146" s="251" t="n"/>
      <c r="CF1146" s="251" t="n"/>
      <c r="CG1146" s="251" t="n"/>
      <c r="CH1146" s="251" t="n"/>
      <c r="CI1146" s="251" t="n"/>
      <c r="CJ1146" s="251" t="n"/>
      <c r="CK1146" s="251" t="n"/>
      <c r="CL1146" s="251" t="n"/>
      <c r="CM1146" s="251" t="n"/>
      <c r="CN1146" s="251" t="n"/>
      <c r="CO1146" s="251" t="n"/>
      <c r="CP1146" s="251" t="n"/>
      <c r="CQ1146" s="251" t="n"/>
      <c r="CR1146" s="251" t="n"/>
      <c r="CS1146" s="251" t="n"/>
      <c r="CT1146" s="251" t="n"/>
      <c r="CU1146" s="251" t="n"/>
      <c r="CV1146" s="251" t="n"/>
      <c r="CW1146" s="251" t="n"/>
      <c r="CX1146" s="251" t="n"/>
      <c r="CY1146" s="251" t="n"/>
      <c r="CZ1146" s="124">
        <f>+COUNT(BV1146:CY1146)</f>
        <v/>
      </c>
      <c r="DA1146" s="124" t="n"/>
      <c r="DB1146" s="124" t="n"/>
      <c r="DC1146" s="124" t="n"/>
      <c r="DD1146" s="124" t="n"/>
      <c r="DE1146" s="124" t="n"/>
      <c r="DF1146" s="124" t="n"/>
      <c r="DG1146" s="124" t="n"/>
      <c r="DH1146" s="124" t="n"/>
      <c r="DI1146" s="124" t="n"/>
      <c r="DJ1146" s="251" t="inlineStr">
        <is>
          <t>SE ELIMINA</t>
        </is>
      </c>
      <c r="DK1146" s="251" t="n"/>
      <c r="DL1146" s="95" t="n"/>
      <c r="DM1146" s="251" t="inlineStr">
        <is>
          <t>N/A</t>
        </is>
      </c>
      <c r="DN1146" s="95" t="n"/>
      <c r="DO1146" s="95" t="n"/>
    </row>
    <row r="1147" ht="14.25" customHeight="1">
      <c r="A1147" s="147" t="inlineStr">
        <is>
          <t>MPZ-05B-L2</t>
        </is>
      </c>
      <c r="B1147" s="151" t="n"/>
      <c r="C1147" s="108" t="n"/>
      <c r="D1147" s="7" t="inlineStr">
        <is>
          <t>MONITOREO INTERNO</t>
        </is>
      </c>
      <c r="E1147" s="7" t="inlineStr">
        <is>
          <t>NO</t>
        </is>
      </c>
      <c r="F1147" s="7" t="inlineStr">
        <is>
          <t>NO</t>
        </is>
      </c>
      <c r="G1147" s="7" t="inlineStr">
        <is>
          <t>NO</t>
        </is>
      </c>
      <c r="H1147" s="7" t="n">
        <v>543093.419776</v>
      </c>
      <c r="I1147" s="7" t="n">
        <v>7687240.76741</v>
      </c>
      <c r="J1147" s="7" t="inlineStr">
        <is>
          <t>Construido</t>
        </is>
      </c>
      <c r="K1147" s="7" t="inlineStr">
        <is>
          <t>-</t>
        </is>
      </c>
      <c r="L1147" s="7" t="inlineStr">
        <is>
          <t>Agua Subterránea</t>
        </is>
      </c>
      <c r="M1147" s="7" t="inlineStr">
        <is>
          <t>Cordillera</t>
        </is>
      </c>
      <c r="N1147" s="7" t="inlineStr">
        <is>
          <t>POZO</t>
        </is>
      </c>
      <c r="O1147" s="7" t="inlineStr">
        <is>
          <t>Michincha</t>
        </is>
      </c>
      <c r="P1147" s="7" t="inlineStr">
        <is>
          <t>NO</t>
        </is>
      </c>
      <c r="Q1147" s="7" t="inlineStr">
        <is>
          <t>-</t>
        </is>
      </c>
      <c r="R1147" s="7" t="inlineStr">
        <is>
          <t>-</t>
        </is>
      </c>
      <c r="S1147" s="7" t="inlineStr">
        <is>
          <t>-</t>
        </is>
      </c>
      <c r="T1147" s="7" t="inlineStr">
        <is>
          <t>SI</t>
        </is>
      </c>
      <c r="U1147" s="7" t="inlineStr">
        <is>
          <t>Mensual</t>
        </is>
      </c>
      <c r="V1147" s="7" t="inlineStr">
        <is>
          <t>SI</t>
        </is>
      </c>
      <c r="W1147" s="7" t="inlineStr">
        <is>
          <t>Mensual</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NO</t>
        </is>
      </c>
      <c r="AO1147" s="7" t="inlineStr">
        <is>
          <t>-</t>
        </is>
      </c>
      <c r="AP1147" s="60" t="inlineStr">
        <is>
          <t>NO</t>
        </is>
      </c>
      <c r="AQ1147" s="7" t="inlineStr">
        <is>
          <t>-</t>
        </is>
      </c>
      <c r="AR1147" s="60" t="inlineStr">
        <is>
          <t>NO</t>
        </is>
      </c>
      <c r="AS1147" s="7" t="inlineStr">
        <is>
          <t>-</t>
        </is>
      </c>
      <c r="AT1147" s="7" t="inlineStr">
        <is>
          <t>NO</t>
        </is>
      </c>
      <c r="AU1147" s="7" t="inlineStr">
        <is>
          <t>-</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No aplica</t>
        </is>
      </c>
      <c r="BG1147" s="7" t="inlineStr">
        <is>
          <t>Monitoreo interno</t>
        </is>
      </c>
      <c r="BH1147" s="7" t="inlineStr">
        <is>
          <t>No aplica</t>
        </is>
      </c>
      <c r="BI1147" s="7" t="inlineStr">
        <is>
          <t>Consultar si el punto de monitoreo se debe seguir monitoreando</t>
        </is>
      </c>
      <c r="BJ1147" s="7" t="n"/>
      <c r="BK1147" s="61" t="inlineStr">
        <is>
          <t>S/TAG</t>
        </is>
      </c>
      <c r="BL1147" s="61" t="inlineStr">
        <is>
          <t>GMAP-SIGA</t>
        </is>
      </c>
      <c r="BM1147" s="251" t="inlineStr">
        <is>
          <t>ASUB</t>
        </is>
      </c>
      <c r="BN1147" s="337" t="inlineStr">
        <is>
          <t>Tranque</t>
        </is>
      </c>
      <c r="BO1147" s="251" t="inlineStr">
        <is>
          <t>NO</t>
        </is>
      </c>
      <c r="BP1147" s="253" t="n"/>
      <c r="BQ1147" s="253" t="n"/>
      <c r="BR1147" s="253" t="n"/>
      <c r="BS1147" s="253" t="n"/>
      <c r="BT1147" s="253" t="n"/>
      <c r="BU1147" s="102" t="inlineStr">
        <is>
          <t>ELIMINADO</t>
        </is>
      </c>
      <c r="BV1147" s="178" t="n"/>
      <c r="BW1147" s="251" t="n"/>
      <c r="BX1147" s="251" t="n"/>
      <c r="BY1147" s="251" t="n"/>
      <c r="BZ1147" s="251" t="n"/>
      <c r="CA1147" s="251" t="n"/>
      <c r="CB1147" s="251" t="n"/>
      <c r="CC1147" s="251" t="n"/>
      <c r="CD1147" s="251" t="n"/>
      <c r="CE1147" s="251" t="n"/>
      <c r="CF1147" s="251" t="n"/>
      <c r="CG1147" s="251" t="n"/>
      <c r="CH1147" s="251" t="n"/>
      <c r="CI1147" s="251" t="n"/>
      <c r="CJ1147" s="251" t="n"/>
      <c r="CK1147" s="251" t="n"/>
      <c r="CL1147" s="251" t="n"/>
      <c r="CM1147" s="251" t="n"/>
      <c r="CN1147" s="251" t="n"/>
      <c r="CO1147" s="251" t="n"/>
      <c r="CP1147" s="251" t="n"/>
      <c r="CQ1147" s="251" t="n"/>
      <c r="CR1147" s="251" t="n"/>
      <c r="CS1147" s="251" t="n"/>
      <c r="CT1147" s="251" t="n"/>
      <c r="CU1147" s="251" t="n"/>
      <c r="CV1147" s="251" t="n"/>
      <c r="CW1147" s="251" t="n"/>
      <c r="CX1147" s="251" t="n"/>
      <c r="CY1147" s="251" t="n"/>
      <c r="CZ1147" s="124">
        <f>+COUNT(BV1147:CY1147)</f>
        <v/>
      </c>
      <c r="DA1147" s="124" t="n"/>
      <c r="DB1147" s="124" t="n"/>
      <c r="DC1147" s="124" t="n"/>
      <c r="DD1147" s="124" t="n"/>
      <c r="DE1147" s="124" t="n"/>
      <c r="DF1147" s="124" t="n"/>
      <c r="DG1147" s="124" t="n"/>
      <c r="DH1147" s="124" t="n"/>
      <c r="DI1147" s="124" t="n"/>
      <c r="DJ1147" s="251" t="inlineStr">
        <is>
          <t>SE ELIMINA</t>
        </is>
      </c>
      <c r="DK1147" s="251" t="n"/>
      <c r="DL1147" s="95" t="n"/>
      <c r="DM1147" s="251" t="inlineStr">
        <is>
          <t>N/A</t>
        </is>
      </c>
      <c r="DN1147" s="95" t="n"/>
      <c r="DO1147" s="95" t="n"/>
    </row>
    <row r="1148" ht="14.25" customHeight="1">
      <c r="A1148" s="147" t="inlineStr">
        <is>
          <t>MPZ-08B2</t>
        </is>
      </c>
      <c r="B1148" s="151" t="n"/>
      <c r="C1148" s="108" t="n"/>
      <c r="D1148" s="7" t="inlineStr">
        <is>
          <t>MONITOREO INTERNO</t>
        </is>
      </c>
      <c r="E1148" s="7" t="inlineStr">
        <is>
          <t>NO</t>
        </is>
      </c>
      <c r="F1148" s="7" t="inlineStr">
        <is>
          <t>NO</t>
        </is>
      </c>
      <c r="G1148" s="7" t="inlineStr">
        <is>
          <t>NO</t>
        </is>
      </c>
      <c r="H1148" s="7" t="n">
        <v>539946</v>
      </c>
      <c r="I1148" s="7" t="n">
        <v>7685885</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1" t="inlineStr">
        <is>
          <t>ASUB</t>
        </is>
      </c>
      <c r="BN1148" s="337" t="inlineStr">
        <is>
          <t>Tranque</t>
        </is>
      </c>
      <c r="BO1148" s="251" t="inlineStr">
        <is>
          <t>NO</t>
        </is>
      </c>
      <c r="BP1148" s="253" t="n"/>
      <c r="BQ1148" s="253" t="n"/>
      <c r="BR1148" s="253" t="n"/>
      <c r="BS1148" s="253" t="n"/>
      <c r="BT1148" s="253" t="n"/>
      <c r="BU1148" s="102" t="inlineStr">
        <is>
          <t>ELIMINADO</t>
        </is>
      </c>
      <c r="BV1148" s="178" t="n"/>
      <c r="BW1148" s="251" t="n"/>
      <c r="BX1148" s="251" t="n"/>
      <c r="BY1148" s="251" t="n"/>
      <c r="BZ1148" s="251" t="n"/>
      <c r="CA1148" s="251" t="n"/>
      <c r="CB1148" s="251" t="n"/>
      <c r="CC1148" s="251" t="n"/>
      <c r="CD1148" s="251" t="n"/>
      <c r="CE1148" s="251" t="n"/>
      <c r="CF1148" s="251" t="n"/>
      <c r="CG1148" s="251" t="n"/>
      <c r="CH1148" s="251" t="n"/>
      <c r="CI1148" s="251" t="n"/>
      <c r="CJ1148" s="251" t="n"/>
      <c r="CK1148" s="251" t="n"/>
      <c r="CL1148" s="251" t="n"/>
      <c r="CM1148" s="251" t="n"/>
      <c r="CN1148" s="251" t="n"/>
      <c r="CO1148" s="251" t="n"/>
      <c r="CP1148" s="251" t="n"/>
      <c r="CQ1148" s="251" t="n"/>
      <c r="CR1148" s="251" t="n"/>
      <c r="CS1148" s="251" t="n"/>
      <c r="CT1148" s="251" t="n"/>
      <c r="CU1148" s="251" t="n"/>
      <c r="CV1148" s="251" t="n"/>
      <c r="CW1148" s="251" t="n"/>
      <c r="CX1148" s="251" t="n"/>
      <c r="CY1148" s="251" t="n"/>
      <c r="CZ1148" s="124">
        <f>+COUNT(BV1148:CY1148)</f>
        <v/>
      </c>
      <c r="DA1148" s="124" t="n"/>
      <c r="DB1148" s="124" t="n"/>
      <c r="DC1148" s="124" t="n"/>
      <c r="DD1148" s="124" t="n"/>
      <c r="DE1148" s="124" t="n"/>
      <c r="DF1148" s="124" t="n"/>
      <c r="DG1148" s="124" t="n"/>
      <c r="DH1148" s="124" t="n"/>
      <c r="DI1148" s="124" t="n"/>
      <c r="DJ1148" s="251" t="inlineStr">
        <is>
          <t>SE ELIMINA</t>
        </is>
      </c>
      <c r="DK1148" s="251" t="n"/>
      <c r="DL1148" s="95" t="n"/>
      <c r="DM1148" s="251" t="inlineStr">
        <is>
          <t>N/A</t>
        </is>
      </c>
      <c r="DN1148" s="95" t="n"/>
      <c r="DO1148" s="95" t="n"/>
    </row>
    <row r="1149" ht="14.25" customHeight="1">
      <c r="A1149" s="147" t="inlineStr">
        <is>
          <t>MPZ-08C</t>
        </is>
      </c>
      <c r="B1149" s="151" t="n"/>
      <c r="C1149" s="108" t="n"/>
      <c r="D1149" s="7" t="inlineStr">
        <is>
          <t>MONITOREO INTERNO</t>
        </is>
      </c>
      <c r="E1149" s="7" t="inlineStr">
        <is>
          <t>NO</t>
        </is>
      </c>
      <c r="F1149" s="7" t="inlineStr">
        <is>
          <t>NO</t>
        </is>
      </c>
      <c r="G1149" s="7" t="inlineStr">
        <is>
          <t>NO</t>
        </is>
      </c>
      <c r="H1149" s="7" t="n">
        <v>539934</v>
      </c>
      <c r="I1149" s="7" t="n">
        <v>7685878</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1" t="inlineStr">
        <is>
          <t>ASUB</t>
        </is>
      </c>
      <c r="BN1149" s="337" t="inlineStr">
        <is>
          <t>Tranque</t>
        </is>
      </c>
      <c r="BO1149" s="251" t="inlineStr">
        <is>
          <t>NO</t>
        </is>
      </c>
      <c r="BP1149" s="253" t="n"/>
      <c r="BQ1149" s="253" t="n"/>
      <c r="BR1149" s="253" t="n"/>
      <c r="BS1149" s="253" t="n"/>
      <c r="BT1149" s="253" t="n"/>
      <c r="BU1149" s="102" t="inlineStr">
        <is>
          <t>ELIMINADO</t>
        </is>
      </c>
      <c r="BV1149" s="178" t="n"/>
      <c r="BW1149" s="251" t="n"/>
      <c r="BX1149" s="251" t="n"/>
      <c r="BY1149" s="251" t="n"/>
      <c r="BZ1149" s="251" t="n"/>
      <c r="CA1149" s="251" t="n"/>
      <c r="CB1149" s="251" t="n"/>
      <c r="CC1149" s="251" t="n"/>
      <c r="CD1149" s="251" t="n"/>
      <c r="CE1149" s="251" t="n"/>
      <c r="CF1149" s="251" t="n"/>
      <c r="CG1149" s="251" t="n"/>
      <c r="CH1149" s="251" t="n"/>
      <c r="CI1149" s="251" t="n"/>
      <c r="CJ1149" s="251" t="n"/>
      <c r="CK1149" s="251" t="n"/>
      <c r="CL1149" s="251" t="n"/>
      <c r="CM1149" s="251" t="n"/>
      <c r="CN1149" s="251" t="n"/>
      <c r="CO1149" s="251" t="n"/>
      <c r="CP1149" s="251" t="n"/>
      <c r="CQ1149" s="251" t="n"/>
      <c r="CR1149" s="251" t="n"/>
      <c r="CS1149" s="251" t="n"/>
      <c r="CT1149" s="251" t="n"/>
      <c r="CU1149" s="251" t="n"/>
      <c r="CV1149" s="251" t="n"/>
      <c r="CW1149" s="251" t="n"/>
      <c r="CX1149" s="251" t="n"/>
      <c r="CY1149" s="251" t="n"/>
      <c r="CZ1149" s="124">
        <f>+COUNT(BV1149:CY1149)</f>
        <v/>
      </c>
      <c r="DA1149" s="124" t="n"/>
      <c r="DB1149" s="124" t="n"/>
      <c r="DC1149" s="124" t="n"/>
      <c r="DD1149" s="124" t="n"/>
      <c r="DE1149" s="124" t="n"/>
      <c r="DF1149" s="124" t="n"/>
      <c r="DG1149" s="124" t="n"/>
      <c r="DH1149" s="124" t="n"/>
      <c r="DI1149" s="124" t="n"/>
      <c r="DJ1149" s="251" t="inlineStr">
        <is>
          <t>SE ELIMINA</t>
        </is>
      </c>
      <c r="DK1149" s="251" t="n"/>
      <c r="DL1149" s="95" t="n"/>
      <c r="DM1149" s="251" t="inlineStr">
        <is>
          <t>N/A</t>
        </is>
      </c>
      <c r="DN1149" s="95" t="n"/>
      <c r="DO1149" s="95" t="n"/>
    </row>
    <row r="1150" ht="14.25" customHeight="1">
      <c r="A1150" s="147" t="inlineStr">
        <is>
          <t>MPZ-09</t>
        </is>
      </c>
      <c r="B1150" s="151" t="n"/>
      <c r="C1150" s="108" t="n"/>
      <c r="D1150" s="7" t="inlineStr">
        <is>
          <t>SI</t>
        </is>
      </c>
      <c r="E1150" s="7" t="inlineStr">
        <is>
          <t>SI</t>
        </is>
      </c>
      <c r="F1150" s="7" t="inlineStr">
        <is>
          <t>NO</t>
        </is>
      </c>
      <c r="G1150" s="7" t="inlineStr">
        <is>
          <t>NO</t>
        </is>
      </c>
      <c r="H1150" s="7" t="n">
        <v>538112</v>
      </c>
      <c r="I1150" s="7" t="n">
        <v>7686422</v>
      </c>
      <c r="J1150" s="7" t="inlineStr">
        <is>
          <t>Construido</t>
        </is>
      </c>
      <c r="K1150" s="7" t="inlineStr">
        <is>
          <t>Si</t>
        </is>
      </c>
      <c r="L1150" s="7" t="inlineStr">
        <is>
          <t>Agua Subterránea</t>
        </is>
      </c>
      <c r="M1150" s="7" t="inlineStr">
        <is>
          <t>Cordillera</t>
        </is>
      </c>
      <c r="N1150" s="7" t="inlineStr">
        <is>
          <t>Pozo</t>
        </is>
      </c>
      <c r="O1150" s="7" t="inlineStr">
        <is>
          <t>Depósito de relaves</t>
        </is>
      </c>
      <c r="P1150" s="7" t="inlineStr">
        <is>
          <t>SI</t>
        </is>
      </c>
      <c r="Q1150" s="7" t="inlineStr">
        <is>
          <t>Mensual</t>
        </is>
      </c>
      <c r="R1150" s="7" t="inlineStr">
        <is>
          <t>Diario</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Plan base + T° + Nitritos + amonio</t>
        </is>
      </c>
      <c r="AL1150" s="7" t="inlineStr">
        <is>
          <t>Trimestral</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SI</t>
        </is>
      </c>
      <c r="AU1150" s="7" t="inlineStr">
        <is>
          <t>Trimestral</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SMA</t>
        </is>
      </c>
      <c r="BG1150" s="7" t="inlineStr">
        <is>
          <t>Barrera Hidráulica DRPP - PSA</t>
        </is>
      </c>
      <c r="BH1150" s="7" t="inlineStr">
        <is>
          <t>RCA 20219900112</t>
        </is>
      </c>
      <c r="BI1150" s="7" t="inlineStr">
        <is>
          <t>Medición diaria de nivel con sensor</t>
        </is>
      </c>
      <c r="BJ1150" s="7" t="n"/>
      <c r="BK1150" s="61" t="inlineStr">
        <is>
          <t>S/TAG</t>
        </is>
      </c>
      <c r="BL1150" s="61" t="inlineStr">
        <is>
          <t>GMAP-SIGA</t>
        </is>
      </c>
      <c r="BM1150" s="251" t="inlineStr">
        <is>
          <t>ASUB</t>
        </is>
      </c>
      <c r="BN1150" s="337" t="inlineStr">
        <is>
          <t>tranque</t>
        </is>
      </c>
      <c r="BO1150" s="251" t="inlineStr">
        <is>
          <t>SI</t>
        </is>
      </c>
      <c r="BP1150" s="253" t="n"/>
      <c r="BQ1150" s="253" t="n"/>
      <c r="BR1150" s="253" t="n"/>
      <c r="BS1150" s="253" t="n"/>
      <c r="BT1150" s="253" t="n"/>
      <c r="BU1150" s="102" t="inlineStr">
        <is>
          <t>PDTE ELIMINARLO</t>
        </is>
      </c>
      <c r="BV1150" s="178" t="n"/>
      <c r="BW1150" s="251" t="n"/>
      <c r="BX1150" s="251" t="n"/>
      <c r="BY1150" s="251" t="n"/>
      <c r="BZ1150" s="251" t="n"/>
      <c r="CA1150" s="251" t="n"/>
      <c r="CB1150" s="251" t="n"/>
      <c r="CC1150" s="251" t="n"/>
      <c r="CD1150" s="251" t="n"/>
      <c r="CE1150" s="251" t="n"/>
      <c r="CF1150" s="251" t="n"/>
      <c r="CG1150" s="251" t="n"/>
      <c r="CH1150" s="251" t="n"/>
      <c r="CI1150" s="251" t="n"/>
      <c r="CJ1150" s="251" t="n"/>
      <c r="CK1150" s="251" t="n"/>
      <c r="CL1150" s="251" t="n"/>
      <c r="CM1150" s="251" t="n"/>
      <c r="CN1150" s="251" t="n"/>
      <c r="CO1150" s="251" t="n"/>
      <c r="CP1150" s="251" t="n"/>
      <c r="CQ1150" s="251" t="n"/>
      <c r="CR1150" s="251" t="n"/>
      <c r="CS1150" s="251" t="n"/>
      <c r="CT1150" s="251" t="n"/>
      <c r="CU1150" s="251" t="n"/>
      <c r="CV1150" s="251" t="n"/>
      <c r="CW1150" s="251" t="n"/>
      <c r="CX1150" s="251" t="n"/>
      <c r="CY1150" s="251" t="n"/>
      <c r="CZ1150" s="124">
        <f>+COUNT(BV1150:CY1150)</f>
        <v/>
      </c>
      <c r="DA1150" s="124" t="n"/>
      <c r="DB1150" s="124" t="n"/>
      <c r="DC1150" s="124" t="n"/>
      <c r="DD1150" s="124" t="n"/>
      <c r="DE1150" s="124" t="n"/>
      <c r="DF1150" s="124" t="n"/>
      <c r="DG1150" s="124" t="n"/>
      <c r="DH1150" s="124" t="n"/>
      <c r="DI1150" s="124" t="n"/>
      <c r="DJ1150" s="251" t="inlineStr">
        <is>
          <t>SE ELIMINA</t>
        </is>
      </c>
      <c r="DK1150" s="251" t="n">
        <v>8</v>
      </c>
      <c r="DL1150" s="95" t="n">
        <v>14</v>
      </c>
      <c r="DM1150" s="251" t="inlineStr">
        <is>
          <t>SE ELIMINA</t>
        </is>
      </c>
      <c r="DN1150" s="95" t="n"/>
      <c r="DO1150" s="95" t="n"/>
    </row>
    <row r="1151" ht="14.25" customHeight="1">
      <c r="A1151" s="147" t="inlineStr">
        <is>
          <t>MPZ-08A2-L2</t>
        </is>
      </c>
      <c r="B1151" s="151" t="n"/>
      <c r="C1151" s="108" t="n"/>
      <c r="D1151" s="7" t="inlineStr">
        <is>
          <t>MONITOREO INTERNO</t>
        </is>
      </c>
      <c r="E1151" s="7" t="inlineStr">
        <is>
          <t>NO</t>
        </is>
      </c>
      <c r="F1151" s="7" t="inlineStr">
        <is>
          <t>NO</t>
        </is>
      </c>
      <c r="G1151" s="7" t="inlineStr">
        <is>
          <t>NO</t>
        </is>
      </c>
      <c r="H1151" s="7" t="n">
        <v>539935</v>
      </c>
      <c r="I1151" s="7" t="n">
        <v>7685866</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1" t="inlineStr">
        <is>
          <t>ASUB</t>
        </is>
      </c>
      <c r="BN1151" s="337" t="inlineStr">
        <is>
          <t>Tranque</t>
        </is>
      </c>
      <c r="BO1151" s="251" t="inlineStr">
        <is>
          <t>SI</t>
        </is>
      </c>
      <c r="BP1151" s="253" t="n"/>
      <c r="BQ1151" s="253" t="n"/>
      <c r="BR1151" s="253" t="n"/>
      <c r="BS1151" s="253" t="n"/>
      <c r="BT1151" s="253" t="n"/>
      <c r="BU1151" s="101" t="inlineStr">
        <is>
          <t>Desaparecido</t>
        </is>
      </c>
      <c r="BV1151" s="178" t="n"/>
      <c r="BW1151" s="251" t="n"/>
      <c r="BX1151" s="251" t="n"/>
      <c r="BY1151" s="251" t="n"/>
      <c r="BZ1151" s="251" t="n"/>
      <c r="CA1151" s="251" t="n"/>
      <c r="CB1151" s="251" t="n"/>
      <c r="CC1151" s="251" t="n"/>
      <c r="CD1151" s="251" t="n"/>
      <c r="CE1151" s="251" t="n"/>
      <c r="CF1151" s="251" t="n"/>
      <c r="CG1151" s="251" t="n"/>
      <c r="CH1151" s="251" t="n"/>
      <c r="CI1151" s="251" t="n"/>
      <c r="CJ1151" s="251" t="n"/>
      <c r="CK1151" s="251" t="n"/>
      <c r="CL1151" s="251" t="n"/>
      <c r="CM1151" s="251" t="n"/>
      <c r="CN1151" s="251" t="n"/>
      <c r="CO1151" s="251" t="n"/>
      <c r="CP1151" s="251" t="n"/>
      <c r="CQ1151" s="251" t="n"/>
      <c r="CR1151" s="251" t="n"/>
      <c r="CS1151" s="251" t="n"/>
      <c r="CT1151" s="251" t="n"/>
      <c r="CU1151" s="251" t="n"/>
      <c r="CV1151" s="251" t="n"/>
      <c r="CW1151" s="251" t="n"/>
      <c r="CX1151" s="251" t="n"/>
      <c r="CY1151" s="251" t="n"/>
      <c r="CZ1151" s="124">
        <f>+COUNT(BV1151:CY1151)</f>
        <v/>
      </c>
      <c r="DA1151" s="124" t="n"/>
      <c r="DB1151" s="124" t="n"/>
      <c r="DC1151" s="124" t="n"/>
      <c r="DD1151" s="124" t="n"/>
      <c r="DE1151" s="124" t="n"/>
      <c r="DF1151" s="124" t="n"/>
      <c r="DG1151" s="124" t="n"/>
      <c r="DH1151" s="124" t="n"/>
      <c r="DI1151" s="124" t="n"/>
      <c r="DJ1151" s="251" t="inlineStr">
        <is>
          <t>SE ELIMINA</t>
        </is>
      </c>
      <c r="DK1151" s="251" t="n">
        <v>22</v>
      </c>
      <c r="DL1151" s="95" t="n">
        <v>28</v>
      </c>
      <c r="DM1151" s="251" t="inlineStr">
        <is>
          <t>N/A</t>
        </is>
      </c>
      <c r="DN1151" s="95" t="n"/>
      <c r="DO1151" s="95" t="n"/>
    </row>
    <row r="1152" ht="14.25" customHeight="1">
      <c r="A1152" s="147" t="inlineStr">
        <is>
          <t>MPZ-8A2</t>
        </is>
      </c>
      <c r="B1152" s="151" t="n"/>
      <c r="C1152" s="108" t="n"/>
      <c r="D1152" s="7" t="inlineStr">
        <is>
          <t>MONITOREO INTERNO</t>
        </is>
      </c>
      <c r="E1152" s="7" t="inlineStr">
        <is>
          <t>NO</t>
        </is>
      </c>
      <c r="F1152" s="7" t="inlineStr">
        <is>
          <t>NO</t>
        </is>
      </c>
      <c r="G1152" s="7" t="inlineStr">
        <is>
          <t>NO</t>
        </is>
      </c>
      <c r="H1152" s="7" t="n">
        <v>539958.433771</v>
      </c>
      <c r="I1152" s="7" t="n">
        <v>7685844.77524</v>
      </c>
      <c r="J1152" s="7" t="inlineStr">
        <is>
          <t>Construido</t>
        </is>
      </c>
      <c r="K1152" s="7" t="inlineStr">
        <is>
          <t>-</t>
        </is>
      </c>
      <c r="L1152" s="7" t="inlineStr">
        <is>
          <t>Agua Subterránea</t>
        </is>
      </c>
      <c r="M1152" s="7" t="inlineStr">
        <is>
          <t>Cordillera</t>
        </is>
      </c>
      <c r="N1152" s="7" t="inlineStr">
        <is>
          <t>POZO</t>
        </is>
      </c>
      <c r="O1152" s="7" t="inlineStr">
        <is>
          <t>Michincha</t>
        </is>
      </c>
      <c r="P1152" s="7" t="inlineStr">
        <is>
          <t>NO</t>
        </is>
      </c>
      <c r="Q1152" s="7" t="inlineStr">
        <is>
          <t>-</t>
        </is>
      </c>
      <c r="R1152" s="7" t="inlineStr">
        <is>
          <t>-</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NO</t>
        </is>
      </c>
      <c r="AL1152" s="7" t="inlineStr">
        <is>
          <t>-</t>
        </is>
      </c>
      <c r="AM1152" s="7" t="inlineStr">
        <is>
          <t>-</t>
        </is>
      </c>
      <c r="AN1152" s="60" t="inlineStr">
        <is>
          <t>Plan base</t>
        </is>
      </c>
      <c r="AO1152" s="7" t="inlineStr">
        <is>
          <t>Mensual</t>
        </is>
      </c>
      <c r="AP1152" s="60" t="inlineStr">
        <is>
          <t>NO</t>
        </is>
      </c>
      <c r="AQ1152" s="7" t="inlineStr">
        <is>
          <t>-</t>
        </is>
      </c>
      <c r="AR1152" s="60" t="inlineStr">
        <is>
          <t>NO</t>
        </is>
      </c>
      <c r="AS1152" s="7" t="inlineStr">
        <is>
          <t>-</t>
        </is>
      </c>
      <c r="AT1152" s="7" t="inlineStr">
        <is>
          <t>SI</t>
        </is>
      </c>
      <c r="AU1152" s="7" t="inlineStr">
        <is>
          <t>Mensual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No aplica</t>
        </is>
      </c>
      <c r="BG1152" s="7" t="inlineStr">
        <is>
          <t>Monitoreo interno</t>
        </is>
      </c>
      <c r="BH1152" s="7" t="inlineStr">
        <is>
          <t>No aplica</t>
        </is>
      </c>
      <c r="BI1152" s="7" t="inlineStr">
        <is>
          <t>Consultar si el punto de monitoreo se debe seguir monitoreando</t>
        </is>
      </c>
      <c r="BJ1152" s="7" t="n"/>
      <c r="BK1152" s="61" t="inlineStr">
        <is>
          <t>S/TAG</t>
        </is>
      </c>
      <c r="BL1152" s="61" t="inlineStr">
        <is>
          <t>GMAP-SIGA</t>
        </is>
      </c>
      <c r="BM1152" s="251" t="inlineStr">
        <is>
          <t>ASUB</t>
        </is>
      </c>
      <c r="BN1152" s="337" t="inlineStr">
        <is>
          <t>Tranque</t>
        </is>
      </c>
      <c r="BO1152" s="251" t="inlineStr">
        <is>
          <t>SI</t>
        </is>
      </c>
      <c r="BP1152" s="253" t="n"/>
      <c r="BQ1152" s="253" t="n"/>
      <c r="BR1152" s="253" t="n"/>
      <c r="BS1152" s="253" t="n"/>
      <c r="BT1152" s="253" t="n"/>
      <c r="BU1152" s="102" t="inlineStr">
        <is>
          <t>ELIMINADO</t>
        </is>
      </c>
      <c r="BV1152" s="178" t="n"/>
      <c r="BW1152" s="251" t="n"/>
      <c r="BX1152" s="251" t="n"/>
      <c r="BY1152" s="251" t="n"/>
      <c r="BZ1152" s="251" t="n"/>
      <c r="CA1152" s="251" t="n"/>
      <c r="CB1152" s="251" t="n"/>
      <c r="CC1152" s="251" t="n"/>
      <c r="CD1152" s="251" t="n"/>
      <c r="CE1152" s="251" t="n"/>
      <c r="CF1152" s="251" t="n"/>
      <c r="CG1152" s="251" t="n"/>
      <c r="CH1152" s="251" t="n"/>
      <c r="CI1152" s="251" t="n"/>
      <c r="CJ1152" s="251" t="n"/>
      <c r="CK1152" s="251" t="n"/>
      <c r="CL1152" s="251" t="n"/>
      <c r="CM1152" s="251" t="n"/>
      <c r="CN1152" s="251" t="n"/>
      <c r="CO1152" s="251" t="n"/>
      <c r="CP1152" s="251" t="n"/>
      <c r="CQ1152" s="251" t="n"/>
      <c r="CR1152" s="251" t="n"/>
      <c r="CS1152" s="251" t="n"/>
      <c r="CT1152" s="251" t="n"/>
      <c r="CU1152" s="251" t="n"/>
      <c r="CV1152" s="251" t="n"/>
      <c r="CW1152" s="251" t="n"/>
      <c r="CX1152" s="251" t="n"/>
      <c r="CY1152" s="251" t="n"/>
      <c r="CZ1152" s="124">
        <f>+COUNT(BV1152:CY1152)</f>
        <v/>
      </c>
      <c r="DA1152" s="124" t="n"/>
      <c r="DB1152" s="124" t="n"/>
      <c r="DC1152" s="124" t="n"/>
      <c r="DD1152" s="124" t="n"/>
      <c r="DE1152" s="124" t="n"/>
      <c r="DF1152" s="124" t="n"/>
      <c r="DG1152" s="124" t="n"/>
      <c r="DH1152" s="124" t="n"/>
      <c r="DI1152" s="124" t="n"/>
      <c r="DJ1152" s="251" t="inlineStr">
        <is>
          <t>SE ELIMINA</t>
        </is>
      </c>
      <c r="DK1152" s="251" t="n"/>
      <c r="DL1152" s="95" t="n"/>
      <c r="DM1152" s="98" t="inlineStr">
        <is>
          <t>N/A</t>
        </is>
      </c>
      <c r="DN1152" s="95" t="n"/>
      <c r="DO1152" s="95" t="n"/>
    </row>
    <row r="1153" ht="14.25" customHeight="1">
      <c r="A1153" s="147" t="inlineStr">
        <is>
          <t>M-22</t>
        </is>
      </c>
      <c r="B1153" s="151" t="n"/>
      <c r="C1153" s="108" t="n"/>
      <c r="D1153" s="7" t="inlineStr">
        <is>
          <t>ELIMINADO Y REEMPLAZADO POR MAU-03B y MAU-15</t>
        </is>
      </c>
      <c r="E1153" s="7" t="inlineStr">
        <is>
          <t>NO</t>
        </is>
      </c>
      <c r="F1153" s="7" t="inlineStr">
        <is>
          <t>SI</t>
        </is>
      </c>
      <c r="G1153" s="7" t="inlineStr">
        <is>
          <t>NO</t>
        </is>
      </c>
      <c r="H1153" s="7" t="n">
        <v>541380</v>
      </c>
      <c r="I1153" s="7" t="n">
        <v>7679380</v>
      </c>
      <c r="J1153" s="7" t="inlineStr">
        <is>
          <t>Dejará de ser parte de la red de monitoreo, información redundante Anexo 10.1, reemplazado por MAU-03B, MAU-15</t>
        </is>
      </c>
      <c r="K1153" s="7" t="inlineStr">
        <is>
          <t>-</t>
        </is>
      </c>
      <c r="L1153" s="7" t="inlineStr">
        <is>
          <t>Agua Subterránea</t>
        </is>
      </c>
      <c r="M1153" s="7" t="inlineStr">
        <is>
          <t>Cordillera</t>
        </is>
      </c>
      <c r="N1153" s="7" t="inlineStr">
        <is>
          <t>POZO</t>
        </is>
      </c>
      <c r="O1153" s="7" t="inlineStr">
        <is>
          <t>Lixiviación</t>
        </is>
      </c>
      <c r="P1153" s="7" t="inlineStr">
        <is>
          <t>NO</t>
        </is>
      </c>
      <c r="Q1153" s="7" t="inlineStr">
        <is>
          <t>-</t>
        </is>
      </c>
      <c r="R1153" s="7" t="inlineStr">
        <is>
          <t>-</t>
        </is>
      </c>
      <c r="S1153" s="7" t="inlineStr">
        <is>
          <t>-</t>
        </is>
      </c>
      <c r="T1153" s="7" t="inlineStr">
        <is>
          <t>SI</t>
        </is>
      </c>
      <c r="U1153" s="7" t="inlineStr">
        <is>
          <t>Trimestral</t>
        </is>
      </c>
      <c r="V1153" s="7" t="inlineStr">
        <is>
          <t>SI</t>
        </is>
      </c>
      <c r="W1153" s="7" t="inlineStr">
        <is>
          <t>Trimestral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Plan Base + Plan grasas +LI Citricos + Nitrogeno de Nitritos + Nitrogeno Amoniacal+ CU disuelto</t>
        </is>
      </c>
      <c r="AO1153" s="7" t="inlineStr">
        <is>
          <t>Trimestral</t>
        </is>
      </c>
      <c r="AP1153" s="60" t="inlineStr">
        <is>
          <t>NO</t>
        </is>
      </c>
      <c r="AQ1153" s="7" t="inlineStr">
        <is>
          <t>-</t>
        </is>
      </c>
      <c r="AR1153" s="60" t="inlineStr">
        <is>
          <t>NO</t>
        </is>
      </c>
      <c r="AS1153" s="7" t="inlineStr">
        <is>
          <t>-</t>
        </is>
      </c>
      <c r="AT1153" s="7" t="inlineStr">
        <is>
          <t>SI</t>
        </is>
      </c>
      <c r="AU1153" s="7" t="inlineStr">
        <is>
          <t>Trimestral</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Eliminado</t>
        </is>
      </c>
      <c r="BH1153" s="7" t="inlineStr">
        <is>
          <t>Res. Ex. N° 167/2001</t>
        </is>
      </c>
      <c r="BI1153" s="7" t="inlineStr">
        <is>
          <t xml:space="preserve">Reemplazado y eliminado RCA 20219900112
</t>
        </is>
      </c>
      <c r="BJ1153" s="7" t="n"/>
      <c r="BK1153" s="61" t="inlineStr">
        <is>
          <t>532MAM22</t>
        </is>
      </c>
      <c r="BL1153" s="61" t="inlineStr">
        <is>
          <t>GMAP-SIGA</t>
        </is>
      </c>
      <c r="BM1153" s="251" t="inlineStr">
        <is>
          <t>ASUB</t>
        </is>
      </c>
      <c r="BN1153" s="337" t="inlineStr">
        <is>
          <t>Lixiviación</t>
        </is>
      </c>
      <c r="BO1153" s="251" t="inlineStr">
        <is>
          <t>SI</t>
        </is>
      </c>
      <c r="BP1153" s="253" t="n"/>
      <c r="BQ1153" s="253" t="n"/>
      <c r="BR1153" s="253" t="n"/>
      <c r="BS1153" s="253" t="n"/>
      <c r="BT1153" s="253" t="n"/>
      <c r="BU1153" s="102" t="inlineStr">
        <is>
          <t>SE ELIMINA</t>
        </is>
      </c>
      <c r="BV1153" s="130" t="n"/>
      <c r="BW1153" s="105" t="n"/>
      <c r="BX1153" s="105" t="n"/>
      <c r="BY1153" s="105" t="n"/>
      <c r="BZ1153" s="105" t="n"/>
      <c r="CA1153" s="105" t="n"/>
      <c r="CB1153" s="105" t="n"/>
      <c r="CC1153" s="105" t="n"/>
      <c r="CD1153" s="105" t="n"/>
      <c r="CE1153" s="105" t="n"/>
      <c r="CF1153" s="105" t="n"/>
      <c r="CG1153" s="105" t="n"/>
      <c r="CH1153" s="105" t="n"/>
      <c r="CI1153" s="105" t="n"/>
      <c r="CJ1153" s="105" t="n"/>
      <c r="CK1153" s="105" t="n"/>
      <c r="CL1153" s="105" t="n"/>
      <c r="CM1153" s="105" t="n"/>
      <c r="CN1153" s="105" t="n"/>
      <c r="CO1153" s="105" t="n"/>
      <c r="CP1153" s="105" t="n"/>
      <c r="CQ1153" s="105" t="n"/>
      <c r="CR1153" s="105" t="n"/>
      <c r="CS1153" s="105" t="n"/>
      <c r="CT1153" s="105" t="n"/>
      <c r="CU1153" s="105" t="n"/>
      <c r="CV1153" s="105" t="n"/>
      <c r="CW1153" s="105" t="n"/>
      <c r="CX1153" s="105" t="n"/>
      <c r="CY1153" s="105" t="n"/>
      <c r="CZ1153" s="124">
        <f>+COUNT(BV1153:CY1153)</f>
        <v/>
      </c>
      <c r="DA1153" s="124" t="n"/>
      <c r="DB1153" s="124" t="n"/>
      <c r="DC1153" s="124" t="n"/>
      <c r="DD1153" s="124" t="n"/>
      <c r="DE1153" s="124" t="n"/>
      <c r="DF1153" s="124" t="n"/>
      <c r="DG1153" s="124" t="n"/>
      <c r="DH1153" s="124" t="n"/>
      <c r="DI1153" s="124" t="n"/>
      <c r="DJ1153" s="251" t="inlineStr">
        <is>
          <t>N/A</t>
        </is>
      </c>
      <c r="DK1153" s="251" t="n"/>
      <c r="DL1153" s="95" t="n"/>
      <c r="DM1153" s="251" t="inlineStr">
        <is>
          <t>N/A</t>
        </is>
      </c>
      <c r="DN1153" s="95" t="n"/>
      <c r="DO1153" s="95" t="n"/>
    </row>
    <row r="1154" ht="14.25" customHeight="1">
      <c r="A1154" s="147" t="inlineStr">
        <is>
          <t>MTP-06</t>
        </is>
      </c>
      <c r="B1154" s="151" t="n"/>
      <c r="C1154" s="108" t="n"/>
      <c r="D1154" s="7" t="inlineStr">
        <is>
          <t>ELIMINADO BAJO TRANQUE</t>
        </is>
      </c>
      <c r="E1154" s="7" t="inlineStr">
        <is>
          <t>NO</t>
        </is>
      </c>
      <c r="F1154" s="7" t="inlineStr">
        <is>
          <t>NO</t>
        </is>
      </c>
      <c r="G1154" s="7" t="inlineStr">
        <is>
          <t>NO</t>
        </is>
      </c>
      <c r="H1154" s="7" t="inlineStr">
        <is>
          <t>Eliminado</t>
        </is>
      </c>
      <c r="I1154" s="7" t="inlineStr">
        <is>
          <t>Eliminado</t>
        </is>
      </c>
      <c r="J1154" s="7" t="inlineStr">
        <is>
          <t>Bajo tranque</t>
        </is>
      </c>
      <c r="K1154" s="7" t="inlineStr">
        <is>
          <t>-</t>
        </is>
      </c>
      <c r="L1154" s="7" t="inlineStr">
        <is>
          <t>Agua Subterránea</t>
        </is>
      </c>
      <c r="M1154" s="7" t="inlineStr">
        <is>
          <t>Cordillera</t>
        </is>
      </c>
      <c r="N1154" s="7" t="inlineStr">
        <is>
          <t>POZO</t>
        </is>
      </c>
      <c r="O1154" s="7" t="inlineStr">
        <is>
          <t>Tranque</t>
        </is>
      </c>
      <c r="P1154" s="7" t="inlineStr">
        <is>
          <t>NO</t>
        </is>
      </c>
      <c r="Q1154" s="7" t="inlineStr">
        <is>
          <t>-</t>
        </is>
      </c>
      <c r="R1154" s="7" t="inlineStr">
        <is>
          <t>-</t>
        </is>
      </c>
      <c r="S1154" s="7" t="inlineStr">
        <is>
          <t>-</t>
        </is>
      </c>
      <c r="T1154" s="7" t="inlineStr">
        <is>
          <t>NO</t>
        </is>
      </c>
      <c r="U1154" s="7" t="inlineStr">
        <is>
          <t>-</t>
        </is>
      </c>
      <c r="V1154" s="7" t="inlineStr">
        <is>
          <t>NO</t>
        </is>
      </c>
      <c r="W1154" s="7" t="inlineStr">
        <is>
          <t>-</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NO</t>
        </is>
      </c>
      <c r="AO1154" s="7" t="inlineStr">
        <is>
          <t>-</t>
        </is>
      </c>
      <c r="AP1154" s="60" t="inlineStr">
        <is>
          <t>NO</t>
        </is>
      </c>
      <c r="AQ1154" s="7" t="inlineStr">
        <is>
          <t>-</t>
        </is>
      </c>
      <c r="AR1154" s="60" t="inlineStr">
        <is>
          <t>NO</t>
        </is>
      </c>
      <c r="AS1154" s="7" t="inlineStr">
        <is>
          <t>-</t>
        </is>
      </c>
      <c r="AT1154" s="7" t="inlineStr">
        <is>
          <t>NO</t>
        </is>
      </c>
      <c r="AU1154" s="7" t="inlineStr">
        <is>
          <t>-</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Eliminado</t>
        </is>
      </c>
      <c r="BH1154" s="7" t="inlineStr">
        <is>
          <t>-</t>
        </is>
      </c>
      <c r="BI1154" s="7" t="n"/>
      <c r="BJ1154" s="7" t="n"/>
      <c r="BK1154" s="61" t="inlineStr">
        <is>
          <t>532MAMTP</t>
        </is>
      </c>
      <c r="BL1154" s="61" t="n">
        <v>0</v>
      </c>
      <c r="BM1154" s="251" t="inlineStr">
        <is>
          <t>ASUB</t>
        </is>
      </c>
      <c r="BN1154" s="337" t="inlineStr">
        <is>
          <t>Tranque</t>
        </is>
      </c>
      <c r="BO1154" s="251" t="n"/>
      <c r="BP1154" s="253" t="n"/>
      <c r="BQ1154" s="253" t="n"/>
      <c r="BR1154" s="253" t="n"/>
      <c r="BS1154" s="253" t="n"/>
      <c r="BT1154" s="253" t="n"/>
      <c r="BU1154" s="101" t="inlineStr">
        <is>
          <t xml:space="preserve">bajo tranque </t>
        </is>
      </c>
      <c r="BV1154" s="130" t="n"/>
      <c r="BW1154" s="105" t="n"/>
      <c r="BX1154" s="105" t="n"/>
      <c r="BY1154" s="105" t="n"/>
      <c r="BZ1154" s="105" t="n"/>
      <c r="CA1154" s="105" t="n"/>
      <c r="CB1154" s="105" t="n"/>
      <c r="CC1154" s="105" t="n"/>
      <c r="CD1154" s="105" t="n"/>
      <c r="CE1154" s="105" t="n"/>
      <c r="CF1154" s="105" t="n"/>
      <c r="CG1154" s="105" t="n"/>
      <c r="CH1154" s="105" t="n"/>
      <c r="CI1154" s="105" t="n"/>
      <c r="CJ1154" s="105" t="n"/>
      <c r="CK1154" s="105" t="n"/>
      <c r="CL1154" s="105" t="n"/>
      <c r="CM1154" s="105" t="n"/>
      <c r="CN1154" s="105" t="n"/>
      <c r="CO1154" s="105" t="n"/>
      <c r="CP1154" s="105" t="n"/>
      <c r="CQ1154" s="105" t="n"/>
      <c r="CR1154" s="105" t="n"/>
      <c r="CS1154" s="105" t="n"/>
      <c r="CT1154" s="105" t="n"/>
      <c r="CU1154" s="105" t="n"/>
      <c r="CV1154" s="105" t="n"/>
      <c r="CW1154" s="105" t="n"/>
      <c r="CX1154" s="105" t="n"/>
      <c r="CY1154" s="105" t="n"/>
      <c r="CZ1154" s="124">
        <f>+COUNT(BV1154:CY1154)</f>
        <v/>
      </c>
      <c r="DA1154" s="124" t="n"/>
      <c r="DB1154" s="124" t="n"/>
      <c r="DC1154" s="124" t="n"/>
      <c r="DD1154" s="124" t="n"/>
      <c r="DE1154" s="124" t="n"/>
      <c r="DF1154" s="124" t="n"/>
      <c r="DG1154" s="124" t="n"/>
      <c r="DH1154" s="124" t="n"/>
      <c r="DI1154" s="124" t="n"/>
      <c r="DJ1154" s="251" t="inlineStr">
        <is>
          <t>N/A</t>
        </is>
      </c>
      <c r="DK1154" s="251" t="inlineStr">
        <is>
          <t>N/A</t>
        </is>
      </c>
      <c r="DL1154" s="251" t="inlineStr">
        <is>
          <t>N/A</t>
        </is>
      </c>
      <c r="DM1154" s="251" t="inlineStr">
        <is>
          <t>N/A</t>
        </is>
      </c>
      <c r="DN1154" s="95" t="n"/>
      <c r="DO1154" s="95" t="n"/>
    </row>
    <row r="1155" ht="14.25" customHeight="1">
      <c r="A1155" s="147" t="inlineStr">
        <is>
          <t>MTP-07</t>
        </is>
      </c>
      <c r="B1155" s="151" t="n"/>
      <c r="C1155" s="108" t="n"/>
      <c r="D1155" s="7" t="inlineStr">
        <is>
          <t>ELIMINADO BAJO TRANQUE</t>
        </is>
      </c>
      <c r="E1155" s="7" t="inlineStr">
        <is>
          <t>NO</t>
        </is>
      </c>
      <c r="F1155" s="7" t="inlineStr">
        <is>
          <t>NO</t>
        </is>
      </c>
      <c r="G1155" s="7" t="inlineStr">
        <is>
          <t>NO</t>
        </is>
      </c>
      <c r="H1155" s="7" t="inlineStr">
        <is>
          <t>Eliminado</t>
        </is>
      </c>
      <c r="I1155" s="7" t="inlineStr">
        <is>
          <t>Eliminado</t>
        </is>
      </c>
      <c r="J1155" s="7" t="inlineStr">
        <is>
          <t>Bajo tranque</t>
        </is>
      </c>
      <c r="K1155" s="7" t="inlineStr">
        <is>
          <t>-</t>
        </is>
      </c>
      <c r="L1155" s="7" t="inlineStr">
        <is>
          <t>Agua Subterránea</t>
        </is>
      </c>
      <c r="M1155" s="7" t="inlineStr">
        <is>
          <t>Cordillera</t>
        </is>
      </c>
      <c r="N1155" s="7" t="inlineStr">
        <is>
          <t>POZO</t>
        </is>
      </c>
      <c r="O1155" s="7" t="inlineStr">
        <is>
          <t>Tranque</t>
        </is>
      </c>
      <c r="P1155" s="7" t="inlineStr">
        <is>
          <t>NO</t>
        </is>
      </c>
      <c r="Q1155" s="7" t="inlineStr">
        <is>
          <t>-</t>
        </is>
      </c>
      <c r="R1155" s="7" t="inlineStr">
        <is>
          <t>-</t>
        </is>
      </c>
      <c r="S1155" s="7" t="inlineStr">
        <is>
          <t>-</t>
        </is>
      </c>
      <c r="T1155" s="7" t="inlineStr">
        <is>
          <t>NO</t>
        </is>
      </c>
      <c r="U1155" s="7" t="inlineStr">
        <is>
          <t>-</t>
        </is>
      </c>
      <c r="V1155" s="7" t="inlineStr">
        <is>
          <t>NO</t>
        </is>
      </c>
      <c r="W1155" s="7" t="inlineStr">
        <is>
          <t>-</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NO</t>
        </is>
      </c>
      <c r="AO1155" s="7" t="inlineStr">
        <is>
          <t>-</t>
        </is>
      </c>
      <c r="AP1155" s="60" t="inlineStr">
        <is>
          <t>NO</t>
        </is>
      </c>
      <c r="AQ1155" s="7" t="inlineStr">
        <is>
          <t>-</t>
        </is>
      </c>
      <c r="AR1155" s="60" t="inlineStr">
        <is>
          <t>NO</t>
        </is>
      </c>
      <c r="AS1155" s="7" t="inlineStr">
        <is>
          <t>-</t>
        </is>
      </c>
      <c r="AT1155" s="7" t="inlineStr">
        <is>
          <t>NO</t>
        </is>
      </c>
      <c r="AU1155" s="7" t="inlineStr">
        <is>
          <t>-</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t>
        </is>
      </c>
      <c r="BI1155" s="7" t="n"/>
      <c r="BJ1155" s="7" t="n"/>
      <c r="BK1155" s="61" t="inlineStr">
        <is>
          <t>532MAMTP</t>
        </is>
      </c>
      <c r="BL1155" s="61" t="n">
        <v>0</v>
      </c>
      <c r="BM1155" s="251" t="inlineStr">
        <is>
          <t>ASUB</t>
        </is>
      </c>
      <c r="BN1155" s="337" t="inlineStr">
        <is>
          <t>Tranque</t>
        </is>
      </c>
      <c r="BO1155" s="251" t="n"/>
      <c r="BP1155" s="253" t="n"/>
      <c r="BQ1155" s="253" t="n"/>
      <c r="BR1155" s="253" t="n"/>
      <c r="BS1155" s="253" t="n"/>
      <c r="BT1155" s="253" t="n"/>
      <c r="BU1155" s="101" t="inlineStr">
        <is>
          <t xml:space="preserve">bajo tranque </t>
        </is>
      </c>
      <c r="BV1155" s="130"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24">
        <f>+COUNT(BV1155:CY1155)</f>
        <v/>
      </c>
      <c r="DA1155" s="124" t="n"/>
      <c r="DB1155" s="124" t="n"/>
      <c r="DC1155" s="124" t="n"/>
      <c r="DD1155" s="124" t="n"/>
      <c r="DE1155" s="124" t="n"/>
      <c r="DF1155" s="124" t="n"/>
      <c r="DG1155" s="124" t="n"/>
      <c r="DH1155" s="124" t="n"/>
      <c r="DI1155" s="124" t="n"/>
      <c r="DJ1155" s="251" t="inlineStr">
        <is>
          <t>N/A</t>
        </is>
      </c>
      <c r="DK1155" s="251" t="inlineStr">
        <is>
          <t>N/A</t>
        </is>
      </c>
      <c r="DL1155" s="251" t="inlineStr">
        <is>
          <t>N/A</t>
        </is>
      </c>
      <c r="DM1155" s="251" t="inlineStr">
        <is>
          <t>N/A</t>
        </is>
      </c>
      <c r="DN1155" s="95" t="n"/>
      <c r="DO1155" s="95" t="n"/>
    </row>
    <row r="1156" ht="14.25" customHeight="1">
      <c r="A1156" s="147" t="inlineStr">
        <is>
          <t>MTP-08</t>
        </is>
      </c>
      <c r="B1156" s="151"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1" t="inlineStr">
        <is>
          <t>ASUB</t>
        </is>
      </c>
      <c r="BN1156" s="337" t="inlineStr">
        <is>
          <t>Tranque</t>
        </is>
      </c>
      <c r="BO1156" s="251" t="n"/>
      <c r="BP1156" s="253" t="n"/>
      <c r="BQ1156" s="253" t="n"/>
      <c r="BR1156" s="253" t="n"/>
      <c r="BS1156" s="253" t="n"/>
      <c r="BT1156" s="253" t="n"/>
      <c r="BU1156" s="101" t="inlineStr">
        <is>
          <t xml:space="preserve">bajo tranque </t>
        </is>
      </c>
      <c r="BV1156" s="130"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24">
        <f>+COUNT(BV1156:CY1156)</f>
        <v/>
      </c>
      <c r="DA1156" s="124" t="n"/>
      <c r="DB1156" s="124" t="n"/>
      <c r="DC1156" s="124" t="n"/>
      <c r="DD1156" s="124" t="n"/>
      <c r="DE1156" s="124" t="n"/>
      <c r="DF1156" s="124" t="n"/>
      <c r="DG1156" s="124" t="n"/>
      <c r="DH1156" s="124" t="n"/>
      <c r="DI1156" s="124" t="n"/>
      <c r="DJ1156" s="251" t="inlineStr">
        <is>
          <t>N/A</t>
        </is>
      </c>
      <c r="DK1156" s="251" t="inlineStr">
        <is>
          <t>N/A</t>
        </is>
      </c>
      <c r="DL1156" s="251" t="inlineStr">
        <is>
          <t>N/A</t>
        </is>
      </c>
      <c r="DM1156" s="251" t="inlineStr">
        <is>
          <t>N/A</t>
        </is>
      </c>
      <c r="DN1156" s="95" t="n"/>
      <c r="DO1156" s="95" t="n"/>
    </row>
    <row r="1157" ht="14.25" customHeight="1">
      <c r="A1157" s="147" t="inlineStr">
        <is>
          <t>PDB-01</t>
        </is>
      </c>
      <c r="B1157" s="151" t="n"/>
      <c r="C1157" s="108" t="n"/>
      <c r="D1157" s="7" t="inlineStr">
        <is>
          <t>MONITOREO INTERNO</t>
        </is>
      </c>
      <c r="E1157" s="7" t="inlineStr">
        <is>
          <t>NO</t>
        </is>
      </c>
      <c r="F1157" s="7" t="inlineStr">
        <is>
          <t>NO</t>
        </is>
      </c>
      <c r="G1157" s="7" t="inlineStr">
        <is>
          <t>NO</t>
        </is>
      </c>
      <c r="H1157" s="7" t="n">
        <v>530273.116237</v>
      </c>
      <c r="I1157" s="7" t="n">
        <v>7677164.49964</v>
      </c>
      <c r="J1157" s="7" t="inlineStr">
        <is>
          <t>Construido</t>
        </is>
      </c>
      <c r="K1157" s="7" t="inlineStr">
        <is>
          <t>-</t>
        </is>
      </c>
      <c r="L1157" s="7" t="inlineStr">
        <is>
          <t>Agua Subterránea</t>
        </is>
      </c>
      <c r="M1157" s="7" t="inlineStr">
        <is>
          <t>Cordillera</t>
        </is>
      </c>
      <c r="N1157" s="7" t="inlineStr">
        <is>
          <t>POZO</t>
        </is>
      </c>
      <c r="O1157" s="7" t="inlineStr">
        <is>
          <t>Rosario</t>
        </is>
      </c>
      <c r="P1157" s="7" t="inlineStr">
        <is>
          <t>NO</t>
        </is>
      </c>
      <c r="Q1157" s="7" t="inlineStr">
        <is>
          <t>-</t>
        </is>
      </c>
      <c r="R1157" s="7" t="inlineStr">
        <is>
          <t>-</t>
        </is>
      </c>
      <c r="S1157" s="7" t="inlineStr">
        <is>
          <t>-</t>
        </is>
      </c>
      <c r="T1157" s="7" t="inlineStr">
        <is>
          <t>SI</t>
        </is>
      </c>
      <c r="U1157" s="7" t="inlineStr">
        <is>
          <t>Bimestral</t>
        </is>
      </c>
      <c r="V1157" s="7" t="inlineStr">
        <is>
          <t>SI</t>
        </is>
      </c>
      <c r="W1157" s="7" t="inlineStr">
        <is>
          <t>Bimestral</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Monitoreo interno</t>
        </is>
      </c>
      <c r="BH1157" s="7" t="inlineStr">
        <is>
          <t>No aplica</t>
        </is>
      </c>
      <c r="BI1157" s="7" t="inlineStr">
        <is>
          <t>Consultar si el punto de monitoreo se debe seguir monitoreando</t>
        </is>
      </c>
      <c r="BJ1157" s="7" t="n"/>
      <c r="BK1157" s="61" t="inlineStr">
        <is>
          <t>532MACHIC</t>
        </is>
      </c>
      <c r="BL1157" s="61" t="n">
        <v>0</v>
      </c>
      <c r="BM1157" s="251" t="inlineStr">
        <is>
          <t>ASUB</t>
        </is>
      </c>
      <c r="BN1157" s="337" t="inlineStr">
        <is>
          <t>Rosario</t>
        </is>
      </c>
      <c r="BO1157" s="251" t="inlineStr">
        <is>
          <t>NO</t>
        </is>
      </c>
      <c r="BP1157" s="253" t="n"/>
      <c r="BQ1157" s="253" t="n"/>
      <c r="BR1157" s="253" t="n"/>
      <c r="BS1157" s="253" t="n"/>
      <c r="BT1157" s="253" t="n"/>
      <c r="BU1157" s="109" t="inlineStr">
        <is>
          <t>ARCADIS</t>
        </is>
      </c>
      <c r="BV1157" s="178" t="n"/>
      <c r="BW1157" s="251" t="n"/>
      <c r="BX1157" s="251" t="n"/>
      <c r="BY1157" s="251" t="n"/>
      <c r="BZ1157" s="251" t="n"/>
      <c r="CA1157" s="251" t="n"/>
      <c r="CB1157" s="251" t="n"/>
      <c r="CC1157" s="251" t="n"/>
      <c r="CD1157" s="251" t="n"/>
      <c r="CE1157" s="251" t="n"/>
      <c r="CF1157" s="251" t="n"/>
      <c r="CG1157" s="251" t="n"/>
      <c r="CH1157" s="251" t="n"/>
      <c r="CI1157" s="251" t="n"/>
      <c r="CJ1157" s="251" t="n"/>
      <c r="CK1157" s="251" t="n"/>
      <c r="CL1157" s="251" t="n"/>
      <c r="CM1157" s="251" t="n"/>
      <c r="CN1157" s="251" t="n"/>
      <c r="CO1157" s="251" t="n"/>
      <c r="CP1157" s="251" t="n"/>
      <c r="CQ1157" s="251" t="n"/>
      <c r="CR1157" s="251" t="n"/>
      <c r="CS1157" s="251" t="n"/>
      <c r="CT1157" s="251" t="n"/>
      <c r="CU1157" s="251" t="n"/>
      <c r="CV1157" s="251" t="n"/>
      <c r="CW1157" s="251" t="n"/>
      <c r="CX1157" s="251" t="n"/>
      <c r="CY1157" s="251" t="n"/>
      <c r="CZ1157" s="124">
        <f>+COUNT(BV1157:CY1157)</f>
        <v/>
      </c>
      <c r="DA1157" s="124" t="n"/>
      <c r="DB1157" s="124" t="n"/>
      <c r="DC1157" s="124" t="n"/>
      <c r="DD1157" s="124" t="n"/>
      <c r="DE1157" s="124" t="n"/>
      <c r="DF1157" s="124" t="n"/>
      <c r="DG1157" s="124" t="n"/>
      <c r="DH1157" s="124" t="n"/>
      <c r="DI1157" s="124" t="n"/>
      <c r="DJ1157" s="251" t="inlineStr">
        <is>
          <t>SE ELIMINA</t>
        </is>
      </c>
      <c r="DK1157" s="251" t="n"/>
      <c r="DL1157" s="95" t="n"/>
      <c r="DM1157" s="251" t="inlineStr">
        <is>
          <t>N/A</t>
        </is>
      </c>
      <c r="DN1157" s="95" t="n"/>
      <c r="DO1157" s="95" t="n"/>
    </row>
    <row r="1158" ht="14.25" customHeight="1">
      <c r="A1158" s="147" t="inlineStr">
        <is>
          <t>PDR-107</t>
        </is>
      </c>
      <c r="B1158" s="151" t="n"/>
      <c r="C1158" s="108" t="n"/>
      <c r="D1158" s="7" t="inlineStr">
        <is>
          <t>MONITOREO INTERNO</t>
        </is>
      </c>
      <c r="E1158" s="7" t="inlineStr">
        <is>
          <t>NO</t>
        </is>
      </c>
      <c r="F1158" s="7" t="inlineStr">
        <is>
          <t>NO</t>
        </is>
      </c>
      <c r="G1158" s="7" t="inlineStr">
        <is>
          <t>NO</t>
        </is>
      </c>
      <c r="H1158" s="7" t="n">
        <v>529620.640061</v>
      </c>
      <c r="I1158" s="7" t="n">
        <v>7679633.29809</v>
      </c>
      <c r="J1158" s="7" t="inlineStr">
        <is>
          <t>Construido</t>
        </is>
      </c>
      <c r="K1158" s="7" t="inlineStr">
        <is>
          <t>-</t>
        </is>
      </c>
      <c r="L1158" s="7" t="inlineStr">
        <is>
          <t>Agua Subterránea</t>
        </is>
      </c>
      <c r="M1158" s="7" t="inlineStr">
        <is>
          <t>Cordillera</t>
        </is>
      </c>
      <c r="N1158" s="7" t="inlineStr">
        <is>
          <t>Pozo interior mina</t>
        </is>
      </c>
      <c r="O1158" s="7" t="inlineStr">
        <is>
          <t>Rosario</t>
        </is>
      </c>
      <c r="P1158" s="7" t="inlineStr">
        <is>
          <t>NO</t>
        </is>
      </c>
      <c r="Q1158" s="7" t="inlineStr">
        <is>
          <t>-</t>
        </is>
      </c>
      <c r="R1158" s="7" t="inlineStr">
        <is>
          <t>-</t>
        </is>
      </c>
      <c r="S1158" s="7" t="inlineStr">
        <is>
          <t>-</t>
        </is>
      </c>
      <c r="T1158" s="7" t="inlineStr">
        <is>
          <t>SI</t>
        </is>
      </c>
      <c r="U1158" s="7" t="inlineStr">
        <is>
          <t>Mensual</t>
        </is>
      </c>
      <c r="V1158" s="7" t="inlineStr">
        <is>
          <t>SI</t>
        </is>
      </c>
      <c r="W1158" s="7" t="inlineStr">
        <is>
          <t>Mensual</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PLAN NCH1333/IONICO RIEGO / PROCESO ESPECIAL 20906</t>
        </is>
      </c>
      <c r="AO1158" s="7" t="inlineStr">
        <is>
          <t>Mensual</t>
        </is>
      </c>
      <c r="AP1158" s="60" t="inlineStr">
        <is>
          <t>NO</t>
        </is>
      </c>
      <c r="AQ1158" s="7" t="inlineStr">
        <is>
          <t>-</t>
        </is>
      </c>
      <c r="AR1158" s="60" t="inlineStr">
        <is>
          <t>NO</t>
        </is>
      </c>
      <c r="AS1158" s="7" t="inlineStr">
        <is>
          <t>-</t>
        </is>
      </c>
      <c r="AT1158" s="7" t="inlineStr">
        <is>
          <t>SI</t>
        </is>
      </c>
      <c r="AU1158" s="7" t="inlineStr">
        <is>
          <t>Mensual</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Monitoreo interno</t>
        </is>
      </c>
      <c r="BH1158" s="7" t="inlineStr">
        <is>
          <t>No aplica</t>
        </is>
      </c>
      <c r="BI1158" s="7" t="n"/>
      <c r="BJ1158" s="7" t="n"/>
      <c r="BK1158" s="61" t="inlineStr">
        <is>
          <t>532PP1107</t>
        </is>
      </c>
      <c r="BL1158" s="61" t="inlineStr">
        <is>
          <t>GTAM</t>
        </is>
      </c>
      <c r="BM1158" s="251" t="inlineStr">
        <is>
          <t>ASUB</t>
        </is>
      </c>
      <c r="BN1158" s="337" t="inlineStr">
        <is>
          <t>Rosario</t>
        </is>
      </c>
      <c r="BO1158" s="251" t="inlineStr">
        <is>
          <t>SI</t>
        </is>
      </c>
      <c r="BP1158" s="253" t="n"/>
      <c r="BQ1158" s="253" t="n"/>
      <c r="BR1158" s="253" t="n"/>
      <c r="BS1158" s="253" t="n"/>
      <c r="BT1158" s="253" t="n"/>
      <c r="BU1158" s="101" t="inlineStr">
        <is>
          <t>ELIMINADO</t>
        </is>
      </c>
      <c r="BV1158" s="178" t="n"/>
      <c r="BW1158" s="251" t="n"/>
      <c r="BX1158" s="251" t="n"/>
      <c r="BY1158" s="251" t="n"/>
      <c r="BZ1158" s="251" t="n"/>
      <c r="CA1158" s="251" t="n"/>
      <c r="CB1158" s="251" t="n"/>
      <c r="CC1158" s="251" t="n"/>
      <c r="CD1158" s="251" t="n"/>
      <c r="CE1158" s="251" t="n"/>
      <c r="CF1158" s="251" t="n"/>
      <c r="CG1158" s="251" t="n"/>
      <c r="CH1158" s="251" t="n"/>
      <c r="CI1158" s="251" t="n"/>
      <c r="CJ1158" s="251" t="n"/>
      <c r="CK1158" s="251" t="n"/>
      <c r="CL1158" s="251" t="n"/>
      <c r="CM1158" s="251" t="n"/>
      <c r="CN1158" s="251" t="n"/>
      <c r="CO1158" s="251" t="n"/>
      <c r="CP1158" s="251" t="n"/>
      <c r="CQ1158" s="352" t="n"/>
      <c r="CR1158" s="352" t="n"/>
      <c r="CS1158" s="251" t="n"/>
      <c r="CT1158" s="352" t="n"/>
      <c r="CU1158" s="251" t="n"/>
      <c r="CV1158" s="251" t="n"/>
      <c r="CW1158" s="251" t="n"/>
      <c r="CX1158" s="251" t="n"/>
      <c r="CY1158" s="251" t="n"/>
      <c r="CZ1158" s="124">
        <f>+COUNT(BV1158:CY1158)</f>
        <v/>
      </c>
      <c r="DA1158" s="124" t="n"/>
      <c r="DB1158" s="124" t="n"/>
      <c r="DC1158" s="124" t="n"/>
      <c r="DD1158" s="124" t="n"/>
      <c r="DE1158" s="124" t="n"/>
      <c r="DF1158" s="124" t="n"/>
      <c r="DG1158" s="124" t="n"/>
      <c r="DH1158" s="124" t="n"/>
      <c r="DI1158" s="124" t="n"/>
      <c r="DJ1158" s="251" t="inlineStr">
        <is>
          <t>SE ELIMINA</t>
        </is>
      </c>
      <c r="DK1158" s="251" t="inlineStr">
        <is>
          <t>N/A</t>
        </is>
      </c>
      <c r="DL1158" s="95" t="inlineStr">
        <is>
          <t>N/A</t>
        </is>
      </c>
      <c r="DM1158" s="251" t="inlineStr">
        <is>
          <t>ELIMINADO</t>
        </is>
      </c>
      <c r="DN1158" s="95" t="inlineStr">
        <is>
          <t>N/A</t>
        </is>
      </c>
      <c r="DO1158" s="95" t="inlineStr">
        <is>
          <t>N/A</t>
        </is>
      </c>
    </row>
    <row r="1159" ht="14.25" customHeight="1">
      <c r="A1159" s="147" t="inlineStr">
        <is>
          <t>PDR-82</t>
        </is>
      </c>
      <c r="B1159" s="151" t="n"/>
      <c r="C1159" s="108" t="n"/>
      <c r="D1159" s="7" t="inlineStr">
        <is>
          <t>ELIMINADO RCA 20219900112</t>
        </is>
      </c>
      <c r="E1159" s="7" t="inlineStr">
        <is>
          <t>NO</t>
        </is>
      </c>
      <c r="F1159" s="7" t="inlineStr">
        <is>
          <t>SI</t>
        </is>
      </c>
      <c r="G1159" s="7" t="inlineStr">
        <is>
          <t>NO</t>
        </is>
      </c>
      <c r="H1159" s="7" t="inlineStr">
        <is>
          <t>Eliminado</t>
        </is>
      </c>
      <c r="I1159" s="7" t="inlineStr">
        <is>
          <t>Eliminado</t>
        </is>
      </c>
      <c r="J1159" s="7" t="inlineStr">
        <is>
          <t>Desaparecido Fase 12/Eliminado EIA</t>
        </is>
      </c>
      <c r="K1159" s="7" t="inlineStr">
        <is>
          <t>-</t>
        </is>
      </c>
      <c r="L1159" s="7" t="inlineStr">
        <is>
          <t>Agua Subterránea</t>
        </is>
      </c>
      <c r="M1159" s="7" t="inlineStr">
        <is>
          <t>Cordillera</t>
        </is>
      </c>
      <c r="N1159" s="7" t="inlineStr">
        <is>
          <t>Pozo PDR-82 Interior Mina</t>
        </is>
      </c>
      <c r="O1159" s="7" t="inlineStr">
        <is>
          <t>Rosario</t>
        </is>
      </c>
      <c r="P1159" s="7" t="inlineStr">
        <is>
          <t>NO</t>
        </is>
      </c>
      <c r="Q1159" s="7" t="inlineStr">
        <is>
          <t>-</t>
        </is>
      </c>
      <c r="R1159" s="7" t="inlineStr">
        <is>
          <t>-</t>
        </is>
      </c>
      <c r="S1159" s="7" t="inlineStr">
        <is>
          <t>-</t>
        </is>
      </c>
      <c r="T1159" s="7" t="inlineStr">
        <is>
          <t>NO</t>
        </is>
      </c>
      <c r="U1159" s="7" t="inlineStr">
        <is>
          <t>-</t>
        </is>
      </c>
      <c r="V1159" s="7" t="inlineStr">
        <is>
          <t>NO</t>
        </is>
      </c>
      <c r="W1159" s="7" t="inlineStr">
        <is>
          <t>-</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Eliminado</t>
        </is>
      </c>
      <c r="BH1159" s="7" t="inlineStr">
        <is>
          <t>-</t>
        </is>
      </c>
      <c r="BI1159" s="7" t="inlineStr">
        <is>
          <t>ELIMINADO RCA 20219900112</t>
        </is>
      </c>
      <c r="BJ1159" s="7" t="n"/>
      <c r="BK1159" s="61" t="inlineStr">
        <is>
          <t>532PP182</t>
        </is>
      </c>
      <c r="BL1159" s="61" t="n">
        <v>0</v>
      </c>
      <c r="BM1159" s="251" t="inlineStr">
        <is>
          <t>ASUB</t>
        </is>
      </c>
      <c r="BN1159" s="337" t="inlineStr">
        <is>
          <t>Rosario(interior rajo rosario sector tucu tucu  face 12)</t>
        </is>
      </c>
      <c r="BO1159" s="251" t="inlineStr">
        <is>
          <t>SI</t>
        </is>
      </c>
      <c r="BP1159" s="253" t="n"/>
      <c r="BQ1159" s="253" t="n"/>
      <c r="BR1159" s="253" t="n"/>
      <c r="BS1159" s="253" t="n"/>
      <c r="BT1159" s="253" t="n"/>
      <c r="BU1159" s="101" t="inlineStr">
        <is>
          <t>DESAPARECIDO AVANCE FACE 12</t>
        </is>
      </c>
      <c r="BV1159" s="178" t="n"/>
      <c r="BW1159" s="251" t="n"/>
      <c r="BX1159" s="251" t="n"/>
      <c r="BY1159" s="251" t="n"/>
      <c r="BZ1159" s="251" t="n"/>
      <c r="CA1159" s="251" t="n"/>
      <c r="CB1159" s="251" t="n"/>
      <c r="CC1159" s="251" t="n"/>
      <c r="CD1159" s="251" t="n"/>
      <c r="CE1159" s="251" t="n"/>
      <c r="CF1159" s="251" t="n"/>
      <c r="CG1159" s="251" t="n"/>
      <c r="CH1159" s="251" t="n"/>
      <c r="CI1159" s="251" t="n"/>
      <c r="CJ1159" s="251" t="n"/>
      <c r="CK1159" s="251" t="n"/>
      <c r="CL1159" s="251" t="n"/>
      <c r="CM1159" s="251" t="n"/>
      <c r="CN1159" s="251" t="n"/>
      <c r="CO1159" s="251" t="n"/>
      <c r="CP1159" s="251" t="n"/>
      <c r="CQ1159" s="251" t="n"/>
      <c r="CR1159" s="251" t="n"/>
      <c r="CS1159" s="251" t="n"/>
      <c r="CT1159" s="251" t="n"/>
      <c r="CU1159" s="251" t="n"/>
      <c r="CV1159" s="251" t="n"/>
      <c r="CW1159" s="251" t="n"/>
      <c r="CX1159" s="251" t="n"/>
      <c r="CY1159" s="251" t="n"/>
      <c r="CZ1159" s="124">
        <f>+COUNT(BV1159:CY1159)</f>
        <v/>
      </c>
      <c r="DA1159" s="124" t="n"/>
      <c r="DB1159" s="124" t="n"/>
      <c r="DC1159" s="124" t="n"/>
      <c r="DD1159" s="124" t="n"/>
      <c r="DE1159" s="124" t="n"/>
      <c r="DF1159" s="124" t="n"/>
      <c r="DG1159" s="124" t="n"/>
      <c r="DH1159" s="124" t="n"/>
      <c r="DI1159" s="124" t="n"/>
      <c r="DJ1159" s="251" t="inlineStr">
        <is>
          <t>SE ELIMINA</t>
        </is>
      </c>
      <c r="DK1159" s="251" t="inlineStr">
        <is>
          <t>N/A</t>
        </is>
      </c>
      <c r="DL1159" s="251" t="inlineStr">
        <is>
          <t>N/A</t>
        </is>
      </c>
      <c r="DM1159" s="251" t="inlineStr">
        <is>
          <t>N/A</t>
        </is>
      </c>
      <c r="DN1159" s="95" t="inlineStr">
        <is>
          <t>N/A</t>
        </is>
      </c>
      <c r="DO1159" s="95" t="inlineStr">
        <is>
          <t>N/A</t>
        </is>
      </c>
    </row>
    <row r="1160" ht="14.25" customHeight="1">
      <c r="A1160" s="147" t="inlineStr">
        <is>
          <t>PDR-93</t>
        </is>
      </c>
      <c r="B1160" s="151" t="n"/>
      <c r="C1160" s="108" t="n"/>
      <c r="D1160" s="7" t="inlineStr">
        <is>
          <t>MONITOREO INTERNO</t>
        </is>
      </c>
      <c r="E1160" s="7" t="inlineStr">
        <is>
          <t>NO</t>
        </is>
      </c>
      <c r="F1160" s="7" t="inlineStr">
        <is>
          <t>NO</t>
        </is>
      </c>
      <c r="G1160" s="7" t="inlineStr">
        <is>
          <t>NO</t>
        </is>
      </c>
      <c r="H1160" s="7" t="n">
        <v>529522.600579</v>
      </c>
      <c r="I1160" s="7" t="n">
        <v>7679820.69723</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Trimestral</t>
        </is>
      </c>
      <c r="AP1160" s="60" t="inlineStr">
        <is>
          <t>NO</t>
        </is>
      </c>
      <c r="AQ1160" s="7" t="inlineStr">
        <is>
          <t>-</t>
        </is>
      </c>
      <c r="AR1160" s="60" t="inlineStr">
        <is>
          <t>NO</t>
        </is>
      </c>
      <c r="AS1160" s="7" t="inlineStr">
        <is>
          <t>-</t>
        </is>
      </c>
      <c r="AT1160" s="7" t="inlineStr">
        <is>
          <t>SI</t>
        </is>
      </c>
      <c r="AU1160" s="7" t="inlineStr">
        <is>
          <t>Trimestral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532PP193</t>
        </is>
      </c>
      <c r="BL1160" s="61" t="inlineStr">
        <is>
          <t>GTAM</t>
        </is>
      </c>
      <c r="BM1160" s="251" t="inlineStr">
        <is>
          <t>ASUB</t>
        </is>
      </c>
      <c r="BN1160" s="337" t="inlineStr">
        <is>
          <t>Rosario</t>
        </is>
      </c>
      <c r="BO1160" s="251" t="inlineStr">
        <is>
          <t>SI</t>
        </is>
      </c>
      <c r="BP1160" s="253" t="n"/>
      <c r="BQ1160" s="253" t="n"/>
      <c r="BR1160" s="253" t="n"/>
      <c r="BS1160" s="253" t="n"/>
      <c r="BT1160" s="253" t="n"/>
      <c r="BU1160" s="101" t="inlineStr">
        <is>
          <t>ELIMINADO</t>
        </is>
      </c>
      <c r="BV1160" s="178" t="n"/>
      <c r="BW1160" s="251" t="n"/>
      <c r="BX1160" s="251" t="n"/>
      <c r="BY1160" s="251" t="n"/>
      <c r="BZ1160" s="251" t="n"/>
      <c r="CA1160" s="251" t="n"/>
      <c r="CB1160" s="251" t="n"/>
      <c r="CC1160" s="251" t="n"/>
      <c r="CD1160" s="251" t="n"/>
      <c r="CE1160" s="251" t="n"/>
      <c r="CF1160" s="251" t="n"/>
      <c r="CG1160" s="251" t="n"/>
      <c r="CH1160" s="251" t="n"/>
      <c r="CI1160" s="251" t="n"/>
      <c r="CJ1160" s="251" t="n"/>
      <c r="CK1160" s="251" t="n"/>
      <c r="CL1160" s="251" t="n"/>
      <c r="CM1160" s="251" t="n"/>
      <c r="CN1160" s="251" t="n"/>
      <c r="CO1160" s="251" t="n"/>
      <c r="CP1160" s="251" t="n"/>
      <c r="CQ1160" s="251" t="n"/>
      <c r="CR1160" s="352" t="n"/>
      <c r="CS1160" s="251" t="n"/>
      <c r="CT1160" s="251" t="n"/>
      <c r="CU1160" s="251" t="n"/>
      <c r="CV1160" s="251" t="n"/>
      <c r="CW1160" s="251" t="n"/>
      <c r="CX1160" s="251" t="n"/>
      <c r="CY1160" s="251" t="n"/>
      <c r="CZ1160" s="124">
        <f>+COUNT(BV1160:CY1160)</f>
        <v/>
      </c>
      <c r="DA1160" s="124" t="n"/>
      <c r="DB1160" s="124" t="n"/>
      <c r="DC1160" s="124" t="n"/>
      <c r="DD1160" s="124" t="n"/>
      <c r="DE1160" s="124" t="n"/>
      <c r="DF1160" s="124" t="n"/>
      <c r="DG1160" s="124" t="n"/>
      <c r="DH1160" s="124" t="n"/>
      <c r="DI1160" s="124" t="n"/>
      <c r="DJ1160" s="251" t="inlineStr">
        <is>
          <t>SE ELIMINA</t>
        </is>
      </c>
      <c r="DK1160" s="251" t="inlineStr">
        <is>
          <t>N/A</t>
        </is>
      </c>
      <c r="DL1160" s="95" t="inlineStr">
        <is>
          <t>N/A</t>
        </is>
      </c>
      <c r="DM1160" s="251" t="inlineStr">
        <is>
          <t>ELIMINADO</t>
        </is>
      </c>
      <c r="DN1160" s="95" t="inlineStr">
        <is>
          <t>N/A</t>
        </is>
      </c>
      <c r="DO1160" s="95" t="inlineStr">
        <is>
          <t>N/A</t>
        </is>
      </c>
    </row>
    <row r="1161" ht="14.25" customHeight="1">
      <c r="A1161" s="147" t="inlineStr">
        <is>
          <t>PDU-03</t>
        </is>
      </c>
      <c r="B1161" s="151" t="n"/>
      <c r="C1161" s="108" t="n"/>
      <c r="D1161" s="7" t="inlineStr">
        <is>
          <t>MONITOREO INTERNO</t>
        </is>
      </c>
      <c r="E1161" s="7" t="inlineStr">
        <is>
          <t>NO</t>
        </is>
      </c>
      <c r="F1161" s="7" t="inlineStr">
        <is>
          <t>NO</t>
        </is>
      </c>
      <c r="G1161" s="7" t="inlineStr">
        <is>
          <t>NO</t>
        </is>
      </c>
      <c r="H1161" s="7" t="n">
        <v>536663.626295</v>
      </c>
      <c r="I1161" s="7" t="n">
        <v>7678157.00277</v>
      </c>
      <c r="J1161" s="7" t="inlineStr">
        <is>
          <t>Construido</t>
        </is>
      </c>
      <c r="K1161" s="7" t="inlineStr">
        <is>
          <t>-</t>
        </is>
      </c>
      <c r="L1161" s="7" t="inlineStr">
        <is>
          <t>Agua Subterránea</t>
        </is>
      </c>
      <c r="M1161" s="7" t="inlineStr">
        <is>
          <t>Cordillera</t>
        </is>
      </c>
      <c r="N1161" s="7" t="inlineStr">
        <is>
          <t>Produccion</t>
        </is>
      </c>
      <c r="O1161" s="7" t="inlineStr">
        <is>
          <t>Ujina</t>
        </is>
      </c>
      <c r="P1161" s="7" t="inlineStr">
        <is>
          <t>NO</t>
        </is>
      </c>
      <c r="Q1161" s="7" t="inlineStr">
        <is>
          <t>-</t>
        </is>
      </c>
      <c r="R1161" s="7" t="inlineStr">
        <is>
          <t>-</t>
        </is>
      </c>
      <c r="S1161" s="7" t="inlineStr">
        <is>
          <t>-</t>
        </is>
      </c>
      <c r="T1161" s="7" t="inlineStr">
        <is>
          <t>SI</t>
        </is>
      </c>
      <c r="U1161" s="7" t="inlineStr">
        <is>
          <t>Bimestral</t>
        </is>
      </c>
      <c r="V1161" s="7" t="inlineStr">
        <is>
          <t>SI</t>
        </is>
      </c>
      <c r="W1161" s="7" t="inlineStr">
        <is>
          <t>Bimestral</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Monitoreo interno</t>
        </is>
      </c>
      <c r="BH1161" s="7" t="inlineStr">
        <is>
          <t>No aplica</t>
        </is>
      </c>
      <c r="BI1161" s="7" t="inlineStr">
        <is>
          <t>Consultar si el punto de monitoreo se debe seguir monitoreando</t>
        </is>
      </c>
      <c r="BJ1161" s="7" t="n"/>
      <c r="BK1161" s="61" t="inlineStr">
        <is>
          <t>532PP003</t>
        </is>
      </c>
      <c r="BL1161" s="61" t="n">
        <v>0</v>
      </c>
      <c r="BM1161" s="251" t="inlineStr">
        <is>
          <t>ASUB</t>
        </is>
      </c>
      <c r="BN1161" s="337" t="inlineStr">
        <is>
          <t>Ujina</t>
        </is>
      </c>
      <c r="BO1161" s="251" t="inlineStr">
        <is>
          <t>NO</t>
        </is>
      </c>
      <c r="BP1161" s="253" t="n"/>
      <c r="BQ1161" s="253" t="n"/>
      <c r="BR1161" s="253" t="n"/>
      <c r="BS1161" s="253" t="n"/>
      <c r="BT1161" s="253" t="n"/>
      <c r="BU1161" s="109" t="inlineStr">
        <is>
          <t>ARCADIS</t>
        </is>
      </c>
      <c r="BV1161" s="178" t="n"/>
      <c r="BW1161" s="251" t="n"/>
      <c r="BX1161" s="251" t="n"/>
      <c r="BY1161" s="251" t="n"/>
      <c r="BZ1161" s="251" t="n"/>
      <c r="CA1161" s="251" t="n"/>
      <c r="CB1161" s="251" t="n"/>
      <c r="CC1161" s="251" t="n"/>
      <c r="CD1161" s="251" t="n"/>
      <c r="CE1161" s="251" t="n"/>
      <c r="CF1161" s="251" t="n"/>
      <c r="CG1161" s="251" t="n"/>
      <c r="CH1161" s="251" t="n"/>
      <c r="CI1161" s="251" t="n"/>
      <c r="CJ1161" s="251" t="n"/>
      <c r="CK1161" s="251" t="n"/>
      <c r="CL1161" s="251" t="n"/>
      <c r="CM1161" s="251" t="n"/>
      <c r="CN1161" s="251" t="n"/>
      <c r="CO1161" s="251" t="n"/>
      <c r="CP1161" s="251" t="n"/>
      <c r="CQ1161" s="251" t="n"/>
      <c r="CR1161" s="251" t="n"/>
      <c r="CS1161" s="251" t="n"/>
      <c r="CT1161" s="251" t="n"/>
      <c r="CU1161" s="251" t="n"/>
      <c r="CV1161" s="251" t="n"/>
      <c r="CW1161" s="251" t="n"/>
      <c r="CX1161" s="251" t="n"/>
      <c r="CY1161" s="251" t="n"/>
      <c r="CZ1161" s="124">
        <f>+COUNT(BV1161:CY1161)</f>
        <v/>
      </c>
      <c r="DA1161" s="124" t="n"/>
      <c r="DB1161" s="124" t="n"/>
      <c r="DC1161" s="124" t="n"/>
      <c r="DD1161" s="124" t="n"/>
      <c r="DE1161" s="124" t="n"/>
      <c r="DF1161" s="124" t="n"/>
      <c r="DG1161" s="124" t="n"/>
      <c r="DH1161" s="124" t="n"/>
      <c r="DI1161" s="124" t="n"/>
      <c r="DJ1161" s="251" t="inlineStr">
        <is>
          <t>SE ELIMINA</t>
        </is>
      </c>
      <c r="DK1161" s="251" t="n"/>
      <c r="DL1161" s="95" t="n"/>
      <c r="DM1161" s="251" t="inlineStr">
        <is>
          <t>N/A</t>
        </is>
      </c>
      <c r="DN1161" s="95" t="n"/>
      <c r="DO1161" s="95" t="n"/>
    </row>
    <row r="1162" ht="14.25" customHeight="1">
      <c r="A1162" s="147" t="inlineStr">
        <is>
          <t>PDU-14</t>
        </is>
      </c>
      <c r="B1162" s="151" t="n"/>
      <c r="C1162" s="108" t="n"/>
      <c r="D1162" s="7" t="inlineStr">
        <is>
          <t>MONITOREO INTERNO</t>
        </is>
      </c>
      <c r="E1162" s="7" t="inlineStr">
        <is>
          <t>NO</t>
        </is>
      </c>
      <c r="F1162" s="7" t="inlineStr">
        <is>
          <t>NO</t>
        </is>
      </c>
      <c r="G1162" s="7" t="inlineStr">
        <is>
          <t>NO</t>
        </is>
      </c>
      <c r="H1162" s="7" t="n">
        <v>537383.233</v>
      </c>
      <c r="I1162" s="7" t="n">
        <v>7679109.93</v>
      </c>
      <c r="J1162" s="7" t="inlineStr">
        <is>
          <t>Construido</t>
        </is>
      </c>
      <c r="K1162" s="7" t="inlineStr">
        <is>
          <t>-</t>
        </is>
      </c>
      <c r="L1162" s="7" t="inlineStr">
        <is>
          <t>Agua Subterránea</t>
        </is>
      </c>
      <c r="M1162" s="7" t="inlineStr">
        <is>
          <t>Cordillera</t>
        </is>
      </c>
      <c r="N1162" s="7" t="inlineStr">
        <is>
          <t>Produccion</t>
        </is>
      </c>
      <c r="O1162" s="7" t="inlineStr">
        <is>
          <t>Ujina</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NO</t>
        </is>
      </c>
      <c r="AO1162" s="7" t="inlineStr">
        <is>
          <t>-</t>
        </is>
      </c>
      <c r="AP1162" s="60" t="inlineStr">
        <is>
          <t>NO</t>
        </is>
      </c>
      <c r="AQ1162" s="7" t="inlineStr">
        <is>
          <t>-</t>
        </is>
      </c>
      <c r="AR1162" s="60" t="inlineStr">
        <is>
          <t>NO</t>
        </is>
      </c>
      <c r="AS1162" s="7" t="inlineStr">
        <is>
          <t>-</t>
        </is>
      </c>
      <c r="AT1162" s="7" t="inlineStr">
        <is>
          <t>NO</t>
        </is>
      </c>
      <c r="AU1162" s="7" t="inlineStr">
        <is>
          <t>-</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inlineStr">
        <is>
          <t>Consultar si el punto de monitoreo se debe seguir monitoreando</t>
        </is>
      </c>
      <c r="BJ1162" s="7" t="n"/>
      <c r="BK1162" s="61" t="inlineStr">
        <is>
          <t>532PP014</t>
        </is>
      </c>
      <c r="BL1162" s="61" t="n">
        <v>0</v>
      </c>
      <c r="BM1162" s="251" t="inlineStr">
        <is>
          <t>ASUB</t>
        </is>
      </c>
      <c r="BN1162" s="337" t="inlineStr">
        <is>
          <t>Ujina</t>
        </is>
      </c>
      <c r="BO1162" s="251" t="inlineStr">
        <is>
          <t>NO</t>
        </is>
      </c>
      <c r="BP1162" s="253" t="n"/>
      <c r="BQ1162" s="253" t="n"/>
      <c r="BR1162" s="253" t="n"/>
      <c r="BS1162" s="253" t="n"/>
      <c r="BT1162" s="253" t="n"/>
      <c r="BU1162" s="101" t="inlineStr">
        <is>
          <t>ARCADIS</t>
        </is>
      </c>
      <c r="BV1162" s="178" t="n"/>
      <c r="BW1162" s="251" t="n"/>
      <c r="BX1162" s="251" t="n"/>
      <c r="BY1162" s="251" t="n"/>
      <c r="BZ1162" s="251" t="n"/>
      <c r="CA1162" s="251" t="n"/>
      <c r="CB1162" s="251" t="n"/>
      <c r="CC1162" s="251" t="n"/>
      <c r="CD1162" s="251" t="n"/>
      <c r="CE1162" s="251" t="n"/>
      <c r="CF1162" s="251" t="n"/>
      <c r="CG1162" s="251" t="n"/>
      <c r="CH1162" s="251" t="n"/>
      <c r="CI1162" s="251" t="n"/>
      <c r="CJ1162" s="251" t="n"/>
      <c r="CK1162" s="251" t="n"/>
      <c r="CL1162" s="251" t="n"/>
      <c r="CM1162" s="251" t="n"/>
      <c r="CN1162" s="251" t="n"/>
      <c r="CO1162" s="251" t="n"/>
      <c r="CP1162" s="251" t="n"/>
      <c r="CQ1162" s="251" t="n"/>
      <c r="CR1162" s="251" t="n"/>
      <c r="CS1162" s="251" t="n"/>
      <c r="CT1162" s="251" t="n"/>
      <c r="CU1162" s="251" t="n"/>
      <c r="CV1162" s="251" t="n"/>
      <c r="CW1162" s="251" t="n"/>
      <c r="CX1162" s="251" t="n"/>
      <c r="CY1162" s="251" t="n"/>
      <c r="CZ1162" s="124">
        <f>+COUNT(BV1162:CY1162)</f>
        <v/>
      </c>
      <c r="DA1162" s="124" t="n"/>
      <c r="DB1162" s="124" t="n"/>
      <c r="DC1162" s="124" t="n"/>
      <c r="DD1162" s="124" t="n"/>
      <c r="DE1162" s="124" t="n"/>
      <c r="DF1162" s="124" t="n"/>
      <c r="DG1162" s="124" t="n"/>
      <c r="DH1162" s="124" t="n"/>
      <c r="DI1162" s="124" t="n"/>
      <c r="DJ1162" s="251" t="inlineStr">
        <is>
          <t>SE ELIMINA</t>
        </is>
      </c>
      <c r="DK1162" s="251" t="n"/>
      <c r="DL1162" s="95" t="n"/>
      <c r="DM1162" s="251" t="inlineStr">
        <is>
          <t>N/A</t>
        </is>
      </c>
      <c r="DN1162" s="95" t="n"/>
      <c r="DO1162" s="95" t="n"/>
    </row>
    <row r="1163" ht="14.25" customHeight="1">
      <c r="A1163" s="147" t="inlineStr">
        <is>
          <t>PDU-16</t>
        </is>
      </c>
      <c r="B1163" s="151" t="n"/>
      <c r="C1163" s="108" t="n"/>
      <c r="D1163" s="7" t="inlineStr">
        <is>
          <t>MONITOREO INTERNO</t>
        </is>
      </c>
      <c r="E1163" s="7" t="inlineStr">
        <is>
          <t>NO</t>
        </is>
      </c>
      <c r="F1163" s="7" t="inlineStr">
        <is>
          <t>NO</t>
        </is>
      </c>
      <c r="G1163" s="7" t="inlineStr">
        <is>
          <t>NO</t>
        </is>
      </c>
      <c r="H1163" s="7" t="n">
        <v>537200.763571</v>
      </c>
      <c r="I1163" s="7" t="n">
        <v>7677666.37491</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Mensual</t>
        </is>
      </c>
      <c r="V1163" s="7" t="inlineStr">
        <is>
          <t>SI</t>
        </is>
      </c>
      <c r="W1163" s="7" t="inlineStr">
        <is>
          <t>Mensual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532PP016</t>
        </is>
      </c>
      <c r="BL1163" s="61" t="n">
        <v>0</v>
      </c>
      <c r="BM1163" s="251" t="inlineStr">
        <is>
          <t>ASUB</t>
        </is>
      </c>
      <c r="BN1163" s="337" t="inlineStr">
        <is>
          <t>Ujina</t>
        </is>
      </c>
      <c r="BO1163" s="251" t="inlineStr">
        <is>
          <t>NO</t>
        </is>
      </c>
      <c r="BP1163" s="253" t="n"/>
      <c r="BQ1163" s="253" t="n"/>
      <c r="BR1163" s="253" t="n"/>
      <c r="BS1163" s="253" t="n"/>
      <c r="BT1163" s="253" t="n"/>
      <c r="BU1163" s="101" t="inlineStr">
        <is>
          <t>ARCADIS</t>
        </is>
      </c>
      <c r="BV1163" s="178" t="n"/>
      <c r="BW1163" s="251" t="n"/>
      <c r="BX1163" s="251" t="n"/>
      <c r="BY1163" s="251" t="n"/>
      <c r="BZ1163" s="251" t="n"/>
      <c r="CA1163" s="251" t="n"/>
      <c r="CB1163" s="251" t="n"/>
      <c r="CC1163" s="251" t="n"/>
      <c r="CD1163" s="251" t="n"/>
      <c r="CE1163" s="251" t="n"/>
      <c r="CF1163" s="251" t="n"/>
      <c r="CG1163" s="251" t="n"/>
      <c r="CH1163" s="251" t="n"/>
      <c r="CI1163" s="251" t="n"/>
      <c r="CJ1163" s="251" t="n"/>
      <c r="CK1163" s="251" t="n"/>
      <c r="CL1163" s="251" t="n"/>
      <c r="CM1163" s="251" t="n"/>
      <c r="CN1163" s="251" t="n"/>
      <c r="CO1163" s="251" t="n"/>
      <c r="CP1163" s="251" t="n"/>
      <c r="CQ1163" s="251" t="n"/>
      <c r="CR1163" s="251" t="n"/>
      <c r="CS1163" s="251" t="n"/>
      <c r="CT1163" s="251" t="n"/>
      <c r="CU1163" s="251" t="n"/>
      <c r="CV1163" s="251" t="n"/>
      <c r="CW1163" s="251" t="n"/>
      <c r="CX1163" s="251" t="n"/>
      <c r="CY1163" s="251" t="n"/>
      <c r="CZ1163" s="124">
        <f>+COUNT(BV1163:CY1163)</f>
        <v/>
      </c>
      <c r="DA1163" s="124" t="n"/>
      <c r="DB1163" s="124" t="n"/>
      <c r="DC1163" s="124" t="n"/>
      <c r="DD1163" s="124" t="n"/>
      <c r="DE1163" s="124" t="n"/>
      <c r="DF1163" s="124" t="n"/>
      <c r="DG1163" s="124" t="n"/>
      <c r="DH1163" s="124" t="n"/>
      <c r="DI1163" s="124" t="n"/>
      <c r="DJ1163" s="251" t="inlineStr">
        <is>
          <t>SE ELIMINA</t>
        </is>
      </c>
      <c r="DK1163" s="251" t="n"/>
      <c r="DL1163" s="95" t="n"/>
      <c r="DM1163" s="251" t="inlineStr">
        <is>
          <t>N/A</t>
        </is>
      </c>
      <c r="DN1163" s="95" t="n"/>
      <c r="DO1163" s="95" t="n"/>
    </row>
    <row r="1164" ht="14.25" customHeight="1">
      <c r="A1164" s="147" t="inlineStr">
        <is>
          <t>PDU-18</t>
        </is>
      </c>
      <c r="B1164" s="151" t="n"/>
      <c r="C1164" s="108" t="n"/>
      <c r="D1164" s="7" t="inlineStr">
        <is>
          <t>MONITOREO INTERNO</t>
        </is>
      </c>
      <c r="E1164" s="7" t="inlineStr">
        <is>
          <t>NO</t>
        </is>
      </c>
      <c r="F1164" s="7" t="inlineStr">
        <is>
          <t>NO</t>
        </is>
      </c>
      <c r="G1164" s="7" t="inlineStr">
        <is>
          <t>NO</t>
        </is>
      </c>
      <c r="H1164" s="7" t="n">
        <v>538506.338</v>
      </c>
      <c r="I1164" s="7" t="n">
        <v>7678713.1</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532PP018</t>
        </is>
      </c>
      <c r="BL1164" s="61" t="n">
        <v>0</v>
      </c>
      <c r="BM1164" s="251" t="inlineStr">
        <is>
          <t>ASUB</t>
        </is>
      </c>
      <c r="BN1164" s="337" t="inlineStr">
        <is>
          <t>Ujina</t>
        </is>
      </c>
      <c r="BO1164" s="251" t="inlineStr">
        <is>
          <t>NO</t>
        </is>
      </c>
      <c r="BP1164" s="253" t="n"/>
      <c r="BQ1164" s="253" t="n"/>
      <c r="BR1164" s="253" t="n"/>
      <c r="BS1164" s="253" t="n"/>
      <c r="BT1164" s="253" t="n"/>
      <c r="BU1164" s="101" t="inlineStr">
        <is>
          <t>ARCADIS</t>
        </is>
      </c>
      <c r="BV1164" s="178" t="n"/>
      <c r="BW1164" s="251" t="n"/>
      <c r="BX1164" s="251" t="n"/>
      <c r="BY1164" s="251" t="n"/>
      <c r="BZ1164" s="251" t="n"/>
      <c r="CA1164" s="251" t="n"/>
      <c r="CB1164" s="251" t="n"/>
      <c r="CC1164" s="251" t="n"/>
      <c r="CD1164" s="251" t="n"/>
      <c r="CE1164" s="251" t="n"/>
      <c r="CF1164" s="251" t="n"/>
      <c r="CG1164" s="251" t="n"/>
      <c r="CH1164" s="251" t="n"/>
      <c r="CI1164" s="251" t="n"/>
      <c r="CJ1164" s="251" t="n"/>
      <c r="CK1164" s="251" t="n"/>
      <c r="CL1164" s="251" t="n"/>
      <c r="CM1164" s="251" t="n"/>
      <c r="CN1164" s="251" t="n"/>
      <c r="CO1164" s="251" t="n"/>
      <c r="CP1164" s="251" t="n"/>
      <c r="CQ1164" s="251" t="n"/>
      <c r="CR1164" s="251" t="n"/>
      <c r="CS1164" s="251" t="n"/>
      <c r="CT1164" s="251" t="n"/>
      <c r="CU1164" s="251" t="n"/>
      <c r="CV1164" s="251" t="n"/>
      <c r="CW1164" s="251" t="n"/>
      <c r="CX1164" s="251" t="n"/>
      <c r="CY1164" s="251" t="n"/>
      <c r="CZ1164" s="124">
        <f>+COUNT(BV1164:CY1164)</f>
        <v/>
      </c>
      <c r="DA1164" s="124" t="n"/>
      <c r="DB1164" s="124" t="n"/>
      <c r="DC1164" s="124" t="n"/>
      <c r="DD1164" s="124" t="n"/>
      <c r="DE1164" s="124" t="n"/>
      <c r="DF1164" s="124" t="n"/>
      <c r="DG1164" s="124" t="n"/>
      <c r="DH1164" s="124" t="n"/>
      <c r="DI1164" s="124" t="n"/>
      <c r="DJ1164" s="251" t="inlineStr">
        <is>
          <t>SE ELIMINA</t>
        </is>
      </c>
      <c r="DK1164" s="251" t="n"/>
      <c r="DL1164" s="95" t="n"/>
      <c r="DM1164" s="251" t="inlineStr">
        <is>
          <t>N/A</t>
        </is>
      </c>
      <c r="DN1164" s="95" t="n"/>
      <c r="DO1164" s="95" t="n"/>
    </row>
    <row r="1165" ht="14.25" customHeight="1">
      <c r="A1165" s="147" t="inlineStr">
        <is>
          <t>PDU-19</t>
        </is>
      </c>
      <c r="B1165" s="151" t="n"/>
      <c r="C1165" s="108" t="n"/>
      <c r="D1165" s="7" t="inlineStr">
        <is>
          <t>MONITOREO INTERNO</t>
        </is>
      </c>
      <c r="E1165" s="7" t="inlineStr">
        <is>
          <t>NO</t>
        </is>
      </c>
      <c r="F1165" s="7" t="inlineStr">
        <is>
          <t>NO</t>
        </is>
      </c>
      <c r="G1165" s="7" t="inlineStr">
        <is>
          <t>NO</t>
        </is>
      </c>
      <c r="H1165" s="7" t="n">
        <v>537764.371</v>
      </c>
      <c r="I1165" s="7" t="n">
        <v>7678911.57</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532PP019</t>
        </is>
      </c>
      <c r="BL1165" s="61" t="n">
        <v>0</v>
      </c>
      <c r="BM1165" s="251" t="inlineStr">
        <is>
          <t>ASUB</t>
        </is>
      </c>
      <c r="BN1165" s="337" t="inlineStr">
        <is>
          <t>Ujina</t>
        </is>
      </c>
      <c r="BO1165" s="251" t="inlineStr">
        <is>
          <t>NO</t>
        </is>
      </c>
      <c r="BP1165" s="253" t="n"/>
      <c r="BQ1165" s="253" t="n"/>
      <c r="BR1165" s="253" t="n"/>
      <c r="BS1165" s="253" t="n"/>
      <c r="BT1165" s="253" t="n"/>
      <c r="BU1165" s="101" t="inlineStr">
        <is>
          <t>ARCADIS</t>
        </is>
      </c>
      <c r="BV1165" s="178" t="n"/>
      <c r="BW1165" s="251" t="n"/>
      <c r="BX1165" s="251" t="n"/>
      <c r="BY1165" s="251" t="n"/>
      <c r="BZ1165" s="251" t="n"/>
      <c r="CA1165" s="251" t="n"/>
      <c r="CB1165" s="251" t="n"/>
      <c r="CC1165" s="251" t="n"/>
      <c r="CD1165" s="251" t="n"/>
      <c r="CE1165" s="251" t="n"/>
      <c r="CF1165" s="251" t="n"/>
      <c r="CG1165" s="251" t="n"/>
      <c r="CH1165" s="251" t="n"/>
      <c r="CI1165" s="251" t="n"/>
      <c r="CJ1165" s="251" t="n"/>
      <c r="CK1165" s="251" t="n"/>
      <c r="CL1165" s="251" t="n"/>
      <c r="CM1165" s="251" t="n"/>
      <c r="CN1165" s="251" t="n"/>
      <c r="CO1165" s="251" t="n"/>
      <c r="CP1165" s="251" t="n"/>
      <c r="CQ1165" s="251" t="n"/>
      <c r="CR1165" s="251" t="n"/>
      <c r="CS1165" s="251" t="n"/>
      <c r="CT1165" s="251" t="n"/>
      <c r="CU1165" s="251" t="n"/>
      <c r="CV1165" s="251" t="n"/>
      <c r="CW1165" s="251" t="n"/>
      <c r="CX1165" s="251" t="n"/>
      <c r="CY1165" s="251" t="n"/>
      <c r="CZ1165" s="124">
        <f>+COUNT(BV1165:CY1165)</f>
        <v/>
      </c>
      <c r="DA1165" s="124" t="n"/>
      <c r="DB1165" s="124" t="n"/>
      <c r="DC1165" s="124" t="n"/>
      <c r="DD1165" s="124" t="n"/>
      <c r="DE1165" s="124" t="n"/>
      <c r="DF1165" s="124" t="n"/>
      <c r="DG1165" s="124" t="n"/>
      <c r="DH1165" s="124" t="n"/>
      <c r="DI1165" s="124" t="n"/>
      <c r="DJ1165" s="251" t="inlineStr">
        <is>
          <t>SE ELIMINA</t>
        </is>
      </c>
      <c r="DK1165" s="251" t="n"/>
      <c r="DL1165" s="95" t="n"/>
      <c r="DM1165" s="251" t="inlineStr">
        <is>
          <t>N/A</t>
        </is>
      </c>
      <c r="DN1165" s="95" t="n"/>
      <c r="DO1165" s="95" t="n"/>
    </row>
    <row r="1166" ht="14.25" customHeight="1">
      <c r="A1166" s="147" t="inlineStr">
        <is>
          <t>PDU-22</t>
        </is>
      </c>
      <c r="B1166" s="151" t="n"/>
      <c r="C1166" s="108" t="n"/>
      <c r="D1166" s="7" t="inlineStr">
        <is>
          <t>MONITOREO INTERNO</t>
        </is>
      </c>
      <c r="E1166" s="7" t="inlineStr">
        <is>
          <t>NO</t>
        </is>
      </c>
      <c r="F1166" s="7" t="inlineStr">
        <is>
          <t>NO</t>
        </is>
      </c>
      <c r="G1166" s="7" t="inlineStr">
        <is>
          <t>NO</t>
        </is>
      </c>
      <c r="H1166" s="7" t="n">
        <v>538120.749</v>
      </c>
      <c r="I1166" s="7" t="n">
        <v>7678689.51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S/TAG</t>
        </is>
      </c>
      <c r="BL1166" s="61" t="n">
        <v>0</v>
      </c>
      <c r="BM1166" s="251" t="inlineStr">
        <is>
          <t>ASUB</t>
        </is>
      </c>
      <c r="BN1166" s="337" t="inlineStr">
        <is>
          <t>Ujina</t>
        </is>
      </c>
      <c r="BO1166" s="251" t="inlineStr">
        <is>
          <t>NO</t>
        </is>
      </c>
      <c r="BP1166" s="253" t="n"/>
      <c r="BQ1166" s="253" t="n"/>
      <c r="BR1166" s="253" t="n"/>
      <c r="BS1166" s="253" t="n"/>
      <c r="BT1166" s="253" t="n"/>
      <c r="BU1166" s="101" t="inlineStr">
        <is>
          <t>ARCADIS</t>
        </is>
      </c>
      <c r="BV1166" s="178" t="n"/>
      <c r="BW1166" s="251" t="n"/>
      <c r="BX1166" s="251" t="n"/>
      <c r="BY1166" s="251" t="n"/>
      <c r="BZ1166" s="251" t="n"/>
      <c r="CA1166" s="251" t="n"/>
      <c r="CB1166" s="251" t="n"/>
      <c r="CC1166" s="251" t="n"/>
      <c r="CD1166" s="251" t="n"/>
      <c r="CE1166" s="251" t="n"/>
      <c r="CF1166" s="251" t="n"/>
      <c r="CG1166" s="251" t="n"/>
      <c r="CH1166" s="251" t="n"/>
      <c r="CI1166" s="251" t="n"/>
      <c r="CJ1166" s="251" t="n"/>
      <c r="CK1166" s="251" t="n"/>
      <c r="CL1166" s="251" t="n"/>
      <c r="CM1166" s="251" t="n"/>
      <c r="CN1166" s="251" t="n"/>
      <c r="CO1166" s="251" t="n"/>
      <c r="CP1166" s="251" t="n"/>
      <c r="CQ1166" s="251" t="n"/>
      <c r="CR1166" s="251" t="n"/>
      <c r="CS1166" s="251" t="n"/>
      <c r="CT1166" s="251" t="n"/>
      <c r="CU1166" s="251" t="n"/>
      <c r="CV1166" s="251" t="n"/>
      <c r="CW1166" s="251" t="n"/>
      <c r="CX1166" s="251" t="n"/>
      <c r="CY1166" s="251" t="n"/>
      <c r="CZ1166" s="124">
        <f>+COUNT(BV1166:CY1166)</f>
        <v/>
      </c>
      <c r="DA1166" s="124" t="n"/>
      <c r="DB1166" s="124" t="n"/>
      <c r="DC1166" s="124" t="n"/>
      <c r="DD1166" s="124" t="n"/>
      <c r="DE1166" s="124" t="n"/>
      <c r="DF1166" s="124" t="n"/>
      <c r="DG1166" s="124" t="n"/>
      <c r="DH1166" s="124" t="n"/>
      <c r="DI1166" s="124" t="n"/>
      <c r="DJ1166" s="251" t="inlineStr">
        <is>
          <t>SE ELIMINA</t>
        </is>
      </c>
      <c r="DK1166" s="251" t="n"/>
      <c r="DL1166" s="95" t="n"/>
      <c r="DM1166" s="251" t="inlineStr">
        <is>
          <t>N/A</t>
        </is>
      </c>
      <c r="DN1166" s="95" t="n"/>
      <c r="DO1166" s="95" t="n"/>
    </row>
    <row r="1167" ht="14.25" customHeight="1">
      <c r="A1167" s="147" t="inlineStr">
        <is>
          <t>PDU-23</t>
        </is>
      </c>
      <c r="B1167" s="151" t="n"/>
      <c r="C1167" s="108" t="n"/>
      <c r="D1167" s="7" t="inlineStr">
        <is>
          <t>MONITOREO INTERNO</t>
        </is>
      </c>
      <c r="E1167" s="7" t="inlineStr">
        <is>
          <t>NO</t>
        </is>
      </c>
      <c r="F1167" s="7" t="inlineStr">
        <is>
          <t>NO</t>
        </is>
      </c>
      <c r="G1167" s="7" t="inlineStr">
        <is>
          <t>NO</t>
        </is>
      </c>
      <c r="H1167" s="7" t="n">
        <v>539027.294885</v>
      </c>
      <c r="I1167" s="7" t="n">
        <v>7677582.31461</v>
      </c>
      <c r="J1167" s="7" t="inlineStr">
        <is>
          <t>Construido</t>
        </is>
      </c>
      <c r="K1167" s="7" t="inlineStr">
        <is>
          <t>-</t>
        </is>
      </c>
      <c r="L1167" s="7" t="inlineStr">
        <is>
          <t>Agua Subterránea</t>
        </is>
      </c>
      <c r="M1167" s="7" t="inlineStr">
        <is>
          <t>Cordillera</t>
        </is>
      </c>
      <c r="N1167" s="7" t="inlineStr">
        <is>
          <t>POZO</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532PP023</t>
        </is>
      </c>
      <c r="BL1167" s="61" t="n">
        <v>0</v>
      </c>
      <c r="BM1167" s="251" t="inlineStr">
        <is>
          <t>ASUB</t>
        </is>
      </c>
      <c r="BN1167" s="337" t="inlineStr">
        <is>
          <t>Ujina</t>
        </is>
      </c>
      <c r="BO1167" s="251" t="inlineStr">
        <is>
          <t>NO</t>
        </is>
      </c>
      <c r="BP1167" s="253" t="n"/>
      <c r="BQ1167" s="253" t="n"/>
      <c r="BR1167" s="253" t="n"/>
      <c r="BS1167" s="253" t="n"/>
      <c r="BT1167" s="253" t="n"/>
      <c r="BU1167" s="101" t="inlineStr">
        <is>
          <t>ARCADIS</t>
        </is>
      </c>
      <c r="BV1167" s="178" t="n"/>
      <c r="BW1167" s="251" t="n"/>
      <c r="BX1167" s="251" t="n"/>
      <c r="BY1167" s="251" t="n"/>
      <c r="BZ1167" s="251" t="n"/>
      <c r="CA1167" s="251" t="n"/>
      <c r="CB1167" s="251" t="n"/>
      <c r="CC1167" s="251" t="n"/>
      <c r="CD1167" s="251" t="n"/>
      <c r="CE1167" s="251" t="n"/>
      <c r="CF1167" s="251" t="n"/>
      <c r="CG1167" s="251" t="n"/>
      <c r="CH1167" s="251" t="n"/>
      <c r="CI1167" s="251" t="n"/>
      <c r="CJ1167" s="251" t="n"/>
      <c r="CK1167" s="251" t="n"/>
      <c r="CL1167" s="251" t="n"/>
      <c r="CM1167" s="251" t="n"/>
      <c r="CN1167" s="251" t="n"/>
      <c r="CO1167" s="251" t="n"/>
      <c r="CP1167" s="251" t="n"/>
      <c r="CQ1167" s="251" t="n"/>
      <c r="CR1167" s="251" t="n"/>
      <c r="CS1167" s="251" t="n"/>
      <c r="CT1167" s="251" t="n"/>
      <c r="CU1167" s="251" t="n"/>
      <c r="CV1167" s="251" t="n"/>
      <c r="CW1167" s="251" t="n"/>
      <c r="CX1167" s="251" t="n"/>
      <c r="CY1167" s="251" t="n"/>
      <c r="CZ1167" s="124">
        <f>+COUNT(BV1167:CY1167)</f>
        <v/>
      </c>
      <c r="DA1167" s="124" t="n"/>
      <c r="DB1167" s="124" t="n"/>
      <c r="DC1167" s="124" t="n"/>
      <c r="DD1167" s="124" t="n"/>
      <c r="DE1167" s="124" t="n"/>
      <c r="DF1167" s="124" t="n"/>
      <c r="DG1167" s="124" t="n"/>
      <c r="DH1167" s="124" t="n"/>
      <c r="DI1167" s="124" t="n"/>
      <c r="DJ1167" s="251" t="inlineStr">
        <is>
          <t>SE ELIMINA</t>
        </is>
      </c>
      <c r="DK1167" s="251" t="n"/>
      <c r="DL1167" s="95" t="n"/>
      <c r="DM1167" s="251" t="inlineStr">
        <is>
          <t>N/A</t>
        </is>
      </c>
      <c r="DN1167" s="95" t="n"/>
      <c r="DO1167" s="95" t="n"/>
    </row>
    <row r="1168" ht="14.25" customHeight="1">
      <c r="A1168" s="147" t="inlineStr">
        <is>
          <t>PDU-24</t>
        </is>
      </c>
      <c r="B1168" s="151" t="n"/>
      <c r="C1168" s="108" t="n"/>
      <c r="D1168" s="7" t="inlineStr">
        <is>
          <t>MONITOREO INTERNO</t>
        </is>
      </c>
      <c r="E1168" s="7" t="inlineStr">
        <is>
          <t>NO</t>
        </is>
      </c>
      <c r="F1168" s="7" t="inlineStr">
        <is>
          <t>NO</t>
        </is>
      </c>
      <c r="G1168" s="7" t="inlineStr">
        <is>
          <t>NO</t>
        </is>
      </c>
      <c r="H1168" s="7" t="n">
        <v>537830.861</v>
      </c>
      <c r="I1168" s="7" t="n">
        <v>7678949.36</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532PP024</t>
        </is>
      </c>
      <c r="BL1168" s="61" t="n">
        <v>0</v>
      </c>
      <c r="BM1168" s="251" t="inlineStr">
        <is>
          <t>ASUB</t>
        </is>
      </c>
      <c r="BN1168" s="337" t="inlineStr">
        <is>
          <t>Ujina</t>
        </is>
      </c>
      <c r="BO1168" s="251" t="inlineStr">
        <is>
          <t>NO</t>
        </is>
      </c>
      <c r="BP1168" s="253" t="n"/>
      <c r="BQ1168" s="253" t="n"/>
      <c r="BR1168" s="253" t="n"/>
      <c r="BS1168" s="253" t="n"/>
      <c r="BT1168" s="253" t="n"/>
      <c r="BU1168" s="101" t="inlineStr">
        <is>
          <t>ARCADIS</t>
        </is>
      </c>
      <c r="BV1168" s="178" t="n"/>
      <c r="BW1168" s="251" t="n"/>
      <c r="BX1168" s="251" t="n"/>
      <c r="BY1168" s="251" t="n"/>
      <c r="BZ1168" s="251" t="n"/>
      <c r="CA1168" s="251" t="n"/>
      <c r="CB1168" s="251" t="n"/>
      <c r="CC1168" s="251" t="n"/>
      <c r="CD1168" s="251" t="n"/>
      <c r="CE1168" s="251" t="n"/>
      <c r="CF1168" s="251" t="n"/>
      <c r="CG1168" s="251" t="n"/>
      <c r="CH1168" s="251" t="n"/>
      <c r="CI1168" s="251" t="n"/>
      <c r="CJ1168" s="251" t="n"/>
      <c r="CK1168" s="251" t="n"/>
      <c r="CL1168" s="251" t="n"/>
      <c r="CM1168" s="251" t="n"/>
      <c r="CN1168" s="251" t="n"/>
      <c r="CO1168" s="251" t="n"/>
      <c r="CP1168" s="251" t="n"/>
      <c r="CQ1168" s="251" t="n"/>
      <c r="CR1168" s="251" t="n"/>
      <c r="CS1168" s="251" t="n"/>
      <c r="CT1168" s="251" t="n"/>
      <c r="CU1168" s="251" t="n"/>
      <c r="CV1168" s="251" t="n"/>
      <c r="CW1168" s="251" t="n"/>
      <c r="CX1168" s="251" t="n"/>
      <c r="CY1168" s="251" t="n"/>
      <c r="CZ1168" s="124">
        <f>+COUNT(BV1168:CY1168)</f>
        <v/>
      </c>
      <c r="DA1168" s="124" t="n"/>
      <c r="DB1168" s="124" t="n"/>
      <c r="DC1168" s="124" t="n"/>
      <c r="DD1168" s="124" t="n"/>
      <c r="DE1168" s="124" t="n"/>
      <c r="DF1168" s="124" t="n"/>
      <c r="DG1168" s="124" t="n"/>
      <c r="DH1168" s="124" t="n"/>
      <c r="DI1168" s="124" t="n"/>
      <c r="DJ1168" s="251" t="inlineStr">
        <is>
          <t>SE ELIMINA</t>
        </is>
      </c>
      <c r="DK1168" s="251" t="n"/>
      <c r="DL1168" s="95" t="n"/>
      <c r="DM1168" s="251" t="inlineStr">
        <is>
          <t>N/A</t>
        </is>
      </c>
      <c r="DN1168" s="95" t="n"/>
      <c r="DO1168" s="95" t="n"/>
    </row>
    <row r="1169" ht="14.25" customHeight="1">
      <c r="A1169" s="147" t="inlineStr">
        <is>
          <t>PDU-26</t>
        </is>
      </c>
      <c r="B1169" s="151" t="n"/>
      <c r="C1169" s="108" t="n"/>
      <c r="D1169" s="7" t="inlineStr">
        <is>
          <t>MONITOREO INTERNO</t>
        </is>
      </c>
      <c r="E1169" s="7" t="inlineStr">
        <is>
          <t>NO</t>
        </is>
      </c>
      <c r="F1169" s="7" t="inlineStr">
        <is>
          <t>NO</t>
        </is>
      </c>
      <c r="G1169" s="7" t="inlineStr">
        <is>
          <t>NO</t>
        </is>
      </c>
      <c r="H1169" s="7" t="n">
        <v>538271.629056</v>
      </c>
      <c r="I1169" s="7" t="n">
        <v>7679126.96756</v>
      </c>
      <c r="J1169" s="7" t="inlineStr">
        <is>
          <t>Construido</t>
        </is>
      </c>
      <c r="K1169" s="7" t="inlineStr">
        <is>
          <t>-</t>
        </is>
      </c>
      <c r="L1169" s="7" t="inlineStr">
        <is>
          <t>Agua Subterránea</t>
        </is>
      </c>
      <c r="M1169" s="7" t="inlineStr">
        <is>
          <t>Cordillera</t>
        </is>
      </c>
      <c r="N1169" s="7" t="inlineStr">
        <is>
          <t>Produccion</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532PP026</t>
        </is>
      </c>
      <c r="BL1169" s="61" t="n">
        <v>0</v>
      </c>
      <c r="BM1169" s="251" t="inlineStr">
        <is>
          <t>ASUB</t>
        </is>
      </c>
      <c r="BN1169" s="337" t="inlineStr">
        <is>
          <t>Ujina</t>
        </is>
      </c>
      <c r="BO1169" s="251" t="inlineStr">
        <is>
          <t>NO</t>
        </is>
      </c>
      <c r="BP1169" s="253" t="n"/>
      <c r="BQ1169" s="253" t="n"/>
      <c r="BR1169" s="253" t="n"/>
      <c r="BS1169" s="253" t="n"/>
      <c r="BT1169" s="253" t="n"/>
      <c r="BU1169" s="101" t="inlineStr">
        <is>
          <t>ARCADIS</t>
        </is>
      </c>
      <c r="BV1169" s="178" t="n"/>
      <c r="BW1169" s="251" t="n"/>
      <c r="BX1169" s="251" t="n"/>
      <c r="BY1169" s="251" t="n"/>
      <c r="BZ1169" s="251" t="n"/>
      <c r="CA1169" s="251" t="n"/>
      <c r="CB1169" s="251" t="n"/>
      <c r="CC1169" s="251" t="n"/>
      <c r="CD1169" s="251" t="n"/>
      <c r="CE1169" s="251" t="n"/>
      <c r="CF1169" s="251" t="n"/>
      <c r="CG1169" s="251" t="n"/>
      <c r="CH1169" s="251" t="n"/>
      <c r="CI1169" s="251" t="n"/>
      <c r="CJ1169" s="251" t="n"/>
      <c r="CK1169" s="251" t="n"/>
      <c r="CL1169" s="251" t="n"/>
      <c r="CM1169" s="251" t="n"/>
      <c r="CN1169" s="251" t="n"/>
      <c r="CO1169" s="251" t="n"/>
      <c r="CP1169" s="251" t="n"/>
      <c r="CQ1169" s="251" t="n"/>
      <c r="CR1169" s="251" t="n"/>
      <c r="CS1169" s="251" t="n"/>
      <c r="CT1169" s="251" t="n"/>
      <c r="CU1169" s="251" t="n"/>
      <c r="CV1169" s="251" t="n"/>
      <c r="CW1169" s="251" t="n"/>
      <c r="CX1169" s="251" t="n"/>
      <c r="CY1169" s="251" t="n"/>
      <c r="CZ1169" s="124">
        <f>+COUNT(BV1169:CY1169)</f>
        <v/>
      </c>
      <c r="DA1169" s="124" t="n"/>
      <c r="DB1169" s="124" t="n"/>
      <c r="DC1169" s="124" t="n"/>
      <c r="DD1169" s="124" t="n"/>
      <c r="DE1169" s="124" t="n"/>
      <c r="DF1169" s="124" t="n"/>
      <c r="DG1169" s="124" t="n"/>
      <c r="DH1169" s="124" t="n"/>
      <c r="DI1169" s="124" t="n"/>
      <c r="DJ1169" s="251" t="inlineStr">
        <is>
          <t>SE ELIMINA</t>
        </is>
      </c>
      <c r="DK1169" s="251" t="n"/>
      <c r="DL1169" s="95" t="n"/>
      <c r="DM1169" s="251" t="inlineStr">
        <is>
          <t>N/A</t>
        </is>
      </c>
      <c r="DN1169" s="95" t="n"/>
      <c r="DO1169" s="95" t="n"/>
    </row>
    <row r="1170" ht="14.25" customHeight="1">
      <c r="A1170" s="147" t="inlineStr">
        <is>
          <t>PDU-27</t>
        </is>
      </c>
      <c r="B1170" s="151" t="n"/>
      <c r="C1170" s="108" t="n"/>
      <c r="D1170" s="7" t="inlineStr">
        <is>
          <t>MONITOREO INTERNO</t>
        </is>
      </c>
      <c r="E1170" s="7" t="inlineStr">
        <is>
          <t>NO</t>
        </is>
      </c>
      <c r="F1170" s="7" t="inlineStr">
        <is>
          <t>NO</t>
        </is>
      </c>
      <c r="G1170" s="7" t="inlineStr">
        <is>
          <t>NO</t>
        </is>
      </c>
      <c r="H1170" s="7" t="n">
        <v>538454.298</v>
      </c>
      <c r="I1170" s="7" t="n">
        <v>7678678.02</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532PP027</t>
        </is>
      </c>
      <c r="BL1170" s="61" t="n">
        <v>0</v>
      </c>
      <c r="BM1170" s="251" t="inlineStr">
        <is>
          <t>ASUB</t>
        </is>
      </c>
      <c r="BN1170" s="337" t="inlineStr">
        <is>
          <t>Ujina</t>
        </is>
      </c>
      <c r="BO1170" s="251" t="inlineStr">
        <is>
          <t>NO</t>
        </is>
      </c>
      <c r="BP1170" s="253" t="n"/>
      <c r="BQ1170" s="253" t="n"/>
      <c r="BR1170" s="253" t="n"/>
      <c r="BS1170" s="253" t="n"/>
      <c r="BT1170" s="253" t="n"/>
      <c r="BU1170" s="101" t="inlineStr">
        <is>
          <t>ARCADIS</t>
        </is>
      </c>
      <c r="BV1170" s="178" t="n"/>
      <c r="BW1170" s="251" t="n"/>
      <c r="BX1170" s="251" t="n"/>
      <c r="BY1170" s="251" t="n"/>
      <c r="BZ1170" s="251" t="n"/>
      <c r="CA1170" s="251" t="n"/>
      <c r="CB1170" s="251" t="n"/>
      <c r="CC1170" s="251" t="n"/>
      <c r="CD1170" s="251" t="n"/>
      <c r="CE1170" s="251" t="n"/>
      <c r="CF1170" s="251" t="n"/>
      <c r="CG1170" s="251" t="n"/>
      <c r="CH1170" s="251" t="n"/>
      <c r="CI1170" s="251" t="n"/>
      <c r="CJ1170" s="251" t="n"/>
      <c r="CK1170" s="251" t="n"/>
      <c r="CL1170" s="251" t="n"/>
      <c r="CM1170" s="251" t="n"/>
      <c r="CN1170" s="251" t="n"/>
      <c r="CO1170" s="251" t="n"/>
      <c r="CP1170" s="251" t="n"/>
      <c r="CQ1170" s="251" t="n"/>
      <c r="CR1170" s="251" t="n"/>
      <c r="CS1170" s="251" t="n"/>
      <c r="CT1170" s="251" t="n"/>
      <c r="CU1170" s="251" t="n"/>
      <c r="CV1170" s="251" t="n"/>
      <c r="CW1170" s="251" t="n"/>
      <c r="CX1170" s="251" t="n"/>
      <c r="CY1170" s="251" t="n"/>
      <c r="CZ1170" s="124">
        <f>+COUNT(BV1170:CY1170)</f>
        <v/>
      </c>
      <c r="DA1170" s="124" t="n"/>
      <c r="DB1170" s="124" t="n"/>
      <c r="DC1170" s="124" t="n"/>
      <c r="DD1170" s="124" t="n"/>
      <c r="DE1170" s="124" t="n"/>
      <c r="DF1170" s="124" t="n"/>
      <c r="DG1170" s="124" t="n"/>
      <c r="DH1170" s="124" t="n"/>
      <c r="DI1170" s="124" t="n"/>
      <c r="DJ1170" s="251" t="inlineStr">
        <is>
          <t>SE ELIMINA</t>
        </is>
      </c>
      <c r="DK1170" s="251" t="n"/>
      <c r="DL1170" s="95" t="n"/>
      <c r="DM1170" s="251" t="inlineStr">
        <is>
          <t>N/A</t>
        </is>
      </c>
      <c r="DN1170" s="95" t="n"/>
      <c r="DO1170" s="95" t="n"/>
    </row>
    <row r="1171" ht="14.25" customHeight="1">
      <c r="A1171" s="147" t="inlineStr">
        <is>
          <t>PDU-28</t>
        </is>
      </c>
      <c r="B1171" s="151" t="n"/>
      <c r="C1171" s="108" t="n"/>
      <c r="D1171" s="7" t="inlineStr">
        <is>
          <t>MONITOREO INTERNO</t>
        </is>
      </c>
      <c r="E1171" s="7" t="inlineStr">
        <is>
          <t>NO</t>
        </is>
      </c>
      <c r="F1171" s="7" t="inlineStr">
        <is>
          <t>NO</t>
        </is>
      </c>
      <c r="G1171" s="7" t="inlineStr">
        <is>
          <t>NO</t>
        </is>
      </c>
      <c r="H1171" s="7" t="n">
        <v>537055.104782</v>
      </c>
      <c r="I1171" s="7" t="n">
        <v>7679076.12826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532PP028</t>
        </is>
      </c>
      <c r="BL1171" s="61" t="n">
        <v>0</v>
      </c>
      <c r="BM1171" s="251" t="inlineStr">
        <is>
          <t>ASUB</t>
        </is>
      </c>
      <c r="BN1171" s="337" t="inlineStr">
        <is>
          <t>Ujina</t>
        </is>
      </c>
      <c r="BO1171" s="251" t="inlineStr">
        <is>
          <t>NO</t>
        </is>
      </c>
      <c r="BP1171" s="253" t="n"/>
      <c r="BQ1171" s="253" t="n"/>
      <c r="BR1171" s="253" t="n"/>
      <c r="BS1171" s="253" t="n"/>
      <c r="BT1171" s="253" t="n"/>
      <c r="BU1171" s="101" t="inlineStr">
        <is>
          <t>ARCADIS</t>
        </is>
      </c>
      <c r="BV1171" s="178" t="n"/>
      <c r="BW1171" s="251" t="n"/>
      <c r="BX1171" s="251" t="n"/>
      <c r="BY1171" s="251" t="n"/>
      <c r="BZ1171" s="251" t="n"/>
      <c r="CA1171" s="251" t="n"/>
      <c r="CB1171" s="251" t="n"/>
      <c r="CC1171" s="251" t="n"/>
      <c r="CD1171" s="251" t="n"/>
      <c r="CE1171" s="251" t="n"/>
      <c r="CF1171" s="251" t="n"/>
      <c r="CG1171" s="251" t="n"/>
      <c r="CH1171" s="251" t="n"/>
      <c r="CI1171" s="251" t="n"/>
      <c r="CJ1171" s="251" t="n"/>
      <c r="CK1171" s="251" t="n"/>
      <c r="CL1171" s="251" t="n"/>
      <c r="CM1171" s="251" t="n"/>
      <c r="CN1171" s="251" t="n"/>
      <c r="CO1171" s="251" t="n"/>
      <c r="CP1171" s="251" t="n"/>
      <c r="CQ1171" s="251" t="n"/>
      <c r="CR1171" s="251" t="n"/>
      <c r="CS1171" s="251" t="n"/>
      <c r="CT1171" s="251" t="n"/>
      <c r="CU1171" s="251" t="n"/>
      <c r="CV1171" s="251" t="n"/>
      <c r="CW1171" s="251" t="n"/>
      <c r="CX1171" s="251" t="n"/>
      <c r="CY1171" s="251" t="n"/>
      <c r="CZ1171" s="124">
        <f>+COUNT(BV1171:CY1171)</f>
        <v/>
      </c>
      <c r="DA1171" s="124" t="n"/>
      <c r="DB1171" s="124" t="n"/>
      <c r="DC1171" s="124" t="n"/>
      <c r="DD1171" s="124" t="n"/>
      <c r="DE1171" s="124" t="n"/>
      <c r="DF1171" s="124" t="n"/>
      <c r="DG1171" s="124" t="n"/>
      <c r="DH1171" s="124" t="n"/>
      <c r="DI1171" s="124" t="n"/>
      <c r="DJ1171" s="251" t="inlineStr">
        <is>
          <t>SE ELIMINA</t>
        </is>
      </c>
      <c r="DK1171" s="251" t="n"/>
      <c r="DL1171" s="95" t="n"/>
      <c r="DM1171" s="251" t="inlineStr">
        <is>
          <t>N/A</t>
        </is>
      </c>
      <c r="DN1171" s="95" t="n"/>
      <c r="DO1171" s="95" t="n"/>
    </row>
    <row r="1172" ht="14.25" customHeight="1">
      <c r="A1172" s="147" t="inlineStr">
        <is>
          <t>PDU-29</t>
        </is>
      </c>
      <c r="B1172" s="151" t="n"/>
      <c r="C1172" s="108" t="n"/>
      <c r="D1172" s="7" t="inlineStr">
        <is>
          <t>MONITOREO INTERNO</t>
        </is>
      </c>
      <c r="E1172" s="7" t="inlineStr">
        <is>
          <t>NO</t>
        </is>
      </c>
      <c r="F1172" s="7" t="inlineStr">
        <is>
          <t>NO</t>
        </is>
      </c>
      <c r="G1172" s="7" t="inlineStr">
        <is>
          <t>NO</t>
        </is>
      </c>
      <c r="H1172" s="7" t="n">
        <v>537017.474758</v>
      </c>
      <c r="I1172" s="7" t="n">
        <v>7678529.26087</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532PP029</t>
        </is>
      </c>
      <c r="BL1172" s="61" t="n">
        <v>0</v>
      </c>
      <c r="BM1172" s="251" t="inlineStr">
        <is>
          <t>ASUB</t>
        </is>
      </c>
      <c r="BN1172" s="337" t="inlineStr">
        <is>
          <t>Ujina</t>
        </is>
      </c>
      <c r="BO1172" s="251" t="inlineStr">
        <is>
          <t>NO</t>
        </is>
      </c>
      <c r="BP1172" s="253" t="n"/>
      <c r="BQ1172" s="253" t="n"/>
      <c r="BR1172" s="253" t="n"/>
      <c r="BS1172" s="253" t="n"/>
      <c r="BT1172" s="253" t="n"/>
      <c r="BU1172" s="101" t="inlineStr">
        <is>
          <t>ARCADIS</t>
        </is>
      </c>
      <c r="BV1172" s="178" t="n"/>
      <c r="BW1172" s="251" t="n"/>
      <c r="BX1172" s="251" t="n"/>
      <c r="BY1172" s="251" t="n"/>
      <c r="BZ1172" s="251" t="n"/>
      <c r="CA1172" s="251" t="n"/>
      <c r="CB1172" s="251" t="n"/>
      <c r="CC1172" s="251" t="n"/>
      <c r="CD1172" s="251" t="n"/>
      <c r="CE1172" s="251" t="n"/>
      <c r="CF1172" s="251" t="n"/>
      <c r="CG1172" s="251" t="n"/>
      <c r="CH1172" s="251" t="n"/>
      <c r="CI1172" s="251" t="n"/>
      <c r="CJ1172" s="251" t="n"/>
      <c r="CK1172" s="251" t="n"/>
      <c r="CL1172" s="251" t="n"/>
      <c r="CM1172" s="251" t="n"/>
      <c r="CN1172" s="251" t="n"/>
      <c r="CO1172" s="251" t="n"/>
      <c r="CP1172" s="251" t="n"/>
      <c r="CQ1172" s="251" t="n"/>
      <c r="CR1172" s="251" t="n"/>
      <c r="CS1172" s="251" t="n"/>
      <c r="CT1172" s="251" t="n"/>
      <c r="CU1172" s="251" t="n"/>
      <c r="CV1172" s="251" t="n"/>
      <c r="CW1172" s="251" t="n"/>
      <c r="CX1172" s="251" t="n"/>
      <c r="CY1172" s="251" t="n"/>
      <c r="CZ1172" s="124">
        <f>+COUNT(BV1172:CY1172)</f>
        <v/>
      </c>
      <c r="DA1172" s="124" t="n"/>
      <c r="DB1172" s="124" t="n"/>
      <c r="DC1172" s="124" t="n"/>
      <c r="DD1172" s="124" t="n"/>
      <c r="DE1172" s="124" t="n"/>
      <c r="DF1172" s="124" t="n"/>
      <c r="DG1172" s="124" t="n"/>
      <c r="DH1172" s="124" t="n"/>
      <c r="DI1172" s="124" t="n"/>
      <c r="DJ1172" s="251" t="inlineStr">
        <is>
          <t>SE ELIMINA</t>
        </is>
      </c>
      <c r="DK1172" s="251" t="n"/>
      <c r="DL1172" s="95" t="n"/>
      <c r="DM1172" s="251" t="inlineStr">
        <is>
          <t>N/A</t>
        </is>
      </c>
      <c r="DN1172" s="95" t="n"/>
      <c r="DO1172" s="95" t="n"/>
    </row>
    <row r="1173" ht="14.25" customHeight="1">
      <c r="A1173" s="147" t="inlineStr">
        <is>
          <t>PDU-30</t>
        </is>
      </c>
      <c r="B1173" s="151" t="n"/>
      <c r="C1173" s="108" t="n"/>
      <c r="D1173" s="7" t="inlineStr">
        <is>
          <t>MONITOREO INTERNO</t>
        </is>
      </c>
      <c r="E1173" s="7" t="inlineStr">
        <is>
          <t>NO</t>
        </is>
      </c>
      <c r="F1173" s="7" t="inlineStr">
        <is>
          <t>NO</t>
        </is>
      </c>
      <c r="G1173" s="7" t="inlineStr">
        <is>
          <t>NO</t>
        </is>
      </c>
      <c r="H1173" s="7" t="n">
        <v>537485.264</v>
      </c>
      <c r="I1173" s="7" t="n">
        <v>7678878.08</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532PP030</t>
        </is>
      </c>
      <c r="BL1173" s="61" t="n">
        <v>0</v>
      </c>
      <c r="BM1173" s="251" t="inlineStr">
        <is>
          <t>ASUB</t>
        </is>
      </c>
      <c r="BN1173" s="337" t="inlineStr">
        <is>
          <t>Ujina</t>
        </is>
      </c>
      <c r="BO1173" s="251" t="inlineStr">
        <is>
          <t>NO</t>
        </is>
      </c>
      <c r="BP1173" s="253" t="n"/>
      <c r="BQ1173" s="253" t="n"/>
      <c r="BR1173" s="253" t="n"/>
      <c r="BS1173" s="253" t="n"/>
      <c r="BT1173" s="253" t="n"/>
      <c r="BU1173" s="101" t="inlineStr">
        <is>
          <t>ARCADIS</t>
        </is>
      </c>
      <c r="BV1173" s="178" t="n"/>
      <c r="BW1173" s="251" t="n"/>
      <c r="BX1173" s="251" t="n"/>
      <c r="BY1173" s="251" t="n"/>
      <c r="BZ1173" s="251" t="n"/>
      <c r="CA1173" s="251" t="n"/>
      <c r="CB1173" s="251" t="n"/>
      <c r="CC1173" s="251" t="n"/>
      <c r="CD1173" s="251" t="n"/>
      <c r="CE1173" s="251" t="n"/>
      <c r="CF1173" s="251" t="n"/>
      <c r="CG1173" s="251" t="n"/>
      <c r="CH1173" s="251" t="n"/>
      <c r="CI1173" s="251" t="n"/>
      <c r="CJ1173" s="251" t="n"/>
      <c r="CK1173" s="251" t="n"/>
      <c r="CL1173" s="251" t="n"/>
      <c r="CM1173" s="251" t="n"/>
      <c r="CN1173" s="251" t="n"/>
      <c r="CO1173" s="251" t="n"/>
      <c r="CP1173" s="251" t="n"/>
      <c r="CQ1173" s="251" t="n"/>
      <c r="CR1173" s="251" t="n"/>
      <c r="CS1173" s="251" t="n"/>
      <c r="CT1173" s="251" t="n"/>
      <c r="CU1173" s="251" t="n"/>
      <c r="CV1173" s="251" t="n"/>
      <c r="CW1173" s="251" t="n"/>
      <c r="CX1173" s="251" t="n"/>
      <c r="CY1173" s="251" t="n"/>
      <c r="CZ1173" s="124">
        <f>+COUNT(BV1173:CY1173)</f>
        <v/>
      </c>
      <c r="DA1173" s="124" t="n"/>
      <c r="DB1173" s="124" t="n"/>
      <c r="DC1173" s="124" t="n"/>
      <c r="DD1173" s="124" t="n"/>
      <c r="DE1173" s="124" t="n"/>
      <c r="DF1173" s="124" t="n"/>
      <c r="DG1173" s="124" t="n"/>
      <c r="DH1173" s="124" t="n"/>
      <c r="DI1173" s="124" t="n"/>
      <c r="DJ1173" s="251" t="inlineStr">
        <is>
          <t>SE ELIMINA</t>
        </is>
      </c>
      <c r="DK1173" s="251" t="n"/>
      <c r="DL1173" s="95" t="n"/>
      <c r="DM1173" s="251" t="inlineStr">
        <is>
          <t>N/A</t>
        </is>
      </c>
      <c r="DN1173" s="95" t="n"/>
      <c r="DO1173" s="95" t="n"/>
    </row>
    <row r="1174" ht="14.25" customHeight="1">
      <c r="A1174" s="147" t="inlineStr">
        <is>
          <t>PDU-31</t>
        </is>
      </c>
      <c r="B1174" s="151" t="n"/>
      <c r="C1174" s="108" t="n"/>
      <c r="D1174" s="7" t="inlineStr">
        <is>
          <t>MONITOREO INTERNO</t>
        </is>
      </c>
      <c r="E1174" s="7" t="inlineStr">
        <is>
          <t>NO</t>
        </is>
      </c>
      <c r="F1174" s="7" t="inlineStr">
        <is>
          <t>NO</t>
        </is>
      </c>
      <c r="G1174" s="7" t="inlineStr">
        <is>
          <t>NO</t>
        </is>
      </c>
      <c r="H1174" s="7" t="n">
        <v>537195.269</v>
      </c>
      <c r="I1174" s="7" t="n">
        <v>7678732.18</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532PP031</t>
        </is>
      </c>
      <c r="BL1174" s="61" t="n">
        <v>0</v>
      </c>
      <c r="BM1174" s="251" t="inlineStr">
        <is>
          <t>ASUB</t>
        </is>
      </c>
      <c r="BN1174" s="337" t="inlineStr">
        <is>
          <t>Ujina</t>
        </is>
      </c>
      <c r="BO1174" s="251" t="inlineStr">
        <is>
          <t>NO</t>
        </is>
      </c>
      <c r="BP1174" s="253" t="n"/>
      <c r="BQ1174" s="253" t="n"/>
      <c r="BR1174" s="253" t="n"/>
      <c r="BS1174" s="253" t="n"/>
      <c r="BT1174" s="253" t="n"/>
      <c r="BU1174" s="101" t="inlineStr">
        <is>
          <t>ARCADIS</t>
        </is>
      </c>
      <c r="BV1174" s="178" t="n"/>
      <c r="BW1174" s="251" t="n"/>
      <c r="BX1174" s="251" t="n"/>
      <c r="BY1174" s="251" t="n"/>
      <c r="BZ1174" s="251" t="n"/>
      <c r="CA1174" s="251" t="n"/>
      <c r="CB1174" s="251" t="n"/>
      <c r="CC1174" s="251" t="n"/>
      <c r="CD1174" s="251" t="n"/>
      <c r="CE1174" s="251" t="n"/>
      <c r="CF1174" s="251" t="n"/>
      <c r="CG1174" s="251" t="n"/>
      <c r="CH1174" s="251" t="n"/>
      <c r="CI1174" s="251" t="n"/>
      <c r="CJ1174" s="251" t="n"/>
      <c r="CK1174" s="251" t="n"/>
      <c r="CL1174" s="251" t="n"/>
      <c r="CM1174" s="251" t="n"/>
      <c r="CN1174" s="251" t="n"/>
      <c r="CO1174" s="251" t="n"/>
      <c r="CP1174" s="251" t="n"/>
      <c r="CQ1174" s="251" t="n"/>
      <c r="CR1174" s="251" t="n"/>
      <c r="CS1174" s="251" t="n"/>
      <c r="CT1174" s="251" t="n"/>
      <c r="CU1174" s="251" t="n"/>
      <c r="CV1174" s="251" t="n"/>
      <c r="CW1174" s="251" t="n"/>
      <c r="CX1174" s="251" t="n"/>
      <c r="CY1174" s="251" t="n"/>
      <c r="CZ1174" s="124">
        <f>+COUNT(BV1174:CY1174)</f>
        <v/>
      </c>
      <c r="DA1174" s="124" t="n"/>
      <c r="DB1174" s="124" t="n"/>
      <c r="DC1174" s="124" t="n"/>
      <c r="DD1174" s="124" t="n"/>
      <c r="DE1174" s="124" t="n"/>
      <c r="DF1174" s="124" t="n"/>
      <c r="DG1174" s="124" t="n"/>
      <c r="DH1174" s="124" t="n"/>
      <c r="DI1174" s="124" t="n"/>
      <c r="DJ1174" s="251" t="inlineStr">
        <is>
          <t>SE ELIMINA</t>
        </is>
      </c>
      <c r="DK1174" s="251" t="n"/>
      <c r="DL1174" s="95" t="n"/>
      <c r="DM1174" s="251" t="inlineStr">
        <is>
          <t>N/A</t>
        </is>
      </c>
      <c r="DN1174" s="95" t="n"/>
      <c r="DO1174" s="95" t="n"/>
    </row>
    <row r="1175" ht="14.25" customHeight="1">
      <c r="A1175" s="147" t="inlineStr">
        <is>
          <t>PEB-01</t>
        </is>
      </c>
      <c r="B1175" s="151" t="n"/>
      <c r="C1175" s="108" t="n"/>
      <c r="D1175" s="7" t="inlineStr">
        <is>
          <t>MONITOREO INTERNO</t>
        </is>
      </c>
      <c r="E1175" s="7" t="inlineStr">
        <is>
          <t>NO</t>
        </is>
      </c>
      <c r="F1175" s="7" t="inlineStr">
        <is>
          <t>NO</t>
        </is>
      </c>
      <c r="G1175" s="7" t="inlineStr">
        <is>
          <t>NO</t>
        </is>
      </c>
      <c r="H1175" s="7" t="n">
        <v>529810.958342</v>
      </c>
      <c r="I1175" s="7" t="n">
        <v>7676873.52116</v>
      </c>
      <c r="J1175" s="7" t="inlineStr">
        <is>
          <t>Construido</t>
        </is>
      </c>
      <c r="K1175" s="7" t="inlineStr">
        <is>
          <t>-</t>
        </is>
      </c>
      <c r="L1175" s="7" t="inlineStr">
        <is>
          <t>Agua Subterránea</t>
        </is>
      </c>
      <c r="M1175" s="7" t="inlineStr">
        <is>
          <t>Cordillera</t>
        </is>
      </c>
      <c r="N1175" s="7" t="inlineStr">
        <is>
          <t>POZO</t>
        </is>
      </c>
      <c r="O1175" s="7" t="inlineStr">
        <is>
          <t>Rosario</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S/TAG</t>
        </is>
      </c>
      <c r="BL1175" s="61" t="n">
        <v>0</v>
      </c>
      <c r="BM1175" s="251" t="inlineStr">
        <is>
          <t>ASUB</t>
        </is>
      </c>
      <c r="BN1175" s="337" t="inlineStr">
        <is>
          <t>Rosario</t>
        </is>
      </c>
      <c r="BO1175" s="251" t="inlineStr">
        <is>
          <t>NO</t>
        </is>
      </c>
      <c r="BP1175" s="253" t="n"/>
      <c r="BQ1175" s="253" t="n"/>
      <c r="BR1175" s="253" t="n"/>
      <c r="BS1175" s="253" t="n"/>
      <c r="BT1175" s="253" t="n"/>
      <c r="BU1175" s="101" t="inlineStr">
        <is>
          <t>ARCADIS</t>
        </is>
      </c>
      <c r="BV1175" s="178" t="n"/>
      <c r="BW1175" s="251" t="n"/>
      <c r="BX1175" s="251" t="n"/>
      <c r="BY1175" s="251" t="n"/>
      <c r="BZ1175" s="251" t="n"/>
      <c r="CA1175" s="251" t="n"/>
      <c r="CB1175" s="251" t="n"/>
      <c r="CC1175" s="251" t="n"/>
      <c r="CD1175" s="251" t="n"/>
      <c r="CE1175" s="251" t="n"/>
      <c r="CF1175" s="251" t="n"/>
      <c r="CG1175" s="251" t="n"/>
      <c r="CH1175" s="251" t="n"/>
      <c r="CI1175" s="251" t="n"/>
      <c r="CJ1175" s="251" t="n"/>
      <c r="CK1175" s="251" t="n"/>
      <c r="CL1175" s="251" t="n"/>
      <c r="CM1175" s="251" t="n"/>
      <c r="CN1175" s="251" t="n"/>
      <c r="CO1175" s="251" t="n"/>
      <c r="CP1175" s="251" t="n"/>
      <c r="CQ1175" s="251" t="n"/>
      <c r="CR1175" s="251" t="n"/>
      <c r="CS1175" s="251" t="n"/>
      <c r="CT1175" s="251" t="n"/>
      <c r="CU1175" s="251" t="n"/>
      <c r="CV1175" s="251" t="n"/>
      <c r="CW1175" s="251" t="n"/>
      <c r="CX1175" s="251" t="n"/>
      <c r="CY1175" s="251" t="n"/>
      <c r="CZ1175" s="124">
        <f>+COUNT(BV1175:CY1175)</f>
        <v/>
      </c>
      <c r="DA1175" s="124" t="n"/>
      <c r="DB1175" s="124" t="n"/>
      <c r="DC1175" s="124" t="n"/>
      <c r="DD1175" s="124" t="n"/>
      <c r="DE1175" s="124" t="n"/>
      <c r="DF1175" s="124" t="n"/>
      <c r="DG1175" s="124" t="n"/>
      <c r="DH1175" s="124" t="n"/>
      <c r="DI1175" s="124" t="n"/>
      <c r="DJ1175" s="251" t="inlineStr">
        <is>
          <t>SE ELIMINA</t>
        </is>
      </c>
      <c r="DK1175" s="251" t="n"/>
      <c r="DL1175" s="95" t="n"/>
      <c r="DM1175" s="251" t="inlineStr">
        <is>
          <t>N/A</t>
        </is>
      </c>
      <c r="DN1175" s="95" t="n"/>
      <c r="DO1175" s="95" t="n"/>
    </row>
    <row r="1176" ht="14.25" customHeight="1">
      <c r="A1176" s="147" t="inlineStr">
        <is>
          <t>PEB-02</t>
        </is>
      </c>
      <c r="B1176" s="151" t="n"/>
      <c r="C1176" s="108" t="n"/>
      <c r="D1176" s="7" t="inlineStr">
        <is>
          <t>MONITOREO INTERNO</t>
        </is>
      </c>
      <c r="E1176" s="7" t="inlineStr">
        <is>
          <t>NO</t>
        </is>
      </c>
      <c r="F1176" s="7" t="inlineStr">
        <is>
          <t>NO</t>
        </is>
      </c>
      <c r="G1176" s="7" t="inlineStr">
        <is>
          <t>NO</t>
        </is>
      </c>
      <c r="H1176" s="7" t="n">
        <v>530572.584559</v>
      </c>
      <c r="I1176" s="7" t="n">
        <v>7676320.25357</v>
      </c>
      <c r="J1176" s="7" t="inlineStr">
        <is>
          <t>Construido</t>
        </is>
      </c>
      <c r="K1176" s="7" t="inlineStr">
        <is>
          <t>-</t>
        </is>
      </c>
      <c r="L1176" s="7" t="inlineStr">
        <is>
          <t>Agua Subterránea</t>
        </is>
      </c>
      <c r="M1176" s="7" t="inlineStr">
        <is>
          <t>Cordillera</t>
        </is>
      </c>
      <c r="N1176" s="7" t="inlineStr">
        <is>
          <t>POZO</t>
        </is>
      </c>
      <c r="O1176" s="7" t="inlineStr">
        <is>
          <t>Rosario</t>
        </is>
      </c>
      <c r="P1176" s="7" t="inlineStr">
        <is>
          <t>NO</t>
        </is>
      </c>
      <c r="Q1176" s="7" t="inlineStr">
        <is>
          <t>-</t>
        </is>
      </c>
      <c r="R1176" s="7" t="inlineStr">
        <is>
          <t>-</t>
        </is>
      </c>
      <c r="S1176" s="7" t="inlineStr">
        <is>
          <t>-</t>
        </is>
      </c>
      <c r="T1176" s="7" t="inlineStr">
        <is>
          <t>SI</t>
        </is>
      </c>
      <c r="U1176" s="7" t="inlineStr">
        <is>
          <t>Bimestral</t>
        </is>
      </c>
      <c r="V1176" s="7" t="inlineStr">
        <is>
          <t>SI</t>
        </is>
      </c>
      <c r="W1176" s="7" t="inlineStr">
        <is>
          <t>Bimestral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S/TAG</t>
        </is>
      </c>
      <c r="BL1176" s="61" t="n">
        <v>0</v>
      </c>
      <c r="BM1176" s="251" t="inlineStr">
        <is>
          <t>ASUB</t>
        </is>
      </c>
      <c r="BN1176" s="337" t="inlineStr">
        <is>
          <t>Rosario</t>
        </is>
      </c>
      <c r="BO1176" s="251" t="inlineStr">
        <is>
          <t>NO</t>
        </is>
      </c>
      <c r="BP1176" s="253" t="n"/>
      <c r="BQ1176" s="253" t="n"/>
      <c r="BR1176" s="253" t="n"/>
      <c r="BS1176" s="253" t="n"/>
      <c r="BT1176" s="253" t="n"/>
      <c r="BU1176" s="109" t="inlineStr">
        <is>
          <t>ARCADIS</t>
        </is>
      </c>
      <c r="BV1176" s="178" t="n"/>
      <c r="BW1176" s="251" t="n"/>
      <c r="BX1176" s="251" t="n"/>
      <c r="BY1176" s="251" t="n"/>
      <c r="BZ1176" s="251" t="n"/>
      <c r="CA1176" s="251" t="n"/>
      <c r="CB1176" s="251" t="n"/>
      <c r="CC1176" s="251" t="n"/>
      <c r="CD1176" s="251" t="n"/>
      <c r="CE1176" s="251" t="n"/>
      <c r="CF1176" s="251" t="n"/>
      <c r="CG1176" s="251" t="n"/>
      <c r="CH1176" s="251" t="n"/>
      <c r="CI1176" s="251" t="n"/>
      <c r="CJ1176" s="251" t="n"/>
      <c r="CK1176" s="251" t="n"/>
      <c r="CL1176" s="251" t="n"/>
      <c r="CM1176" s="251" t="n"/>
      <c r="CN1176" s="251" t="n"/>
      <c r="CO1176" s="251" t="n"/>
      <c r="CP1176" s="251" t="n"/>
      <c r="CQ1176" s="251" t="n"/>
      <c r="CR1176" s="251" t="n"/>
      <c r="CS1176" s="251" t="n"/>
      <c r="CT1176" s="251" t="n"/>
      <c r="CU1176" s="251" t="n"/>
      <c r="CV1176" s="251" t="n"/>
      <c r="CW1176" s="251" t="n"/>
      <c r="CX1176" s="251" t="n"/>
      <c r="CY1176" s="251" t="n"/>
      <c r="CZ1176" s="124">
        <f>+COUNT(BV1176:CY1176)</f>
        <v/>
      </c>
      <c r="DA1176" s="124" t="n"/>
      <c r="DB1176" s="124" t="n"/>
      <c r="DC1176" s="124" t="n"/>
      <c r="DD1176" s="124" t="n"/>
      <c r="DE1176" s="124" t="n"/>
      <c r="DF1176" s="124" t="n"/>
      <c r="DG1176" s="124" t="n"/>
      <c r="DH1176" s="124" t="n"/>
      <c r="DI1176" s="124" t="n"/>
      <c r="DJ1176" s="251" t="inlineStr">
        <is>
          <t>SE ELIMINA</t>
        </is>
      </c>
      <c r="DK1176" s="251" t="n"/>
      <c r="DL1176" s="95" t="n"/>
      <c r="DM1176" s="251" t="inlineStr">
        <is>
          <t>N/A</t>
        </is>
      </c>
      <c r="DN1176" s="95" t="n"/>
      <c r="DO1176" s="95" t="n"/>
    </row>
    <row r="1177" ht="14.25" customHeight="1">
      <c r="A1177" s="147" t="inlineStr">
        <is>
          <t>PIEZ-19</t>
        </is>
      </c>
      <c r="B1177" s="151" t="n"/>
      <c r="C1177" s="108" t="n"/>
      <c r="D1177" s="7" t="inlineStr">
        <is>
          <t>MONITOREO INTERNO</t>
        </is>
      </c>
      <c r="E1177" s="7" t="inlineStr">
        <is>
          <t>NO</t>
        </is>
      </c>
      <c r="F1177" s="7" t="inlineStr">
        <is>
          <t>NO</t>
        </is>
      </c>
      <c r="G1177" s="7" t="inlineStr">
        <is>
          <t>NO</t>
        </is>
      </c>
      <c r="H1177" s="7" t="n">
        <v>538527.567</v>
      </c>
      <c r="I1177" s="7" t="n">
        <v>7678715.97</v>
      </c>
      <c r="J1177" s="7" t="inlineStr">
        <is>
          <t>Construido</t>
        </is>
      </c>
      <c r="K1177" s="7" t="inlineStr">
        <is>
          <t>-</t>
        </is>
      </c>
      <c r="L1177" s="7" t="inlineStr">
        <is>
          <t>Agua Subterránea</t>
        </is>
      </c>
      <c r="M1177" s="7" t="inlineStr">
        <is>
          <t>Cordillera</t>
        </is>
      </c>
      <c r="N1177" s="7" t="inlineStr">
        <is>
          <t>POZO</t>
        </is>
      </c>
      <c r="O1177" s="7" t="inlineStr">
        <is>
          <t>Ujina</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532MPIEZ19</t>
        </is>
      </c>
      <c r="BL1177" s="61" t="n">
        <v>0</v>
      </c>
      <c r="BM1177" s="251" t="inlineStr">
        <is>
          <t>ASUB</t>
        </is>
      </c>
      <c r="BN1177" s="337" t="inlineStr">
        <is>
          <t>Ujina</t>
        </is>
      </c>
      <c r="BO1177" s="251" t="inlineStr">
        <is>
          <t>NO</t>
        </is>
      </c>
      <c r="BP1177" s="253" t="n"/>
      <c r="BQ1177" s="253" t="n"/>
      <c r="BR1177" s="253" t="n"/>
      <c r="BS1177" s="253" t="n"/>
      <c r="BT1177" s="253" t="n"/>
      <c r="BU1177" s="101" t="inlineStr">
        <is>
          <t>ARCADIS</t>
        </is>
      </c>
      <c r="BV1177" s="178" t="n"/>
      <c r="BW1177" s="251" t="n"/>
      <c r="BX1177" s="251" t="n"/>
      <c r="BY1177" s="251" t="n"/>
      <c r="BZ1177" s="251" t="n"/>
      <c r="CA1177" s="251" t="n"/>
      <c r="CB1177" s="251" t="n"/>
      <c r="CC1177" s="251" t="n"/>
      <c r="CD1177" s="251" t="n"/>
      <c r="CE1177" s="251" t="n"/>
      <c r="CF1177" s="251" t="n"/>
      <c r="CG1177" s="251" t="n"/>
      <c r="CH1177" s="251" t="n"/>
      <c r="CI1177" s="251" t="n"/>
      <c r="CJ1177" s="251" t="n"/>
      <c r="CK1177" s="251" t="n"/>
      <c r="CL1177" s="251" t="n"/>
      <c r="CM1177" s="251" t="n"/>
      <c r="CN1177" s="251" t="n"/>
      <c r="CO1177" s="251" t="n"/>
      <c r="CP1177" s="251" t="n"/>
      <c r="CQ1177" s="251" t="n"/>
      <c r="CR1177" s="251" t="n"/>
      <c r="CS1177" s="251" t="n"/>
      <c r="CT1177" s="251" t="n"/>
      <c r="CU1177" s="251" t="n"/>
      <c r="CV1177" s="251" t="n"/>
      <c r="CW1177" s="251" t="n"/>
      <c r="CX1177" s="251" t="n"/>
      <c r="CY1177" s="251" t="n"/>
      <c r="CZ1177" s="124">
        <f>+COUNT(BV1177:CY1177)</f>
        <v/>
      </c>
      <c r="DA1177" s="124" t="n"/>
      <c r="DB1177" s="124" t="n"/>
      <c r="DC1177" s="124" t="n"/>
      <c r="DD1177" s="124" t="n"/>
      <c r="DE1177" s="124" t="n"/>
      <c r="DF1177" s="124" t="n"/>
      <c r="DG1177" s="124" t="n"/>
      <c r="DH1177" s="124" t="n"/>
      <c r="DI1177" s="124" t="n"/>
      <c r="DJ1177" s="251" t="inlineStr">
        <is>
          <t>SE ELIMINA</t>
        </is>
      </c>
      <c r="DK1177" s="251" t="n"/>
      <c r="DL1177" s="95" t="n"/>
      <c r="DM1177" s="251" t="inlineStr">
        <is>
          <t>N/A</t>
        </is>
      </c>
      <c r="DN1177" s="95" t="n"/>
      <c r="DO1177" s="95" t="n"/>
    </row>
    <row r="1178" ht="14.25" customHeight="1">
      <c r="A1178" s="147" t="inlineStr">
        <is>
          <t>PIEZ-20</t>
        </is>
      </c>
      <c r="B1178" s="151" t="n"/>
      <c r="C1178" s="108" t="n"/>
      <c r="D1178" s="7" t="inlineStr">
        <is>
          <t>MONITOREO INTERNO</t>
        </is>
      </c>
      <c r="E1178" s="7" t="inlineStr">
        <is>
          <t>NO</t>
        </is>
      </c>
      <c r="F1178" s="7" t="inlineStr">
        <is>
          <t>NO</t>
        </is>
      </c>
      <c r="G1178" s="7" t="inlineStr">
        <is>
          <t>NO</t>
        </is>
      </c>
      <c r="H1178" s="7" t="n">
        <v>536136.789</v>
      </c>
      <c r="I1178" s="7" t="n">
        <v>7678496.21</v>
      </c>
      <c r="J1178" s="7" t="inlineStr">
        <is>
          <t>Construido</t>
        </is>
      </c>
      <c r="K1178" s="7" t="inlineStr">
        <is>
          <t>-</t>
        </is>
      </c>
      <c r="L1178" s="7" t="inlineStr">
        <is>
          <t>Agua Subterránea</t>
        </is>
      </c>
      <c r="M1178" s="7" t="inlineStr">
        <is>
          <t>Cordillera</t>
        </is>
      </c>
      <c r="N1178" s="7" t="inlineStr">
        <is>
          <t>Piezometro</t>
        </is>
      </c>
      <c r="O1178" s="7" t="inlineStr">
        <is>
          <t>Ujina</t>
        </is>
      </c>
      <c r="P1178" s="7" t="inlineStr">
        <is>
          <t>NO</t>
        </is>
      </c>
      <c r="Q1178" s="7" t="inlineStr">
        <is>
          <t>-</t>
        </is>
      </c>
      <c r="R1178" s="7" t="inlineStr">
        <is>
          <t>-</t>
        </is>
      </c>
      <c r="S1178" s="7" t="inlineStr">
        <is>
          <t>-</t>
        </is>
      </c>
      <c r="T1178" s="7" t="inlineStr">
        <is>
          <t>SI</t>
        </is>
      </c>
      <c r="U1178" s="7" t="inlineStr">
        <is>
          <t>Mensual</t>
        </is>
      </c>
      <c r="V1178" s="7" t="inlineStr">
        <is>
          <t>SI</t>
        </is>
      </c>
      <c r="W1178" s="7" t="inlineStr">
        <is>
          <t>Mensual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532MPIEZ20</t>
        </is>
      </c>
      <c r="BL1178" s="61" t="n">
        <v>0</v>
      </c>
      <c r="BM1178" s="251" t="inlineStr">
        <is>
          <t>ASUB</t>
        </is>
      </c>
      <c r="BN1178" s="337" t="inlineStr">
        <is>
          <t>Ujina</t>
        </is>
      </c>
      <c r="BO1178" s="251" t="inlineStr">
        <is>
          <t>NO</t>
        </is>
      </c>
      <c r="BP1178" s="253" t="n"/>
      <c r="BQ1178" s="253" t="n"/>
      <c r="BR1178" s="253" t="n"/>
      <c r="BS1178" s="253" t="n"/>
      <c r="BT1178" s="253" t="n"/>
      <c r="BU1178" s="101" t="inlineStr">
        <is>
          <t>ARCADIS</t>
        </is>
      </c>
      <c r="BV1178" s="178" t="n"/>
      <c r="BW1178" s="251" t="n"/>
      <c r="BX1178" s="251" t="n"/>
      <c r="BY1178" s="251" t="n"/>
      <c r="BZ1178" s="251" t="n"/>
      <c r="CA1178" s="251" t="n"/>
      <c r="CB1178" s="251" t="n"/>
      <c r="CC1178" s="251" t="n"/>
      <c r="CD1178" s="251" t="n"/>
      <c r="CE1178" s="251" t="n"/>
      <c r="CF1178" s="251" t="n"/>
      <c r="CG1178" s="251" t="n"/>
      <c r="CH1178" s="251" t="n"/>
      <c r="CI1178" s="251" t="n"/>
      <c r="CJ1178" s="251" t="n"/>
      <c r="CK1178" s="251" t="n"/>
      <c r="CL1178" s="251" t="n"/>
      <c r="CM1178" s="251" t="n"/>
      <c r="CN1178" s="251" t="n"/>
      <c r="CO1178" s="251" t="n"/>
      <c r="CP1178" s="251" t="n"/>
      <c r="CQ1178" s="251" t="n"/>
      <c r="CR1178" s="251" t="n"/>
      <c r="CS1178" s="251" t="n"/>
      <c r="CT1178" s="251" t="n"/>
      <c r="CU1178" s="251" t="n"/>
      <c r="CV1178" s="251" t="n"/>
      <c r="CW1178" s="251" t="n"/>
      <c r="CX1178" s="251" t="n"/>
      <c r="CY1178" s="251" t="n"/>
      <c r="CZ1178" s="124">
        <f>+COUNT(BV1178:CY1178)</f>
        <v/>
      </c>
      <c r="DA1178" s="124" t="n"/>
      <c r="DB1178" s="124" t="n"/>
      <c r="DC1178" s="124" t="n"/>
      <c r="DD1178" s="124" t="n"/>
      <c r="DE1178" s="124" t="n"/>
      <c r="DF1178" s="124" t="n"/>
      <c r="DG1178" s="124" t="n"/>
      <c r="DH1178" s="124" t="n"/>
      <c r="DI1178" s="124" t="n"/>
      <c r="DJ1178" s="251" t="inlineStr">
        <is>
          <t>SE ELIMINA</t>
        </is>
      </c>
      <c r="DK1178" s="251" t="n"/>
      <c r="DL1178" s="95" t="n"/>
      <c r="DM1178" s="251" t="inlineStr">
        <is>
          <t>N/A</t>
        </is>
      </c>
      <c r="DN1178" s="95" t="n"/>
      <c r="DO1178" s="95" t="n"/>
    </row>
    <row r="1179" ht="14.25" customHeight="1">
      <c r="A1179" s="147" t="inlineStr">
        <is>
          <t>PIEZ-21</t>
        </is>
      </c>
      <c r="B1179" s="151" t="n"/>
      <c r="C1179" s="108" t="n"/>
      <c r="D1179" s="7" t="inlineStr">
        <is>
          <t>MONITOREO INTERNO</t>
        </is>
      </c>
      <c r="E1179" s="7" t="inlineStr">
        <is>
          <t>NO</t>
        </is>
      </c>
      <c r="F1179" s="7" t="inlineStr">
        <is>
          <t>NO</t>
        </is>
      </c>
      <c r="G1179" s="7" t="inlineStr">
        <is>
          <t>NO</t>
        </is>
      </c>
      <c r="H1179" s="7" t="n">
        <v>537081.975</v>
      </c>
      <c r="I1179" s="7" t="n">
        <v>7679627.68</v>
      </c>
      <c r="J1179" s="7" t="inlineStr">
        <is>
          <t>Construido</t>
        </is>
      </c>
      <c r="K1179" s="7" t="inlineStr">
        <is>
          <t>-</t>
        </is>
      </c>
      <c r="L1179" s="7" t="inlineStr">
        <is>
          <t>Agua Subterránea</t>
        </is>
      </c>
      <c r="M1179" s="7" t="inlineStr">
        <is>
          <t>Cordillera</t>
        </is>
      </c>
      <c r="N1179" s="7" t="inlineStr">
        <is>
          <t>Piezometro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532MPIEZ21</t>
        </is>
      </c>
      <c r="BL1179" s="61" t="n">
        <v>0</v>
      </c>
      <c r="BM1179" s="251" t="inlineStr">
        <is>
          <t>ASUB</t>
        </is>
      </c>
      <c r="BN1179" s="337" t="inlineStr">
        <is>
          <t>Ujina</t>
        </is>
      </c>
      <c r="BO1179" s="251" t="inlineStr">
        <is>
          <t>NO</t>
        </is>
      </c>
      <c r="BP1179" s="253" t="n"/>
      <c r="BQ1179" s="253" t="n"/>
      <c r="BR1179" s="253" t="n"/>
      <c r="BS1179" s="253" t="n"/>
      <c r="BT1179" s="253" t="n"/>
      <c r="BU1179" s="101" t="inlineStr">
        <is>
          <t>ARCADIS</t>
        </is>
      </c>
      <c r="BV1179" s="178" t="n"/>
      <c r="BW1179" s="251" t="n"/>
      <c r="BX1179" s="251" t="n"/>
      <c r="BY1179" s="251" t="n"/>
      <c r="BZ1179" s="251" t="n"/>
      <c r="CA1179" s="251" t="n"/>
      <c r="CB1179" s="251" t="n"/>
      <c r="CC1179" s="251" t="n"/>
      <c r="CD1179" s="251" t="n"/>
      <c r="CE1179" s="251" t="n"/>
      <c r="CF1179" s="251" t="n"/>
      <c r="CG1179" s="251" t="n"/>
      <c r="CH1179" s="251" t="n"/>
      <c r="CI1179" s="251" t="n"/>
      <c r="CJ1179" s="251" t="n"/>
      <c r="CK1179" s="251" t="n"/>
      <c r="CL1179" s="251" t="n"/>
      <c r="CM1179" s="251" t="n"/>
      <c r="CN1179" s="251" t="n"/>
      <c r="CO1179" s="251" t="n"/>
      <c r="CP1179" s="251" t="n"/>
      <c r="CQ1179" s="251" t="n"/>
      <c r="CR1179" s="251" t="n"/>
      <c r="CS1179" s="251" t="n"/>
      <c r="CT1179" s="251" t="n"/>
      <c r="CU1179" s="251" t="n"/>
      <c r="CV1179" s="251" t="n"/>
      <c r="CW1179" s="251" t="n"/>
      <c r="CX1179" s="251" t="n"/>
      <c r="CY1179" s="251" t="n"/>
      <c r="CZ1179" s="124">
        <f>+COUNT(BV1179:CY1179)</f>
        <v/>
      </c>
      <c r="DA1179" s="124" t="n"/>
      <c r="DB1179" s="124" t="n"/>
      <c r="DC1179" s="124" t="n"/>
      <c r="DD1179" s="124" t="n"/>
      <c r="DE1179" s="124" t="n"/>
      <c r="DF1179" s="124" t="n"/>
      <c r="DG1179" s="124" t="n"/>
      <c r="DH1179" s="124" t="n"/>
      <c r="DI1179" s="124" t="n"/>
      <c r="DJ1179" s="251" t="inlineStr">
        <is>
          <t>SE ELIMINA</t>
        </is>
      </c>
      <c r="DK1179" s="251" t="n"/>
      <c r="DL1179" s="95" t="n"/>
      <c r="DM1179" s="251" t="inlineStr">
        <is>
          <t>N/A</t>
        </is>
      </c>
      <c r="DN1179" s="95" t="n"/>
      <c r="DO1179" s="95" t="n"/>
    </row>
    <row r="1180" ht="14.25" customHeight="1">
      <c r="A1180" s="147" t="inlineStr">
        <is>
          <t>PIEZ-22</t>
        </is>
      </c>
      <c r="B1180" s="151" t="n"/>
      <c r="C1180" s="108" t="n"/>
      <c r="D1180" s="7" t="inlineStr">
        <is>
          <t>MONITOREO INTERNO</t>
        </is>
      </c>
      <c r="E1180" s="7" t="inlineStr">
        <is>
          <t>NO</t>
        </is>
      </c>
      <c r="F1180" s="7" t="inlineStr">
        <is>
          <t>NO</t>
        </is>
      </c>
      <c r="G1180" s="7" t="inlineStr">
        <is>
          <t>NO</t>
        </is>
      </c>
      <c r="H1180" s="7" t="n">
        <v>538122.4</v>
      </c>
      <c r="I1180" s="7" t="n">
        <v>7679229.98</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532MPIEZ22</t>
        </is>
      </c>
      <c r="BL1180" s="61" t="n">
        <v>0</v>
      </c>
      <c r="BM1180" s="251" t="inlineStr">
        <is>
          <t>ASUB</t>
        </is>
      </c>
      <c r="BN1180" s="337" t="inlineStr">
        <is>
          <t>Ujina</t>
        </is>
      </c>
      <c r="BO1180" s="251" t="inlineStr">
        <is>
          <t>NO</t>
        </is>
      </c>
      <c r="BP1180" s="253" t="n"/>
      <c r="BQ1180" s="253" t="n"/>
      <c r="BR1180" s="253" t="n"/>
      <c r="BS1180" s="253" t="n"/>
      <c r="BT1180" s="253" t="n"/>
      <c r="BU1180" s="101" t="inlineStr">
        <is>
          <t>ARCADIS</t>
        </is>
      </c>
      <c r="BV1180" s="178" t="n"/>
      <c r="BW1180" s="251" t="n"/>
      <c r="BX1180" s="251" t="n"/>
      <c r="BY1180" s="251" t="n"/>
      <c r="BZ1180" s="251" t="n"/>
      <c r="CA1180" s="251" t="n"/>
      <c r="CB1180" s="251" t="n"/>
      <c r="CC1180" s="251" t="n"/>
      <c r="CD1180" s="251" t="n"/>
      <c r="CE1180" s="251" t="n"/>
      <c r="CF1180" s="251" t="n"/>
      <c r="CG1180" s="251" t="n"/>
      <c r="CH1180" s="251" t="n"/>
      <c r="CI1180" s="251" t="n"/>
      <c r="CJ1180" s="251" t="n"/>
      <c r="CK1180" s="251" t="n"/>
      <c r="CL1180" s="251" t="n"/>
      <c r="CM1180" s="251" t="n"/>
      <c r="CN1180" s="251" t="n"/>
      <c r="CO1180" s="251" t="n"/>
      <c r="CP1180" s="251" t="n"/>
      <c r="CQ1180" s="251" t="n"/>
      <c r="CR1180" s="251" t="n"/>
      <c r="CS1180" s="251" t="n"/>
      <c r="CT1180" s="251" t="n"/>
      <c r="CU1180" s="251" t="n"/>
      <c r="CV1180" s="251" t="n"/>
      <c r="CW1180" s="251" t="n"/>
      <c r="CX1180" s="251" t="n"/>
      <c r="CY1180" s="251" t="n"/>
      <c r="CZ1180" s="124">
        <f>+COUNT(BV1180:CY1180)</f>
        <v/>
      </c>
      <c r="DA1180" s="124" t="n"/>
      <c r="DB1180" s="124" t="n"/>
      <c r="DC1180" s="124" t="n"/>
      <c r="DD1180" s="124" t="n"/>
      <c r="DE1180" s="124" t="n"/>
      <c r="DF1180" s="124" t="n"/>
      <c r="DG1180" s="124" t="n"/>
      <c r="DH1180" s="124" t="n"/>
      <c r="DI1180" s="124" t="n"/>
      <c r="DJ1180" s="251" t="inlineStr">
        <is>
          <t>SE ELIMINA</t>
        </is>
      </c>
      <c r="DK1180" s="251" t="n"/>
      <c r="DL1180" s="95" t="n"/>
      <c r="DM1180" s="251" t="inlineStr">
        <is>
          <t>N/A</t>
        </is>
      </c>
      <c r="DN1180" s="95" t="n"/>
      <c r="DO1180" s="95" t="n"/>
    </row>
    <row r="1181" ht="14.25" customHeight="1">
      <c r="A1181" s="147" t="inlineStr">
        <is>
          <t>PIEZ-23</t>
        </is>
      </c>
      <c r="B1181" s="151" t="n"/>
      <c r="C1181" s="108" t="n"/>
      <c r="D1181" s="7" t="inlineStr">
        <is>
          <t>MONITOREO INTERNO</t>
        </is>
      </c>
      <c r="E1181" s="7" t="inlineStr">
        <is>
          <t>NO</t>
        </is>
      </c>
      <c r="F1181" s="7" t="inlineStr">
        <is>
          <t>NO</t>
        </is>
      </c>
      <c r="G1181" s="7" t="inlineStr">
        <is>
          <t>NO</t>
        </is>
      </c>
      <c r="H1181" s="7" t="n">
        <v>539077.735</v>
      </c>
      <c r="I1181" s="7" t="n">
        <v>7679879.36</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532MPIEZ23</t>
        </is>
      </c>
      <c r="BL1181" s="61" t="n">
        <v>0</v>
      </c>
      <c r="BM1181" s="251" t="inlineStr">
        <is>
          <t>ASUB</t>
        </is>
      </c>
      <c r="BN1181" s="337" t="inlineStr">
        <is>
          <t>Ujina</t>
        </is>
      </c>
      <c r="BO1181" s="251" t="inlineStr">
        <is>
          <t>NO</t>
        </is>
      </c>
      <c r="BP1181" s="253" t="n"/>
      <c r="BQ1181" s="253" t="n"/>
      <c r="BR1181" s="253" t="n"/>
      <c r="BS1181" s="253" t="n"/>
      <c r="BT1181" s="253" t="n"/>
      <c r="BU1181" s="101" t="inlineStr">
        <is>
          <t>ARCADIS</t>
        </is>
      </c>
      <c r="BV1181" s="178" t="n"/>
      <c r="BW1181" s="251" t="n"/>
      <c r="BX1181" s="251" t="n"/>
      <c r="BY1181" s="251" t="n"/>
      <c r="BZ1181" s="251" t="n"/>
      <c r="CA1181" s="251" t="n"/>
      <c r="CB1181" s="251" t="n"/>
      <c r="CC1181" s="251" t="n"/>
      <c r="CD1181" s="251" t="n"/>
      <c r="CE1181" s="251" t="n"/>
      <c r="CF1181" s="251" t="n"/>
      <c r="CG1181" s="251" t="n"/>
      <c r="CH1181" s="251" t="n"/>
      <c r="CI1181" s="251" t="n"/>
      <c r="CJ1181" s="251" t="n"/>
      <c r="CK1181" s="251" t="n"/>
      <c r="CL1181" s="251" t="n"/>
      <c r="CM1181" s="251" t="n"/>
      <c r="CN1181" s="251" t="n"/>
      <c r="CO1181" s="251" t="n"/>
      <c r="CP1181" s="251" t="n"/>
      <c r="CQ1181" s="251" t="n"/>
      <c r="CR1181" s="251" t="n"/>
      <c r="CS1181" s="251" t="n"/>
      <c r="CT1181" s="251" t="n"/>
      <c r="CU1181" s="251" t="n"/>
      <c r="CV1181" s="251" t="n"/>
      <c r="CW1181" s="251" t="n"/>
      <c r="CX1181" s="251" t="n"/>
      <c r="CY1181" s="251" t="n"/>
      <c r="CZ1181" s="124">
        <f>+COUNT(BV1181:CY1181)</f>
        <v/>
      </c>
      <c r="DA1181" s="124" t="n"/>
      <c r="DB1181" s="124" t="n"/>
      <c r="DC1181" s="124" t="n"/>
      <c r="DD1181" s="124" t="n"/>
      <c r="DE1181" s="124" t="n"/>
      <c r="DF1181" s="124" t="n"/>
      <c r="DG1181" s="124" t="n"/>
      <c r="DH1181" s="124" t="n"/>
      <c r="DI1181" s="124" t="n"/>
      <c r="DJ1181" s="251" t="inlineStr">
        <is>
          <t>SE ELIMINA</t>
        </is>
      </c>
      <c r="DK1181" s="251" t="n"/>
      <c r="DL1181" s="95" t="n"/>
      <c r="DM1181" s="251" t="inlineStr">
        <is>
          <t>N/A</t>
        </is>
      </c>
      <c r="DN1181" s="95" t="n"/>
      <c r="DO1181" s="95" t="n"/>
    </row>
    <row r="1182" ht="14.25" customHeight="1">
      <c r="A1182" s="147" t="inlineStr">
        <is>
          <t>PIEZ-25</t>
        </is>
      </c>
      <c r="B1182" s="151" t="n"/>
      <c r="C1182" s="108" t="n"/>
      <c r="D1182" s="7" t="inlineStr">
        <is>
          <t>MONITOREO INTERNO</t>
        </is>
      </c>
      <c r="E1182" s="7" t="inlineStr">
        <is>
          <t>NO</t>
        </is>
      </c>
      <c r="F1182" s="7" t="inlineStr">
        <is>
          <t>NO</t>
        </is>
      </c>
      <c r="G1182" s="7" t="inlineStr">
        <is>
          <t>NO</t>
        </is>
      </c>
      <c r="H1182" s="7" t="n">
        <v>539294.753</v>
      </c>
      <c r="I1182" s="7" t="n">
        <v>7676707.28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532MPIEZ26</t>
        </is>
      </c>
      <c r="BL1182" s="61" t="n">
        <v>0</v>
      </c>
      <c r="BM1182" s="251" t="inlineStr">
        <is>
          <t>ASUB</t>
        </is>
      </c>
      <c r="BN1182" s="337" t="inlineStr">
        <is>
          <t>Ujina</t>
        </is>
      </c>
      <c r="BO1182" s="251" t="inlineStr">
        <is>
          <t>NO</t>
        </is>
      </c>
      <c r="BP1182" s="253" t="n"/>
      <c r="BQ1182" s="253" t="n"/>
      <c r="BR1182" s="253" t="n"/>
      <c r="BS1182" s="253" t="n"/>
      <c r="BT1182" s="253" t="n"/>
      <c r="BU1182" s="101" t="inlineStr">
        <is>
          <t>ARCADIS</t>
        </is>
      </c>
      <c r="BV1182" s="178" t="n"/>
      <c r="BW1182" s="251" t="n"/>
      <c r="BX1182" s="251" t="n"/>
      <c r="BY1182" s="251" t="n"/>
      <c r="BZ1182" s="251" t="n"/>
      <c r="CA1182" s="251" t="n"/>
      <c r="CB1182" s="251" t="n"/>
      <c r="CC1182" s="251" t="n"/>
      <c r="CD1182" s="251" t="n"/>
      <c r="CE1182" s="251" t="n"/>
      <c r="CF1182" s="251" t="n"/>
      <c r="CG1182" s="251" t="n"/>
      <c r="CH1182" s="251" t="n"/>
      <c r="CI1182" s="251" t="n"/>
      <c r="CJ1182" s="251" t="n"/>
      <c r="CK1182" s="251" t="n"/>
      <c r="CL1182" s="251" t="n"/>
      <c r="CM1182" s="251" t="n"/>
      <c r="CN1182" s="251" t="n"/>
      <c r="CO1182" s="251" t="n"/>
      <c r="CP1182" s="251" t="n"/>
      <c r="CQ1182" s="251" t="n"/>
      <c r="CR1182" s="251" t="n"/>
      <c r="CS1182" s="251" t="n"/>
      <c r="CT1182" s="251" t="n"/>
      <c r="CU1182" s="251" t="n"/>
      <c r="CV1182" s="251" t="n"/>
      <c r="CW1182" s="251" t="n"/>
      <c r="CX1182" s="251" t="n"/>
      <c r="CY1182" s="251" t="n"/>
      <c r="CZ1182" s="124">
        <f>+COUNT(BV1182:CY1182)</f>
        <v/>
      </c>
      <c r="DA1182" s="124" t="n"/>
      <c r="DB1182" s="124" t="n"/>
      <c r="DC1182" s="124" t="n"/>
      <c r="DD1182" s="124" t="n"/>
      <c r="DE1182" s="124" t="n"/>
      <c r="DF1182" s="124" t="n"/>
      <c r="DG1182" s="124" t="n"/>
      <c r="DH1182" s="124" t="n"/>
      <c r="DI1182" s="124" t="n"/>
      <c r="DJ1182" s="251" t="inlineStr">
        <is>
          <t>SE ELIMINA</t>
        </is>
      </c>
      <c r="DK1182" s="251" t="n"/>
      <c r="DL1182" s="95" t="n"/>
      <c r="DM1182" s="251" t="inlineStr">
        <is>
          <t>N/A</t>
        </is>
      </c>
      <c r="DN1182" s="95" t="n"/>
      <c r="DO1182" s="95" t="n"/>
    </row>
    <row r="1183" ht="14.25" customHeight="1">
      <c r="A1183" s="147" t="inlineStr">
        <is>
          <t>PIEZ-26</t>
        </is>
      </c>
      <c r="B1183" s="151" t="n"/>
      <c r="C1183" s="108" t="n"/>
      <c r="D1183" s="7" t="inlineStr">
        <is>
          <t>MONITOREO INTERNO</t>
        </is>
      </c>
      <c r="E1183" s="7" t="inlineStr">
        <is>
          <t>NO</t>
        </is>
      </c>
      <c r="F1183" s="7" t="inlineStr">
        <is>
          <t>NO</t>
        </is>
      </c>
      <c r="G1183" s="7" t="inlineStr">
        <is>
          <t>NO</t>
        </is>
      </c>
      <c r="H1183" s="7" t="n">
        <v>538591.758</v>
      </c>
      <c r="I1183" s="7" t="n">
        <v>7679767.06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532MPIEZ27</t>
        </is>
      </c>
      <c r="BL1183" s="61" t="n">
        <v>0</v>
      </c>
      <c r="BM1183" s="251" t="inlineStr">
        <is>
          <t>ASUB</t>
        </is>
      </c>
      <c r="BN1183" s="337" t="inlineStr">
        <is>
          <t>Ujina</t>
        </is>
      </c>
      <c r="BO1183" s="251" t="inlineStr">
        <is>
          <t>NO</t>
        </is>
      </c>
      <c r="BP1183" s="253" t="n"/>
      <c r="BQ1183" s="253" t="n"/>
      <c r="BR1183" s="253" t="n"/>
      <c r="BS1183" s="253" t="n"/>
      <c r="BT1183" s="253" t="n"/>
      <c r="BU1183" s="101" t="inlineStr">
        <is>
          <t>ARCADIS</t>
        </is>
      </c>
      <c r="BV1183" s="178" t="n"/>
      <c r="BW1183" s="251" t="n"/>
      <c r="BX1183" s="251" t="n"/>
      <c r="BY1183" s="251" t="n"/>
      <c r="BZ1183" s="251" t="n"/>
      <c r="CA1183" s="251" t="n"/>
      <c r="CB1183" s="251" t="n"/>
      <c r="CC1183" s="251" t="n"/>
      <c r="CD1183" s="251" t="n"/>
      <c r="CE1183" s="251" t="n"/>
      <c r="CF1183" s="251" t="n"/>
      <c r="CG1183" s="251" t="n"/>
      <c r="CH1183" s="251" t="n"/>
      <c r="CI1183" s="251" t="n"/>
      <c r="CJ1183" s="251" t="n"/>
      <c r="CK1183" s="251" t="n"/>
      <c r="CL1183" s="251" t="n"/>
      <c r="CM1183" s="251" t="n"/>
      <c r="CN1183" s="251" t="n"/>
      <c r="CO1183" s="251" t="n"/>
      <c r="CP1183" s="251" t="n"/>
      <c r="CQ1183" s="251" t="n"/>
      <c r="CR1183" s="251" t="n"/>
      <c r="CS1183" s="251" t="n"/>
      <c r="CT1183" s="251" t="n"/>
      <c r="CU1183" s="251" t="n"/>
      <c r="CV1183" s="251" t="n"/>
      <c r="CW1183" s="251" t="n"/>
      <c r="CX1183" s="251" t="n"/>
      <c r="CY1183" s="251" t="n"/>
      <c r="CZ1183" s="124">
        <f>+COUNT(BV1183:CY1183)</f>
        <v/>
      </c>
      <c r="DA1183" s="124" t="n"/>
      <c r="DB1183" s="124" t="n"/>
      <c r="DC1183" s="124" t="n"/>
      <c r="DD1183" s="124" t="n"/>
      <c r="DE1183" s="124" t="n"/>
      <c r="DF1183" s="124" t="n"/>
      <c r="DG1183" s="124" t="n"/>
      <c r="DH1183" s="124" t="n"/>
      <c r="DI1183" s="124" t="n"/>
      <c r="DJ1183" s="251" t="inlineStr">
        <is>
          <t>SE ELIMINA</t>
        </is>
      </c>
      <c r="DK1183" s="251" t="n"/>
      <c r="DL1183" s="95" t="n"/>
      <c r="DM1183" s="251" t="inlineStr">
        <is>
          <t>N/A</t>
        </is>
      </c>
      <c r="DN1183" s="95" t="n"/>
      <c r="DO1183" s="95" t="n"/>
    </row>
    <row r="1184" ht="14.25" customHeight="1">
      <c r="A1184" s="147" t="inlineStr">
        <is>
          <t>PIEZ-27</t>
        </is>
      </c>
      <c r="B1184" s="151" t="n"/>
      <c r="C1184" s="108" t="n"/>
      <c r="D1184" s="7" t="inlineStr">
        <is>
          <t>MONITOREO INTERNO</t>
        </is>
      </c>
      <c r="E1184" s="7" t="inlineStr">
        <is>
          <t>NO</t>
        </is>
      </c>
      <c r="F1184" s="7" t="inlineStr">
        <is>
          <t>NO</t>
        </is>
      </c>
      <c r="G1184" s="7" t="inlineStr">
        <is>
          <t>NO</t>
        </is>
      </c>
      <c r="H1184" s="7" t="n">
        <v>538159.639</v>
      </c>
      <c r="I1184" s="7" t="n">
        <v>7678036.91</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S/TAG</t>
        </is>
      </c>
      <c r="BL1184" s="61" t="n">
        <v>0</v>
      </c>
      <c r="BM1184" s="251" t="inlineStr">
        <is>
          <t>ASUB</t>
        </is>
      </c>
      <c r="BN1184" s="337" t="inlineStr">
        <is>
          <t>Ujina</t>
        </is>
      </c>
      <c r="BO1184" s="251" t="inlineStr">
        <is>
          <t>NO</t>
        </is>
      </c>
      <c r="BP1184" s="253" t="n"/>
      <c r="BQ1184" s="253" t="n"/>
      <c r="BR1184" s="253" t="n"/>
      <c r="BS1184" s="253" t="n"/>
      <c r="BT1184" s="253" t="n"/>
      <c r="BU1184" s="101" t="inlineStr">
        <is>
          <t>ARCADIS</t>
        </is>
      </c>
      <c r="BV1184" s="178" t="n"/>
      <c r="BW1184" s="251" t="n"/>
      <c r="BX1184" s="251" t="n"/>
      <c r="BY1184" s="251" t="n"/>
      <c r="BZ1184" s="251" t="n"/>
      <c r="CA1184" s="251" t="n"/>
      <c r="CB1184" s="251" t="n"/>
      <c r="CC1184" s="251" t="n"/>
      <c r="CD1184" s="251" t="n"/>
      <c r="CE1184" s="251" t="n"/>
      <c r="CF1184" s="251" t="n"/>
      <c r="CG1184" s="251" t="n"/>
      <c r="CH1184" s="251" t="n"/>
      <c r="CI1184" s="251" t="n"/>
      <c r="CJ1184" s="251" t="n"/>
      <c r="CK1184" s="251" t="n"/>
      <c r="CL1184" s="251" t="n"/>
      <c r="CM1184" s="251" t="n"/>
      <c r="CN1184" s="251" t="n"/>
      <c r="CO1184" s="251" t="n"/>
      <c r="CP1184" s="251" t="n"/>
      <c r="CQ1184" s="251" t="n"/>
      <c r="CR1184" s="251" t="n"/>
      <c r="CS1184" s="251" t="n"/>
      <c r="CT1184" s="251" t="n"/>
      <c r="CU1184" s="251" t="n"/>
      <c r="CV1184" s="251" t="n"/>
      <c r="CW1184" s="251" t="n"/>
      <c r="CX1184" s="251" t="n"/>
      <c r="CY1184" s="251" t="n"/>
      <c r="CZ1184" s="124">
        <f>+COUNT(BV1184:CY1184)</f>
        <v/>
      </c>
      <c r="DA1184" s="124" t="n"/>
      <c r="DB1184" s="124" t="n"/>
      <c r="DC1184" s="124" t="n"/>
      <c r="DD1184" s="124" t="n"/>
      <c r="DE1184" s="124" t="n"/>
      <c r="DF1184" s="124" t="n"/>
      <c r="DG1184" s="124" t="n"/>
      <c r="DH1184" s="124" t="n"/>
      <c r="DI1184" s="124" t="n"/>
      <c r="DJ1184" s="251" t="inlineStr">
        <is>
          <t>SE ELIMINA</t>
        </is>
      </c>
      <c r="DK1184" s="251" t="n"/>
      <c r="DL1184" s="95" t="n"/>
      <c r="DM1184" s="251" t="inlineStr">
        <is>
          <t>N/A</t>
        </is>
      </c>
      <c r="DN1184" s="95" t="n"/>
      <c r="DO1184" s="95" t="n"/>
    </row>
    <row r="1185" ht="14.25" customHeight="1">
      <c r="A1185" s="147" t="inlineStr">
        <is>
          <t>PIEZ-28</t>
        </is>
      </c>
      <c r="B1185" s="151" t="n"/>
      <c r="C1185" s="108" t="n"/>
      <c r="D1185" s="7" t="inlineStr">
        <is>
          <t>MONITOREO INTERNO</t>
        </is>
      </c>
      <c r="E1185" s="7" t="inlineStr">
        <is>
          <t>NO</t>
        </is>
      </c>
      <c r="F1185" s="7" t="inlineStr">
        <is>
          <t>NO</t>
        </is>
      </c>
      <c r="G1185" s="7" t="inlineStr">
        <is>
          <t>NO</t>
        </is>
      </c>
      <c r="H1185" s="7" t="n">
        <v>539345.264</v>
      </c>
      <c r="I1185" s="7" t="n">
        <v>7679212.09</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S/TAG</t>
        </is>
      </c>
      <c r="BL1185" s="61" t="n">
        <v>0</v>
      </c>
      <c r="BM1185" s="251" t="inlineStr">
        <is>
          <t>ASUB</t>
        </is>
      </c>
      <c r="BN1185" s="337" t="inlineStr">
        <is>
          <t>Ujina</t>
        </is>
      </c>
      <c r="BO1185" s="251" t="inlineStr">
        <is>
          <t>NO</t>
        </is>
      </c>
      <c r="BP1185" s="253" t="n"/>
      <c r="BQ1185" s="253" t="n"/>
      <c r="BR1185" s="253" t="n"/>
      <c r="BS1185" s="253" t="n"/>
      <c r="BT1185" s="253" t="n"/>
      <c r="BU1185" s="101" t="inlineStr">
        <is>
          <t>ARCADIS</t>
        </is>
      </c>
      <c r="BV1185" s="178" t="n"/>
      <c r="BW1185" s="251" t="n"/>
      <c r="BX1185" s="251" t="n"/>
      <c r="BY1185" s="251" t="n"/>
      <c r="BZ1185" s="251" t="n"/>
      <c r="CA1185" s="251" t="n"/>
      <c r="CB1185" s="251" t="n"/>
      <c r="CC1185" s="251" t="n"/>
      <c r="CD1185" s="251" t="n"/>
      <c r="CE1185" s="251" t="n"/>
      <c r="CF1185" s="251" t="n"/>
      <c r="CG1185" s="251" t="n"/>
      <c r="CH1185" s="251" t="n"/>
      <c r="CI1185" s="251" t="n"/>
      <c r="CJ1185" s="251" t="n"/>
      <c r="CK1185" s="251" t="n"/>
      <c r="CL1185" s="251" t="n"/>
      <c r="CM1185" s="251" t="n"/>
      <c r="CN1185" s="251" t="n"/>
      <c r="CO1185" s="251" t="n"/>
      <c r="CP1185" s="251" t="n"/>
      <c r="CQ1185" s="251" t="n"/>
      <c r="CR1185" s="251" t="n"/>
      <c r="CS1185" s="251" t="n"/>
      <c r="CT1185" s="251" t="n"/>
      <c r="CU1185" s="251" t="n"/>
      <c r="CV1185" s="251" t="n"/>
      <c r="CW1185" s="251" t="n"/>
      <c r="CX1185" s="251" t="n"/>
      <c r="CY1185" s="251" t="n"/>
      <c r="CZ1185" s="124">
        <f>+COUNT(BV1185:CY1185)</f>
        <v/>
      </c>
      <c r="DA1185" s="124" t="n"/>
      <c r="DB1185" s="124" t="n"/>
      <c r="DC1185" s="124" t="n"/>
      <c r="DD1185" s="124" t="n"/>
      <c r="DE1185" s="124" t="n"/>
      <c r="DF1185" s="124" t="n"/>
      <c r="DG1185" s="124" t="n"/>
      <c r="DH1185" s="124" t="n"/>
      <c r="DI1185" s="124" t="n"/>
      <c r="DJ1185" s="251" t="inlineStr">
        <is>
          <t>SE ELIMINA</t>
        </is>
      </c>
      <c r="DK1185" s="251" t="n"/>
      <c r="DL1185" s="95" t="n"/>
      <c r="DM1185" s="251" t="inlineStr">
        <is>
          <t>N/A</t>
        </is>
      </c>
      <c r="DN1185" s="95" t="n"/>
      <c r="DO1185" s="95" t="n"/>
    </row>
    <row r="1186" ht="14.25" customHeight="1">
      <c r="A1186" s="147" t="inlineStr">
        <is>
          <t>PIU-02</t>
        </is>
      </c>
      <c r="B1186" s="151" t="n"/>
      <c r="C1186" s="108" t="n"/>
      <c r="D1186" s="7" t="inlineStr">
        <is>
          <t>MONITOREO INTERNO</t>
        </is>
      </c>
      <c r="E1186" s="7" t="inlineStr">
        <is>
          <t>NO</t>
        </is>
      </c>
      <c r="F1186" s="7" t="inlineStr">
        <is>
          <t>NO</t>
        </is>
      </c>
      <c r="G1186" s="7" t="inlineStr">
        <is>
          <t>NO</t>
        </is>
      </c>
      <c r="H1186" s="7" t="n">
        <v>537029.375</v>
      </c>
      <c r="I1186" s="7" t="n">
        <v>7678657.16</v>
      </c>
      <c r="J1186" s="7" t="inlineStr">
        <is>
          <t>Construido</t>
        </is>
      </c>
      <c r="K1186" s="7" t="inlineStr">
        <is>
          <t>-</t>
        </is>
      </c>
      <c r="L1186" s="7" t="inlineStr">
        <is>
          <t>Agua Subterránea</t>
        </is>
      </c>
      <c r="M1186" s="7" t="inlineStr">
        <is>
          <t>Cordillera</t>
        </is>
      </c>
      <c r="N1186" s="7" t="inlineStr">
        <is>
          <t>POZO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532MAPIU02</t>
        </is>
      </c>
      <c r="BL1186" s="61" t="n">
        <v>0</v>
      </c>
      <c r="BM1186" s="251" t="inlineStr">
        <is>
          <t>ASUB</t>
        </is>
      </c>
      <c r="BN1186" s="337" t="inlineStr">
        <is>
          <t>Ujina</t>
        </is>
      </c>
      <c r="BO1186" s="251" t="inlineStr">
        <is>
          <t>NO</t>
        </is>
      </c>
      <c r="BP1186" s="253" t="n"/>
      <c r="BQ1186" s="253" t="n"/>
      <c r="BR1186" s="253" t="n"/>
      <c r="BS1186" s="253" t="n"/>
      <c r="BT1186" s="253" t="n"/>
      <c r="BU1186" s="101" t="inlineStr">
        <is>
          <t>ARCADIS</t>
        </is>
      </c>
      <c r="BV1186" s="178" t="n"/>
      <c r="BW1186" s="251" t="n"/>
      <c r="BX1186" s="251" t="n"/>
      <c r="BY1186" s="251" t="n"/>
      <c r="BZ1186" s="251" t="n"/>
      <c r="CA1186" s="251" t="n"/>
      <c r="CB1186" s="251" t="n"/>
      <c r="CC1186" s="251" t="n"/>
      <c r="CD1186" s="251" t="n"/>
      <c r="CE1186" s="251" t="n"/>
      <c r="CF1186" s="251" t="n"/>
      <c r="CG1186" s="251" t="n"/>
      <c r="CH1186" s="251" t="n"/>
      <c r="CI1186" s="251" t="n"/>
      <c r="CJ1186" s="251" t="n"/>
      <c r="CK1186" s="251" t="n"/>
      <c r="CL1186" s="251" t="n"/>
      <c r="CM1186" s="251" t="n"/>
      <c r="CN1186" s="251" t="n"/>
      <c r="CO1186" s="251" t="n"/>
      <c r="CP1186" s="251" t="n"/>
      <c r="CQ1186" s="251" t="n"/>
      <c r="CR1186" s="251" t="n"/>
      <c r="CS1186" s="251" t="n"/>
      <c r="CT1186" s="251" t="n"/>
      <c r="CU1186" s="251" t="n"/>
      <c r="CV1186" s="251" t="n"/>
      <c r="CW1186" s="251" t="n"/>
      <c r="CX1186" s="251" t="n"/>
      <c r="CY1186" s="251" t="n"/>
      <c r="CZ1186" s="124">
        <f>+COUNT(BV1186:CY1186)</f>
        <v/>
      </c>
      <c r="DA1186" s="124" t="n"/>
      <c r="DB1186" s="124" t="n"/>
      <c r="DC1186" s="124" t="n"/>
      <c r="DD1186" s="124" t="n"/>
      <c r="DE1186" s="124" t="n"/>
      <c r="DF1186" s="124" t="n"/>
      <c r="DG1186" s="124" t="n"/>
      <c r="DH1186" s="124" t="n"/>
      <c r="DI1186" s="124" t="n"/>
      <c r="DJ1186" s="251" t="inlineStr">
        <is>
          <t>SE ELIMINA</t>
        </is>
      </c>
      <c r="DK1186" s="251" t="n"/>
      <c r="DL1186" s="95" t="n"/>
      <c r="DM1186" s="251" t="inlineStr">
        <is>
          <t>N/A</t>
        </is>
      </c>
      <c r="DN1186" s="95" t="n"/>
      <c r="DO1186" s="95" t="n"/>
    </row>
    <row r="1187" ht="14.25" customHeight="1">
      <c r="A1187" s="147" t="inlineStr">
        <is>
          <t>PIU-04</t>
        </is>
      </c>
      <c r="B1187" s="151" t="n"/>
      <c r="C1187" s="108" t="n"/>
      <c r="D1187" s="7" t="inlineStr">
        <is>
          <t>MONITOREO INTERNO</t>
        </is>
      </c>
      <c r="E1187" s="7" t="inlineStr">
        <is>
          <t>NO</t>
        </is>
      </c>
      <c r="F1187" s="7" t="inlineStr">
        <is>
          <t>NO</t>
        </is>
      </c>
      <c r="G1187" s="7" t="inlineStr">
        <is>
          <t>NO</t>
        </is>
      </c>
      <c r="H1187" s="7" t="n">
        <v>537828.0209999999</v>
      </c>
      <c r="I1187" s="7" t="n">
        <v>7678971.2</v>
      </c>
      <c r="J1187" s="7" t="inlineStr">
        <is>
          <t>Construido</t>
        </is>
      </c>
      <c r="K1187" s="7" t="inlineStr">
        <is>
          <t>-</t>
        </is>
      </c>
      <c r="L1187" s="7" t="inlineStr">
        <is>
          <t>Agua Subterránea</t>
        </is>
      </c>
      <c r="M1187" s="7" t="inlineStr">
        <is>
          <t>Cordillera</t>
        </is>
      </c>
      <c r="N1187" s="7" t="inlineStr">
        <is>
          <t>POZO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532MAPIU04</t>
        </is>
      </c>
      <c r="BL1187" s="61" t="n">
        <v>0</v>
      </c>
      <c r="BM1187" s="251" t="inlineStr">
        <is>
          <t>ASUB</t>
        </is>
      </c>
      <c r="BN1187" s="337" t="inlineStr">
        <is>
          <t>Ujina</t>
        </is>
      </c>
      <c r="BO1187" s="251" t="inlineStr">
        <is>
          <t>NO</t>
        </is>
      </c>
      <c r="BP1187" s="253" t="n"/>
      <c r="BQ1187" s="253" t="n"/>
      <c r="BR1187" s="253" t="n"/>
      <c r="BS1187" s="253" t="n"/>
      <c r="BT1187" s="253" t="n"/>
      <c r="BU1187" s="101" t="inlineStr">
        <is>
          <t>ARCADIS</t>
        </is>
      </c>
      <c r="BV1187" s="178" t="n"/>
      <c r="BW1187" s="251" t="n"/>
      <c r="BX1187" s="251" t="n"/>
      <c r="BY1187" s="251" t="n"/>
      <c r="BZ1187" s="251" t="n"/>
      <c r="CA1187" s="251" t="n"/>
      <c r="CB1187" s="251" t="n"/>
      <c r="CC1187" s="251" t="n"/>
      <c r="CD1187" s="251" t="n"/>
      <c r="CE1187" s="251" t="n"/>
      <c r="CF1187" s="251" t="n"/>
      <c r="CG1187" s="251" t="n"/>
      <c r="CH1187" s="251" t="n"/>
      <c r="CI1187" s="251" t="n"/>
      <c r="CJ1187" s="251" t="n"/>
      <c r="CK1187" s="251" t="n"/>
      <c r="CL1187" s="251" t="n"/>
      <c r="CM1187" s="251" t="n"/>
      <c r="CN1187" s="251" t="n"/>
      <c r="CO1187" s="251" t="n"/>
      <c r="CP1187" s="251" t="n"/>
      <c r="CQ1187" s="251" t="n"/>
      <c r="CR1187" s="251" t="n"/>
      <c r="CS1187" s="251" t="n"/>
      <c r="CT1187" s="251" t="n"/>
      <c r="CU1187" s="251" t="n"/>
      <c r="CV1187" s="251" t="n"/>
      <c r="CW1187" s="251" t="n"/>
      <c r="CX1187" s="251" t="n"/>
      <c r="CY1187" s="251" t="n"/>
      <c r="CZ1187" s="124">
        <f>+COUNT(BV1187:CY1187)</f>
        <v/>
      </c>
      <c r="DA1187" s="124" t="n"/>
      <c r="DB1187" s="124" t="n"/>
      <c r="DC1187" s="124" t="n"/>
      <c r="DD1187" s="124" t="n"/>
      <c r="DE1187" s="124" t="n"/>
      <c r="DF1187" s="124" t="n"/>
      <c r="DG1187" s="124" t="n"/>
      <c r="DH1187" s="124" t="n"/>
      <c r="DI1187" s="124" t="n"/>
      <c r="DJ1187" s="251" t="inlineStr">
        <is>
          <t>SE ELIMINA</t>
        </is>
      </c>
      <c r="DK1187" s="251" t="n"/>
      <c r="DL1187" s="95" t="n"/>
      <c r="DM1187" s="251" t="inlineStr">
        <is>
          <t>N/A</t>
        </is>
      </c>
      <c r="DN1187" s="95" t="n"/>
      <c r="DO1187" s="95" t="n"/>
    </row>
    <row r="1188" ht="14.25" customHeight="1">
      <c r="A1188" s="147" t="inlineStr">
        <is>
          <t>PEU-01</t>
        </is>
      </c>
      <c r="B1188" s="151" t="n"/>
      <c r="C1188" s="108" t="n"/>
      <c r="D1188" s="7" t="inlineStr">
        <is>
          <t>MONITOREO INTERNO</t>
        </is>
      </c>
      <c r="E1188" s="7" t="inlineStr">
        <is>
          <t>NO</t>
        </is>
      </c>
      <c r="F1188" s="7" t="inlineStr">
        <is>
          <t>NO</t>
        </is>
      </c>
      <c r="G1188" s="7" t="inlineStr">
        <is>
          <t>NO</t>
        </is>
      </c>
      <c r="H1188" s="7" t="n">
        <v>541039.796</v>
      </c>
      <c r="I1188" s="7" t="n">
        <v>7679143.5</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532MAPEU01</t>
        </is>
      </c>
      <c r="BL1188" s="61" t="n">
        <v>0</v>
      </c>
      <c r="BM1188" s="251" t="inlineStr">
        <is>
          <t>ASUB</t>
        </is>
      </c>
      <c r="BN1188" s="337" t="inlineStr">
        <is>
          <t>Ujina</t>
        </is>
      </c>
      <c r="BO1188" s="251" t="inlineStr">
        <is>
          <t>NO</t>
        </is>
      </c>
      <c r="BP1188" s="253" t="n"/>
      <c r="BQ1188" s="253" t="n"/>
      <c r="BR1188" s="253" t="n"/>
      <c r="BS1188" s="253" t="n"/>
      <c r="BT1188" s="253" t="n"/>
      <c r="BU1188" s="101" t="inlineStr">
        <is>
          <t>ARCADIS</t>
        </is>
      </c>
      <c r="BV1188" s="178" t="n"/>
      <c r="BW1188" s="251" t="n"/>
      <c r="BX1188" s="251" t="n"/>
      <c r="BY1188" s="251" t="n"/>
      <c r="BZ1188" s="251" t="n"/>
      <c r="CA1188" s="251" t="n"/>
      <c r="CB1188" s="251" t="n"/>
      <c r="CC1188" s="251" t="n"/>
      <c r="CD1188" s="251" t="n"/>
      <c r="CE1188" s="251" t="n"/>
      <c r="CF1188" s="251" t="n"/>
      <c r="CG1188" s="251" t="n"/>
      <c r="CH1188" s="251" t="n"/>
      <c r="CI1188" s="251" t="n"/>
      <c r="CJ1188" s="251" t="n"/>
      <c r="CK1188" s="251" t="n"/>
      <c r="CL1188" s="251" t="n"/>
      <c r="CM1188" s="251" t="n"/>
      <c r="CN1188" s="251" t="n"/>
      <c r="CO1188" s="251" t="n"/>
      <c r="CP1188" s="251" t="n"/>
      <c r="CQ1188" s="251" t="n"/>
      <c r="CR1188" s="251" t="n"/>
      <c r="CS1188" s="251" t="n"/>
      <c r="CT1188" s="251" t="n"/>
      <c r="CU1188" s="251" t="n"/>
      <c r="CV1188" s="251" t="n"/>
      <c r="CW1188" s="251" t="n"/>
      <c r="CX1188" s="251" t="n"/>
      <c r="CY1188" s="251" t="n"/>
      <c r="CZ1188" s="124">
        <f>+COUNT(BV1188:CY1188)</f>
        <v/>
      </c>
      <c r="DA1188" s="124" t="n"/>
      <c r="DB1188" s="124" t="n"/>
      <c r="DC1188" s="124" t="n"/>
      <c r="DD1188" s="124" t="n"/>
      <c r="DE1188" s="124" t="n"/>
      <c r="DF1188" s="124" t="n"/>
      <c r="DG1188" s="124" t="n"/>
      <c r="DH1188" s="124" t="n"/>
      <c r="DI1188" s="124" t="n"/>
      <c r="DJ1188" s="251" t="inlineStr">
        <is>
          <t>SE ELIMINA</t>
        </is>
      </c>
      <c r="DK1188" s="251" t="n"/>
      <c r="DL1188" s="95" t="n"/>
      <c r="DM1188" s="251" t="inlineStr">
        <is>
          <t>N/A</t>
        </is>
      </c>
      <c r="DN1188" s="95" t="n"/>
      <c r="DO1188" s="95" t="n"/>
    </row>
    <row r="1189" ht="14.25" customHeight="1">
      <c r="A1189" s="147" t="inlineStr">
        <is>
          <t>PMI-09B</t>
        </is>
      </c>
      <c r="B1189" s="151" t="n"/>
      <c r="C1189" s="108" t="n"/>
      <c r="D1189" s="7" t="inlineStr">
        <is>
          <t>SI</t>
        </is>
      </c>
      <c r="E1189" s="7" t="inlineStr">
        <is>
          <t>NO</t>
        </is>
      </c>
      <c r="F1189" s="7" t="inlineStr">
        <is>
          <t>SI</t>
        </is>
      </c>
      <c r="G1189" s="7" t="inlineStr">
        <is>
          <t>NO</t>
        </is>
      </c>
      <c r="H1189" s="7" t="n">
        <v>543166</v>
      </c>
      <c r="I1189" s="7" t="n">
        <v>7689136</v>
      </c>
      <c r="J1189" s="7" t="inlineStr">
        <is>
          <t>Pozo de monitoreo seco, se propone eliminar del seguimiento, Anexo 10.1</t>
        </is>
      </c>
      <c r="K1189" s="7" t="inlineStr">
        <is>
          <t>-</t>
        </is>
      </c>
      <c r="L1189" s="7" t="inlineStr">
        <is>
          <t>Agua Subterránea</t>
        </is>
      </c>
      <c r="M1189" s="7" t="inlineStr">
        <is>
          <t>Cordillera</t>
        </is>
      </c>
      <c r="N1189" s="7" t="inlineStr">
        <is>
          <t>POZO</t>
        </is>
      </c>
      <c r="O1189" s="7" t="inlineStr">
        <is>
          <t>Falla Pabellón</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Plan Base+ Li (citricos)+ Plan grasas + N de Nitritos</t>
        </is>
      </c>
      <c r="AO1189" s="7" t="inlineStr">
        <is>
          <t>Trimestral</t>
        </is>
      </c>
      <c r="AP1189" s="60" t="inlineStr">
        <is>
          <t>NO</t>
        </is>
      </c>
      <c r="AQ1189" s="7" t="inlineStr">
        <is>
          <t>-</t>
        </is>
      </c>
      <c r="AR1189" s="60" t="inlineStr">
        <is>
          <t>NO</t>
        </is>
      </c>
      <c r="AS1189" s="7" t="inlineStr">
        <is>
          <t>-</t>
        </is>
      </c>
      <c r="AT1189" s="7" t="inlineStr">
        <is>
          <t>SI</t>
        </is>
      </c>
      <c r="AU1189" s="7" t="inlineStr">
        <is>
          <t>Trimestral</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SMA</t>
        </is>
      </c>
      <c r="BG1189" s="7" t="inlineStr">
        <is>
          <t>PSA</t>
        </is>
      </c>
      <c r="BH1189" s="7" t="inlineStr">
        <is>
          <t>Res. Ex. N° 106/2014</t>
        </is>
      </c>
      <c r="BI1189" s="7" t="n"/>
      <c r="BJ1189" s="7" t="n"/>
      <c r="BK1189" s="61" t="inlineStr">
        <is>
          <t>532MAPMI</t>
        </is>
      </c>
      <c r="BL1189" s="61" t="inlineStr">
        <is>
          <t>GMAP-SIGA</t>
        </is>
      </c>
      <c r="BM1189" s="251" t="inlineStr">
        <is>
          <t>ASUB</t>
        </is>
      </c>
      <c r="BN1189" s="106" t="inlineStr">
        <is>
          <t>Falla Pabellón</t>
        </is>
      </c>
      <c r="BO1189" s="251" t="inlineStr">
        <is>
          <t>SI</t>
        </is>
      </c>
      <c r="BP1189" s="253" t="n"/>
      <c r="BQ1189" s="253" t="n"/>
      <c r="BR1189" s="253" t="n"/>
      <c r="BS1189" s="253" t="n"/>
      <c r="BT1189" s="253" t="n"/>
      <c r="BU1189" s="123" t="inlineStr">
        <is>
          <t>SE ELIMINO (29-09-2023) X CMDIC</t>
        </is>
      </c>
      <c r="BV1189" s="177" t="n"/>
      <c r="BW1189" s="251" t="n"/>
      <c r="BX1189" s="251" t="n"/>
      <c r="BY1189" s="352" t="n"/>
      <c r="BZ1189" s="352" t="n"/>
      <c r="CA1189" s="251" t="n"/>
      <c r="CB1189" s="251" t="n"/>
      <c r="CC1189" s="251" t="n"/>
      <c r="CD1189" s="251" t="n"/>
      <c r="CE1189" s="251" t="n"/>
      <c r="CF1189" s="251" t="n"/>
      <c r="CG1189" s="337" t="n"/>
      <c r="CH1189" s="251" t="n"/>
      <c r="CI1189" s="337" t="n"/>
      <c r="CJ1189" s="251" t="n"/>
      <c r="CK1189" s="251" t="n"/>
      <c r="CL1189" s="251" t="n"/>
      <c r="CM1189" s="251" t="n"/>
      <c r="CN1189" s="251" t="n"/>
      <c r="CO1189" s="251" t="n"/>
      <c r="CP1189" s="251" t="n"/>
      <c r="CQ1189" s="251" t="n"/>
      <c r="CR1189" s="251" t="n"/>
      <c r="CS1189" s="251" t="n"/>
      <c r="CT1189" s="251" t="n"/>
      <c r="CU1189" s="251" t="n"/>
      <c r="CV1189" s="251" t="n"/>
      <c r="CW1189" s="251" t="n"/>
      <c r="CX1189" s="251" t="n"/>
      <c r="CY1189" s="251" t="n"/>
      <c r="CZ1189" s="124">
        <f>+COUNT(BV1189:CY1189)</f>
        <v/>
      </c>
      <c r="DA1189" s="124" t="n"/>
      <c r="DB1189" s="124" t="n"/>
      <c r="DC1189" s="124" t="n"/>
      <c r="DD1189" s="124" t="n"/>
      <c r="DE1189" s="124" t="n"/>
      <c r="DF1189" s="124" t="n"/>
      <c r="DG1189" s="124" t="n"/>
      <c r="DH1189" s="124" t="n"/>
      <c r="DI1189" s="124" t="n"/>
      <c r="DJ1189" s="251" t="inlineStr">
        <is>
          <t>SE ELIMINA</t>
        </is>
      </c>
      <c r="DK1189" s="251" t="n">
        <v>8</v>
      </c>
      <c r="DL1189" s="95" t="n">
        <v>14</v>
      </c>
      <c r="DM1189" s="127" t="inlineStr">
        <is>
          <t>SE ELIMINO</t>
        </is>
      </c>
      <c r="DN1189" s="95" t="n">
        <v>8</v>
      </c>
      <c r="DO1189" s="95" t="n">
        <v>14</v>
      </c>
    </row>
    <row r="1190" ht="14.25" customHeight="1">
      <c r="A1190" s="147" t="inlineStr">
        <is>
          <t>SH-17B</t>
        </is>
      </c>
      <c r="B1190" s="151" t="n"/>
      <c r="C1190" s="108" t="n"/>
      <c r="D1190" s="7" t="inlineStr">
        <is>
          <t>MONITOREO INTERNO</t>
        </is>
      </c>
      <c r="E1190" s="7" t="inlineStr">
        <is>
          <t>NO</t>
        </is>
      </c>
      <c r="F1190" s="7" t="inlineStr">
        <is>
          <t>NO</t>
        </is>
      </c>
      <c r="G1190" s="7" t="inlineStr">
        <is>
          <t>NO</t>
        </is>
      </c>
      <c r="H1190" s="7" t="inlineStr">
        <is>
          <t>REVISAR</t>
        </is>
      </c>
      <c r="I1190" s="7" t="inlineStr">
        <is>
          <t>REVISAR</t>
        </is>
      </c>
      <c r="J1190" s="7" t="inlineStr">
        <is>
          <t>Construido</t>
        </is>
      </c>
      <c r="K1190" s="7" t="inlineStr">
        <is>
          <t>-</t>
        </is>
      </c>
      <c r="L1190" s="7" t="inlineStr">
        <is>
          <t>Agua Subterránea</t>
        </is>
      </c>
      <c r="M1190" s="7" t="inlineStr">
        <is>
          <t>Puerto</t>
        </is>
      </c>
      <c r="N1190" s="7" t="inlineStr">
        <is>
          <t>POZO</t>
        </is>
      </c>
      <c r="O1190" s="7" t="inlineStr">
        <is>
          <t>Puerto Collahuasi</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Trimestral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7" t="inlineStr">
        <is>
          <t>NO</t>
        </is>
      </c>
      <c r="AS1190" s="7" t="inlineStr">
        <is>
          <t>-</t>
        </is>
      </c>
      <c r="AT1190" s="7" t="inlineStr">
        <is>
          <t>NO</t>
        </is>
      </c>
      <c r="AU1190" s="7" t="inlineStr">
        <is>
          <t>-</t>
        </is>
      </c>
      <c r="AV1190" s="7"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n"/>
      <c r="BJ1190" s="7" t="n"/>
      <c r="BK1190" s="61" t="n"/>
      <c r="BL1190" s="61" t="inlineStr">
        <is>
          <t>PUERTO</t>
        </is>
      </c>
      <c r="BM1190" s="251" t="n"/>
      <c r="BN1190" s="337" t="inlineStr">
        <is>
          <t>Puerto Collahuasi</t>
        </is>
      </c>
      <c r="BO1190" s="251" t="n"/>
      <c r="BP1190" s="253" t="n"/>
      <c r="BQ1190" s="253" t="n"/>
      <c r="BR1190" s="253" t="n"/>
      <c r="BS1190" s="253" t="n"/>
      <c r="BT1190" s="253" t="n"/>
      <c r="BU1190" s="101" t="inlineStr">
        <is>
          <t>ELIMINADO</t>
        </is>
      </c>
      <c r="BV1190" s="130" t="n"/>
      <c r="BW1190" s="105" t="n"/>
      <c r="BX1190" s="105" t="n"/>
      <c r="BY1190" s="105" t="n"/>
      <c r="BZ1190" s="105" t="n"/>
      <c r="CA1190" s="105" t="n"/>
      <c r="CB1190" s="105" t="n"/>
      <c r="CC1190" s="105" t="n"/>
      <c r="CD1190" s="105" t="n"/>
      <c r="CE1190" s="105" t="n"/>
      <c r="CF1190" s="105" t="n"/>
      <c r="CG1190" s="105" t="n"/>
      <c r="CH1190" s="105" t="n"/>
      <c r="CI1190" s="105" t="n"/>
      <c r="CJ1190" s="105" t="n"/>
      <c r="CK1190" s="105" t="n"/>
      <c r="CL1190" s="105" t="n"/>
      <c r="CM1190" s="105" t="n"/>
      <c r="CN1190" s="105" t="n"/>
      <c r="CO1190" s="105" t="n"/>
      <c r="CP1190" s="105" t="n"/>
      <c r="CQ1190" s="105" t="n"/>
      <c r="CR1190" s="105" t="n"/>
      <c r="CS1190" s="105" t="n"/>
      <c r="CT1190" s="105" t="n"/>
      <c r="CU1190" s="105" t="n"/>
      <c r="CV1190" s="105" t="n"/>
      <c r="CW1190" s="105" t="n"/>
      <c r="CX1190" s="105" t="n"/>
      <c r="CY1190" s="105" t="n"/>
      <c r="CZ1190" s="124">
        <f>+COUNT(BV1190:CY1190)</f>
        <v/>
      </c>
      <c r="DA1190" s="124" t="n"/>
      <c r="DB1190" s="124" t="n"/>
      <c r="DC1190" s="124" t="n"/>
      <c r="DD1190" s="124" t="n"/>
      <c r="DE1190" s="124" t="n"/>
      <c r="DF1190" s="124" t="n"/>
      <c r="DG1190" s="124" t="n"/>
      <c r="DH1190" s="124" t="n"/>
      <c r="DI1190" s="124" t="n"/>
      <c r="DJ1190" s="251" t="n"/>
      <c r="DK1190" s="251" t="n">
        <v>22</v>
      </c>
      <c r="DL1190" s="95" t="n">
        <v>28</v>
      </c>
      <c r="DM1190" s="251" t="n"/>
      <c r="DN1190" s="95" t="n"/>
      <c r="DO1190" s="95" t="n"/>
    </row>
    <row r="1191" ht="14.25" customHeight="1">
      <c r="A1191" s="147" t="inlineStr">
        <is>
          <t>SH-10B</t>
        </is>
      </c>
      <c r="B1191" s="151" t="n"/>
      <c r="C1191" s="108" t="n"/>
      <c r="D1191" s="7" t="inlineStr">
        <is>
          <t>SI</t>
        </is>
      </c>
      <c r="E1191" s="7" t="inlineStr">
        <is>
          <t>NO</t>
        </is>
      </c>
      <c r="F1191" s="7" t="inlineStr">
        <is>
          <t>SI</t>
        </is>
      </c>
      <c r="G1191" s="7" t="inlineStr">
        <is>
          <t>NO</t>
        </is>
      </c>
      <c r="H1191" s="7" t="n">
        <v>378369</v>
      </c>
      <c r="I1191" s="7" t="n">
        <v>7701837</v>
      </c>
      <c r="J1191" s="7" t="inlineStr">
        <is>
          <t>Puntera seca, se propone eliminar,  no es factible realizar monitoreo (Anexo 10.1)</t>
        </is>
      </c>
      <c r="K1191" s="7" t="inlineStr">
        <is>
          <t>-</t>
        </is>
      </c>
      <c r="L1191" s="7" t="inlineStr">
        <is>
          <t>Agua Subterránea</t>
        </is>
      </c>
      <c r="M1191" s="7" t="inlineStr">
        <is>
          <t>Puerto</t>
        </is>
      </c>
      <c r="N1191" s="7" t="inlineStr">
        <is>
          <t>POZO</t>
        </is>
      </c>
      <c r="O1191" s="7" t="inlineStr">
        <is>
          <t>Puerto Collahuasi</t>
        </is>
      </c>
      <c r="P1191" s="7" t="inlineStr">
        <is>
          <t>NO</t>
        </is>
      </c>
      <c r="Q1191" s="7" t="inlineStr">
        <is>
          <t>-</t>
        </is>
      </c>
      <c r="R1191" s="7" t="inlineStr">
        <is>
          <t>-</t>
        </is>
      </c>
      <c r="S1191" s="7" t="inlineStr">
        <is>
          <t>-</t>
        </is>
      </c>
      <c r="T1191" s="7" t="inlineStr">
        <is>
          <t>SI</t>
        </is>
      </c>
      <c r="U1191" s="7" t="inlineStr">
        <is>
          <t>Trimestral</t>
        </is>
      </c>
      <c r="V1191" s="7" t="inlineStr">
        <is>
          <t>SI</t>
        </is>
      </c>
      <c r="W1191" s="7" t="inlineStr">
        <is>
          <t>Trimestral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Salinidad+ N Amoniacal + Cu disuelto</t>
        </is>
      </c>
      <c r="AO1191" s="7" t="inlineStr">
        <is>
          <t>Trimestral</t>
        </is>
      </c>
      <c r="AP1191" s="60" t="inlineStr">
        <is>
          <t>NO</t>
        </is>
      </c>
      <c r="AQ1191" s="7" t="inlineStr">
        <is>
          <t>-</t>
        </is>
      </c>
      <c r="AR1191" s="7" t="inlineStr">
        <is>
          <t>NO</t>
        </is>
      </c>
      <c r="AS1191" s="7" t="inlineStr">
        <is>
          <t>-</t>
        </is>
      </c>
      <c r="AT1191" s="7" t="inlineStr">
        <is>
          <t>SI</t>
        </is>
      </c>
      <c r="AU1191" s="7" t="inlineStr">
        <is>
          <t>Trimestral</t>
        </is>
      </c>
      <c r="AV1191" s="7"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9/2010</t>
        </is>
      </c>
      <c r="BI1191" s="7" t="n"/>
      <c r="BJ1191" s="7" t="n"/>
      <c r="BK1191" s="61" t="inlineStr">
        <is>
          <t>532MASH</t>
        </is>
      </c>
      <c r="BL1191" s="61" t="inlineStr">
        <is>
          <t>PUERTO</t>
        </is>
      </c>
      <c r="BM1191" s="251" t="inlineStr">
        <is>
          <t>ASUB</t>
        </is>
      </c>
      <c r="BN1191" s="337" t="inlineStr">
        <is>
          <t>Puerto Collahuasi</t>
        </is>
      </c>
      <c r="BO1191" s="251" t="inlineStr">
        <is>
          <t>SI</t>
        </is>
      </c>
      <c r="BP1191" s="253" t="n"/>
      <c r="BQ1191" s="253" t="n"/>
      <c r="BR1191" s="253" t="n"/>
      <c r="BS1191" s="253" t="n"/>
      <c r="BT1191" s="253" t="n"/>
      <c r="BU1191" s="123" t="inlineStr">
        <is>
          <t>SE ELIMINO (29-09-2023) X CMDIC</t>
        </is>
      </c>
      <c r="BV1191" s="178" t="n"/>
      <c r="BW1191" s="251" t="n"/>
      <c r="BX1191" s="251" t="n"/>
      <c r="BY1191" s="251" t="n"/>
      <c r="BZ1191" s="251" t="n"/>
      <c r="CA1191" s="251" t="n"/>
      <c r="CB1191" s="251" t="n"/>
      <c r="CC1191" s="251" t="n"/>
      <c r="CD1191" s="251" t="n"/>
      <c r="CE1191" s="251" t="n"/>
      <c r="CF1191" s="251" t="n"/>
      <c r="CG1191" s="251" t="n"/>
      <c r="CH1191" s="251" t="n"/>
      <c r="CI1191" s="251" t="n"/>
      <c r="CJ1191" s="251" t="n"/>
      <c r="CK1191" s="251" t="n"/>
      <c r="CL1191" s="251" t="n"/>
      <c r="CM1191" s="251" t="n"/>
      <c r="CN1191" s="251" t="n"/>
      <c r="CO1191" s="251" t="n"/>
      <c r="CP1191" s="251" t="n"/>
      <c r="CQ1191" s="251" t="n"/>
      <c r="CR1191" s="251" t="n"/>
      <c r="CS1191" s="251" t="n"/>
      <c r="CT1191" s="251" t="n"/>
      <c r="CU1191" s="337" t="n"/>
      <c r="CV1191" s="337" t="n"/>
      <c r="CW1191" s="337" t="n"/>
      <c r="CX1191" s="337" t="n"/>
      <c r="CY1191" s="337" t="n"/>
      <c r="CZ1191" s="124">
        <f>+COUNT(BV1191:CY1191)</f>
        <v/>
      </c>
      <c r="DA1191" s="124" t="n"/>
      <c r="DB1191" s="124" t="n"/>
      <c r="DC1191" s="124" t="n"/>
      <c r="DD1191" s="124" t="n"/>
      <c r="DE1191" s="124" t="n"/>
      <c r="DF1191" s="124" t="n"/>
      <c r="DG1191" s="124" t="n"/>
      <c r="DH1191" s="124" t="n"/>
      <c r="DI1191" s="124" t="n"/>
      <c r="DJ1191" s="251" t="inlineStr">
        <is>
          <t>SE ELIMINA</t>
        </is>
      </c>
      <c r="DK1191" s="251" t="n">
        <v>22</v>
      </c>
      <c r="DL1191" s="95" t="n">
        <v>28</v>
      </c>
      <c r="DM1191" s="127" t="inlineStr">
        <is>
          <t>SE ELIMINO</t>
        </is>
      </c>
      <c r="DN1191" s="95" t="n">
        <v>22</v>
      </c>
      <c r="DO1191" s="95" t="n">
        <v>28</v>
      </c>
    </row>
    <row r="1192" ht="14.25" customHeight="1">
      <c r="A1192" s="147" t="inlineStr">
        <is>
          <t>SH-11B</t>
        </is>
      </c>
      <c r="B1192" s="151" t="n"/>
      <c r="C1192" s="108" t="n"/>
      <c r="D1192" s="7" t="inlineStr">
        <is>
          <t>SI</t>
        </is>
      </c>
      <c r="E1192" s="7" t="inlineStr">
        <is>
          <t>NO</t>
        </is>
      </c>
      <c r="F1192" s="7" t="inlineStr">
        <is>
          <t>SI</t>
        </is>
      </c>
      <c r="G1192" s="7" t="inlineStr">
        <is>
          <t>NO</t>
        </is>
      </c>
      <c r="H1192" s="7" t="n">
        <v>377273</v>
      </c>
      <c r="I1192" s="7" t="n">
        <v>7701852</v>
      </c>
      <c r="J1192" s="7" t="inlineStr">
        <is>
          <t>Puntera seca, se propone eliminar,  no es factible realizar monitoreo (Anexo 10.1)</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Trimestral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Plan base+ Salinidad+ N Amoniacal + Cu disuelto</t>
        </is>
      </c>
      <c r="AO1192" s="7" t="inlineStr">
        <is>
          <t>Trimestral</t>
        </is>
      </c>
      <c r="AP1192" s="60" t="inlineStr">
        <is>
          <t>NO</t>
        </is>
      </c>
      <c r="AQ1192" s="7" t="inlineStr">
        <is>
          <t>-</t>
        </is>
      </c>
      <c r="AR1192" s="7" t="inlineStr">
        <is>
          <t>NO</t>
        </is>
      </c>
      <c r="AS1192" s="7" t="inlineStr">
        <is>
          <t>-</t>
        </is>
      </c>
      <c r="AT1192" s="7" t="inlineStr">
        <is>
          <t>SI</t>
        </is>
      </c>
      <c r="AU1192" s="7" t="inlineStr">
        <is>
          <t>Trimestral</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SMA</t>
        </is>
      </c>
      <c r="BG1192" s="7" t="inlineStr">
        <is>
          <t>PSA</t>
        </is>
      </c>
      <c r="BH1192" s="7" t="inlineStr">
        <is>
          <t>Res. Ex. N° 9/2010</t>
        </is>
      </c>
      <c r="BI1192" s="7" t="n"/>
      <c r="BJ1192" s="7" t="n"/>
      <c r="BK1192" s="61" t="inlineStr">
        <is>
          <t>532MASH</t>
        </is>
      </c>
      <c r="BL1192" s="61" t="inlineStr">
        <is>
          <t>PUERTO</t>
        </is>
      </c>
      <c r="BM1192" s="251" t="inlineStr">
        <is>
          <t>ASUB</t>
        </is>
      </c>
      <c r="BN1192" s="337" t="inlineStr">
        <is>
          <t>Puerto Collahuasi</t>
        </is>
      </c>
      <c r="BO1192" s="251" t="inlineStr">
        <is>
          <t>SI</t>
        </is>
      </c>
      <c r="BP1192" s="253" t="n"/>
      <c r="BQ1192" s="253" t="n"/>
      <c r="BR1192" s="253" t="n"/>
      <c r="BS1192" s="253" t="n"/>
      <c r="BT1192" s="253" t="n"/>
      <c r="BU1192" s="123" t="inlineStr">
        <is>
          <t>SE ELIMINO (29-09-2023) X CMDIC</t>
        </is>
      </c>
      <c r="BV1192" s="178" t="n"/>
      <c r="BW1192" s="251" t="n"/>
      <c r="BX1192" s="251" t="n"/>
      <c r="BY1192" s="251" t="n"/>
      <c r="BZ1192" s="251" t="n"/>
      <c r="CA1192" s="251" t="n"/>
      <c r="CB1192" s="251" t="n"/>
      <c r="CC1192" s="251" t="n"/>
      <c r="CD1192" s="251" t="n"/>
      <c r="CE1192" s="251" t="n"/>
      <c r="CF1192" s="251" t="n"/>
      <c r="CG1192" s="251" t="n"/>
      <c r="CH1192" s="251" t="n"/>
      <c r="CI1192" s="251" t="n"/>
      <c r="CJ1192" s="251" t="n"/>
      <c r="CK1192" s="251" t="n"/>
      <c r="CL1192" s="251" t="n"/>
      <c r="CM1192" s="251" t="n"/>
      <c r="CN1192" s="251" t="n"/>
      <c r="CO1192" s="251" t="n"/>
      <c r="CP1192" s="251" t="n"/>
      <c r="CQ1192" s="251" t="n"/>
      <c r="CR1192" s="251" t="n"/>
      <c r="CS1192" s="251" t="n"/>
      <c r="CT1192" s="251" t="n"/>
      <c r="CU1192" s="337" t="n"/>
      <c r="CV1192" s="337" t="n"/>
      <c r="CW1192" s="337" t="n"/>
      <c r="CX1192" s="337" t="n"/>
      <c r="CY1192" s="337" t="n"/>
      <c r="CZ1192" s="124">
        <f>+COUNT(BV1192:CY1192)</f>
        <v/>
      </c>
      <c r="DA1192" s="124" t="n"/>
      <c r="DB1192" s="124" t="n"/>
      <c r="DC1192" s="124" t="n"/>
      <c r="DD1192" s="124" t="n"/>
      <c r="DE1192" s="124" t="n"/>
      <c r="DF1192" s="124" t="n"/>
      <c r="DG1192" s="124" t="n"/>
      <c r="DH1192" s="124" t="n"/>
      <c r="DI1192" s="124" t="n"/>
      <c r="DJ1192" s="251" t="inlineStr">
        <is>
          <t>SE ELIMINA</t>
        </is>
      </c>
      <c r="DK1192" s="251" t="n">
        <v>22</v>
      </c>
      <c r="DL1192" s="95" t="n">
        <v>28</v>
      </c>
      <c r="DM1192" s="127" t="inlineStr">
        <is>
          <t>SE ELIMINO</t>
        </is>
      </c>
      <c r="DN1192" s="95" t="n">
        <v>22</v>
      </c>
      <c r="DO1192" s="95" t="n">
        <v>28</v>
      </c>
    </row>
    <row r="1193" ht="14.25" customHeight="1">
      <c r="A1193" s="147" t="inlineStr">
        <is>
          <t>T-10  (0,2-0,4 y 0,6 m)</t>
        </is>
      </c>
      <c r="B1193" s="151" t="n"/>
      <c r="C1193" s="108" t="n"/>
      <c r="D1193" s="7" t="n"/>
      <c r="E1193" s="7" t="n"/>
      <c r="F1193" s="7" t="n"/>
      <c r="G1193" s="7" t="n"/>
      <c r="H1193" s="7" t="n"/>
      <c r="I1193" s="7" t="n"/>
      <c r="J1193" s="7" t="n"/>
      <c r="K1193" s="7" t="n"/>
      <c r="L1193" s="7" t="n"/>
      <c r="M1193" s="7" t="n"/>
      <c r="N1193" s="7" t="n"/>
      <c r="O1193" s="7" t="n"/>
      <c r="P1193" s="7" t="n"/>
      <c r="Q1193" s="7" t="n"/>
      <c r="R1193" s="7" t="n"/>
      <c r="S1193" s="7" t="n"/>
      <c r="T1193" s="7" t="n"/>
      <c r="U1193" s="7" t="n"/>
      <c r="V1193" s="7" t="n"/>
      <c r="W1193" s="7" t="n"/>
      <c r="X1193" s="7" t="n"/>
      <c r="Y1193" s="7" t="n"/>
      <c r="Z1193" s="7" t="n"/>
      <c r="AA1193" s="7" t="n"/>
      <c r="AB1193" s="7" t="n"/>
      <c r="AC1193" s="7" t="n"/>
      <c r="AD1193" s="7" t="n"/>
      <c r="AE1193" s="7" t="n"/>
      <c r="AF1193" s="7" t="n"/>
      <c r="AG1193" s="7" t="n"/>
      <c r="AH1193" s="7" t="n"/>
      <c r="AI1193" s="7" t="n"/>
      <c r="AJ1193" s="7" t="n"/>
      <c r="AK1193" s="7" t="n"/>
      <c r="AL1193" s="7" t="n"/>
      <c r="AM1193" s="7" t="n"/>
      <c r="AN1193" s="7" t="n"/>
      <c r="AO1193" s="7" t="n"/>
      <c r="AP1193" s="7" t="n"/>
      <c r="AQ1193" s="7" t="n"/>
      <c r="AR1193" s="7" t="n"/>
      <c r="AS1193" s="7" t="n"/>
      <c r="AT1193" s="7" t="n"/>
      <c r="AU1193" s="7" t="n"/>
      <c r="AV1193" s="7" t="n"/>
      <c r="AW1193" s="7" t="n"/>
      <c r="AX1193" s="7" t="n"/>
      <c r="AY1193" s="7" t="n"/>
      <c r="AZ1193" s="7" t="n"/>
      <c r="BA1193" s="7" t="n"/>
      <c r="BB1193" s="7" t="n"/>
      <c r="BC1193" s="7" t="n"/>
      <c r="BD1193" s="7" t="n"/>
      <c r="BE1193" s="7" t="n"/>
      <c r="BF1193" s="7" t="n"/>
      <c r="BG1193" s="7" t="n"/>
      <c r="BH1193" s="7" t="n"/>
      <c r="BI1193" s="7" t="n"/>
      <c r="BJ1193" s="7" t="n"/>
      <c r="BK1193" s="61" t="n"/>
      <c r="BL1193" s="61" t="n"/>
      <c r="BM1193" s="251" t="inlineStr">
        <is>
          <t>SUELOS</t>
        </is>
      </c>
      <c r="BN1193" s="337" t="inlineStr">
        <is>
          <t>Jachucoposa</t>
        </is>
      </c>
      <c r="BO1193" s="251" t="n"/>
      <c r="BP1193" s="253" t="n"/>
      <c r="BQ1193" s="253" t="n"/>
      <c r="BR1193" s="253" t="n"/>
      <c r="BS1193" s="253" t="n"/>
      <c r="BT1193" s="253" t="n"/>
      <c r="BU1193" s="101" t="n"/>
      <c r="BV1193" s="178" t="n"/>
      <c r="BW1193" s="251" t="n"/>
      <c r="BX1193" s="251" t="n"/>
      <c r="BY1193" s="251" t="n"/>
      <c r="BZ1193" s="251" t="n"/>
      <c r="CA1193" s="251" t="n"/>
      <c r="CB1193" s="251" t="n"/>
      <c r="CC1193" s="251" t="n"/>
      <c r="CD1193" s="251" t="n"/>
      <c r="CE1193" s="251" t="n"/>
      <c r="CF1193" s="251" t="n"/>
      <c r="CG1193" s="251" t="n"/>
      <c r="CH1193" s="251" t="n"/>
      <c r="CI1193" s="251" t="n"/>
      <c r="CJ1193" s="251" t="n"/>
      <c r="CK1193" s="251" t="n"/>
      <c r="CL1193" s="251" t="n"/>
      <c r="CM1193" s="251" t="n"/>
      <c r="CN1193" s="251" t="n"/>
      <c r="CO1193" s="251" t="n"/>
      <c r="CP1193" s="251" t="n"/>
      <c r="CQ1193" s="251" t="n"/>
      <c r="CR1193" s="251" t="n"/>
      <c r="CS1193" s="251" t="n"/>
      <c r="CT1193" s="251" t="n"/>
      <c r="CU1193" s="251" t="n"/>
      <c r="CV1193" s="251" t="n"/>
      <c r="CW1193" s="251" t="n"/>
      <c r="CX1193" s="251" t="n"/>
      <c r="CY1193" s="251" t="n"/>
      <c r="CZ1193" s="124">
        <f>+COUNT(BV1193:CY1193)</f>
        <v/>
      </c>
      <c r="DA1193" s="124" t="n"/>
      <c r="DB1193" s="124" t="n"/>
      <c r="DC1193" s="124" t="n"/>
      <c r="DD1193" s="124" t="n"/>
      <c r="DE1193" s="124" t="n"/>
      <c r="DF1193" s="124" t="n"/>
      <c r="DG1193" s="124" t="n"/>
      <c r="DH1193" s="124" t="n"/>
      <c r="DI1193" s="124" t="n"/>
      <c r="DJ1193" s="251" t="inlineStr">
        <is>
          <t>SE ELIMINA</t>
        </is>
      </c>
      <c r="DK1193" s="95" t="n"/>
      <c r="DL1193" s="95" t="n"/>
      <c r="DM1193" s="251" t="n"/>
      <c r="DN1193" s="95" t="n"/>
      <c r="DO1193" s="95" t="n"/>
    </row>
    <row r="1194" ht="14.25" customHeight="1">
      <c r="A1194" s="147" t="inlineStr">
        <is>
          <t>T-11  (0,2-0,4 y 0,6 m)</t>
        </is>
      </c>
      <c r="B1194" s="151" t="n"/>
      <c r="C1194" s="108" t="n"/>
      <c r="D1194" s="7" t="n"/>
      <c r="E1194" s="7" t="n"/>
      <c r="F1194" s="7" t="n"/>
      <c r="G1194" s="7" t="n"/>
      <c r="H1194" s="7" t="n"/>
      <c r="I1194" s="7" t="n"/>
      <c r="J1194" s="7" t="n"/>
      <c r="K1194" s="7" t="n"/>
      <c r="L1194" s="7" t="n"/>
      <c r="M1194" s="7" t="n"/>
      <c r="N1194" s="7" t="n"/>
      <c r="O1194" s="7" t="n"/>
      <c r="P1194" s="7" t="n"/>
      <c r="Q1194" s="7" t="n"/>
      <c r="R1194" s="7" t="n"/>
      <c r="S1194" s="7" t="n"/>
      <c r="T1194" s="7" t="n"/>
      <c r="U1194" s="7" t="n"/>
      <c r="V1194" s="7" t="n"/>
      <c r="W1194" s="7" t="n"/>
      <c r="X1194" s="7" t="n"/>
      <c r="Y1194" s="7" t="n"/>
      <c r="Z1194" s="7" t="n"/>
      <c r="AA1194" s="7" t="n"/>
      <c r="AB1194" s="7" t="n"/>
      <c r="AC1194" s="7" t="n"/>
      <c r="AD1194" s="7" t="n"/>
      <c r="AE1194" s="7" t="n"/>
      <c r="AF1194" s="7" t="n"/>
      <c r="AG1194" s="7" t="n"/>
      <c r="AH1194" s="7" t="n"/>
      <c r="AI1194" s="7" t="n"/>
      <c r="AJ1194" s="7" t="n"/>
      <c r="AK1194" s="7" t="n"/>
      <c r="AL1194" s="7" t="n"/>
      <c r="AM1194" s="7" t="n"/>
      <c r="AN1194" s="7" t="n"/>
      <c r="AO1194" s="7" t="n"/>
      <c r="AP1194" s="7" t="n"/>
      <c r="AQ1194" s="7" t="n"/>
      <c r="AR1194" s="7" t="n"/>
      <c r="AS1194" s="7" t="n"/>
      <c r="AT1194" s="7" t="n"/>
      <c r="AU1194" s="7" t="n"/>
      <c r="AV1194" s="7" t="n"/>
      <c r="AW1194" s="7" t="n"/>
      <c r="AX1194" s="7" t="n"/>
      <c r="AY1194" s="7" t="n"/>
      <c r="AZ1194" s="7" t="n"/>
      <c r="BA1194" s="7" t="n"/>
      <c r="BB1194" s="7" t="n"/>
      <c r="BC1194" s="7" t="n"/>
      <c r="BD1194" s="7" t="n"/>
      <c r="BE1194" s="7" t="n"/>
      <c r="BF1194" s="7" t="n"/>
      <c r="BG1194" s="7" t="n"/>
      <c r="BH1194" s="7" t="n"/>
      <c r="BI1194" s="7" t="n"/>
      <c r="BJ1194" s="7" t="n"/>
      <c r="BK1194" s="61" t="n"/>
      <c r="BL1194" s="61" t="n"/>
      <c r="BM1194" s="251" t="inlineStr">
        <is>
          <t>SUELOS</t>
        </is>
      </c>
      <c r="BN1194" s="337" t="inlineStr">
        <is>
          <t>Jachucoposa</t>
        </is>
      </c>
      <c r="BO1194" s="251" t="n"/>
      <c r="BP1194" s="253" t="n"/>
      <c r="BQ1194" s="253" t="n"/>
      <c r="BR1194" s="253" t="n"/>
      <c r="BS1194" s="253" t="n"/>
      <c r="BT1194" s="253" t="n"/>
      <c r="BU1194" s="101" t="n"/>
      <c r="BV1194" s="178" t="n"/>
      <c r="BW1194" s="251" t="n"/>
      <c r="BX1194" s="251" t="n"/>
      <c r="BY1194" s="251" t="n"/>
      <c r="BZ1194" s="251" t="n"/>
      <c r="CA1194" s="251" t="n"/>
      <c r="CB1194" s="251" t="n"/>
      <c r="CC1194" s="251" t="n"/>
      <c r="CD1194" s="251" t="n"/>
      <c r="CE1194" s="251" t="n"/>
      <c r="CF1194" s="251" t="n"/>
      <c r="CG1194" s="251" t="n"/>
      <c r="CH1194" s="251" t="n"/>
      <c r="CI1194" s="251" t="n"/>
      <c r="CJ1194" s="251" t="n"/>
      <c r="CK1194" s="251" t="n"/>
      <c r="CL1194" s="251" t="n"/>
      <c r="CM1194" s="251" t="n"/>
      <c r="CN1194" s="251" t="n"/>
      <c r="CO1194" s="251" t="n"/>
      <c r="CP1194" s="251" t="n"/>
      <c r="CQ1194" s="251" t="n"/>
      <c r="CR1194" s="251" t="n"/>
      <c r="CS1194" s="251" t="n"/>
      <c r="CT1194" s="251" t="n"/>
      <c r="CU1194" s="251" t="n"/>
      <c r="CV1194" s="251" t="n"/>
      <c r="CW1194" s="251" t="n"/>
      <c r="CX1194" s="251" t="n"/>
      <c r="CY1194" s="251" t="n"/>
      <c r="CZ1194" s="124">
        <f>+COUNT(BV1194:CY1194)</f>
        <v/>
      </c>
      <c r="DA1194" s="124" t="n"/>
      <c r="DB1194" s="124" t="n"/>
      <c r="DC1194" s="124" t="n"/>
      <c r="DD1194" s="124" t="n"/>
      <c r="DE1194" s="124" t="n"/>
      <c r="DF1194" s="124" t="n"/>
      <c r="DG1194" s="124" t="n"/>
      <c r="DH1194" s="124" t="n"/>
      <c r="DI1194" s="124" t="n"/>
      <c r="DJ1194" s="251" t="inlineStr">
        <is>
          <t>SE ELIMINA</t>
        </is>
      </c>
      <c r="DK1194" s="95" t="n"/>
      <c r="DL1194" s="95" t="n"/>
      <c r="DM1194" s="251" t="n"/>
      <c r="DN1194" s="95" t="n"/>
      <c r="DO1194" s="95" t="n"/>
    </row>
    <row r="1195" ht="14.25" customHeight="1">
      <c r="A1195" s="147" t="inlineStr">
        <is>
          <t>T-12  (0,2-0,4 y 0,6 m)</t>
        </is>
      </c>
      <c r="B1195" s="151"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1" t="inlineStr">
        <is>
          <t>SUELOS</t>
        </is>
      </c>
      <c r="BN1195" s="337" t="inlineStr">
        <is>
          <t>Jachucoposa</t>
        </is>
      </c>
      <c r="BO1195" s="251" t="n"/>
      <c r="BP1195" s="253" t="n"/>
      <c r="BQ1195" s="253" t="n"/>
      <c r="BR1195" s="253" t="n"/>
      <c r="BS1195" s="253" t="n"/>
      <c r="BT1195" s="253" t="n"/>
      <c r="BU1195" s="101" t="n"/>
      <c r="BV1195" s="178" t="n"/>
      <c r="BW1195" s="251" t="n"/>
      <c r="BX1195" s="251" t="n"/>
      <c r="BY1195" s="251" t="n"/>
      <c r="BZ1195" s="251" t="n"/>
      <c r="CA1195" s="251" t="n"/>
      <c r="CB1195" s="251" t="n"/>
      <c r="CC1195" s="251" t="n"/>
      <c r="CD1195" s="251" t="n"/>
      <c r="CE1195" s="251" t="n"/>
      <c r="CF1195" s="251" t="n"/>
      <c r="CG1195" s="251" t="n"/>
      <c r="CH1195" s="251" t="n"/>
      <c r="CI1195" s="251" t="n"/>
      <c r="CJ1195" s="251" t="n"/>
      <c r="CK1195" s="251" t="n"/>
      <c r="CL1195" s="251" t="n"/>
      <c r="CM1195" s="251" t="n"/>
      <c r="CN1195" s="251" t="n"/>
      <c r="CO1195" s="251" t="n"/>
      <c r="CP1195" s="251" t="n"/>
      <c r="CQ1195" s="251" t="n"/>
      <c r="CR1195" s="251" t="n"/>
      <c r="CS1195" s="251" t="n"/>
      <c r="CT1195" s="251" t="n"/>
      <c r="CU1195" s="251" t="n"/>
      <c r="CV1195" s="251" t="n"/>
      <c r="CW1195" s="251" t="n"/>
      <c r="CX1195" s="251" t="n"/>
      <c r="CY1195" s="251" t="n"/>
      <c r="CZ1195" s="124">
        <f>+COUNT(BV1195:CY1195)</f>
        <v/>
      </c>
      <c r="DA1195" s="124" t="n"/>
      <c r="DB1195" s="124" t="n"/>
      <c r="DC1195" s="124" t="n"/>
      <c r="DD1195" s="124" t="n"/>
      <c r="DE1195" s="124" t="n"/>
      <c r="DF1195" s="124" t="n"/>
      <c r="DG1195" s="124" t="n"/>
      <c r="DH1195" s="124" t="n"/>
      <c r="DI1195" s="124" t="n"/>
      <c r="DJ1195" s="251" t="inlineStr">
        <is>
          <t>SE ELIMINA</t>
        </is>
      </c>
      <c r="DK1195" s="95" t="n"/>
      <c r="DL1195" s="95" t="n"/>
      <c r="DM1195" s="251" t="n"/>
      <c r="DN1195" s="95" t="n"/>
      <c r="DO1195" s="95" t="n"/>
    </row>
    <row r="1196" ht="14.25" customHeight="1">
      <c r="A1196" s="147" t="inlineStr">
        <is>
          <t>T-13  (0,2-0,4 y 0,6 m)</t>
        </is>
      </c>
      <c r="B1196" s="151"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1" t="inlineStr">
        <is>
          <t>SUELOS</t>
        </is>
      </c>
      <c r="BN1196" s="337" t="inlineStr">
        <is>
          <t>Jachucoposa</t>
        </is>
      </c>
      <c r="BO1196" s="251" t="n"/>
      <c r="BP1196" s="253" t="n"/>
      <c r="BQ1196" s="253" t="n"/>
      <c r="BR1196" s="253" t="n"/>
      <c r="BS1196" s="253" t="n"/>
      <c r="BT1196" s="253" t="n"/>
      <c r="BU1196" s="101" t="n"/>
      <c r="BV1196" s="178" t="n"/>
      <c r="BW1196" s="251" t="n"/>
      <c r="BX1196" s="251" t="n"/>
      <c r="BY1196" s="251" t="n"/>
      <c r="BZ1196" s="251" t="n"/>
      <c r="CA1196" s="251" t="n"/>
      <c r="CB1196" s="251" t="n"/>
      <c r="CC1196" s="251" t="n"/>
      <c r="CD1196" s="251" t="n"/>
      <c r="CE1196" s="251" t="n"/>
      <c r="CF1196" s="251" t="n"/>
      <c r="CG1196" s="251" t="n"/>
      <c r="CH1196" s="251" t="n"/>
      <c r="CI1196" s="251" t="n"/>
      <c r="CJ1196" s="251" t="n"/>
      <c r="CK1196" s="251" t="n"/>
      <c r="CL1196" s="251" t="n"/>
      <c r="CM1196" s="251" t="n"/>
      <c r="CN1196" s="251" t="n"/>
      <c r="CO1196" s="251" t="n"/>
      <c r="CP1196" s="251" t="n"/>
      <c r="CQ1196" s="251" t="n"/>
      <c r="CR1196" s="251" t="n"/>
      <c r="CS1196" s="251" t="n"/>
      <c r="CT1196" s="251" t="n"/>
      <c r="CU1196" s="251" t="n"/>
      <c r="CV1196" s="251" t="n"/>
      <c r="CW1196" s="251" t="n"/>
      <c r="CX1196" s="251" t="n"/>
      <c r="CY1196" s="251" t="n"/>
      <c r="CZ1196" s="124">
        <f>+COUNT(BV1196:CY1196)</f>
        <v/>
      </c>
      <c r="DA1196" s="124" t="n"/>
      <c r="DB1196" s="124" t="n"/>
      <c r="DC1196" s="124" t="n"/>
      <c r="DD1196" s="124" t="n"/>
      <c r="DE1196" s="124" t="n"/>
      <c r="DF1196" s="124" t="n"/>
      <c r="DG1196" s="124" t="n"/>
      <c r="DH1196" s="124" t="n"/>
      <c r="DI1196" s="124" t="n"/>
      <c r="DJ1196" s="251" t="inlineStr">
        <is>
          <t>SE ELIMINA</t>
        </is>
      </c>
      <c r="DK1196" s="95" t="n"/>
      <c r="DL1196" s="95" t="n"/>
      <c r="DM1196" s="251" t="n"/>
      <c r="DN1196" s="95" t="n"/>
      <c r="DO1196" s="95" t="n"/>
    </row>
    <row r="1197" ht="14.25" customHeight="1">
      <c r="A1197" s="147" t="inlineStr">
        <is>
          <t>T-15  (0,2-0,4 y 0,6 m)</t>
        </is>
      </c>
      <c r="B1197" s="151"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1" t="inlineStr">
        <is>
          <t>SUELOS</t>
        </is>
      </c>
      <c r="BN1197" s="337" t="inlineStr">
        <is>
          <t>Jachucoposa</t>
        </is>
      </c>
      <c r="BO1197" s="251" t="n"/>
      <c r="BP1197" s="253" t="n"/>
      <c r="BQ1197" s="253" t="n"/>
      <c r="BR1197" s="253" t="n"/>
      <c r="BS1197" s="253" t="n"/>
      <c r="BT1197" s="253" t="n"/>
      <c r="BU1197" s="101" t="n"/>
      <c r="BV1197" s="178" t="n"/>
      <c r="BW1197" s="251" t="n"/>
      <c r="BX1197" s="251" t="n"/>
      <c r="BY1197" s="251" t="n"/>
      <c r="BZ1197" s="251" t="n"/>
      <c r="CA1197" s="251" t="n"/>
      <c r="CB1197" s="251" t="n"/>
      <c r="CC1197" s="251" t="n"/>
      <c r="CD1197" s="251" t="n"/>
      <c r="CE1197" s="251" t="n"/>
      <c r="CF1197" s="251" t="n"/>
      <c r="CG1197" s="251" t="n"/>
      <c r="CH1197" s="251" t="n"/>
      <c r="CI1197" s="251" t="n"/>
      <c r="CJ1197" s="251" t="n"/>
      <c r="CK1197" s="251" t="n"/>
      <c r="CL1197" s="251" t="n"/>
      <c r="CM1197" s="251" t="n"/>
      <c r="CN1197" s="251" t="n"/>
      <c r="CO1197" s="251" t="n"/>
      <c r="CP1197" s="251" t="n"/>
      <c r="CQ1197" s="251" t="n"/>
      <c r="CR1197" s="251" t="n"/>
      <c r="CS1197" s="251" t="n"/>
      <c r="CT1197" s="251" t="n"/>
      <c r="CU1197" s="251" t="n"/>
      <c r="CV1197" s="251" t="n"/>
      <c r="CW1197" s="251" t="n"/>
      <c r="CX1197" s="251" t="n"/>
      <c r="CY1197" s="251" t="n"/>
      <c r="CZ1197" s="124">
        <f>+COUNT(BV1197:CY1197)</f>
        <v/>
      </c>
      <c r="DA1197" s="124" t="n"/>
      <c r="DB1197" s="124" t="n"/>
      <c r="DC1197" s="124" t="n"/>
      <c r="DD1197" s="124" t="n"/>
      <c r="DE1197" s="124" t="n"/>
      <c r="DF1197" s="124" t="n"/>
      <c r="DG1197" s="124" t="n"/>
      <c r="DH1197" s="124" t="n"/>
      <c r="DI1197" s="124" t="n"/>
      <c r="DJ1197" s="251" t="inlineStr">
        <is>
          <t>SE ELIMINA</t>
        </is>
      </c>
      <c r="DK1197" s="95" t="n"/>
      <c r="DL1197" s="95" t="n"/>
      <c r="DM1197" s="251" t="n"/>
      <c r="DN1197" s="95" t="n"/>
      <c r="DO1197" s="95" t="n"/>
    </row>
    <row r="1198" ht="14.25" customHeight="1">
      <c r="A1198" s="147" t="inlineStr">
        <is>
          <t>T-17  (0,2-0,4 y 0,6 m)</t>
        </is>
      </c>
      <c r="B1198" s="151"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1" t="inlineStr">
        <is>
          <t>SUELOS</t>
        </is>
      </c>
      <c r="BN1198" s="337" t="inlineStr">
        <is>
          <t>Jachucoposa</t>
        </is>
      </c>
      <c r="BO1198" s="251" t="n"/>
      <c r="BP1198" s="253" t="n"/>
      <c r="BQ1198" s="253" t="n"/>
      <c r="BR1198" s="253" t="n"/>
      <c r="BS1198" s="253" t="n"/>
      <c r="BT1198" s="253" t="n"/>
      <c r="BU1198" s="101" t="n"/>
      <c r="BV1198" s="178" t="n"/>
      <c r="BW1198" s="251" t="n"/>
      <c r="BX1198" s="251" t="n"/>
      <c r="BY1198" s="251" t="n"/>
      <c r="BZ1198" s="251" t="n"/>
      <c r="CA1198" s="251" t="n"/>
      <c r="CB1198" s="251" t="n"/>
      <c r="CC1198" s="251" t="n"/>
      <c r="CD1198" s="251" t="n"/>
      <c r="CE1198" s="251" t="n"/>
      <c r="CF1198" s="251" t="n"/>
      <c r="CG1198" s="251" t="n"/>
      <c r="CH1198" s="251" t="n"/>
      <c r="CI1198" s="251" t="n"/>
      <c r="CJ1198" s="251" t="n"/>
      <c r="CK1198" s="251" t="n"/>
      <c r="CL1198" s="251" t="n"/>
      <c r="CM1198" s="251" t="n"/>
      <c r="CN1198" s="251" t="n"/>
      <c r="CO1198" s="251" t="n"/>
      <c r="CP1198" s="251" t="n"/>
      <c r="CQ1198" s="251" t="n"/>
      <c r="CR1198" s="251" t="n"/>
      <c r="CS1198" s="251" t="n"/>
      <c r="CT1198" s="251" t="n"/>
      <c r="CU1198" s="251" t="n"/>
      <c r="CV1198" s="251" t="n"/>
      <c r="CW1198" s="251" t="n"/>
      <c r="CX1198" s="251" t="n"/>
      <c r="CY1198" s="251" t="n"/>
      <c r="CZ1198" s="124">
        <f>+COUNT(BV1198:CY1198)</f>
        <v/>
      </c>
      <c r="DA1198" s="124" t="n"/>
      <c r="DB1198" s="124" t="n"/>
      <c r="DC1198" s="124" t="n"/>
      <c r="DD1198" s="124" t="n"/>
      <c r="DE1198" s="124" t="n"/>
      <c r="DF1198" s="124" t="n"/>
      <c r="DG1198" s="124" t="n"/>
      <c r="DH1198" s="124" t="n"/>
      <c r="DI1198" s="124" t="n"/>
      <c r="DJ1198" s="251" t="inlineStr">
        <is>
          <t>SE ELIMINA</t>
        </is>
      </c>
      <c r="DK1198" s="95" t="n"/>
      <c r="DL1198" s="95" t="n"/>
      <c r="DM1198" s="251" t="n"/>
      <c r="DN1198" s="95" t="n"/>
      <c r="DO1198" s="95" t="n"/>
    </row>
    <row r="1199" ht="14.25" customHeight="1">
      <c r="A1199" s="147" t="inlineStr">
        <is>
          <t>T-18  (0,2-0,4 y 0,6 m)</t>
        </is>
      </c>
      <c r="B1199" s="151"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1" t="inlineStr">
        <is>
          <t>SUELOS</t>
        </is>
      </c>
      <c r="BN1199" s="337" t="inlineStr">
        <is>
          <t>Jachucoposa</t>
        </is>
      </c>
      <c r="BO1199" s="251" t="n"/>
      <c r="BP1199" s="253" t="n"/>
      <c r="BQ1199" s="253" t="n"/>
      <c r="BR1199" s="253" t="n"/>
      <c r="BS1199" s="253" t="n"/>
      <c r="BT1199" s="253" t="n"/>
      <c r="BU1199" s="101" t="n"/>
      <c r="BV1199" s="178" t="n"/>
      <c r="BW1199" s="251" t="n"/>
      <c r="BX1199" s="251" t="n"/>
      <c r="BY1199" s="251" t="n"/>
      <c r="BZ1199" s="251" t="n"/>
      <c r="CA1199" s="251" t="n"/>
      <c r="CB1199" s="251" t="n"/>
      <c r="CC1199" s="251" t="n"/>
      <c r="CD1199" s="251" t="n"/>
      <c r="CE1199" s="251" t="n"/>
      <c r="CF1199" s="251" t="n"/>
      <c r="CG1199" s="251" t="n"/>
      <c r="CH1199" s="251" t="n"/>
      <c r="CI1199" s="251" t="n"/>
      <c r="CJ1199" s="251" t="n"/>
      <c r="CK1199" s="251" t="n"/>
      <c r="CL1199" s="251" t="n"/>
      <c r="CM1199" s="251" t="n"/>
      <c r="CN1199" s="251" t="n"/>
      <c r="CO1199" s="251" t="n"/>
      <c r="CP1199" s="251" t="n"/>
      <c r="CQ1199" s="251" t="n"/>
      <c r="CR1199" s="251" t="n"/>
      <c r="CS1199" s="251" t="n"/>
      <c r="CT1199" s="251" t="n"/>
      <c r="CU1199" s="251" t="n"/>
      <c r="CV1199" s="251" t="n"/>
      <c r="CW1199" s="251" t="n"/>
      <c r="CX1199" s="251" t="n"/>
      <c r="CY1199" s="251" t="n"/>
      <c r="CZ1199" s="124">
        <f>+COUNT(BV1199:CY1199)</f>
        <v/>
      </c>
      <c r="DA1199" s="124" t="n"/>
      <c r="DB1199" s="124" t="n"/>
      <c r="DC1199" s="124" t="n"/>
      <c r="DD1199" s="124" t="n"/>
      <c r="DE1199" s="124" t="n"/>
      <c r="DF1199" s="124" t="n"/>
      <c r="DG1199" s="124" t="n"/>
      <c r="DH1199" s="124" t="n"/>
      <c r="DI1199" s="124" t="n"/>
      <c r="DJ1199" s="251" t="inlineStr">
        <is>
          <t>SE ELIMINA</t>
        </is>
      </c>
      <c r="DK1199" s="95" t="n"/>
      <c r="DL1199" s="95" t="n"/>
      <c r="DM1199" s="251" t="n"/>
      <c r="DN1199" s="95" t="n"/>
      <c r="DO1199" s="95" t="n"/>
    </row>
    <row r="1200" ht="14.25" customHeight="1">
      <c r="A1200" s="147" t="inlineStr">
        <is>
          <t>T-21  (0,2-0,4 y 0,6 m)</t>
        </is>
      </c>
      <c r="B1200" s="151"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1" t="inlineStr">
        <is>
          <t>SUELOS</t>
        </is>
      </c>
      <c r="BN1200" s="337" t="inlineStr">
        <is>
          <t>Jachucoposa</t>
        </is>
      </c>
      <c r="BO1200" s="251" t="n"/>
      <c r="BP1200" s="253" t="n"/>
      <c r="BQ1200" s="253" t="n"/>
      <c r="BR1200" s="253" t="n"/>
      <c r="BS1200" s="253" t="n"/>
      <c r="BT1200" s="253" t="n"/>
      <c r="BU1200" s="101" t="n"/>
      <c r="BV1200" s="178" t="n"/>
      <c r="BW1200" s="251" t="n"/>
      <c r="BX1200" s="251" t="n"/>
      <c r="BY1200" s="251" t="n"/>
      <c r="BZ1200" s="251" t="n"/>
      <c r="CA1200" s="251" t="n"/>
      <c r="CB1200" s="251" t="n"/>
      <c r="CC1200" s="251" t="n"/>
      <c r="CD1200" s="251" t="n"/>
      <c r="CE1200" s="251" t="n"/>
      <c r="CF1200" s="251" t="n"/>
      <c r="CG1200" s="251" t="n"/>
      <c r="CH1200" s="251" t="n"/>
      <c r="CI1200" s="251" t="n"/>
      <c r="CJ1200" s="251" t="n"/>
      <c r="CK1200" s="251" t="n"/>
      <c r="CL1200" s="251" t="n"/>
      <c r="CM1200" s="251" t="n"/>
      <c r="CN1200" s="251" t="n"/>
      <c r="CO1200" s="251" t="n"/>
      <c r="CP1200" s="251" t="n"/>
      <c r="CQ1200" s="251" t="n"/>
      <c r="CR1200" s="251" t="n"/>
      <c r="CS1200" s="251" t="n"/>
      <c r="CT1200" s="251" t="n"/>
      <c r="CU1200" s="251" t="n"/>
      <c r="CV1200" s="251" t="n"/>
      <c r="CW1200" s="251" t="n"/>
      <c r="CX1200" s="251" t="n"/>
      <c r="CY1200" s="251" t="n"/>
      <c r="CZ1200" s="124">
        <f>+COUNT(BV1200:CY1200)</f>
        <v/>
      </c>
      <c r="DA1200" s="124" t="n"/>
      <c r="DB1200" s="124" t="n"/>
      <c r="DC1200" s="124" t="n"/>
      <c r="DD1200" s="124" t="n"/>
      <c r="DE1200" s="124" t="n"/>
      <c r="DF1200" s="124" t="n"/>
      <c r="DG1200" s="124" t="n"/>
      <c r="DH1200" s="124" t="n"/>
      <c r="DI1200" s="124" t="n"/>
      <c r="DJ1200" s="251" t="inlineStr">
        <is>
          <t>SE ELIMINA</t>
        </is>
      </c>
      <c r="DK1200" s="95" t="n"/>
      <c r="DL1200" s="95" t="n"/>
      <c r="DM1200" s="251" t="n"/>
      <c r="DN1200" s="95" t="n"/>
      <c r="DO1200" s="95" t="n"/>
    </row>
    <row r="1201" ht="14.25" customHeight="1">
      <c r="A1201" s="147" t="inlineStr">
        <is>
          <t>T-22  (0,2-0,4 y 0,6 m)</t>
        </is>
      </c>
      <c r="B1201" s="151"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1" t="inlineStr">
        <is>
          <t>SUELOS</t>
        </is>
      </c>
      <c r="BN1201" s="337" t="inlineStr">
        <is>
          <t>Jachucoposa</t>
        </is>
      </c>
      <c r="BO1201" s="251" t="n"/>
      <c r="BP1201" s="253" t="n"/>
      <c r="BQ1201" s="253" t="n"/>
      <c r="BR1201" s="253" t="n"/>
      <c r="BS1201" s="253" t="n"/>
      <c r="BT1201" s="253" t="n"/>
      <c r="BU1201" s="101" t="n"/>
      <c r="BV1201" s="178" t="n"/>
      <c r="BW1201" s="251" t="n"/>
      <c r="BX1201" s="251" t="n"/>
      <c r="BY1201" s="251" t="n"/>
      <c r="BZ1201" s="251" t="n"/>
      <c r="CA1201" s="251" t="n"/>
      <c r="CB1201" s="251" t="n"/>
      <c r="CC1201" s="251" t="n"/>
      <c r="CD1201" s="251" t="n"/>
      <c r="CE1201" s="251" t="n"/>
      <c r="CF1201" s="251" t="n"/>
      <c r="CG1201" s="251" t="n"/>
      <c r="CH1201" s="251" t="n"/>
      <c r="CI1201" s="251" t="n"/>
      <c r="CJ1201" s="251" t="n"/>
      <c r="CK1201" s="251" t="n"/>
      <c r="CL1201" s="251" t="n"/>
      <c r="CM1201" s="251" t="n"/>
      <c r="CN1201" s="251" t="n"/>
      <c r="CO1201" s="251" t="n"/>
      <c r="CP1201" s="251" t="n"/>
      <c r="CQ1201" s="251" t="n"/>
      <c r="CR1201" s="251" t="n"/>
      <c r="CS1201" s="251" t="n"/>
      <c r="CT1201" s="251" t="n"/>
      <c r="CU1201" s="251" t="n"/>
      <c r="CV1201" s="251" t="n"/>
      <c r="CW1201" s="251" t="n"/>
      <c r="CX1201" s="251" t="n"/>
      <c r="CY1201" s="251" t="n"/>
      <c r="CZ1201" s="124">
        <f>+COUNT(BV1201:CY1201)</f>
        <v/>
      </c>
      <c r="DA1201" s="124" t="n"/>
      <c r="DB1201" s="124" t="n"/>
      <c r="DC1201" s="124" t="n"/>
      <c r="DD1201" s="124" t="n"/>
      <c r="DE1201" s="124" t="n"/>
      <c r="DF1201" s="124" t="n"/>
      <c r="DG1201" s="124" t="n"/>
      <c r="DH1201" s="124" t="n"/>
      <c r="DI1201" s="124" t="n"/>
      <c r="DJ1201" s="251" t="inlineStr">
        <is>
          <t>SE ELIMINA</t>
        </is>
      </c>
      <c r="DK1201" s="95" t="n"/>
      <c r="DL1201" s="95" t="n"/>
      <c r="DM1201" s="251" t="n"/>
      <c r="DN1201" s="95" t="n"/>
      <c r="DO1201" s="95" t="n"/>
    </row>
    <row r="1202" ht="14.25" customHeight="1">
      <c r="A1202" s="147" t="inlineStr">
        <is>
          <t>T-24  (0,2-0,4 y 0,6 m)</t>
        </is>
      </c>
      <c r="B1202" s="151"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1" t="inlineStr">
        <is>
          <t>SUELOS</t>
        </is>
      </c>
      <c r="BN1202" s="337" t="inlineStr">
        <is>
          <t>Jachucoposa</t>
        </is>
      </c>
      <c r="BO1202" s="251" t="n"/>
      <c r="BP1202" s="253" t="n"/>
      <c r="BQ1202" s="253" t="n"/>
      <c r="BR1202" s="253" t="n"/>
      <c r="BS1202" s="253" t="n"/>
      <c r="BT1202" s="253" t="n"/>
      <c r="BU1202" s="101" t="n"/>
      <c r="BV1202" s="178" t="n"/>
      <c r="BW1202" s="251" t="n"/>
      <c r="BX1202" s="251" t="n"/>
      <c r="BY1202" s="251" t="n"/>
      <c r="BZ1202" s="251" t="n"/>
      <c r="CA1202" s="251" t="n"/>
      <c r="CB1202" s="251" t="n"/>
      <c r="CC1202" s="251" t="n"/>
      <c r="CD1202" s="251" t="n"/>
      <c r="CE1202" s="251" t="n"/>
      <c r="CF1202" s="251" t="n"/>
      <c r="CG1202" s="251" t="n"/>
      <c r="CH1202" s="251" t="n"/>
      <c r="CI1202" s="251" t="n"/>
      <c r="CJ1202" s="251" t="n"/>
      <c r="CK1202" s="251" t="n"/>
      <c r="CL1202" s="251" t="n"/>
      <c r="CM1202" s="251" t="n"/>
      <c r="CN1202" s="251" t="n"/>
      <c r="CO1202" s="251" t="n"/>
      <c r="CP1202" s="251" t="n"/>
      <c r="CQ1202" s="251" t="n"/>
      <c r="CR1202" s="251" t="n"/>
      <c r="CS1202" s="251" t="n"/>
      <c r="CT1202" s="251" t="n"/>
      <c r="CU1202" s="251" t="n"/>
      <c r="CV1202" s="251" t="n"/>
      <c r="CW1202" s="251" t="n"/>
      <c r="CX1202" s="251" t="n"/>
      <c r="CY1202" s="251" t="n"/>
      <c r="CZ1202" s="124">
        <f>+COUNT(BV1202:CY1202)</f>
        <v/>
      </c>
      <c r="DA1202" s="124" t="n"/>
      <c r="DB1202" s="124" t="n"/>
      <c r="DC1202" s="124" t="n"/>
      <c r="DD1202" s="124" t="n"/>
      <c r="DE1202" s="124" t="n"/>
      <c r="DF1202" s="124" t="n"/>
      <c r="DG1202" s="124" t="n"/>
      <c r="DH1202" s="124" t="n"/>
      <c r="DI1202" s="124" t="n"/>
      <c r="DJ1202" s="251" t="inlineStr">
        <is>
          <t>SE ELIMINA</t>
        </is>
      </c>
      <c r="DK1202" s="95" t="n"/>
      <c r="DL1202" s="95" t="n"/>
      <c r="DM1202" s="251" t="n"/>
      <c r="DN1202" s="95" t="n"/>
      <c r="DO1202" s="95" t="n"/>
    </row>
    <row r="1203" ht="14.25" customHeight="1">
      <c r="A1203" s="147" t="inlineStr">
        <is>
          <t>T-25  (0,2-0,4 y 0,6 m)</t>
        </is>
      </c>
      <c r="B1203" s="151"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1" t="inlineStr">
        <is>
          <t>SUELOS</t>
        </is>
      </c>
      <c r="BN1203" s="337" t="inlineStr">
        <is>
          <t>Jachucoposa</t>
        </is>
      </c>
      <c r="BO1203" s="251" t="n"/>
      <c r="BP1203" s="253" t="n"/>
      <c r="BQ1203" s="253" t="n"/>
      <c r="BR1203" s="253" t="n"/>
      <c r="BS1203" s="253" t="n"/>
      <c r="BT1203" s="253" t="n"/>
      <c r="BU1203" s="101" t="n"/>
      <c r="BV1203" s="178" t="n"/>
      <c r="BW1203" s="251" t="n"/>
      <c r="BX1203" s="251" t="n"/>
      <c r="BY1203" s="251" t="n"/>
      <c r="BZ1203" s="251" t="n"/>
      <c r="CA1203" s="251" t="n"/>
      <c r="CB1203" s="251" t="n"/>
      <c r="CC1203" s="251" t="n"/>
      <c r="CD1203" s="251" t="n"/>
      <c r="CE1203" s="251" t="n"/>
      <c r="CF1203" s="251" t="n"/>
      <c r="CG1203" s="251" t="n"/>
      <c r="CH1203" s="251" t="n"/>
      <c r="CI1203" s="251" t="n"/>
      <c r="CJ1203" s="251" t="n"/>
      <c r="CK1203" s="251" t="n"/>
      <c r="CL1203" s="251" t="n"/>
      <c r="CM1203" s="251" t="n"/>
      <c r="CN1203" s="251" t="n"/>
      <c r="CO1203" s="251" t="n"/>
      <c r="CP1203" s="251" t="n"/>
      <c r="CQ1203" s="251" t="n"/>
      <c r="CR1203" s="251" t="n"/>
      <c r="CS1203" s="251" t="n"/>
      <c r="CT1203" s="251" t="n"/>
      <c r="CU1203" s="251" t="n"/>
      <c r="CV1203" s="251" t="n"/>
      <c r="CW1203" s="251" t="n"/>
      <c r="CX1203" s="251" t="n"/>
      <c r="CY1203" s="251" t="n"/>
      <c r="CZ1203" s="124">
        <f>+COUNT(BV1203:CY1203)</f>
        <v/>
      </c>
      <c r="DA1203" s="124" t="n"/>
      <c r="DB1203" s="124" t="n"/>
      <c r="DC1203" s="124" t="n"/>
      <c r="DD1203" s="124" t="n"/>
      <c r="DE1203" s="124" t="n"/>
      <c r="DF1203" s="124" t="n"/>
      <c r="DG1203" s="124" t="n"/>
      <c r="DH1203" s="124" t="n"/>
      <c r="DI1203" s="124" t="n"/>
      <c r="DJ1203" s="251" t="inlineStr">
        <is>
          <t>SE ELIMINA</t>
        </is>
      </c>
      <c r="DK1203" s="95" t="n"/>
      <c r="DL1203" s="95" t="n"/>
      <c r="DM1203" s="251" t="n"/>
      <c r="DN1203" s="95" t="n"/>
      <c r="DO1203" s="95" t="n"/>
    </row>
    <row r="1204" ht="14.25" customHeight="1">
      <c r="A1204" s="147" t="inlineStr">
        <is>
          <t>PCA-05</t>
        </is>
      </c>
      <c r="B1204" s="151" t="n"/>
      <c r="C1204" s="108" t="n"/>
      <c r="D1204" s="7" t="inlineStr">
        <is>
          <t>MONITOREO INTERNO</t>
        </is>
      </c>
      <c r="E1204" s="7" t="inlineStr">
        <is>
          <t>NO</t>
        </is>
      </c>
      <c r="F1204" s="7" t="inlineStr">
        <is>
          <t>NO</t>
        </is>
      </c>
      <c r="G1204" s="7" t="inlineStr">
        <is>
          <t>NO</t>
        </is>
      </c>
      <c r="H1204" s="7" t="inlineStr">
        <is>
          <t>REVISAR</t>
        </is>
      </c>
      <c r="I1204" s="7" t="inlineStr">
        <is>
          <t>REVISAR</t>
        </is>
      </c>
      <c r="J1204" s="7" t="inlineStr">
        <is>
          <t>Construido</t>
        </is>
      </c>
      <c r="K1204" s="7" t="inlineStr">
        <is>
          <t>-</t>
        </is>
      </c>
      <c r="L1204" s="7" t="inlineStr">
        <is>
          <t>Agua Subterránea</t>
        </is>
      </c>
      <c r="M1204" s="7" t="inlineStr">
        <is>
          <t>Cordillera</t>
        </is>
      </c>
      <c r="N1204" s="7" t="inlineStr">
        <is>
          <t>Medio ambiente</t>
        </is>
      </c>
      <c r="O1204" s="7" t="inlineStr">
        <is>
          <t>Rosario</t>
        </is>
      </c>
      <c r="P1204" s="7" t="inlineStr">
        <is>
          <t>NO</t>
        </is>
      </c>
      <c r="Q1204" s="7" t="inlineStr">
        <is>
          <t>-</t>
        </is>
      </c>
      <c r="R1204" s="7" t="inlineStr">
        <is>
          <t>-</t>
        </is>
      </c>
      <c r="S1204" s="7" t="inlineStr">
        <is>
          <t>-</t>
        </is>
      </c>
      <c r="T1204" s="7" t="inlineStr">
        <is>
          <t>SI</t>
        </is>
      </c>
      <c r="U1204" s="7" t="inlineStr">
        <is>
          <t>Mensual</t>
        </is>
      </c>
      <c r="V1204" s="7" t="inlineStr">
        <is>
          <t>SI</t>
        </is>
      </c>
      <c r="W1204" s="7" t="inlineStr">
        <is>
          <t>Mensual</t>
        </is>
      </c>
      <c r="X1204" s="7" t="inlineStr">
        <is>
          <t>NO</t>
        </is>
      </c>
      <c r="Y1204" s="7" t="inlineStr">
        <is>
          <t>-</t>
        </is>
      </c>
      <c r="Z1204" s="7" t="inlineStr">
        <is>
          <t>NO</t>
        </is>
      </c>
      <c r="AA1204" s="7" t="inlineStr">
        <is>
          <t>-</t>
        </is>
      </c>
      <c r="AB1204" s="7" t="inlineStr">
        <is>
          <t>NO</t>
        </is>
      </c>
      <c r="AC1204" s="7" t="inlineStr">
        <is>
          <t>-</t>
        </is>
      </c>
      <c r="AD1204" s="7" t="inlineStr">
        <is>
          <t>NO</t>
        </is>
      </c>
      <c r="AE1204" s="7" t="inlineStr">
        <is>
          <t>-</t>
        </is>
      </c>
      <c r="AF1204" s="7" t="inlineStr">
        <is>
          <t>-</t>
        </is>
      </c>
      <c r="AG1204" s="7" t="inlineStr">
        <is>
          <t>NO</t>
        </is>
      </c>
      <c r="AH1204" s="7" t="inlineStr">
        <is>
          <t>-</t>
        </is>
      </c>
      <c r="AI1204" s="7" t="inlineStr">
        <is>
          <t>NO</t>
        </is>
      </c>
      <c r="AJ1204" s="7" t="inlineStr">
        <is>
          <t>-</t>
        </is>
      </c>
      <c r="AK1204" s="60" t="inlineStr">
        <is>
          <t>NO</t>
        </is>
      </c>
      <c r="AL1204" s="7" t="inlineStr">
        <is>
          <t>-</t>
        </is>
      </c>
      <c r="AM1204" s="7" t="inlineStr">
        <is>
          <t>-</t>
        </is>
      </c>
      <c r="AN1204" s="60" t="inlineStr">
        <is>
          <t>NO</t>
        </is>
      </c>
      <c r="AO1204" s="7" t="inlineStr">
        <is>
          <t>-</t>
        </is>
      </c>
      <c r="AP1204" s="60" t="inlineStr">
        <is>
          <t>NO</t>
        </is>
      </c>
      <c r="AQ1204" s="7" t="inlineStr">
        <is>
          <t>-</t>
        </is>
      </c>
      <c r="AR1204" s="60" t="inlineStr">
        <is>
          <t>NO</t>
        </is>
      </c>
      <c r="AS1204" s="7" t="inlineStr">
        <is>
          <t>-</t>
        </is>
      </c>
      <c r="AT1204" s="7" t="inlineStr">
        <is>
          <t>NO</t>
        </is>
      </c>
      <c r="AU1204" s="7" t="inlineStr">
        <is>
          <t>-</t>
        </is>
      </c>
      <c r="AV1204" s="60" t="inlineStr">
        <is>
          <t>NO</t>
        </is>
      </c>
      <c r="AW1204" s="7" t="inlineStr">
        <is>
          <t>-</t>
        </is>
      </c>
      <c r="AX1204" s="7" t="inlineStr">
        <is>
          <t>NO</t>
        </is>
      </c>
      <c r="AY1204" s="7" t="inlineStr">
        <is>
          <t>-</t>
        </is>
      </c>
      <c r="AZ1204" s="7" t="inlineStr">
        <is>
          <t>NO</t>
        </is>
      </c>
      <c r="BA1204" s="7" t="inlineStr">
        <is>
          <t>-</t>
        </is>
      </c>
      <c r="BB1204" s="7" t="inlineStr">
        <is>
          <t>NO</t>
        </is>
      </c>
      <c r="BC1204" s="7" t="inlineStr">
        <is>
          <t>-</t>
        </is>
      </c>
      <c r="BD1204" s="7" t="inlineStr">
        <is>
          <t>NO</t>
        </is>
      </c>
      <c r="BE1204" s="7" t="inlineStr">
        <is>
          <t>-</t>
        </is>
      </c>
      <c r="BF1204" s="7" t="inlineStr">
        <is>
          <t>No aplica</t>
        </is>
      </c>
      <c r="BG1204" s="7" t="inlineStr">
        <is>
          <t>Monitoreo interno</t>
        </is>
      </c>
      <c r="BH1204" s="7" t="inlineStr">
        <is>
          <t>No aplica</t>
        </is>
      </c>
      <c r="BI1204" s="7" t="inlineStr">
        <is>
          <t>Consultar si el punto de monitoreo se debe seguir monitoreando</t>
        </is>
      </c>
      <c r="BJ1204" s="7" t="n"/>
      <c r="BK1204" s="61" t="inlineStr">
        <is>
          <t>S/TAG</t>
        </is>
      </c>
      <c r="BL1204" s="61" t="inlineStr">
        <is>
          <t>GMAP-SIGA</t>
        </is>
      </c>
      <c r="BM1204" s="251" t="inlineStr">
        <is>
          <t>ASUB</t>
        </is>
      </c>
      <c r="BN1204" s="337" t="inlineStr">
        <is>
          <t>Rosario</t>
        </is>
      </c>
      <c r="BO1204" s="251" t="inlineStr">
        <is>
          <t>NO</t>
        </is>
      </c>
      <c r="BP1204" s="253" t="n"/>
      <c r="BQ1204" s="253" t="n"/>
      <c r="BR1204" s="253" t="n"/>
      <c r="BS1204" s="253" t="n"/>
      <c r="BT1204" s="253" t="n"/>
      <c r="BU1204" s="101" t="inlineStr">
        <is>
          <t>ARCADIS</t>
        </is>
      </c>
      <c r="BV1204" s="130" t="n"/>
      <c r="BW1204" s="105" t="n"/>
      <c r="BX1204" s="105" t="n"/>
      <c r="BY1204" s="105" t="n"/>
      <c r="BZ1204" s="105" t="n"/>
      <c r="CA1204" s="105" t="n"/>
      <c r="CB1204" s="105" t="n"/>
      <c r="CC1204" s="105" t="n"/>
      <c r="CD1204" s="105" t="n"/>
      <c r="CE1204" s="105" t="n"/>
      <c r="CF1204" s="105" t="n"/>
      <c r="CG1204" s="105" t="n"/>
      <c r="CH1204" s="105" t="n"/>
      <c r="CI1204" s="105" t="n"/>
      <c r="CJ1204" s="105" t="n"/>
      <c r="CK1204" s="105" t="n"/>
      <c r="CL1204" s="105" t="n"/>
      <c r="CM1204" s="105" t="n"/>
      <c r="CN1204" s="105" t="n"/>
      <c r="CO1204" s="105" t="n"/>
      <c r="CP1204" s="105" t="n"/>
      <c r="CQ1204" s="105" t="n"/>
      <c r="CR1204" s="105" t="n"/>
      <c r="CS1204" s="105" t="n"/>
      <c r="CT1204" s="105" t="n"/>
      <c r="CU1204" s="105" t="n"/>
      <c r="CV1204" s="105" t="n"/>
      <c r="CW1204" s="105" t="n"/>
      <c r="CX1204" s="105" t="n"/>
      <c r="CY1204" s="105" t="n"/>
      <c r="CZ1204" s="124">
        <f>+COUNT(BV1204:CY1204)</f>
        <v/>
      </c>
      <c r="DA1204" s="124" t="n"/>
      <c r="DB1204" s="124" t="n"/>
      <c r="DC1204" s="124" t="n"/>
      <c r="DD1204" s="124" t="n"/>
      <c r="DE1204" s="124" t="n"/>
      <c r="DF1204" s="124" t="n"/>
      <c r="DG1204" s="124" t="n"/>
      <c r="DH1204" s="124" t="n"/>
      <c r="DI1204" s="124" t="n"/>
      <c r="DJ1204" s="98" t="inlineStr">
        <is>
          <t>N/A</t>
        </is>
      </c>
      <c r="DK1204" s="251" t="n"/>
      <c r="DL1204" s="95" t="n"/>
      <c r="DM1204" s="251" t="inlineStr">
        <is>
          <t>N/A</t>
        </is>
      </c>
      <c r="DN1204" s="95" t="n"/>
      <c r="DO1204" s="95" t="n"/>
    </row>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046192" ht="14.25" customHeight="1">
      <c r="CE1046192" s="142" t="n">
        <v>1</v>
      </c>
    </row>
  </sheetData>
  <autoFilter ref="A9:EW1066"/>
  <mergeCells count="943">
    <mergeCell ref="BU910:BU911"/>
    <mergeCell ref="BU22:BU23"/>
    <mergeCell ref="C137:C138"/>
    <mergeCell ref="BU111:BU112"/>
    <mergeCell ref="AG7:AG9"/>
    <mergeCell ref="AI7:AI9"/>
    <mergeCell ref="C889:C890"/>
    <mergeCell ref="BK719:BK720"/>
    <mergeCell ref="BU912:BU913"/>
    <mergeCell ref="B450:B451"/>
    <mergeCell ref="BK56:BK57"/>
    <mergeCell ref="BK735:BK736"/>
    <mergeCell ref="BU607:BU608"/>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BU640:BU641"/>
    <mergeCell ref="BK1012:BK1013"/>
    <mergeCell ref="BU300:BU301"/>
    <mergeCell ref="B64:B65"/>
    <mergeCell ref="C513:C514"/>
    <mergeCell ref="C488:C489"/>
    <mergeCell ref="BU406:BU407"/>
    <mergeCell ref="BU511:BU512"/>
    <mergeCell ref="BU462:BU463"/>
    <mergeCell ref="BK883:BK884"/>
    <mergeCell ref="BU704:BU705"/>
    <mergeCell ref="DC7:DC9"/>
    <mergeCell ref="DE7:DE9"/>
    <mergeCell ref="BK603:BK604"/>
    <mergeCell ref="C711:C712"/>
    <mergeCell ref="C425:C426"/>
    <mergeCell ref="C723:C724"/>
    <mergeCell ref="BK649:BK650"/>
    <mergeCell ref="C490:C491"/>
    <mergeCell ref="BK133:BK134"/>
    <mergeCell ref="B787:B788"/>
    <mergeCell ref="B743:B744"/>
    <mergeCell ref="B26:B27"/>
    <mergeCell ref="B914:B915"/>
    <mergeCell ref="B159:B160"/>
    <mergeCell ref="C14:C15"/>
    <mergeCell ref="B153:B154"/>
    <mergeCell ref="C427:C428"/>
    <mergeCell ref="C725:C726"/>
    <mergeCell ref="B509:B510"/>
    <mergeCell ref="BK425:BK426"/>
    <mergeCell ref="B916:B917"/>
    <mergeCell ref="BK723:BK724"/>
    <mergeCell ref="BK490:BK491"/>
    <mergeCell ref="BU416:BU417"/>
    <mergeCell ref="T7:T9"/>
    <mergeCell ref="V7:V9"/>
    <mergeCell ref="C343:C344"/>
    <mergeCell ref="BU117:BU118"/>
    <mergeCell ref="C501:C502"/>
    <mergeCell ref="BK427:BK428"/>
    <mergeCell ref="BK725:BK726"/>
    <mergeCell ref="BU480:BU481"/>
    <mergeCell ref="BK852:BK853"/>
    <mergeCell ref="BK135:BK136"/>
    <mergeCell ref="C109:C110"/>
    <mergeCell ref="K7:K9"/>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C153:C154"/>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A7:A9"/>
    <mergeCell ref="BK153:BK154"/>
    <mergeCell ref="BK517:BK518"/>
    <mergeCell ref="B889:B890"/>
    <mergeCell ref="BU66:BU67"/>
    <mergeCell ref="BK609:BK610"/>
    <mergeCell ref="BK581:BK582"/>
    <mergeCell ref="BK519:BK520"/>
    <mergeCell ref="BU768:BU769"/>
    <mergeCell ref="BK611:BK612"/>
    <mergeCell ref="C452:C453"/>
    <mergeCell ref="C20:C21"/>
    <mergeCell ref="BU18:BU19"/>
    <mergeCell ref="BU341:BU342"/>
    <mergeCell ref="BK141:BK142"/>
    <mergeCell ref="B121:B122"/>
    <mergeCell ref="BK439:BK440"/>
    <mergeCell ref="BU577:BU578"/>
    <mergeCell ref="BU770:BU771"/>
    <mergeCell ref="B161:B162"/>
    <mergeCell ref="BU933:BU934"/>
    <mergeCell ref="C22:C23"/>
    <mergeCell ref="C733:C734"/>
    <mergeCell ref="C854:C855"/>
    <mergeCell ref="B688:B689"/>
    <mergeCell ref="BT456:BT457"/>
    <mergeCell ref="B467:B468"/>
    <mergeCell ref="C36:C37"/>
    <mergeCell ref="B795:B796"/>
    <mergeCell ref="B83:B84"/>
    <mergeCell ref="B490:B491"/>
    <mergeCell ref="BF7:BF9"/>
    <mergeCell ref="BK343:BK344"/>
    <mergeCell ref="C651:C652"/>
    <mergeCell ref="BH7:BH9"/>
    <mergeCell ref="BK797:BK798"/>
    <mergeCell ref="B462:B463"/>
    <mergeCell ref="C743:C744"/>
    <mergeCell ref="B20:B21"/>
    <mergeCell ref="BK591:BK592"/>
    <mergeCell ref="C48:C49"/>
    <mergeCell ref="BK889:BK890"/>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935:B936"/>
    <mergeCell ref="B109:B110"/>
    <mergeCell ref="BU484:BU485"/>
    <mergeCell ref="B416:B417"/>
    <mergeCell ref="C619:C620"/>
    <mergeCell ref="B774:B775"/>
    <mergeCell ref="DK1:DT1"/>
    <mergeCell ref="C933:C934"/>
    <mergeCell ref="BK131:BK132"/>
    <mergeCell ref="C143:C144"/>
    <mergeCell ref="B111:B112"/>
    <mergeCell ref="BE7:BE9"/>
    <mergeCell ref="C441:C442"/>
    <mergeCell ref="B38:B39"/>
    <mergeCell ref="B651:B652"/>
    <mergeCell ref="BG7:BG9"/>
    <mergeCell ref="B638:B639"/>
    <mergeCell ref="BU509:BU510"/>
    <mergeCell ref="BK825:BK826"/>
    <mergeCell ref="BK881:BK882"/>
    <mergeCell ref="B48:B49"/>
    <mergeCell ref="C885:C886"/>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912:BK913"/>
    <mergeCell ref="BK741:BK742"/>
    <mergeCell ref="BK157:BK158"/>
    <mergeCell ref="C125:C126"/>
    <mergeCell ref="BU515:BU516"/>
    <mergeCell ref="C799:C800"/>
    <mergeCell ref="C603:C604"/>
    <mergeCell ref="B300:B301"/>
    <mergeCell ref="W7:W9"/>
    <mergeCell ref="B66:B67"/>
    <mergeCell ref="BK109:BK110"/>
    <mergeCell ref="B793:B794"/>
    <mergeCell ref="B885:B886"/>
    <mergeCell ref="B768:B769"/>
    <mergeCell ref="DL7:DL9"/>
    <mergeCell ref="B749:B750"/>
    <mergeCell ref="DN7:DN9"/>
    <mergeCell ref="B341:B342"/>
    <mergeCell ref="BK12:BK13"/>
    <mergeCell ref="B797:B798"/>
    <mergeCell ref="BK515:BK516"/>
    <mergeCell ref="C16:C17"/>
    <mergeCell ref="BK607:BK608"/>
    <mergeCell ref="C581:C582"/>
    <mergeCell ref="BU902:BU903"/>
    <mergeCell ref="BU818:BU819"/>
    <mergeCell ref="B117:B118"/>
    <mergeCell ref="C591:C592"/>
    <mergeCell ref="BU499:BU500"/>
    <mergeCell ref="BK404:BK405"/>
    <mergeCell ref="BK671:BK672"/>
    <mergeCell ref="BU597:BU598"/>
    <mergeCell ref="AY7:AY9"/>
    <mergeCell ref="C810:C811"/>
    <mergeCell ref="C881:C882"/>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BU441:BU442"/>
    <mergeCell ref="BK36:BK37"/>
    <mergeCell ref="BK813:BK814"/>
    <mergeCell ref="BK918:BK919"/>
    <mergeCell ref="C825:C826"/>
    <mergeCell ref="BK163:BK164"/>
    <mergeCell ref="BK30:BK31"/>
    <mergeCell ref="BU149:BU150"/>
    <mergeCell ref="H7:H9"/>
    <mergeCell ref="J7:J9"/>
    <mergeCell ref="BU14:BU15"/>
    <mergeCell ref="C460:C461"/>
    <mergeCell ref="C902:C903"/>
    <mergeCell ref="BK828:BK829"/>
    <mergeCell ref="C702:C703"/>
    <mergeCell ref="BU505:BU506"/>
    <mergeCell ref="DD7:DD9"/>
    <mergeCell ref="DF7:DF9"/>
    <mergeCell ref="BU151:BU152"/>
    <mergeCell ref="BK621:BK622"/>
    <mergeCell ref="C462:C463"/>
    <mergeCell ref="C904:C905"/>
    <mergeCell ref="B290:B291"/>
    <mergeCell ref="BU808:BU809"/>
    <mergeCell ref="AR7:AR9"/>
    <mergeCell ref="AT7:AT9"/>
    <mergeCell ref="AV7:AV9"/>
    <mergeCell ref="B799:B800"/>
    <mergeCell ref="BU38:BU39"/>
    <mergeCell ref="BK646:BK647"/>
    <mergeCell ref="B127:B128"/>
    <mergeCell ref="BK54:BK55"/>
    <mergeCell ref="B692:B693"/>
    <mergeCell ref="AC7:AC9"/>
    <mergeCell ref="AE7:AE9"/>
    <mergeCell ref="BK412:BK413"/>
    <mergeCell ref="BU605:BU606"/>
    <mergeCell ref="C818:C819"/>
    <mergeCell ref="C793:C794"/>
    <mergeCell ref="BK933:BK934"/>
    <mergeCell ref="C597:C598"/>
    <mergeCell ref="BU129:BU130"/>
    <mergeCell ref="BK476:BK477"/>
    <mergeCell ref="B723:B724"/>
    <mergeCell ref="BK908:BK909"/>
    <mergeCell ref="BU834:BU835"/>
    <mergeCell ref="C820:C821"/>
    <mergeCell ref="C599:C600"/>
    <mergeCell ref="BU131:BU132"/>
    <mergeCell ref="C83:C84"/>
    <mergeCell ref="BM7:BM9"/>
    <mergeCell ref="C515:C516"/>
    <mergeCell ref="BK478:BK479"/>
    <mergeCell ref="B725:B726"/>
    <mergeCell ref="C813:C814"/>
    <mergeCell ref="BK776:BK777"/>
    <mergeCell ref="BU836:BU837"/>
    <mergeCell ref="BU81:BU82"/>
    <mergeCell ref="B16:B17"/>
    <mergeCell ref="BO7:BO9"/>
    <mergeCell ref="C294:C295"/>
    <mergeCell ref="B420:B421"/>
    <mergeCell ref="C828:C829"/>
    <mergeCell ref="C579:C580"/>
    <mergeCell ref="B18:B19"/>
    <mergeCell ref="BU460:BU461"/>
    <mergeCell ref="B881:B882"/>
    <mergeCell ref="BU109:BU110"/>
    <mergeCell ref="B484:B485"/>
    <mergeCell ref="AB7:AB9"/>
    <mergeCell ref="AD7:AD9"/>
    <mergeCell ref="BU155:BU156"/>
    <mergeCell ref="BU810:BU811"/>
    <mergeCell ref="DA7:DA9"/>
    <mergeCell ref="B818:B819"/>
    <mergeCell ref="BK125:BK126"/>
    <mergeCell ref="BK834:BK835"/>
    <mergeCell ref="B883:B884"/>
    <mergeCell ref="BU852:BU853"/>
    <mergeCell ref="C12:C13"/>
    <mergeCell ref="BU157:BU158"/>
    <mergeCell ref="C717:C718"/>
    <mergeCell ref="BK127:BK128"/>
    <mergeCell ref="C910:C911"/>
    <mergeCell ref="BU376:BU377"/>
    <mergeCell ref="BK692:BK693"/>
    <mergeCell ref="C704:C705"/>
    <mergeCell ref="C418:C419"/>
    <mergeCell ref="BU854:BU855"/>
    <mergeCell ref="B515:B516"/>
    <mergeCell ref="C412:C413"/>
    <mergeCell ref="BK642:BK643"/>
    <mergeCell ref="BU28:BU29"/>
    <mergeCell ref="C719:C720"/>
    <mergeCell ref="C912:C913"/>
    <mergeCell ref="BK927:BK928"/>
    <mergeCell ref="C768:C769"/>
    <mergeCell ref="BK623:BK624"/>
    <mergeCell ref="BU918:BU919"/>
    <mergeCell ref="C420:C421"/>
    <mergeCell ref="BU30:BU31"/>
    <mergeCell ref="BK402:BK403"/>
    <mergeCell ref="C376:C377"/>
    <mergeCell ref="B133:B134"/>
    <mergeCell ref="R7:R9"/>
    <mergeCell ref="BK418:BK419"/>
    <mergeCell ref="C770:C771"/>
    <mergeCell ref="BK339:BK340"/>
    <mergeCell ref="G7:G9"/>
    <mergeCell ref="B141:B142"/>
    <mergeCell ref="C745:C746"/>
    <mergeCell ref="C38:C39"/>
    <mergeCell ref="B439:B440"/>
    <mergeCell ref="B135:B136"/>
    <mergeCell ref="I7:I9"/>
    <mergeCell ref="B433:B434"/>
    <mergeCell ref="B904:B905"/>
    <mergeCell ref="BK484:BK485"/>
    <mergeCell ref="B149:B150"/>
    <mergeCell ref="BU404:BU405"/>
    <mergeCell ref="BU671:BU672"/>
    <mergeCell ref="AS7:AS9"/>
    <mergeCell ref="AU7:AU9"/>
    <mergeCell ref="BU931:BU932"/>
    <mergeCell ref="B499:B500"/>
    <mergeCell ref="C834:C835"/>
    <mergeCell ref="AM7:AM9"/>
    <mergeCell ref="BK486:BK487"/>
    <mergeCell ref="BU437:BU438"/>
    <mergeCell ref="BU412:BU413"/>
    <mergeCell ref="BU906:BU907"/>
    <mergeCell ref="BU145:BU146"/>
    <mergeCell ref="BK759:BK760"/>
    <mergeCell ref="B808:B809"/>
    <mergeCell ref="C404:C405"/>
    <mergeCell ref="BU452:BU453"/>
    <mergeCell ref="C133:C134"/>
    <mergeCell ref="C127:C128"/>
    <mergeCell ref="C836:C837"/>
    <mergeCell ref="BK115:BK116"/>
    <mergeCell ref="C692:C693"/>
    <mergeCell ref="BK715:BK716"/>
    <mergeCell ref="BU908:BU909"/>
    <mergeCell ref="BU147:BU148"/>
    <mergeCell ref="C135:C136"/>
    <mergeCell ref="C458:C459"/>
    <mergeCell ref="C900:C901"/>
    <mergeCell ref="C887:C888"/>
    <mergeCell ref="C408:C409"/>
    <mergeCell ref="BK304:BK305"/>
    <mergeCell ref="B820:B821"/>
    <mergeCell ref="BU34:BU35"/>
    <mergeCell ref="C929:C930"/>
    <mergeCell ref="BN7:BN9"/>
    <mergeCell ref="BP7:BP9"/>
    <mergeCell ref="B129:B130"/>
    <mergeCell ref="BK433:BK434"/>
    <mergeCell ref="B123:B124"/>
    <mergeCell ref="BK902:BK903"/>
    <mergeCell ref="BK731:BK732"/>
    <mergeCell ref="B834:B835"/>
    <mergeCell ref="BU36:BU37"/>
    <mergeCell ref="BK408:BK409"/>
    <mergeCell ref="BU163:BU164"/>
    <mergeCell ref="BK644:BK645"/>
    <mergeCell ref="BU125:BU126"/>
    <mergeCell ref="BK497:BK498"/>
    <mergeCell ref="C28:C29"/>
    <mergeCell ref="BK929:BK930"/>
    <mergeCell ref="BK904:BK905"/>
    <mergeCell ref="B836:B837"/>
    <mergeCell ref="B521:B522"/>
    <mergeCell ref="C484:C485"/>
    <mergeCell ref="BU458:BU459"/>
    <mergeCell ref="BK410:BK411"/>
    <mergeCell ref="CZ7:CZ9"/>
    <mergeCell ref="BU634:BU635"/>
    <mergeCell ref="DB7:DB9"/>
    <mergeCell ref="BK499:BK500"/>
    <mergeCell ref="C30:C31"/>
    <mergeCell ref="BU621:BU622"/>
    <mergeCell ref="BK474:BK475"/>
    <mergeCell ref="C486:C487"/>
    <mergeCell ref="B454:B455"/>
    <mergeCell ref="B12:B13"/>
    <mergeCell ref="BU698:BU699"/>
    <mergeCell ref="B441:B442"/>
    <mergeCell ref="B910:B911"/>
    <mergeCell ref="BU856:BU857"/>
    <mergeCell ref="B810:B811"/>
    <mergeCell ref="B739:B740"/>
    <mergeCell ref="BK288:BK289"/>
    <mergeCell ref="C121:C122"/>
    <mergeCell ref="C10:C11"/>
    <mergeCell ref="BU623:BU624"/>
    <mergeCell ref="C721:C722"/>
    <mergeCell ref="B14:B15"/>
    <mergeCell ref="B505:B506"/>
    <mergeCell ref="B852:B853"/>
    <mergeCell ref="B912:B913"/>
    <mergeCell ref="B741:B742"/>
    <mergeCell ref="BK597:BK598"/>
    <mergeCell ref="B157:B158"/>
    <mergeCell ref="B151:B152"/>
    <mergeCell ref="C123:C124"/>
    <mergeCell ref="O7:O9"/>
    <mergeCell ref="Q7:Q9"/>
    <mergeCell ref="B376:B377"/>
    <mergeCell ref="BK121:BK122"/>
    <mergeCell ref="B28:B29"/>
    <mergeCell ref="BK721:BK722"/>
    <mergeCell ref="B770:B771"/>
    <mergeCell ref="BU476:BU477"/>
    <mergeCell ref="C931:C932"/>
    <mergeCell ref="B745:B746"/>
    <mergeCell ref="C341:C342"/>
    <mergeCell ref="BK129:BK130"/>
    <mergeCell ref="BK294:BK295"/>
    <mergeCell ref="C906:C907"/>
    <mergeCell ref="C577:C578"/>
    <mergeCell ref="C439:C440"/>
    <mergeCell ref="BK123:BK124"/>
    <mergeCell ref="C731:C732"/>
    <mergeCell ref="BU478:BU479"/>
    <mergeCell ref="BK579:BK580"/>
    <mergeCell ref="BU776:BU777"/>
    <mergeCell ref="BA7:BA9"/>
    <mergeCell ref="B40:B41"/>
    <mergeCell ref="BU113:BU114"/>
    <mergeCell ref="C908:C909"/>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DA5:DI5"/>
    <mergeCell ref="BU690:BU691"/>
    <mergeCell ref="BK910:BK911"/>
    <mergeCell ref="B404:B405"/>
    <mergeCell ref="B671:B672"/>
    <mergeCell ref="B155:B156"/>
    <mergeCell ref="BK149:BK150"/>
    <mergeCell ref="C830:C831"/>
    <mergeCell ref="BU611:BU612"/>
    <mergeCell ref="BK447:BK448"/>
    <mergeCell ref="B437:B438"/>
    <mergeCell ref="B906:B907"/>
    <mergeCell ref="C54:C55"/>
    <mergeCell ref="BK151:BK152"/>
    <mergeCell ref="B145:B146"/>
    <mergeCell ref="B887:B888"/>
    <mergeCell ref="BK376:BK377"/>
    <mergeCell ref="BU927:BU928"/>
    <mergeCell ref="B495:B496"/>
    <mergeCell ref="C56:C57"/>
    <mergeCell ref="BU408:BU409"/>
    <mergeCell ref="BK513:BK514"/>
    <mergeCell ref="BU464:BU465"/>
    <mergeCell ref="BU402:BU403"/>
    <mergeCell ref="BK71:BK72"/>
    <mergeCell ref="C621:C622"/>
    <mergeCell ref="BK378:BK379"/>
    <mergeCell ref="B480:B481"/>
    <mergeCell ref="B747:B748"/>
    <mergeCell ref="C713:C714"/>
    <mergeCell ref="C129:C130"/>
    <mergeCell ref="BU858:BU859"/>
    <mergeCell ref="BU929:BU930"/>
    <mergeCell ref="C698:C699"/>
    <mergeCell ref="BU339:BU340"/>
    <mergeCell ref="DH7:DH9"/>
    <mergeCell ref="C856:C857"/>
    <mergeCell ref="BK711:BK712"/>
    <mergeCell ref="C623:C624"/>
    <mergeCell ref="C454:C455"/>
    <mergeCell ref="BK48:BK49"/>
    <mergeCell ref="B854:B855"/>
    <mergeCell ref="C131:C132"/>
    <mergeCell ref="BK10:BK11"/>
    <mergeCell ref="C727:C728"/>
    <mergeCell ref="C32:C33"/>
    <mergeCell ref="C858:C859"/>
    <mergeCell ref="B918:B919"/>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BK900:BK901"/>
    <mergeCell ref="C741:C742"/>
    <mergeCell ref="BK145:BK146"/>
    <mergeCell ref="BK139:BK140"/>
    <mergeCell ref="C113:C114"/>
    <mergeCell ref="BK887:BK888"/>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B931:B932"/>
    <mergeCell ref="C115:C116"/>
    <mergeCell ref="C644:C645"/>
    <mergeCell ref="B412:B413"/>
    <mergeCell ref="B933:B934"/>
    <mergeCell ref="B34:B35"/>
    <mergeCell ref="B476:B477"/>
    <mergeCell ref="BK28:BK29"/>
    <mergeCell ref="BB7:BB9"/>
    <mergeCell ref="BD7:BD9"/>
    <mergeCell ref="B908:B909"/>
    <mergeCell ref="BU497:BU498"/>
    <mergeCell ref="B36:B37"/>
    <mergeCell ref="F7:F9"/>
    <mergeCell ref="BK521:BK522"/>
    <mergeCell ref="BU447:BU448"/>
    <mergeCell ref="BK1015:BK1016"/>
    <mergeCell ref="BU410:BU411"/>
    <mergeCell ref="DJ7:DJ9"/>
    <mergeCell ref="C883:C884"/>
    <mergeCell ref="BK458:BK459"/>
    <mergeCell ref="B830:B831"/>
    <mergeCell ref="C671:C672"/>
    <mergeCell ref="BU474:BU475"/>
    <mergeCell ref="BK452:BK453"/>
    <mergeCell ref="BU501:BU502"/>
    <mergeCell ref="C155:C156"/>
    <mergeCell ref="B482:B483"/>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646:B647"/>
    <mergeCell ref="C495:C496"/>
    <mergeCell ref="C737:C738"/>
    <mergeCell ref="Y7:Y9"/>
    <mergeCell ref="AA7:AA9"/>
    <mergeCell ref="BK341:BK342"/>
    <mergeCell ref="BK26:BK27"/>
    <mergeCell ref="BK906:BK907"/>
    <mergeCell ref="C861:C862"/>
    <mergeCell ref="C795:C796"/>
    <mergeCell ref="B856:B857"/>
    <mergeCell ref="DG7:DG9"/>
    <mergeCell ref="B927:B928"/>
    <mergeCell ref="DI7:DI9"/>
    <mergeCell ref="B402:B403"/>
    <mergeCell ref="BK147:BK148"/>
    <mergeCell ref="BK7:BK9"/>
    <mergeCell ref="B858:B859"/>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C935:C936"/>
    <mergeCell ref="BK832:BK833"/>
    <mergeCell ref="C145:C146"/>
    <mergeCell ref="B113:B114"/>
    <mergeCell ref="BK733:BK734"/>
    <mergeCell ref="B713:B714"/>
    <mergeCell ref="B507:B508"/>
    <mergeCell ref="B50:B51"/>
    <mergeCell ref="C147:C148"/>
    <mergeCell ref="B115:B116"/>
    <mergeCell ref="B715:B716"/>
    <mergeCell ref="BK698:BK699"/>
    <mergeCell ref="B698:B699"/>
    <mergeCell ref="BU71:BU72"/>
    <mergeCell ref="BU513:BU514"/>
    <mergeCell ref="BK885:BK886"/>
    <mergeCell ref="BK856:BK857"/>
    <mergeCell ref="BK745:BK746"/>
    <mergeCell ref="BK464:BK465"/>
    <mergeCell ref="C476:C477"/>
    <mergeCell ref="BU450:BU451"/>
    <mergeCell ref="BK380:BK381"/>
    <mergeCell ref="BK822:BK823"/>
    <mergeCell ref="BK32:BK33"/>
    <mergeCell ref="BK858:BK859"/>
    <mergeCell ref="BK914:BK915"/>
    <mergeCell ref="BK743:BK744"/>
    <mergeCell ref="BK159:BK160"/>
    <mergeCell ref="C7:C9"/>
    <mergeCell ref="C71:C72"/>
    <mergeCell ref="BU290:BU291"/>
    <mergeCell ref="BU517:BU518"/>
    <mergeCell ref="BK24:BK25"/>
    <mergeCell ref="E7:E9"/>
    <mergeCell ref="C478:C479"/>
    <mergeCell ref="BU10:BU11"/>
    <mergeCell ref="C776:C777"/>
    <mergeCell ref="B902:B903"/>
    <mergeCell ref="B731:B732"/>
    <mergeCell ref="BK916:BK917"/>
    <mergeCell ref="C471:C472"/>
    <mergeCell ref="BU519:BU520"/>
    <mergeCell ref="C300:C301"/>
    <mergeCell ref="B497:B498"/>
    <mergeCell ref="BU310:BU311"/>
    <mergeCell ref="B929:B930"/>
    <mergeCell ref="C66:C67"/>
    <mergeCell ref="C669:C670"/>
    <mergeCell ref="BK113:BK114"/>
    <mergeCell ref="BK713:BK714"/>
    <mergeCell ref="C852:C853"/>
    <mergeCell ref="BU900:BU901"/>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C816:C817"/>
    <mergeCell ref="C918:C919"/>
    <mergeCell ref="C464:C465"/>
    <mergeCell ref="BK456:BK457"/>
    <mergeCell ref="BU822:BU823"/>
    <mergeCell ref="C402:C403"/>
    <mergeCell ref="C595:C596"/>
    <mergeCell ref="BJ7:BJ9"/>
    <mergeCell ref="BU425:BU426"/>
    <mergeCell ref="B721:B722"/>
    <mergeCell ref="C638:C639"/>
    <mergeCell ref="BK601:BK602"/>
    <mergeCell ref="BU832:BU833"/>
    <mergeCell ref="BU601:BU602"/>
    <mergeCell ref="BU490:BU491"/>
    <mergeCell ref="BL7:BL9"/>
    <mergeCell ref="B813:B814"/>
    <mergeCell ref="B642:B643"/>
    <mergeCell ref="C290:C291"/>
    <mergeCell ref="B294:B295"/>
    <mergeCell ref="BU427:BU428"/>
    <mergeCell ref="C751:C752"/>
    <mergeCell ref="B644:B645"/>
    <mergeCell ref="C688:C689"/>
    <mergeCell ref="B656:B657"/>
    <mergeCell ref="BU298:BU299"/>
    <mergeCell ref="C753:C754"/>
    <mergeCell ref="BK830:BK831"/>
    <mergeCell ref="BK751:BK752"/>
    <mergeCell ref="B360:B361"/>
    <mergeCell ref="B816:B817"/>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914:BU915"/>
    <mergeCell ref="BU26:BU27"/>
    <mergeCell ref="M7:M9"/>
    <mergeCell ref="BU153:BU154"/>
    <mergeCell ref="BK640:BK641"/>
    <mergeCell ref="BU591:BU592"/>
    <mergeCell ref="C310:C311"/>
    <mergeCell ref="C18:C19"/>
    <mergeCell ref="BU916:BU917"/>
    <mergeCell ref="B709:B710"/>
    <mergeCell ref="B513:B514"/>
    <mergeCell ref="B131:B132"/>
    <mergeCell ref="B71:B72"/>
    <mergeCell ref="B465:B466"/>
    <mergeCell ref="AZ7:AZ9"/>
    <mergeCell ref="BJ161:BJ162"/>
    <mergeCell ref="B828:B829"/>
    <mergeCell ref="B711:B712"/>
    <mergeCell ref="B431:B432"/>
    <mergeCell ref="B729:B730"/>
    <mergeCell ref="BK414:BK415"/>
    <mergeCell ref="BK656:BK657"/>
    <mergeCell ref="BU471:BU472"/>
    <mergeCell ref="AN7:AN9"/>
    <mergeCell ref="AP7:AP9"/>
    <mergeCell ref="BK935:BK936"/>
    <mergeCell ref="BK818:BK819"/>
    <mergeCell ref="AF7:AF9"/>
    <mergeCell ref="AH7:AH9"/>
    <mergeCell ref="BK482:BK483"/>
    <mergeCell ref="BK416:BK417"/>
    <mergeCell ref="BU669:BU670"/>
    <mergeCell ref="BK774:BK775"/>
    <mergeCell ref="BK117:BK118"/>
    <mergeCell ref="C474:C475"/>
    <mergeCell ref="BK111:BK112"/>
    <mergeCell ref="BK820:BK821"/>
    <mergeCell ref="C832:C833"/>
    <mergeCell ref="BU304:BU305"/>
    <mergeCell ref="BK651:BK652"/>
    <mergeCell ref="C517:C518"/>
    <mergeCell ref="C759:C760"/>
    <mergeCell ref="C492:C493"/>
    <mergeCell ref="BK480:BK481"/>
    <mergeCell ref="BK638:BK639"/>
    <mergeCell ref="B447:B448"/>
    <mergeCell ref="BU143:BU144"/>
    <mergeCell ref="C467:C468"/>
    <mergeCell ref="C296:C297"/>
    <mergeCell ref="BU83:BU84"/>
    <mergeCell ref="B422:B423"/>
    <mergeCell ref="C774:C775"/>
    <mergeCell ref="BU64:BU65"/>
    <mergeCell ref="BR7:BR9"/>
    <mergeCell ref="BT7:BT9"/>
    <mergeCell ref="C690:C691"/>
    <mergeCell ref="B658:B659"/>
    <mergeCell ref="C519:C520"/>
    <mergeCell ref="C469:C470"/>
    <mergeCell ref="C298:C299"/>
    <mergeCell ref="B163:B164"/>
    <mergeCell ref="C456:C457"/>
    <mergeCell ref="BU904:BU905"/>
    <mergeCell ref="BK709:BK710"/>
    <mergeCell ref="C406:C407"/>
    <mergeCell ref="C64:C65"/>
    <mergeCell ref="BK727:BK728"/>
    <mergeCell ref="B488:B489"/>
    <mergeCell ref="BU32:BU33"/>
    <mergeCell ref="BU159:BU160"/>
    <mergeCell ref="BK702:BK703"/>
    <mergeCell ref="BK469:BK470"/>
    <mergeCell ref="B822:B823"/>
    <mergeCell ref="BU759:BU760"/>
    <mergeCell ref="B425:B426"/>
    <mergeCell ref="BK729:BK730"/>
    <mergeCell ref="B517:B518"/>
    <mergeCell ref="BK406:BK407"/>
    <mergeCell ref="BU161:BU162"/>
    <mergeCell ref="BK704:BK705"/>
    <mergeCell ref="BK66:BK67"/>
    <mergeCell ref="C787:C788"/>
    <mergeCell ref="BK631:BK632"/>
    <mergeCell ref="C914:C915"/>
    <mergeCell ref="C26:C27"/>
    <mergeCell ref="BU688:BU689"/>
    <mergeCell ref="C422:C423"/>
    <mergeCell ref="B519:B520"/>
    <mergeCell ref="C482:C483"/>
    <mergeCell ref="C416:C417"/>
    <mergeCell ref="C609:C610"/>
    <mergeCell ref="B735:B736"/>
    <mergeCell ref="C916:C917"/>
    <mergeCell ref="BK931:BK932"/>
    <mergeCell ref="C117:C118"/>
    <mergeCell ref="BU619:BU620"/>
    <mergeCell ref="B10:B11"/>
    <mergeCell ref="BK577:BK578"/>
    <mergeCell ref="BK770:BK771"/>
    <mergeCell ref="B137:B138"/>
    <mergeCell ref="C611:C612"/>
    <mergeCell ref="C709:C710"/>
    <mergeCell ref="B737:B738"/>
    <mergeCell ref="BK422:BK423"/>
    <mergeCell ref="C119:C120"/>
    <mergeCell ref="B147:B148"/>
    <mergeCell ref="B900:B901"/>
    <mergeCell ref="L7:L9"/>
    <mergeCell ref="B310:B311"/>
    <mergeCell ref="B139:B140"/>
    <mergeCell ref="C640:C641"/>
    <mergeCell ref="C927:C928"/>
    <mergeCell ref="BK290:BK291"/>
    <mergeCell ref="BK119:BK120"/>
    <mergeCell ref="BU343:BU344"/>
    <mergeCell ref="BK488:BK489"/>
    <mergeCell ref="BU414:BU415"/>
    <mergeCell ref="BU20:BU21"/>
    <mergeCell ref="AX7:AX9"/>
    <mergeCell ref="C24:C25"/>
    <mergeCell ref="BU935:BU936"/>
    <mergeCell ref="BK717:BK718"/>
  </mergeCells>
  <conditionalFormatting sqref="BV1:CY2 DA1:DI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3"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2" t="inlineStr">
        <is>
          <t>GLOSARIO PROGRAMA MONITOREO AGUA</t>
        </is>
      </c>
      <c r="C10" s="379"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5" t="inlineStr">
        <is>
          <t>Puntos de monitoreo nuevos que reemplazan punto comprometidos</t>
        </is>
      </c>
      <c r="C28" s="379" t="n"/>
      <c r="D28" s="379" t="n"/>
    </row>
    <row r="29">
      <c r="B29" s="58" t="inlineStr">
        <is>
          <t>Punto Anexo 6-A</t>
        </is>
      </c>
      <c r="C29" s="348" t="inlineStr">
        <is>
          <t>Status</t>
        </is>
      </c>
      <c r="D29" s="108" t="n"/>
    </row>
    <row r="30">
      <c r="B30" s="59" t="inlineStr">
        <is>
          <t>ARR-01</t>
        </is>
      </c>
      <c r="C30" s="344" t="inlineStr">
        <is>
          <t>Nuevo/Reemplaza PDR-82</t>
        </is>
      </c>
      <c r="D30" s="108" t="n"/>
    </row>
    <row r="31">
      <c r="B31" s="59" t="inlineStr">
        <is>
          <t>Dique Huinquintipa</t>
        </is>
      </c>
      <c r="C31" s="344" t="inlineStr">
        <is>
          <t>Nuevo/Reemplaza QDH-01C, QDH-1E, QDH-01D</t>
        </is>
      </c>
      <c r="D31" s="108" t="n"/>
    </row>
    <row r="32">
      <c r="B32" s="59" t="inlineStr">
        <is>
          <t>Dique San Daniel</t>
        </is>
      </c>
      <c r="C32" s="344" t="inlineStr">
        <is>
          <t>Nuevo/Reemplaza QSD-01</t>
        </is>
      </c>
      <c r="D32" s="108" t="n"/>
    </row>
    <row r="33">
      <c r="B33" s="59" t="inlineStr">
        <is>
          <t>NP-6 (reemplaza al P-6)</t>
        </is>
      </c>
      <c r="C33" s="344" t="inlineStr">
        <is>
          <t>Nuevo/Reemplaza P-6</t>
        </is>
      </c>
      <c r="D33" s="108" t="n"/>
    </row>
    <row r="34">
      <c r="B34" s="59" t="inlineStr">
        <is>
          <t>Pozo 10</t>
        </is>
      </c>
      <c r="C34" s="344" t="inlineStr">
        <is>
          <t xml:space="preserve">Nuevo/Reemplaza M-12, MPZ-10A, MPZ-10B, MAU-12 y MAU-13 </t>
        </is>
      </c>
      <c r="D34" s="108" t="n"/>
    </row>
    <row r="35">
      <c r="B35" s="59" t="inlineStr">
        <is>
          <t>Pozo 11</t>
        </is>
      </c>
      <c r="C35" s="344" t="inlineStr">
        <is>
          <t>Nuevo/Reemplaza PEM-05, PMI-07, PMI-08 y MA-01</t>
        </is>
      </c>
      <c r="D35" s="108" t="n"/>
    </row>
    <row r="36">
      <c r="B36" s="59" t="inlineStr">
        <is>
          <t>Pozo 12</t>
        </is>
      </c>
      <c r="C36" s="344" t="inlineStr">
        <is>
          <t>Nuevo/Reemplaza PEM-05, PMI-07, PMI-08 y MA-01</t>
        </is>
      </c>
      <c r="D36" s="108" t="n"/>
    </row>
    <row r="37">
      <c r="B37" s="59" t="inlineStr">
        <is>
          <t>Pozo 6</t>
        </is>
      </c>
      <c r="C37" s="344" t="inlineStr">
        <is>
          <t xml:space="preserve">Nuevo/Reemplaza M-12, MPZ-10A, MPZ-10B, MAU-12 y MAU-13 </t>
        </is>
      </c>
      <c r="D37" s="108" t="n"/>
    </row>
    <row r="38">
      <c r="B38" s="59" t="inlineStr">
        <is>
          <t>Pozo 7</t>
        </is>
      </c>
      <c r="C38" s="344" t="inlineStr">
        <is>
          <t xml:space="preserve">Nuevo/Reemplaza M-12, MPZ-10A, MPZ-10B, MAU-12 y MAU-13 </t>
        </is>
      </c>
      <c r="D38" s="108" t="n"/>
    </row>
    <row r="39">
      <c r="B39" s="59" t="inlineStr">
        <is>
          <t>Pozo 8</t>
        </is>
      </c>
      <c r="C39" s="344" t="inlineStr">
        <is>
          <t xml:space="preserve">Nuevo/Reemplaza M-12, MPZ-10A, MPZ-10B, MAU-12 y MAU-13 </t>
        </is>
      </c>
      <c r="D39" s="108" t="n"/>
    </row>
    <row r="40">
      <c r="B40" s="59" t="inlineStr">
        <is>
          <t>Pozo 9</t>
        </is>
      </c>
      <c r="C40" s="344" t="inlineStr">
        <is>
          <t xml:space="preserve">Nuevo/Reemplaza M-12, MPZ-10A, MPZ-10B, MAU-12 y MAU-13 </t>
        </is>
      </c>
      <c r="D40" s="108" t="n"/>
    </row>
    <row r="41">
      <c r="B41" s="59" t="inlineStr">
        <is>
          <t>Pozo bombeo (reemplaza RPW-04)</t>
        </is>
      </c>
      <c r="C41" s="344" t="inlineStr">
        <is>
          <t>Nuevo / Monitoreo DGA / Reemplaza RPW-04</t>
        </is>
      </c>
      <c r="D41" s="108" t="n"/>
    </row>
    <row r="43">
      <c r="B43" s="346" t="inlineStr">
        <is>
          <t>Otros</t>
        </is>
      </c>
      <c r="C43" s="369" t="n"/>
      <c r="D43" s="108" t="n"/>
    </row>
    <row r="44" ht="14.25" customHeight="1">
      <c r="B44" s="347" t="inlineStr">
        <is>
          <t>·         Se eliminan y reemplazan por puntos comprometidos: se eliminan 5 puntos de monitoreo (MAU-04, M-22, MAU-03, MAU-06 y MAU-11) y serán reemplazados por 3 puntos de monitoreo ya comprometidos (MAU-03B, MAU-11B y MAU-15)</t>
        </is>
      </c>
      <c r="C44" s="380" t="n"/>
      <c r="D44" s="381" t="n"/>
    </row>
    <row r="45">
      <c r="B45" s="377" t="n"/>
      <c r="C45" s="379" t="n"/>
      <c r="D45" s="375"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5" t="inlineStr">
        <is>
          <t>(Varios elementos)</t>
        </is>
      </c>
      <c r="D3" s="8" t="inlineStr">
        <is>
          <t>COMPROMISO FINAL</t>
        </is>
      </c>
      <c r="E3" s="305" t="inlineStr">
        <is>
          <t>(Varios elementos)</t>
        </is>
      </c>
      <c r="G3" s="8" t="inlineStr">
        <is>
          <t>COMPROMISO FINAL</t>
        </is>
      </c>
      <c r="H3" s="305" t="inlineStr">
        <is>
          <t>(Varios elementos)</t>
        </is>
      </c>
      <c r="J3" s="8" t="inlineStr">
        <is>
          <t>COMPROMISO FINAL</t>
        </is>
      </c>
      <c r="K3" s="305" t="inlineStr">
        <is>
          <t>(Varios elementos)</t>
        </is>
      </c>
    </row>
    <row r="4" ht="27" customHeight="1">
      <c r="A4" s="8" t="inlineStr">
        <is>
          <t>NIVEL FREÁTICO TERRENO</t>
        </is>
      </c>
      <c r="B4" s="305" t="inlineStr">
        <is>
          <t>(Todas)</t>
        </is>
      </c>
      <c r="D4" s="8" t="inlineStr">
        <is>
          <t>CAUDAL DE BOMBEO TERRENO</t>
        </is>
      </c>
      <c r="E4" s="305" t="inlineStr">
        <is>
          <t>SI</t>
        </is>
      </c>
      <c r="G4" s="8" t="inlineStr">
        <is>
          <t>CAUDAL VOLUMÉTRICO
TERRENO</t>
        </is>
      </c>
      <c r="H4" s="305" t="inlineStr">
        <is>
          <t>SI</t>
        </is>
      </c>
      <c r="J4" s="8" t="inlineStr">
        <is>
          <t>CALIDAD DE AGUA
TERRENO</t>
        </is>
      </c>
      <c r="K4" s="305" t="inlineStr">
        <is>
          <t>SI</t>
        </is>
      </c>
      <c r="N4" s="8" t="inlineStr">
        <is>
          <t>COMPROMISO FINAL</t>
        </is>
      </c>
      <c r="O4" s="305"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5" t="inlineStr">
        <is>
          <t>2_98-15</t>
        </is>
      </c>
      <c r="B7" s="305" t="inlineStr">
        <is>
          <t>Bimestral</t>
        </is>
      </c>
      <c r="D7" s="305"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5" t="inlineStr">
        <is>
          <t>Semestral</t>
        </is>
      </c>
      <c r="P7" s="10" t="inlineStr">
        <is>
          <t>Ensayos Geoquímicos</t>
        </is>
      </c>
    </row>
    <row r="8">
      <c r="A8" s="305" t="inlineStr">
        <is>
          <t>2_98-16</t>
        </is>
      </c>
      <c r="B8" s="305" t="inlineStr">
        <is>
          <t>Trimestral</t>
        </is>
      </c>
      <c r="D8" s="305" t="inlineStr">
        <is>
          <t>CWP-14</t>
        </is>
      </c>
      <c r="E8" s="10" t="inlineStr">
        <is>
          <t>Mensual</t>
        </is>
      </c>
      <c r="G8" s="10" t="inlineStr">
        <is>
          <t>AFO-MP1</t>
        </is>
      </c>
      <c r="H8" s="10" t="inlineStr">
        <is>
          <t>Mensual</t>
        </is>
      </c>
      <c r="J8" s="305" t="inlineStr">
        <is>
          <t>ADTR</t>
        </is>
      </c>
      <c r="K8" s="10" t="inlineStr">
        <is>
          <t>Mensual</t>
        </is>
      </c>
      <c r="N8" s="305" t="inlineStr">
        <is>
          <t>JCC-04</t>
        </is>
      </c>
      <c r="O8" s="305" t="inlineStr">
        <is>
          <t>Continuo</t>
        </is>
      </c>
      <c r="P8" s="305" t="inlineStr">
        <is>
          <t>Perfiles verticales de Tº, CE y pH.</t>
        </is>
      </c>
    </row>
    <row r="9">
      <c r="A9" s="305" t="inlineStr">
        <is>
          <t>2_98-17</t>
        </is>
      </c>
      <c r="B9" s="305" t="inlineStr">
        <is>
          <t>Trimestral</t>
        </is>
      </c>
      <c r="D9" s="305" t="inlineStr">
        <is>
          <t>Extracciones del Rajo Rosario</t>
        </is>
      </c>
      <c r="E9" s="10" t="inlineStr">
        <is>
          <t>Continuo</t>
        </is>
      </c>
      <c r="G9" s="10" t="inlineStr">
        <is>
          <t>AFO-OV2</t>
        </is>
      </c>
      <c r="H9" s="10" t="inlineStr">
        <is>
          <t>Mensual</t>
        </is>
      </c>
      <c r="J9" s="305" t="inlineStr">
        <is>
          <t>ARR-01</t>
        </is>
      </c>
      <c r="K9" s="10" t="inlineStr">
        <is>
          <t>Trimestral</t>
        </is>
      </c>
      <c r="N9" s="305" t="inlineStr">
        <is>
          <t>JCC-05</t>
        </is>
      </c>
      <c r="O9" s="305" t="inlineStr">
        <is>
          <t>Continuo</t>
        </is>
      </c>
      <c r="P9" s="305" t="inlineStr">
        <is>
          <t>Perfiles verticales de Tº, CE y pH.</t>
        </is>
      </c>
    </row>
    <row r="10" ht="34.5" customHeight="1">
      <c r="A10" s="305" t="inlineStr">
        <is>
          <t>2_98-19</t>
        </is>
      </c>
      <c r="B10" s="305" t="inlineStr">
        <is>
          <t>Trimestral</t>
        </is>
      </c>
      <c r="D10" s="305" t="inlineStr">
        <is>
          <t>MTP-09</t>
        </is>
      </c>
      <c r="E10" s="10" t="inlineStr">
        <is>
          <t>Mensual</t>
        </is>
      </c>
      <c r="G10" s="10" t="inlineStr">
        <is>
          <t>AFO-RF1</t>
        </is>
      </c>
      <c r="H10" s="10" t="inlineStr">
        <is>
          <t>Mensual</t>
        </is>
      </c>
      <c r="J10" s="305" t="inlineStr">
        <is>
          <t>BCC</t>
        </is>
      </c>
      <c r="K10" s="10" t="inlineStr">
        <is>
          <t>Mensual (Se realiza quincenal) - Diario</t>
        </is>
      </c>
      <c r="N10" s="305"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5" t="inlineStr">
        <is>
          <t>2_98-21</t>
        </is>
      </c>
      <c r="B11" s="305" t="inlineStr">
        <is>
          <t>Trimestral</t>
        </is>
      </c>
      <c r="D11" s="305" t="inlineStr">
        <is>
          <t>MTP-11</t>
        </is>
      </c>
      <c r="E11" s="10" t="inlineStr">
        <is>
          <t>Mensual</t>
        </is>
      </c>
      <c r="G11" s="10" t="inlineStr">
        <is>
          <t>AFO-SA1</t>
        </is>
      </c>
      <c r="H11" s="10" t="inlineStr">
        <is>
          <t>Mensual</t>
        </is>
      </c>
      <c r="J11" s="305" t="inlineStr">
        <is>
          <t>BCON</t>
        </is>
      </c>
      <c r="K11" s="10" t="inlineStr">
        <is>
          <t>Mensual (Se realiza quincenal) - Diario</t>
        </is>
      </c>
      <c r="N11" s="305" t="inlineStr">
        <is>
          <t>LM</t>
        </is>
      </c>
      <c r="O11" s="10" t="inlineStr">
        <is>
          <t>Pluviometría y evaporación: diario
Nivel y superficie: Continuo
Mapas de Iso-CE, iso-temperatura, Iso pH 3D: Trimestral</t>
        </is>
      </c>
      <c r="P11" s="305" t="inlineStr">
        <is>
          <t>Pluviometría y evaporación
Nivel y superficie
Mapas de Iso-CE, iso-temperatura, Iso pH 3D</t>
        </is>
      </c>
    </row>
    <row r="12">
      <c r="A12" s="305" t="inlineStr">
        <is>
          <t>A-01</t>
        </is>
      </c>
      <c r="B12" s="305" t="inlineStr">
        <is>
          <t>Trimestral</t>
        </is>
      </c>
      <c r="D12" s="305" t="inlineStr">
        <is>
          <t>MTP-12</t>
        </is>
      </c>
      <c r="E12" s="10" t="inlineStr">
        <is>
          <t>Mensual</t>
        </is>
      </c>
      <c r="G12" s="10" t="inlineStr">
        <is>
          <t>AFO-SD2</t>
        </is>
      </c>
      <c r="H12" s="10" t="inlineStr">
        <is>
          <t>Mensual</t>
        </is>
      </c>
      <c r="J12" s="305" t="inlineStr">
        <is>
          <t>BGSO</t>
        </is>
      </c>
      <c r="K12" s="10" t="inlineStr">
        <is>
          <t>Mensual (Se realiza quincenal) - Diario</t>
        </is>
      </c>
    </row>
    <row r="13">
      <c r="A13" s="305" t="inlineStr">
        <is>
          <t>A-02</t>
        </is>
      </c>
      <c r="B13" s="305" t="inlineStr">
        <is>
          <t>Trimestral</t>
        </is>
      </c>
      <c r="D13" s="305" t="inlineStr">
        <is>
          <t>MTP-13</t>
        </is>
      </c>
      <c r="E13" s="10" t="inlineStr">
        <is>
          <t>Mensual</t>
        </is>
      </c>
      <c r="G13" s="10" t="inlineStr">
        <is>
          <t>AFO-SN1</t>
        </is>
      </c>
      <c r="H13" s="10" t="inlineStr">
        <is>
          <t>Mensual</t>
        </is>
      </c>
      <c r="J13" s="305" t="inlineStr">
        <is>
          <t>BOR</t>
        </is>
      </c>
      <c r="K13" s="10" t="inlineStr">
        <is>
          <t>Mensual (Se realiza quincenal) - Diario</t>
        </is>
      </c>
    </row>
    <row r="14">
      <c r="A14" s="305" t="inlineStr">
        <is>
          <t>A-03</t>
        </is>
      </c>
      <c r="B14" s="305" t="inlineStr">
        <is>
          <t>Trimestral</t>
        </is>
      </c>
      <c r="D14" s="305" t="inlineStr">
        <is>
          <t>MTP-14</t>
        </is>
      </c>
      <c r="E14" s="10" t="inlineStr">
        <is>
          <t>Mensual</t>
        </is>
      </c>
      <c r="G14" s="10" t="inlineStr">
        <is>
          <t>AFO-ZE1</t>
        </is>
      </c>
      <c r="H14" s="10" t="inlineStr">
        <is>
          <t>Mensual</t>
        </is>
      </c>
      <c r="J14" s="305" t="inlineStr">
        <is>
          <t>Botadero Sur</t>
        </is>
      </c>
      <c r="K14" s="10" t="inlineStr">
        <is>
          <t>Trimestral</t>
        </is>
      </c>
    </row>
    <row r="15">
      <c r="A15" s="305" t="inlineStr">
        <is>
          <t>A-05</t>
        </is>
      </c>
      <c r="B15" s="305" t="inlineStr">
        <is>
          <t>Trimestral</t>
        </is>
      </c>
      <c r="D15" s="305" t="inlineStr">
        <is>
          <t>MTP-16</t>
        </is>
      </c>
      <c r="E15" s="10" t="inlineStr">
        <is>
          <t>Mensual</t>
        </is>
      </c>
      <c r="G15" s="10" t="inlineStr">
        <is>
          <t>CSW-02</t>
        </is>
      </c>
      <c r="H15" s="10" t="inlineStr">
        <is>
          <t>Continuo (actual 4 veces por semana)</t>
        </is>
      </c>
      <c r="J15" s="305" t="inlineStr">
        <is>
          <t>BPCR</t>
        </is>
      </c>
      <c r="K15" s="10" t="inlineStr">
        <is>
          <t>Mensual (Se realiza quincenal) - Diario</t>
        </is>
      </c>
    </row>
    <row r="16">
      <c r="A16" s="305" t="inlineStr">
        <is>
          <t>A-06</t>
        </is>
      </c>
      <c r="B16" s="305" t="inlineStr">
        <is>
          <t>Trimestral</t>
        </is>
      </c>
      <c r="D16" s="305" t="inlineStr">
        <is>
          <t>NP-6
(reemplaza al P-6)</t>
        </is>
      </c>
      <c r="E16" s="10" t="inlineStr">
        <is>
          <t>Continuo</t>
        </is>
      </c>
      <c r="G16" s="10" t="inlineStr">
        <is>
          <t>CSW-05</t>
        </is>
      </c>
      <c r="H16" s="10" t="inlineStr">
        <is>
          <t>Mensual</t>
        </is>
      </c>
      <c r="J16" s="305" t="inlineStr">
        <is>
          <t>C-1000</t>
        </is>
      </c>
      <c r="K16" s="10" t="inlineStr">
        <is>
          <t>Mensual (Se realiza quincenal) - Diario</t>
        </is>
      </c>
    </row>
    <row r="17">
      <c r="A17" s="305" t="inlineStr">
        <is>
          <t>A-07</t>
        </is>
      </c>
      <c r="B17" s="305" t="inlineStr">
        <is>
          <t>Trimestral</t>
        </is>
      </c>
      <c r="D17" s="305" t="inlineStr">
        <is>
          <t>P-6</t>
        </is>
      </c>
      <c r="E17" s="10" t="inlineStr">
        <is>
          <t>Mensual</t>
        </is>
      </c>
      <c r="G17" s="10" t="inlineStr">
        <is>
          <t>Estación 1</t>
        </is>
      </c>
      <c r="H17" s="10" t="inlineStr">
        <is>
          <t>Mensual</t>
        </is>
      </c>
      <c r="J17" s="305" t="inlineStr">
        <is>
          <t>C-460</t>
        </is>
      </c>
      <c r="K17" s="10" t="inlineStr">
        <is>
          <t>Mensual (Se realiza quincenal) - Diario</t>
        </is>
      </c>
    </row>
    <row r="18">
      <c r="A18" s="305" t="inlineStr">
        <is>
          <t>A-08</t>
        </is>
      </c>
      <c r="B18" s="305" t="inlineStr">
        <is>
          <t>Trimestral</t>
        </is>
      </c>
      <c r="D18" s="305" t="inlineStr">
        <is>
          <t>PEP-01</t>
        </is>
      </c>
      <c r="E18" s="10" t="inlineStr">
        <is>
          <t>Mensual</t>
        </is>
      </c>
      <c r="G18" s="10" t="inlineStr">
        <is>
          <t>Estación 2</t>
        </is>
      </c>
      <c r="H18" s="10" t="inlineStr">
        <is>
          <t>Mensual</t>
        </is>
      </c>
      <c r="J18" s="305" t="inlineStr">
        <is>
          <t>Canaleta DR</t>
        </is>
      </c>
      <c r="K18" s="10" t="inlineStr">
        <is>
          <t>Semestral</t>
        </is>
      </c>
    </row>
    <row r="19">
      <c r="A19" s="305" t="inlineStr">
        <is>
          <t>A-10</t>
        </is>
      </c>
      <c r="B19" s="305" t="inlineStr">
        <is>
          <t>Trimestral</t>
        </is>
      </c>
      <c r="D19" s="305" t="inlineStr">
        <is>
          <t>PEP-03</t>
        </is>
      </c>
      <c r="E19" s="10" t="inlineStr">
        <is>
          <t>Mensual</t>
        </is>
      </c>
      <c r="G19" s="10" t="inlineStr">
        <is>
          <t>Estación 3</t>
        </is>
      </c>
      <c r="H19" s="10" t="inlineStr">
        <is>
          <t>Mensual</t>
        </is>
      </c>
      <c r="J19" s="305" t="inlineStr">
        <is>
          <t>Captación Agua de mar</t>
        </is>
      </c>
      <c r="K19" s="10" t="inlineStr">
        <is>
          <t>Anual</t>
        </is>
      </c>
    </row>
    <row r="20">
      <c r="A20" s="305" t="inlineStr">
        <is>
          <t>A-14</t>
        </is>
      </c>
      <c r="B20" s="305" t="inlineStr">
        <is>
          <t>Trimestral</t>
        </is>
      </c>
      <c r="D20" s="305" t="inlineStr">
        <is>
          <t>PEP-04</t>
        </is>
      </c>
      <c r="E20" s="10" t="inlineStr">
        <is>
          <t>Mensual</t>
        </is>
      </c>
      <c r="G20" s="10" t="inlineStr">
        <is>
          <t>MPDR</t>
        </is>
      </c>
      <c r="H20" s="10" t="inlineStr">
        <is>
          <t>Dos veces a la semana</t>
        </is>
      </c>
      <c r="J20" s="305" t="inlineStr">
        <is>
          <t>CCD</t>
        </is>
      </c>
      <c r="K20" s="10" t="inlineStr">
        <is>
          <t>Mensual (Se realiza quincenal) - Diario</t>
        </is>
      </c>
    </row>
    <row r="21">
      <c r="A21" s="305" t="inlineStr">
        <is>
          <t>AA-01</t>
        </is>
      </c>
      <c r="B21" s="305" t="inlineStr">
        <is>
          <t>Trimestral</t>
        </is>
      </c>
      <c r="D21" s="305" t="inlineStr">
        <is>
          <t>PMI-01</t>
        </is>
      </c>
      <c r="E21" s="10" t="inlineStr">
        <is>
          <t>Mensual</t>
        </is>
      </c>
      <c r="G21" s="10" t="inlineStr">
        <is>
          <t>MSW-03</t>
        </is>
      </c>
      <c r="H21" s="10" t="inlineStr">
        <is>
          <t>Mensual</t>
        </is>
      </c>
      <c r="J21" s="305" t="inlineStr">
        <is>
          <t>CGP</t>
        </is>
      </c>
      <c r="K21" s="10" t="inlineStr">
        <is>
          <t>Mensual (Se realiza quincenal)</t>
        </is>
      </c>
    </row>
    <row r="22">
      <c r="A22" s="305" t="inlineStr">
        <is>
          <t>AA-02</t>
        </is>
      </c>
      <c r="B22" s="305" t="inlineStr">
        <is>
          <t>Trimestral</t>
        </is>
      </c>
      <c r="D22" s="305" t="inlineStr">
        <is>
          <t>Pozo bombeo (reemplaza RPW-04)</t>
        </is>
      </c>
      <c r="E22" s="10" t="inlineStr">
        <is>
          <t>Continuo</t>
        </is>
      </c>
      <c r="G22" s="10" t="inlineStr">
        <is>
          <t>QDC-01</t>
        </is>
      </c>
      <c r="H22" s="10" t="inlineStr">
        <is>
          <t>Mensual</t>
        </is>
      </c>
      <c r="J22" s="305" t="inlineStr">
        <is>
          <t>CMA-01A</t>
        </is>
      </c>
      <c r="K22" s="10" t="inlineStr">
        <is>
          <t>Trimestral</t>
        </is>
      </c>
    </row>
    <row r="23">
      <c r="A23" s="305" t="inlineStr">
        <is>
          <t>AA-03</t>
        </is>
      </c>
      <c r="B23" s="305" t="inlineStr">
        <is>
          <t>Trimestral</t>
        </is>
      </c>
      <c r="D23" s="305" t="inlineStr">
        <is>
          <t>PPC-02</t>
        </is>
      </c>
      <c r="E23" s="10" t="inlineStr">
        <is>
          <t>Mensual</t>
        </is>
      </c>
      <c r="G23" s="10" t="inlineStr">
        <is>
          <t>QDC-02</t>
        </is>
      </c>
      <c r="H23" s="10" t="inlineStr">
        <is>
          <t>Mensual</t>
        </is>
      </c>
      <c r="J23" s="305" t="inlineStr">
        <is>
          <t>CMA-01B</t>
        </is>
      </c>
      <c r="K23" s="10" t="inlineStr">
        <is>
          <t>Trimestral</t>
        </is>
      </c>
    </row>
    <row r="24">
      <c r="A24" s="305" t="inlineStr">
        <is>
          <t>AA-04</t>
        </is>
      </c>
      <c r="B24" s="305" t="inlineStr">
        <is>
          <t>Trimestral</t>
        </is>
      </c>
      <c r="D24" s="305" t="inlineStr">
        <is>
          <t>PPC-03</t>
        </is>
      </c>
      <c r="E24" s="10" t="inlineStr">
        <is>
          <t>Mensual</t>
        </is>
      </c>
      <c r="G24" s="10" t="inlineStr">
        <is>
          <t>QDH-02</t>
        </is>
      </c>
      <c r="H24" s="10" t="inlineStr">
        <is>
          <t>Día por medio</t>
        </is>
      </c>
      <c r="J24" s="305" t="inlineStr">
        <is>
          <t>CMA-02</t>
        </is>
      </c>
      <c r="K24" s="10" t="inlineStr">
        <is>
          <t>Trimestral</t>
        </is>
      </c>
    </row>
    <row r="25">
      <c r="A25" s="305" t="inlineStr">
        <is>
          <t>AA-05</t>
        </is>
      </c>
      <c r="B25" s="305" t="inlineStr">
        <is>
          <t>Trimestral</t>
        </is>
      </c>
      <c r="D25" s="305" t="inlineStr">
        <is>
          <t>PPC-07</t>
        </is>
      </c>
      <c r="E25" s="10" t="inlineStr">
        <is>
          <t>Mensual</t>
        </is>
      </c>
      <c r="G25" s="10" t="inlineStr">
        <is>
          <t>QDH-1E Piscina</t>
        </is>
      </c>
      <c r="H25" s="10" t="inlineStr">
        <is>
          <t>Quincenal</t>
        </is>
      </c>
      <c r="J25" s="305" t="inlineStr">
        <is>
          <t>CMA-03</t>
        </is>
      </c>
      <c r="K25" s="10" t="inlineStr">
        <is>
          <t>Trimestral</t>
        </is>
      </c>
    </row>
    <row r="26">
      <c r="A26" s="305" t="inlineStr">
        <is>
          <t>AA-06</t>
        </is>
      </c>
      <c r="B26" s="305" t="inlineStr">
        <is>
          <t>Trimestral</t>
        </is>
      </c>
      <c r="D26" s="305" t="inlineStr">
        <is>
          <t>PPC-09</t>
        </is>
      </c>
      <c r="E26" s="10" t="inlineStr">
        <is>
          <t>Mensual</t>
        </is>
      </c>
      <c r="G26" s="10" t="inlineStr">
        <is>
          <t>QSD-1 Piscina</t>
        </is>
      </c>
      <c r="H26" s="10" t="inlineStr">
        <is>
          <t>Quincenal</t>
        </is>
      </c>
      <c r="J26" s="305" t="inlineStr">
        <is>
          <t>CMA-04</t>
        </is>
      </c>
      <c r="K26" s="10" t="inlineStr">
        <is>
          <t>Trimestral</t>
        </is>
      </c>
    </row>
    <row r="27">
      <c r="A27" s="305" t="inlineStr">
        <is>
          <t>AA-07</t>
        </is>
      </c>
      <c r="B27" s="305" t="inlineStr">
        <is>
          <t>Trimestral</t>
        </is>
      </c>
      <c r="D27" s="305" t="inlineStr">
        <is>
          <t>PPC-10</t>
        </is>
      </c>
      <c r="E27" s="10" t="inlineStr">
        <is>
          <t>Mensual</t>
        </is>
      </c>
      <c r="G27" s="10" t="inlineStr">
        <is>
          <t>QSN-01</t>
        </is>
      </c>
      <c r="H27" s="10" t="inlineStr">
        <is>
          <t>Dos veces a la semana</t>
        </is>
      </c>
      <c r="J27" s="305" t="inlineStr">
        <is>
          <t>CMA-05</t>
        </is>
      </c>
      <c r="K27" s="10" t="inlineStr">
        <is>
          <t>Trimestral</t>
        </is>
      </c>
    </row>
    <row r="28">
      <c r="A28" s="305" t="inlineStr">
        <is>
          <t>AA-08</t>
        </is>
      </c>
      <c r="B28" s="305" t="inlineStr">
        <is>
          <t>Trimestral</t>
        </is>
      </c>
      <c r="D28" s="305" t="inlineStr">
        <is>
          <t>PPC-14</t>
        </is>
      </c>
      <c r="E28" s="10" t="inlineStr">
        <is>
          <t>Mensual</t>
        </is>
      </c>
      <c r="G28" s="10" t="inlineStr">
        <is>
          <t>QYA</t>
        </is>
      </c>
      <c r="H28" s="10" t="inlineStr">
        <is>
          <t>Mensual</t>
        </is>
      </c>
      <c r="J28" s="305" t="inlineStr">
        <is>
          <t>CMA-06</t>
        </is>
      </c>
      <c r="K28" s="10" t="inlineStr">
        <is>
          <t>Trimestral</t>
        </is>
      </c>
    </row>
    <row r="29" ht="69" customHeight="1">
      <c r="A29" s="305" t="inlineStr">
        <is>
          <t>AA-09</t>
        </is>
      </c>
      <c r="B29" s="305" t="inlineStr">
        <is>
          <t>Trimestral</t>
        </is>
      </c>
      <c r="D29" s="305"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5" t="inlineStr">
        <is>
          <t>CMA-07</t>
        </is>
      </c>
      <c r="K29" s="10" t="inlineStr">
        <is>
          <t>Trimestral</t>
        </is>
      </c>
    </row>
    <row r="30">
      <c r="A30" s="305" t="inlineStr">
        <is>
          <t>AA-10</t>
        </is>
      </c>
      <c r="B30" s="305" t="inlineStr">
        <is>
          <t>Trimestral</t>
        </is>
      </c>
      <c r="D30" s="305" t="inlineStr">
        <is>
          <t>PPC-18</t>
        </is>
      </c>
      <c r="E30" s="10" t="inlineStr">
        <is>
          <t>Mensual</t>
        </is>
      </c>
      <c r="J30" s="305" t="inlineStr">
        <is>
          <t>CMA-08</t>
        </is>
      </c>
      <c r="K30" s="10" t="inlineStr">
        <is>
          <t>Trimestral</t>
        </is>
      </c>
    </row>
    <row r="31">
      <c r="A31" s="305" t="inlineStr">
        <is>
          <t>AA-11</t>
        </is>
      </c>
      <c r="B31" s="305" t="inlineStr">
        <is>
          <t>Trimestral</t>
        </is>
      </c>
      <c r="D31" s="305" t="inlineStr">
        <is>
          <t>PPC-20</t>
        </is>
      </c>
      <c r="E31" s="10" t="inlineStr">
        <is>
          <t>Mensual</t>
        </is>
      </c>
      <c r="J31" s="305" t="inlineStr">
        <is>
          <t>CMA-09</t>
        </is>
      </c>
      <c r="K31" s="10" t="inlineStr">
        <is>
          <t>Trimestral</t>
        </is>
      </c>
    </row>
    <row r="32">
      <c r="A32" s="305" t="inlineStr">
        <is>
          <t>AA-12</t>
        </is>
      </c>
      <c r="B32" s="305" t="inlineStr">
        <is>
          <t>Trimestral</t>
        </is>
      </c>
      <c r="D32" s="305" t="inlineStr">
        <is>
          <t>PPC-21</t>
        </is>
      </c>
      <c r="E32" s="10" t="inlineStr">
        <is>
          <t>Mensual</t>
        </is>
      </c>
      <c r="J32" s="305" t="inlineStr">
        <is>
          <t>CMA-10</t>
        </is>
      </c>
      <c r="K32" s="10" t="inlineStr">
        <is>
          <t>Trimestral</t>
        </is>
      </c>
    </row>
    <row r="33">
      <c r="A33" s="305" t="inlineStr">
        <is>
          <t>AB-01</t>
        </is>
      </c>
      <c r="B33" s="305" t="inlineStr">
        <is>
          <t>Trimestral</t>
        </is>
      </c>
      <c r="D33" s="305" t="inlineStr">
        <is>
          <t>PPC-23</t>
        </is>
      </c>
      <c r="E33" s="10" t="inlineStr">
        <is>
          <t>Mensual</t>
        </is>
      </c>
      <c r="J33" s="305" t="inlineStr">
        <is>
          <t>CMA-11</t>
        </is>
      </c>
      <c r="K33" s="10" t="inlineStr">
        <is>
          <t>Trimestral</t>
        </is>
      </c>
    </row>
    <row r="34">
      <c r="A34" s="305" t="inlineStr">
        <is>
          <t>AB-03</t>
        </is>
      </c>
      <c r="B34" s="305" t="inlineStr">
        <is>
          <t>Trimestral</t>
        </is>
      </c>
      <c r="D34" s="305" t="inlineStr">
        <is>
          <t>PPC-27</t>
        </is>
      </c>
      <c r="E34" s="10" t="inlineStr">
        <is>
          <t>Mensual</t>
        </is>
      </c>
      <c r="J34" s="305" t="inlineStr">
        <is>
          <t>CMA-12</t>
        </is>
      </c>
      <c r="K34" s="10" t="inlineStr">
        <is>
          <t>Trimestral</t>
        </is>
      </c>
    </row>
    <row r="35">
      <c r="A35" s="305" t="inlineStr">
        <is>
          <t>AB-04</t>
        </is>
      </c>
      <c r="B35" s="305" t="inlineStr">
        <is>
          <t>Trimestral</t>
        </is>
      </c>
      <c r="D35" s="305" t="inlineStr">
        <is>
          <t>PPC-28</t>
        </is>
      </c>
      <c r="E35" s="10" t="inlineStr">
        <is>
          <t>Mensual</t>
        </is>
      </c>
      <c r="J35" s="305" t="inlineStr">
        <is>
          <t>CMA-13</t>
        </is>
      </c>
      <c r="K35" s="10" t="inlineStr">
        <is>
          <t>Trimestral</t>
        </is>
      </c>
    </row>
    <row r="36">
      <c r="A36" s="305" t="inlineStr">
        <is>
          <t>AB-05</t>
        </is>
      </c>
      <c r="B36" s="305" t="inlineStr">
        <is>
          <t>Trimestral</t>
        </is>
      </c>
      <c r="D36" s="305" t="inlineStr">
        <is>
          <t>RPEC-02A</t>
        </is>
      </c>
      <c r="E36" s="10" t="inlineStr">
        <is>
          <t>Mensual</t>
        </is>
      </c>
      <c r="J36" s="305" t="inlineStr">
        <is>
          <t>CMA-14</t>
        </is>
      </c>
      <c r="K36" s="10" t="inlineStr">
        <is>
          <t>Trimestral</t>
        </is>
      </c>
    </row>
    <row r="37">
      <c r="A37" s="305" t="inlineStr">
        <is>
          <t>ACTR</t>
        </is>
      </c>
      <c r="B37" s="305" t="inlineStr">
        <is>
          <t>-</t>
        </is>
      </c>
      <c r="D37" s="305" t="inlineStr">
        <is>
          <t>RPW-01</t>
        </is>
      </c>
      <c r="E37" s="10" t="inlineStr">
        <is>
          <t>Mensual</t>
        </is>
      </c>
      <c r="J37" s="305" t="inlineStr">
        <is>
          <t>CMA-15</t>
        </is>
      </c>
      <c r="K37" s="10" t="inlineStr">
        <is>
          <t>Trimestral</t>
        </is>
      </c>
    </row>
    <row r="38">
      <c r="A38" s="305" t="inlineStr">
        <is>
          <t>ADTR</t>
        </is>
      </c>
      <c r="B38" s="305" t="inlineStr">
        <is>
          <t>-</t>
        </is>
      </c>
      <c r="D38" s="305" t="inlineStr">
        <is>
          <t>RPW-03</t>
        </is>
      </c>
      <c r="E38" s="10" t="inlineStr">
        <is>
          <t>Mensual</t>
        </is>
      </c>
      <c r="J38" s="305" t="inlineStr">
        <is>
          <t>CMA-16</t>
        </is>
      </c>
      <c r="K38" s="10" t="inlineStr">
        <is>
          <t>Trimestral</t>
        </is>
      </c>
    </row>
    <row r="39">
      <c r="A39" s="305" t="inlineStr">
        <is>
          <t>AFO-JU1</t>
        </is>
      </c>
      <c r="B39" s="305" t="inlineStr">
        <is>
          <t>-</t>
        </is>
      </c>
      <c r="D39" s="305" t="inlineStr">
        <is>
          <t>RPW-04</t>
        </is>
      </c>
      <c r="E39" s="10" t="inlineStr">
        <is>
          <t>Mensual</t>
        </is>
      </c>
      <c r="J39" s="305" t="inlineStr">
        <is>
          <t>CMA-17</t>
        </is>
      </c>
      <c r="K39" s="10" t="inlineStr">
        <is>
          <t>Trimestral</t>
        </is>
      </c>
    </row>
    <row r="40">
      <c r="A40" s="305" t="inlineStr">
        <is>
          <t>AFO-MP1</t>
        </is>
      </c>
      <c r="B40" s="305" t="inlineStr">
        <is>
          <t>-</t>
        </is>
      </c>
      <c r="D40" s="305" t="inlineStr">
        <is>
          <t>P-4B</t>
        </is>
      </c>
      <c r="E40" s="10" t="inlineStr">
        <is>
          <t>Mensual</t>
        </is>
      </c>
      <c r="J40" s="305" t="inlineStr">
        <is>
          <t>CMA-18</t>
        </is>
      </c>
      <c r="K40" s="10" t="inlineStr">
        <is>
          <t>Trimestral</t>
        </is>
      </c>
    </row>
    <row r="41">
      <c r="A41" s="305" t="inlineStr">
        <is>
          <t>AFO-OV2</t>
        </is>
      </c>
      <c r="B41" s="305" t="inlineStr">
        <is>
          <t>-</t>
        </is>
      </c>
      <c r="J41" s="305" t="inlineStr">
        <is>
          <t>CMA-19</t>
        </is>
      </c>
      <c r="K41" s="10" t="inlineStr">
        <is>
          <t>Trimestral</t>
        </is>
      </c>
    </row>
    <row r="42">
      <c r="A42" s="305" t="inlineStr">
        <is>
          <t>AFO-RF1</t>
        </is>
      </c>
      <c r="B42" s="305" t="inlineStr">
        <is>
          <t>-</t>
        </is>
      </c>
      <c r="J42" s="305" t="inlineStr">
        <is>
          <t>CMA-20</t>
        </is>
      </c>
      <c r="K42" s="10" t="inlineStr">
        <is>
          <t>Trimestral</t>
        </is>
      </c>
    </row>
    <row r="43">
      <c r="A43" s="305" t="inlineStr">
        <is>
          <t>AFO-SA1</t>
        </is>
      </c>
      <c r="B43" s="305" t="inlineStr">
        <is>
          <t>-</t>
        </is>
      </c>
      <c r="J43" s="305" t="inlineStr">
        <is>
          <t>CMA-21</t>
        </is>
      </c>
      <c r="K43" s="10" t="inlineStr">
        <is>
          <t>Trimestral</t>
        </is>
      </c>
    </row>
    <row r="44">
      <c r="A44" s="305" t="inlineStr">
        <is>
          <t>AFO-SD2</t>
        </is>
      </c>
      <c r="B44" s="305" t="inlineStr">
        <is>
          <t>-</t>
        </is>
      </c>
      <c r="J44" s="305" t="inlineStr">
        <is>
          <t>CMA-22</t>
        </is>
      </c>
      <c r="K44" s="10" t="inlineStr">
        <is>
          <t>Trimestral</t>
        </is>
      </c>
    </row>
    <row r="45">
      <c r="A45" s="305" t="inlineStr">
        <is>
          <t>AFO-SN1</t>
        </is>
      </c>
      <c r="B45" s="305" t="inlineStr">
        <is>
          <t>-</t>
        </is>
      </c>
      <c r="J45" s="305" t="inlineStr">
        <is>
          <t>CMA-23</t>
        </is>
      </c>
      <c r="K45" s="10" t="inlineStr">
        <is>
          <t>Trimestral</t>
        </is>
      </c>
    </row>
    <row r="46">
      <c r="A46" s="305" t="inlineStr">
        <is>
          <t>AFO-ZE1</t>
        </is>
      </c>
      <c r="B46" s="305" t="inlineStr">
        <is>
          <t>-</t>
        </is>
      </c>
      <c r="J46" s="305" t="inlineStr">
        <is>
          <t>CMA-24</t>
        </is>
      </c>
      <c r="K46" s="10" t="inlineStr">
        <is>
          <t>Trimestral</t>
        </is>
      </c>
    </row>
    <row r="47">
      <c r="A47" s="305" t="inlineStr">
        <is>
          <t>AR-256</t>
        </is>
      </c>
      <c r="B47" s="305" t="inlineStr">
        <is>
          <t>Bimestral</t>
        </is>
      </c>
      <c r="J47" s="305" t="inlineStr">
        <is>
          <t>CMA-25</t>
        </is>
      </c>
      <c r="K47" s="10" t="inlineStr">
        <is>
          <t>Trimestral</t>
        </is>
      </c>
    </row>
    <row r="48">
      <c r="A48" s="305" t="inlineStr">
        <is>
          <t>ARR-01</t>
        </is>
      </c>
      <c r="B48" s="305" t="inlineStr">
        <is>
          <t>-</t>
        </is>
      </c>
      <c r="J48" s="305" t="inlineStr">
        <is>
          <t>CMA-26</t>
        </is>
      </c>
      <c r="K48" s="10" t="inlineStr">
        <is>
          <t>Trimestral</t>
        </is>
      </c>
    </row>
    <row r="49">
      <c r="A49" s="305" t="inlineStr">
        <is>
          <t>AU-02</t>
        </is>
      </c>
      <c r="B49" s="305" t="inlineStr">
        <is>
          <t>Mensual</t>
        </is>
      </c>
      <c r="J49" s="305" t="inlineStr">
        <is>
          <t>CMA-27</t>
        </is>
      </c>
      <c r="K49" s="10" t="inlineStr">
        <is>
          <t>Trimestral</t>
        </is>
      </c>
    </row>
    <row r="50">
      <c r="A50" s="305" t="inlineStr">
        <is>
          <t>AU-02A</t>
        </is>
      </c>
      <c r="B50" s="305" t="inlineStr">
        <is>
          <t>Mensual</t>
        </is>
      </c>
      <c r="J50" s="305" t="inlineStr">
        <is>
          <t>CMA-28</t>
        </is>
      </c>
      <c r="K50" s="10" t="inlineStr">
        <is>
          <t>Trimestral</t>
        </is>
      </c>
    </row>
    <row r="51">
      <c r="A51" s="305" t="inlineStr">
        <is>
          <t>AU-05</t>
        </is>
      </c>
      <c r="B51" s="305" t="inlineStr">
        <is>
          <t>Mensual</t>
        </is>
      </c>
      <c r="J51" s="305" t="inlineStr">
        <is>
          <t>CP-02-C</t>
        </is>
      </c>
      <c r="K51" s="10" t="inlineStr">
        <is>
          <t>Semestral</t>
        </is>
      </c>
    </row>
    <row r="52">
      <c r="A52" s="305" t="inlineStr">
        <is>
          <t>BCC</t>
        </is>
      </c>
      <c r="B52" s="305" t="inlineStr">
        <is>
          <t>-</t>
        </is>
      </c>
      <c r="J52" s="305" t="inlineStr">
        <is>
          <t>CP-10-B</t>
        </is>
      </c>
      <c r="K52" s="10" t="inlineStr">
        <is>
          <t>Semestral</t>
        </is>
      </c>
    </row>
    <row r="53">
      <c r="A53" s="305" t="inlineStr">
        <is>
          <t>BCON</t>
        </is>
      </c>
      <c r="B53" s="305" t="inlineStr">
        <is>
          <t>-</t>
        </is>
      </c>
      <c r="J53" s="305" t="inlineStr">
        <is>
          <t>CP-13-A</t>
        </is>
      </c>
      <c r="K53" s="10" t="inlineStr">
        <is>
          <t>Semestral</t>
        </is>
      </c>
    </row>
    <row r="54">
      <c r="A54" s="305" t="inlineStr">
        <is>
          <t>BGSO</t>
        </is>
      </c>
      <c r="B54" s="305" t="inlineStr">
        <is>
          <t>-</t>
        </is>
      </c>
      <c r="J54" s="305" t="inlineStr">
        <is>
          <t>CPC</t>
        </is>
      </c>
      <c r="K54" s="10" t="inlineStr">
        <is>
          <t>Mensual (Se realiza quincenal) - Diario</t>
        </is>
      </c>
    </row>
    <row r="55">
      <c r="A55" s="305" t="inlineStr">
        <is>
          <t>BOR</t>
        </is>
      </c>
      <c r="B55" s="305" t="inlineStr">
        <is>
          <t>-</t>
        </is>
      </c>
      <c r="J55" s="305" t="inlineStr">
        <is>
          <t>CPMA-01</t>
        </is>
      </c>
      <c r="K55" s="10" t="inlineStr">
        <is>
          <t>Mensual</t>
        </is>
      </c>
    </row>
    <row r="56">
      <c r="A56" s="305" t="inlineStr">
        <is>
          <t>Botadero Sur</t>
        </is>
      </c>
      <c r="B56" s="305" t="inlineStr">
        <is>
          <t>-</t>
        </is>
      </c>
      <c r="J56" s="305" t="inlineStr">
        <is>
          <t>CPMA-02</t>
        </is>
      </c>
      <c r="K56" s="10" t="inlineStr">
        <is>
          <t>Mensual</t>
        </is>
      </c>
    </row>
    <row r="57">
      <c r="A57" s="305" t="inlineStr">
        <is>
          <t>BPCR</t>
        </is>
      </c>
      <c r="B57" s="305" t="inlineStr">
        <is>
          <t>-</t>
        </is>
      </c>
      <c r="J57" s="305" t="inlineStr">
        <is>
          <t>CPPCHE</t>
        </is>
      </c>
      <c r="K57" s="10" t="inlineStr">
        <is>
          <t>Mensual (Se realiza quincenal)</t>
        </is>
      </c>
    </row>
    <row r="58">
      <c r="A58" s="305" t="inlineStr">
        <is>
          <t>C-1000</t>
        </is>
      </c>
      <c r="B58" s="305" t="inlineStr">
        <is>
          <t>-</t>
        </is>
      </c>
      <c r="J58" s="305" t="inlineStr">
        <is>
          <t>CSW-02</t>
        </is>
      </c>
      <c r="K58" s="10" t="inlineStr">
        <is>
          <t>Mensual</t>
        </is>
      </c>
    </row>
    <row r="59">
      <c r="A59" s="305" t="inlineStr">
        <is>
          <t>C-263</t>
        </is>
      </c>
      <c r="B59" s="305" t="inlineStr">
        <is>
          <t>Mensual</t>
        </is>
      </c>
      <c r="J59" s="305" t="inlineStr">
        <is>
          <t>CSW-05</t>
        </is>
      </c>
      <c r="K59" s="10" t="inlineStr">
        <is>
          <t>Mensual</t>
        </is>
      </c>
    </row>
    <row r="60">
      <c r="A60" s="305" t="inlineStr">
        <is>
          <t>C-460</t>
        </is>
      </c>
      <c r="B60" s="305" t="inlineStr">
        <is>
          <t>-</t>
        </is>
      </c>
      <c r="J60" s="305" t="inlineStr">
        <is>
          <t>CWE-01</t>
        </is>
      </c>
      <c r="K60" s="10" t="inlineStr">
        <is>
          <t>Trimestral</t>
        </is>
      </c>
    </row>
    <row r="61">
      <c r="A61" s="305" t="inlineStr">
        <is>
          <t>Canaleta DR</t>
        </is>
      </c>
      <c r="B61" s="305" t="inlineStr">
        <is>
          <t>-</t>
        </is>
      </c>
      <c r="J61" s="305" t="inlineStr">
        <is>
          <t>CWE-02A</t>
        </is>
      </c>
      <c r="K61" s="10" t="inlineStr">
        <is>
          <t>Trimestral</t>
        </is>
      </c>
    </row>
    <row r="62">
      <c r="A62" s="305" t="inlineStr">
        <is>
          <t>Captación Agua de mar</t>
        </is>
      </c>
      <c r="B62" s="305" t="inlineStr">
        <is>
          <t>-</t>
        </is>
      </c>
      <c r="J62" s="305" t="inlineStr">
        <is>
          <t>CWE-06</t>
        </is>
      </c>
      <c r="K62" s="10" t="inlineStr">
        <is>
          <t>Trimestral</t>
        </is>
      </c>
    </row>
    <row r="63">
      <c r="A63" s="305" t="inlineStr">
        <is>
          <t>CCD</t>
        </is>
      </c>
      <c r="B63" s="305" t="inlineStr">
        <is>
          <t>-</t>
        </is>
      </c>
      <c r="J63" s="305" t="inlineStr">
        <is>
          <t>CWE-07</t>
        </is>
      </c>
      <c r="K63" s="10" t="inlineStr">
        <is>
          <t>Trimestral</t>
        </is>
      </c>
    </row>
    <row r="64">
      <c r="A64" s="305" t="inlineStr">
        <is>
          <t>Ceusis</t>
        </is>
      </c>
      <c r="B64" s="305" t="inlineStr">
        <is>
          <t>-</t>
        </is>
      </c>
      <c r="J64" s="305" t="inlineStr">
        <is>
          <t>CWE-08</t>
        </is>
      </c>
      <c r="K64" s="10" t="inlineStr">
        <is>
          <t>Trimestral</t>
        </is>
      </c>
    </row>
    <row r="65">
      <c r="A65" s="305" t="inlineStr">
        <is>
          <t>CGP</t>
        </is>
      </c>
      <c r="B65" s="305" t="inlineStr">
        <is>
          <t>-</t>
        </is>
      </c>
      <c r="J65" s="305" t="inlineStr">
        <is>
          <t>CWE-09B</t>
        </is>
      </c>
      <c r="K65" s="10" t="inlineStr">
        <is>
          <t>Trimestral</t>
        </is>
      </c>
    </row>
    <row r="66">
      <c r="A66" s="305" t="inlineStr">
        <is>
          <t>Chiclla</t>
        </is>
      </c>
      <c r="B66" s="305" t="inlineStr">
        <is>
          <t>-</t>
        </is>
      </c>
      <c r="J66" s="305" t="inlineStr">
        <is>
          <t>CWE-12</t>
        </is>
      </c>
      <c r="K66" s="10" t="inlineStr">
        <is>
          <t>Trimestral</t>
        </is>
      </c>
    </row>
    <row r="67">
      <c r="A67" s="305" t="inlineStr">
        <is>
          <t>CMA-01A</t>
        </is>
      </c>
      <c r="B67" s="305" t="inlineStr">
        <is>
          <t>Mensual</t>
        </is>
      </c>
      <c r="J67" s="305" t="inlineStr">
        <is>
          <t>CWE-19</t>
        </is>
      </c>
      <c r="K67" s="10" t="inlineStr">
        <is>
          <t>Trimestral</t>
        </is>
      </c>
    </row>
    <row r="68">
      <c r="A68" s="305" t="inlineStr">
        <is>
          <t>CMA-01B</t>
        </is>
      </c>
      <c r="B68" s="305" t="inlineStr">
        <is>
          <t>Mensual</t>
        </is>
      </c>
      <c r="J68" s="305" t="inlineStr">
        <is>
          <t>CWE-34</t>
        </is>
      </c>
      <c r="K68" s="10" t="inlineStr">
        <is>
          <t>Trimestral</t>
        </is>
      </c>
    </row>
    <row r="69">
      <c r="A69" s="305" t="inlineStr">
        <is>
          <t>CMA-02</t>
        </is>
      </c>
      <c r="B69" s="305" t="inlineStr">
        <is>
          <t>Mensual</t>
        </is>
      </c>
      <c r="J69" s="305" t="inlineStr">
        <is>
          <t>CWE-35</t>
        </is>
      </c>
      <c r="K69" s="10" t="inlineStr">
        <is>
          <t>Trimestral</t>
        </is>
      </c>
    </row>
    <row r="70">
      <c r="A70" s="305" t="inlineStr">
        <is>
          <t>CMA-03</t>
        </is>
      </c>
      <c r="B70" s="305" t="inlineStr">
        <is>
          <t>Mensual</t>
        </is>
      </c>
      <c r="J70" s="305" t="inlineStr">
        <is>
          <t>CWE-38</t>
        </is>
      </c>
      <c r="K70" s="10" t="inlineStr">
        <is>
          <t>Trimestral</t>
        </is>
      </c>
    </row>
    <row r="71">
      <c r="A71" s="305" t="inlineStr">
        <is>
          <t>CMA-04</t>
        </is>
      </c>
      <c r="B71" s="305" t="inlineStr">
        <is>
          <t>Mensual</t>
        </is>
      </c>
      <c r="J71" s="305" t="inlineStr">
        <is>
          <t>CWP-14</t>
        </is>
      </c>
      <c r="K71" s="10" t="inlineStr">
        <is>
          <t>Trimestral</t>
        </is>
      </c>
    </row>
    <row r="72">
      <c r="A72" s="305" t="inlineStr">
        <is>
          <t>CMA-05</t>
        </is>
      </c>
      <c r="B72" s="305" t="inlineStr">
        <is>
          <t>Mensual</t>
        </is>
      </c>
      <c r="J72" s="305" t="inlineStr">
        <is>
          <t>Dique Huinquintipa</t>
        </is>
      </c>
      <c r="K72" s="10" t="inlineStr">
        <is>
          <t>Semanal</t>
        </is>
      </c>
    </row>
    <row r="73">
      <c r="A73" s="305" t="inlineStr">
        <is>
          <t>CMA-06</t>
        </is>
      </c>
      <c r="B73" s="305" t="inlineStr">
        <is>
          <t>Mensual</t>
        </is>
      </c>
      <c r="J73" s="305" t="inlineStr">
        <is>
          <t>Dique San Daniel</t>
        </is>
      </c>
      <c r="K73" s="10" t="inlineStr">
        <is>
          <t>Semanal</t>
        </is>
      </c>
    </row>
    <row r="74">
      <c r="A74" s="305" t="inlineStr">
        <is>
          <t>CMA-07</t>
        </is>
      </c>
      <c r="B74" s="305" t="inlineStr">
        <is>
          <t>Mensual</t>
        </is>
      </c>
      <c r="J74" s="305" t="inlineStr">
        <is>
          <t>DU-01</t>
        </is>
      </c>
      <c r="K74" s="10" t="inlineStr">
        <is>
          <t>Trimestral</t>
        </is>
      </c>
    </row>
    <row r="75">
      <c r="A75" s="305" t="inlineStr">
        <is>
          <t>CMA-08</t>
        </is>
      </c>
      <c r="B75" s="305" t="inlineStr">
        <is>
          <t>Mensual</t>
        </is>
      </c>
      <c r="J75" s="305" t="inlineStr">
        <is>
          <t>Efluente desaladora</t>
        </is>
      </c>
      <c r="K75" s="10" t="inlineStr">
        <is>
          <t>Semanal</t>
        </is>
      </c>
    </row>
    <row r="76">
      <c r="A76" s="305" t="inlineStr">
        <is>
          <t>CMA-09</t>
        </is>
      </c>
      <c r="B76" s="305" t="inlineStr">
        <is>
          <t>Mensual</t>
        </is>
      </c>
      <c r="J76" s="305" t="inlineStr">
        <is>
          <t>Estación 1</t>
        </is>
      </c>
      <c r="K76" s="10" t="inlineStr">
        <is>
          <t>Mensual</t>
        </is>
      </c>
    </row>
    <row r="77">
      <c r="A77" s="305" t="inlineStr">
        <is>
          <t>CMA-10</t>
        </is>
      </c>
      <c r="B77" s="305" t="inlineStr">
        <is>
          <t>Mensual</t>
        </is>
      </c>
      <c r="J77" s="305" t="inlineStr">
        <is>
          <t>Estación 2</t>
        </is>
      </c>
      <c r="K77" s="10" t="inlineStr">
        <is>
          <t>Mensual</t>
        </is>
      </c>
    </row>
    <row r="78">
      <c r="A78" s="305" t="inlineStr">
        <is>
          <t>CMA-11</t>
        </is>
      </c>
      <c r="B78" s="305" t="inlineStr">
        <is>
          <t>Mensual</t>
        </is>
      </c>
      <c r="J78" s="305" t="inlineStr">
        <is>
          <t>Estación 3</t>
        </is>
      </c>
      <c r="K78" s="10" t="inlineStr">
        <is>
          <t>Trimestral</t>
        </is>
      </c>
    </row>
    <row r="79">
      <c r="A79" s="305" t="inlineStr">
        <is>
          <t>CMA-12</t>
        </is>
      </c>
      <c r="B79" s="305" t="inlineStr">
        <is>
          <t>Mensual</t>
        </is>
      </c>
      <c r="J79" s="305" t="inlineStr">
        <is>
          <t>Estanque recolección abastecimiento medida reposición MM1</t>
        </is>
      </c>
      <c r="K79" s="10" t="inlineStr">
        <is>
          <t>Mensual</t>
        </is>
      </c>
    </row>
    <row r="80">
      <c r="A80" s="305" t="inlineStr">
        <is>
          <t>CMA-13</t>
        </is>
      </c>
      <c r="B80" s="305" t="inlineStr">
        <is>
          <t>Mensual</t>
        </is>
      </c>
      <c r="J80" s="305" t="inlineStr">
        <is>
          <t>FAD</t>
        </is>
      </c>
      <c r="K80" s="10" t="inlineStr">
        <is>
          <t>Mensual</t>
        </is>
      </c>
    </row>
    <row r="81">
      <c r="A81" s="305" t="inlineStr">
        <is>
          <t>CMA-14</t>
        </is>
      </c>
      <c r="B81" s="305" t="inlineStr">
        <is>
          <t>Mensual</t>
        </is>
      </c>
      <c r="J81" s="305" t="inlineStr">
        <is>
          <t>HTC-1</t>
        </is>
      </c>
      <c r="K81" s="10" t="inlineStr">
        <is>
          <t>Trimestral</t>
        </is>
      </c>
    </row>
    <row r="82">
      <c r="A82" s="305" t="inlineStr">
        <is>
          <t>CMA-15</t>
        </is>
      </c>
      <c r="B82" s="305" t="inlineStr">
        <is>
          <t>Mensual</t>
        </is>
      </c>
      <c r="J82" s="305" t="inlineStr">
        <is>
          <t>HTC-3</t>
        </is>
      </c>
      <c r="K82" s="10" t="inlineStr">
        <is>
          <t>Trimestral</t>
        </is>
      </c>
    </row>
    <row r="83">
      <c r="A83" s="305" t="inlineStr">
        <is>
          <t>CMA-16</t>
        </is>
      </c>
      <c r="B83" s="305" t="inlineStr">
        <is>
          <t>Mensual</t>
        </is>
      </c>
      <c r="J83" s="305" t="inlineStr">
        <is>
          <t>HTC-4A</t>
        </is>
      </c>
      <c r="K83" s="10" t="inlineStr">
        <is>
          <t>Trimestral</t>
        </is>
      </c>
    </row>
    <row r="84">
      <c r="A84" s="305" t="inlineStr">
        <is>
          <t>CMA-17</t>
        </is>
      </c>
      <c r="B84" s="305" t="inlineStr">
        <is>
          <t>Mensual</t>
        </is>
      </c>
      <c r="J84" s="305" t="inlineStr">
        <is>
          <t>JCC-04</t>
        </is>
      </c>
      <c r="K84" s="10" t="inlineStr">
        <is>
          <t>Mensual</t>
        </is>
      </c>
    </row>
    <row r="85">
      <c r="A85" s="305" t="inlineStr">
        <is>
          <t>CMA-18</t>
        </is>
      </c>
      <c r="B85" s="305" t="inlineStr">
        <is>
          <t>Mensual</t>
        </is>
      </c>
      <c r="J85" s="305" t="inlineStr">
        <is>
          <t>JCC-05</t>
        </is>
      </c>
      <c r="K85" s="10" t="inlineStr">
        <is>
          <t>Mensual</t>
        </is>
      </c>
    </row>
    <row r="86">
      <c r="A86" s="305" t="inlineStr">
        <is>
          <t>CMA-19</t>
        </is>
      </c>
      <c r="B86" s="305" t="inlineStr">
        <is>
          <t>Mensual</t>
        </is>
      </c>
      <c r="J86" s="305" t="inlineStr">
        <is>
          <t>LPDC-01</t>
        </is>
      </c>
      <c r="K86" s="10" t="inlineStr">
        <is>
          <t>Mensual</t>
        </is>
      </c>
    </row>
    <row r="87">
      <c r="A87" s="305" t="inlineStr">
        <is>
          <t>CMA-20</t>
        </is>
      </c>
      <c r="B87" s="305" t="inlineStr">
        <is>
          <t>Mensual</t>
        </is>
      </c>
      <c r="J87" s="305" t="inlineStr">
        <is>
          <t>LPDC-02</t>
        </is>
      </c>
      <c r="K87" s="10" t="inlineStr">
        <is>
          <t>Mensual</t>
        </is>
      </c>
    </row>
    <row r="88">
      <c r="A88" s="305" t="inlineStr">
        <is>
          <t>CMA-21</t>
        </is>
      </c>
      <c r="B88" s="305" t="inlineStr">
        <is>
          <t>Mensual</t>
        </is>
      </c>
      <c r="J88" s="305" t="inlineStr">
        <is>
          <t>LPDC-03</t>
        </is>
      </c>
      <c r="K88" s="10" t="inlineStr">
        <is>
          <t>Mensual</t>
        </is>
      </c>
    </row>
    <row r="89">
      <c r="A89" s="305" t="inlineStr">
        <is>
          <t>CMA-22</t>
        </is>
      </c>
      <c r="B89" s="305" t="inlineStr">
        <is>
          <t>Mensual</t>
        </is>
      </c>
      <c r="J89" s="305" t="inlineStr">
        <is>
          <t>LPDC-04</t>
        </is>
      </c>
      <c r="K89" s="10" t="inlineStr">
        <is>
          <t>Mensual</t>
        </is>
      </c>
    </row>
    <row r="90">
      <c r="A90" s="305" t="inlineStr">
        <is>
          <t>CMA-23</t>
        </is>
      </c>
      <c r="B90" s="305" t="inlineStr">
        <is>
          <t>Mensual</t>
        </is>
      </c>
      <c r="J90" s="305" t="inlineStr">
        <is>
          <t>LPDC-05</t>
        </is>
      </c>
      <c r="K90" s="10" t="inlineStr">
        <is>
          <t>Mensual</t>
        </is>
      </c>
    </row>
    <row r="91">
      <c r="A91" s="305" t="inlineStr">
        <is>
          <t>CMA-24</t>
        </is>
      </c>
      <c r="B91" s="305" t="inlineStr">
        <is>
          <t>Mensual</t>
        </is>
      </c>
      <c r="J91" s="305" t="inlineStr">
        <is>
          <t>LPDC-06</t>
        </is>
      </c>
      <c r="K91" s="10" t="inlineStr">
        <is>
          <t>Mensual</t>
        </is>
      </c>
    </row>
    <row r="92">
      <c r="A92" s="305" t="inlineStr">
        <is>
          <t>CMA-25</t>
        </is>
      </c>
      <c r="B92" s="305" t="inlineStr">
        <is>
          <t>Mensual</t>
        </is>
      </c>
      <c r="J92" s="305" t="inlineStr">
        <is>
          <t>LPDC-07</t>
        </is>
      </c>
      <c r="K92" s="10" t="inlineStr">
        <is>
          <t>Mensual</t>
        </is>
      </c>
    </row>
    <row r="93">
      <c r="A93" s="305" t="inlineStr">
        <is>
          <t>CMA-26</t>
        </is>
      </c>
      <c r="B93" s="305" t="inlineStr">
        <is>
          <t>Mensual</t>
        </is>
      </c>
      <c r="J93" s="305" t="inlineStr">
        <is>
          <t>LPDC-08</t>
        </is>
      </c>
      <c r="K93" s="10" t="inlineStr">
        <is>
          <t>Mensual</t>
        </is>
      </c>
    </row>
    <row r="94">
      <c r="A94" s="305" t="inlineStr">
        <is>
          <t>CMA-27</t>
        </is>
      </c>
      <c r="B94" s="305" t="inlineStr">
        <is>
          <t>Mensual</t>
        </is>
      </c>
      <c r="J94" s="305" t="inlineStr">
        <is>
          <t>LPDC-09</t>
        </is>
      </c>
      <c r="K94" s="10" t="inlineStr">
        <is>
          <t>Mensual</t>
        </is>
      </c>
    </row>
    <row r="95">
      <c r="A95" s="305" t="inlineStr">
        <is>
          <t>CMA-28</t>
        </is>
      </c>
      <c r="B95" s="305" t="inlineStr">
        <is>
          <t>Mensual</t>
        </is>
      </c>
      <c r="J95" s="305" t="inlineStr">
        <is>
          <t>LPDC-10</t>
        </is>
      </c>
      <c r="K95" s="10" t="inlineStr">
        <is>
          <t>Mensual</t>
        </is>
      </c>
    </row>
    <row r="96">
      <c r="A96" s="305" t="inlineStr">
        <is>
          <t>CMW-01</t>
        </is>
      </c>
      <c r="B96" s="305" t="inlineStr">
        <is>
          <t>Mensual</t>
        </is>
      </c>
      <c r="J96" s="305" t="inlineStr">
        <is>
          <t>LPDC-11</t>
        </is>
      </c>
      <c r="K96" s="10" t="inlineStr">
        <is>
          <t>Mensual</t>
        </is>
      </c>
    </row>
    <row r="97">
      <c r="A97" s="305" t="inlineStr">
        <is>
          <t>CMW-02</t>
        </is>
      </c>
      <c r="B97" s="305" t="inlineStr">
        <is>
          <t>Mensual</t>
        </is>
      </c>
      <c r="J97" s="305" t="inlineStr">
        <is>
          <t>M-04C</t>
        </is>
      </c>
      <c r="K97" s="10" t="inlineStr">
        <is>
          <t>Mensual</t>
        </is>
      </c>
    </row>
    <row r="98">
      <c r="A98" s="305" t="inlineStr">
        <is>
          <t>CMW-03</t>
        </is>
      </c>
      <c r="B98" s="305" t="inlineStr">
        <is>
          <t>Mensual</t>
        </is>
      </c>
      <c r="J98" s="305" t="inlineStr">
        <is>
          <t>M-05</t>
        </is>
      </c>
      <c r="K98" s="10" t="inlineStr">
        <is>
          <t>Mensual</t>
        </is>
      </c>
    </row>
    <row r="99">
      <c r="A99" s="305" t="inlineStr">
        <is>
          <t>CMW-04</t>
        </is>
      </c>
      <c r="B99" s="305" t="inlineStr">
        <is>
          <t>Mensual</t>
        </is>
      </c>
      <c r="J99" s="305" t="inlineStr">
        <is>
          <t>M-12</t>
        </is>
      </c>
      <c r="K99" s="10" t="inlineStr">
        <is>
          <t>Trimestral</t>
        </is>
      </c>
    </row>
    <row r="100">
      <c r="A100" s="305" t="inlineStr">
        <is>
          <t>CMW-05B</t>
        </is>
      </c>
      <c r="B100" s="305" t="inlineStr">
        <is>
          <t>Mensual</t>
        </is>
      </c>
      <c r="J100" s="305" t="inlineStr">
        <is>
          <t>M-13</t>
        </is>
      </c>
      <c r="K100" s="10" t="inlineStr">
        <is>
          <t>Mensual</t>
        </is>
      </c>
    </row>
    <row r="101">
      <c r="A101" s="305" t="inlineStr">
        <is>
          <t>CMW-06</t>
        </is>
      </c>
      <c r="B101" s="305" t="inlineStr">
        <is>
          <t>Bimestral</t>
        </is>
      </c>
      <c r="J101" s="305" t="inlineStr">
        <is>
          <t>M-16</t>
        </is>
      </c>
      <c r="K101" s="10" t="inlineStr">
        <is>
          <t>Trimestral</t>
        </is>
      </c>
    </row>
    <row r="102">
      <c r="A102" s="305" t="inlineStr">
        <is>
          <t>CMW-07</t>
        </is>
      </c>
      <c r="B102" s="305" t="inlineStr">
        <is>
          <t>Mensual</t>
        </is>
      </c>
      <c r="J102" s="305" t="inlineStr">
        <is>
          <t>M-17</t>
        </is>
      </c>
      <c r="K102" s="10" t="inlineStr">
        <is>
          <t>Trimestral</t>
        </is>
      </c>
    </row>
    <row r="103">
      <c r="A103" s="305" t="inlineStr">
        <is>
          <t>CMW-08</t>
        </is>
      </c>
      <c r="B103" s="305" t="inlineStr">
        <is>
          <t>Mensual</t>
        </is>
      </c>
      <c r="J103" s="305" t="inlineStr">
        <is>
          <t>M-18</t>
        </is>
      </c>
      <c r="K103" s="10" t="inlineStr">
        <is>
          <t>Mensual</t>
        </is>
      </c>
    </row>
    <row r="104">
      <c r="A104" s="305" t="inlineStr">
        <is>
          <t>CMW-09</t>
        </is>
      </c>
      <c r="B104" s="305" t="inlineStr">
        <is>
          <t>Mensual</t>
        </is>
      </c>
      <c r="J104" s="305" t="inlineStr">
        <is>
          <t>M-27</t>
        </is>
      </c>
      <c r="K104" s="10" t="inlineStr">
        <is>
          <t>Mensual</t>
        </is>
      </c>
    </row>
    <row r="105">
      <c r="A105" s="305" t="inlineStr">
        <is>
          <t>CMW-10</t>
        </is>
      </c>
      <c r="B105" s="305" t="inlineStr">
        <is>
          <t>Mensual</t>
        </is>
      </c>
      <c r="J105" s="305" t="inlineStr">
        <is>
          <t>MA-01</t>
        </is>
      </c>
      <c r="K105" s="10" t="inlineStr">
        <is>
          <t>Trimestral</t>
        </is>
      </c>
    </row>
    <row r="106">
      <c r="A106" s="305" t="inlineStr">
        <is>
          <t>CMW-11</t>
        </is>
      </c>
      <c r="B106" s="305" t="inlineStr">
        <is>
          <t>Mensual</t>
        </is>
      </c>
      <c r="J106" s="305" t="inlineStr">
        <is>
          <t>MA-02C</t>
        </is>
      </c>
      <c r="K106" s="10" t="inlineStr">
        <is>
          <t>Bimestral - Trimestral</t>
        </is>
      </c>
    </row>
    <row r="107">
      <c r="A107" s="305" t="inlineStr">
        <is>
          <t>CMW-12</t>
        </is>
      </c>
      <c r="B107" s="305" t="inlineStr">
        <is>
          <t>Mensual</t>
        </is>
      </c>
      <c r="J107" s="305" t="inlineStr">
        <is>
          <t>MA-03A</t>
        </is>
      </c>
      <c r="K107" s="10" t="inlineStr">
        <is>
          <t>Trimestral</t>
        </is>
      </c>
    </row>
    <row r="108">
      <c r="A108" s="305" t="inlineStr">
        <is>
          <t>CMW-13</t>
        </is>
      </c>
      <c r="B108" s="305" t="inlineStr">
        <is>
          <t>Mensual</t>
        </is>
      </c>
      <c r="J108" s="305" t="inlineStr">
        <is>
          <t>MA-08</t>
        </is>
      </c>
      <c r="K108" s="10" t="inlineStr">
        <is>
          <t>Trimestral</t>
        </is>
      </c>
    </row>
    <row r="109">
      <c r="A109" s="305" t="inlineStr">
        <is>
          <t>CMW-13B</t>
        </is>
      </c>
      <c r="B109" s="305" t="inlineStr">
        <is>
          <t>Bimestral</t>
        </is>
      </c>
      <c r="J109" s="305" t="inlineStr">
        <is>
          <t>MA-09B</t>
        </is>
      </c>
      <c r="K109" s="10" t="inlineStr">
        <is>
          <t>Trimestral</t>
        </is>
      </c>
    </row>
    <row r="110">
      <c r="A110" s="305" t="inlineStr">
        <is>
          <t>CMW-14</t>
        </is>
      </c>
      <c r="B110" s="305" t="inlineStr">
        <is>
          <t>Mensual</t>
        </is>
      </c>
      <c r="J110" s="305" t="inlineStr">
        <is>
          <t>MAH-01</t>
        </is>
      </c>
      <c r="K110" s="10" t="inlineStr">
        <is>
          <t>Trimestral</t>
        </is>
      </c>
    </row>
    <row r="111">
      <c r="A111" s="305" t="inlineStr">
        <is>
          <t>CMW-15</t>
        </is>
      </c>
      <c r="B111" s="305" t="inlineStr">
        <is>
          <t>Mensual</t>
        </is>
      </c>
      <c r="J111" s="305" t="inlineStr">
        <is>
          <t>MAU-01B</t>
        </is>
      </c>
      <c r="K111" s="10" t="inlineStr">
        <is>
          <t>Trimestral</t>
        </is>
      </c>
    </row>
    <row r="112">
      <c r="A112" s="305" t="inlineStr">
        <is>
          <t>CMW-16</t>
        </is>
      </c>
      <c r="B112" s="305" t="inlineStr">
        <is>
          <t>Mensual</t>
        </is>
      </c>
      <c r="J112" s="305" t="inlineStr">
        <is>
          <t>MAU-02</t>
        </is>
      </c>
      <c r="K112" s="10" t="inlineStr">
        <is>
          <t>Trimestral</t>
        </is>
      </c>
    </row>
    <row r="113">
      <c r="A113" s="305" t="inlineStr">
        <is>
          <t>CMW-17B</t>
        </is>
      </c>
      <c r="B113" s="305" t="inlineStr">
        <is>
          <t>Mensual</t>
        </is>
      </c>
      <c r="J113" s="305" t="inlineStr">
        <is>
          <t>MAU-03B</t>
        </is>
      </c>
      <c r="K113" s="10" t="inlineStr">
        <is>
          <t>Mensual</t>
        </is>
      </c>
    </row>
    <row r="114">
      <c r="A114" s="305" t="inlineStr">
        <is>
          <t>CMW-18</t>
        </is>
      </c>
      <c r="B114" s="305" t="inlineStr">
        <is>
          <t>Mensual</t>
        </is>
      </c>
      <c r="J114" s="305" t="inlineStr">
        <is>
          <t>MAU-05B</t>
        </is>
      </c>
      <c r="K114" s="10" t="inlineStr">
        <is>
          <t>Mensual</t>
        </is>
      </c>
    </row>
    <row r="115">
      <c r="A115" s="305" t="inlineStr">
        <is>
          <t>CMW-19</t>
        </is>
      </c>
      <c r="B115" s="305" t="inlineStr">
        <is>
          <t>Mensual</t>
        </is>
      </c>
      <c r="J115" s="305" t="inlineStr">
        <is>
          <t>MAU-07B</t>
        </is>
      </c>
      <c r="K115" s="10" t="inlineStr">
        <is>
          <t>Mensual</t>
        </is>
      </c>
    </row>
    <row r="116">
      <c r="A116" s="305" t="inlineStr">
        <is>
          <t>CMW-20</t>
        </is>
      </c>
      <c r="B116" s="305" t="inlineStr">
        <is>
          <t>Mensual</t>
        </is>
      </c>
      <c r="J116" s="305" t="inlineStr">
        <is>
          <t>MAU-08B</t>
        </is>
      </c>
      <c r="K116" s="10" t="inlineStr">
        <is>
          <t>Mensual</t>
        </is>
      </c>
    </row>
    <row r="117">
      <c r="A117" s="305" t="inlineStr">
        <is>
          <t>CMW-21</t>
        </is>
      </c>
      <c r="B117" s="305" t="inlineStr">
        <is>
          <t>Mensual</t>
        </is>
      </c>
      <c r="J117" s="305" t="inlineStr">
        <is>
          <t>MAU-10</t>
        </is>
      </c>
      <c r="K117" s="10" t="inlineStr">
        <is>
          <t>Mensual</t>
        </is>
      </c>
    </row>
    <row r="118">
      <c r="A118" s="305" t="inlineStr">
        <is>
          <t>CMW-22</t>
        </is>
      </c>
      <c r="B118" s="305" t="inlineStr">
        <is>
          <t>Mensual</t>
        </is>
      </c>
      <c r="J118" s="305" t="inlineStr">
        <is>
          <t>MAU-11B</t>
        </is>
      </c>
      <c r="K118" s="10" t="inlineStr">
        <is>
          <t>Mensual</t>
        </is>
      </c>
    </row>
    <row r="119">
      <c r="A119" s="305" t="inlineStr">
        <is>
          <t>CMW-23</t>
        </is>
      </c>
      <c r="B119" s="305" t="inlineStr">
        <is>
          <t>Mensual</t>
        </is>
      </c>
      <c r="J119" s="305" t="inlineStr">
        <is>
          <t>MAU-12</t>
        </is>
      </c>
      <c r="K119" s="10" t="inlineStr">
        <is>
          <t>Mensual</t>
        </is>
      </c>
    </row>
    <row r="120">
      <c r="A120" s="305" t="inlineStr">
        <is>
          <t>CMW-24</t>
        </is>
      </c>
      <c r="B120" s="305" t="inlineStr">
        <is>
          <t>Mensual</t>
        </is>
      </c>
      <c r="J120" s="305" t="inlineStr">
        <is>
          <t>MAU-13</t>
        </is>
      </c>
      <c r="K120" s="10" t="inlineStr">
        <is>
          <t>Mensual</t>
        </is>
      </c>
    </row>
    <row r="121">
      <c r="A121" s="305" t="inlineStr">
        <is>
          <t>CMW-25</t>
        </is>
      </c>
      <c r="B121" s="305" t="inlineStr">
        <is>
          <t>Mensual</t>
        </is>
      </c>
      <c r="J121" s="305" t="inlineStr">
        <is>
          <t>MAU-14</t>
        </is>
      </c>
      <c r="K121" s="10" t="inlineStr">
        <is>
          <t>Mensual</t>
        </is>
      </c>
    </row>
    <row r="122">
      <c r="A122" s="305" t="inlineStr">
        <is>
          <t>CMW-26</t>
        </is>
      </c>
      <c r="B122" s="305" t="inlineStr">
        <is>
          <t>Mensual</t>
        </is>
      </c>
      <c r="J122" s="305" t="inlineStr">
        <is>
          <t>MAU-15</t>
        </is>
      </c>
      <c r="K122" s="10" t="inlineStr">
        <is>
          <t>Mensual</t>
        </is>
      </c>
    </row>
    <row r="123">
      <c r="A123" s="305" t="inlineStr">
        <is>
          <t>CMW-27</t>
        </is>
      </c>
      <c r="B123" s="305" t="inlineStr">
        <is>
          <t>Mensual</t>
        </is>
      </c>
      <c r="J123" s="305" t="inlineStr">
        <is>
          <t>MAU-16</t>
        </is>
      </c>
      <c r="K123" s="10" t="inlineStr">
        <is>
          <t>Mensual</t>
        </is>
      </c>
    </row>
    <row r="124">
      <c r="A124" s="305" t="inlineStr">
        <is>
          <t>CMW-28B</t>
        </is>
      </c>
      <c r="B124" s="305" t="inlineStr">
        <is>
          <t>Mensual</t>
        </is>
      </c>
      <c r="J124" s="305" t="inlineStr">
        <is>
          <t>MIT-01B</t>
        </is>
      </c>
      <c r="K124" s="10" t="inlineStr">
        <is>
          <t>Mensual</t>
        </is>
      </c>
    </row>
    <row r="125">
      <c r="A125" s="305" t="inlineStr">
        <is>
          <t>CMW-29B</t>
        </is>
      </c>
      <c r="B125" s="305" t="inlineStr">
        <is>
          <t>Bimestral</t>
        </is>
      </c>
      <c r="J125" s="305" t="inlineStr">
        <is>
          <t>MIT-02B</t>
        </is>
      </c>
      <c r="K125" s="10" t="inlineStr">
        <is>
          <t>Mensual</t>
        </is>
      </c>
    </row>
    <row r="126">
      <c r="A126" s="305" t="inlineStr">
        <is>
          <t>CMW-30</t>
        </is>
      </c>
      <c r="B126" s="305" t="inlineStr">
        <is>
          <t>Mensual</t>
        </is>
      </c>
      <c r="J126" s="305" t="inlineStr">
        <is>
          <t>MIT-03</t>
        </is>
      </c>
      <c r="K126" s="10" t="inlineStr">
        <is>
          <t>Mensual</t>
        </is>
      </c>
    </row>
    <row r="127">
      <c r="A127" s="305" t="inlineStr">
        <is>
          <t>CMW-31</t>
        </is>
      </c>
      <c r="B127" s="305" t="inlineStr">
        <is>
          <t>Mensual</t>
        </is>
      </c>
      <c r="J127" s="305" t="inlineStr">
        <is>
          <t>MMA-01</t>
        </is>
      </c>
      <c r="K127" s="10" t="inlineStr">
        <is>
          <t>Mensual</t>
        </is>
      </c>
    </row>
    <row r="128">
      <c r="A128" s="305" t="inlineStr">
        <is>
          <t>CMW-32</t>
        </is>
      </c>
      <c r="B128" s="305" t="inlineStr">
        <is>
          <t>Bimestral</t>
        </is>
      </c>
      <c r="J128" s="305" t="inlineStr">
        <is>
          <t>MMA-02</t>
        </is>
      </c>
      <c r="K128" s="10" t="inlineStr">
        <is>
          <t>Mensual</t>
        </is>
      </c>
    </row>
    <row r="129">
      <c r="A129" s="305" t="inlineStr">
        <is>
          <t>CMW-33</t>
        </is>
      </c>
      <c r="B129" s="305" t="inlineStr">
        <is>
          <t>Bimestral</t>
        </is>
      </c>
      <c r="J129" s="305" t="inlineStr">
        <is>
          <t>MMA-03</t>
        </is>
      </c>
      <c r="K129" s="10" t="inlineStr">
        <is>
          <t>Mensual</t>
        </is>
      </c>
    </row>
    <row r="130">
      <c r="A130" s="305" t="inlineStr">
        <is>
          <t>CMW-34</t>
        </is>
      </c>
      <c r="B130" s="305" t="inlineStr">
        <is>
          <t>Mensual</t>
        </is>
      </c>
      <c r="J130" s="305" t="inlineStr">
        <is>
          <t>MMA-04</t>
        </is>
      </c>
      <c r="K130" s="10" t="inlineStr">
        <is>
          <t>Mensual</t>
        </is>
      </c>
    </row>
    <row r="131">
      <c r="A131" s="305" t="inlineStr">
        <is>
          <t>CMW-36</t>
        </is>
      </c>
      <c r="B131" s="305" t="inlineStr">
        <is>
          <t>Mensual</t>
        </is>
      </c>
      <c r="J131" s="305" t="inlineStr">
        <is>
          <t>MMA-05</t>
        </is>
      </c>
      <c r="K131" s="10" t="inlineStr">
        <is>
          <t>Mensual</t>
        </is>
      </c>
    </row>
    <row r="132">
      <c r="A132" s="305" t="inlineStr">
        <is>
          <t>CP-01-I</t>
        </is>
      </c>
      <c r="B132" s="305" t="inlineStr">
        <is>
          <t>Mensual</t>
        </is>
      </c>
      <c r="J132" s="305" t="inlineStr">
        <is>
          <t>MMA-06</t>
        </is>
      </c>
      <c r="K132" s="10" t="inlineStr">
        <is>
          <t>Mensual</t>
        </is>
      </c>
    </row>
    <row r="133">
      <c r="A133" s="305" t="inlineStr">
        <is>
          <t>CP-02-C</t>
        </is>
      </c>
      <c r="B133" s="305" t="inlineStr">
        <is>
          <t>Mensual</t>
        </is>
      </c>
      <c r="J133" s="305" t="inlineStr">
        <is>
          <t>MMA-07</t>
        </is>
      </c>
      <c r="K133" s="10" t="inlineStr">
        <is>
          <t>Mensual</t>
        </is>
      </c>
    </row>
    <row r="134">
      <c r="A134" s="305" t="inlineStr">
        <is>
          <t>CP-03-M</t>
        </is>
      </c>
      <c r="B134" s="305" t="inlineStr">
        <is>
          <t>Mensual</t>
        </is>
      </c>
      <c r="J134" s="305" t="inlineStr">
        <is>
          <t>MMA-08</t>
        </is>
      </c>
      <c r="K134" s="10" t="inlineStr">
        <is>
          <t>Mensual</t>
        </is>
      </c>
    </row>
    <row r="135">
      <c r="A135" s="305" t="inlineStr">
        <is>
          <t>CP-04-L</t>
        </is>
      </c>
      <c r="B135" s="305" t="inlineStr">
        <is>
          <t>Mensual</t>
        </is>
      </c>
      <c r="J135" s="305" t="inlineStr">
        <is>
          <t>MMA-09</t>
        </is>
      </c>
      <c r="K135" s="10" t="inlineStr">
        <is>
          <t>Mensual</t>
        </is>
      </c>
    </row>
    <row r="136">
      <c r="A136" s="305" t="inlineStr">
        <is>
          <t>CP-05-H</t>
        </is>
      </c>
      <c r="B136" s="305" t="inlineStr">
        <is>
          <t>Mensual</t>
        </is>
      </c>
      <c r="J136" s="305" t="inlineStr">
        <is>
          <t>MMA-10</t>
        </is>
      </c>
      <c r="K136" s="10" t="inlineStr">
        <is>
          <t>Mensual</t>
        </is>
      </c>
    </row>
    <row r="137">
      <c r="A137" s="305" t="inlineStr">
        <is>
          <t>CP-06-J</t>
        </is>
      </c>
      <c r="B137" s="305" t="inlineStr">
        <is>
          <t>Mensual</t>
        </is>
      </c>
      <c r="J137" s="305" t="inlineStr">
        <is>
          <t>MMA-11</t>
        </is>
      </c>
      <c r="K137" s="10" t="inlineStr">
        <is>
          <t>Mensual</t>
        </is>
      </c>
    </row>
    <row r="138">
      <c r="A138" s="305" t="inlineStr">
        <is>
          <t>CP-07-F</t>
        </is>
      </c>
      <c r="B138" s="305" t="inlineStr">
        <is>
          <t>Mensual</t>
        </is>
      </c>
      <c r="J138" s="305" t="inlineStr">
        <is>
          <t>MMA-12</t>
        </is>
      </c>
      <c r="K138" s="10" t="inlineStr">
        <is>
          <t>Mensual</t>
        </is>
      </c>
    </row>
    <row r="139">
      <c r="A139" s="305" t="inlineStr">
        <is>
          <t>CP-08-D</t>
        </is>
      </c>
      <c r="B139" s="305" t="inlineStr">
        <is>
          <t>Mensual</t>
        </is>
      </c>
      <c r="J139" s="305" t="inlineStr">
        <is>
          <t>MMA-13</t>
        </is>
      </c>
      <c r="K139" s="10" t="inlineStr">
        <is>
          <t>Mensual</t>
        </is>
      </c>
    </row>
    <row r="140">
      <c r="A140" s="305" t="inlineStr">
        <is>
          <t>CP-09-G</t>
        </is>
      </c>
      <c r="B140" s="305" t="inlineStr">
        <is>
          <t>Mensual</t>
        </is>
      </c>
      <c r="J140" s="305" t="inlineStr">
        <is>
          <t>MMA-14</t>
        </is>
      </c>
      <c r="K140" s="10" t="inlineStr">
        <is>
          <t>Mensual</t>
        </is>
      </c>
    </row>
    <row r="141">
      <c r="A141" s="305" t="inlineStr">
        <is>
          <t>CP-10-B</t>
        </is>
      </c>
      <c r="B141" s="305" t="inlineStr">
        <is>
          <t>Mensual</t>
        </is>
      </c>
      <c r="J141" s="305" t="inlineStr">
        <is>
          <t>MP-01</t>
        </is>
      </c>
      <c r="K141" s="10" t="inlineStr">
        <is>
          <t>Trimestral</t>
        </is>
      </c>
    </row>
    <row r="142">
      <c r="A142" s="305" t="inlineStr">
        <is>
          <t>CP-11-E</t>
        </is>
      </c>
      <c r="B142" s="305" t="inlineStr">
        <is>
          <t>Mensual</t>
        </is>
      </c>
      <c r="J142" s="305" t="inlineStr">
        <is>
          <t>MP-02</t>
        </is>
      </c>
      <c r="K142" s="10" t="inlineStr">
        <is>
          <t>Trimestral</t>
        </is>
      </c>
    </row>
    <row r="143">
      <c r="A143" s="305" t="inlineStr">
        <is>
          <t>CP-12-K</t>
        </is>
      </c>
      <c r="B143" s="305" t="inlineStr">
        <is>
          <t>Mensual</t>
        </is>
      </c>
      <c r="J143" s="305" t="inlineStr">
        <is>
          <t>MP-03</t>
        </is>
      </c>
      <c r="K143" s="10" t="inlineStr">
        <is>
          <t>Trimestral</t>
        </is>
      </c>
    </row>
    <row r="144">
      <c r="A144" s="305" t="inlineStr">
        <is>
          <t>CP-13-A</t>
        </is>
      </c>
      <c r="B144" s="305" t="inlineStr">
        <is>
          <t>Mensual</t>
        </is>
      </c>
      <c r="J144" s="305" t="inlineStr">
        <is>
          <t>MP-04</t>
        </is>
      </c>
      <c r="K144" s="10" t="inlineStr">
        <is>
          <t>Trimestral</t>
        </is>
      </c>
    </row>
    <row r="145">
      <c r="A145" s="305" t="inlineStr">
        <is>
          <t>CPC</t>
        </is>
      </c>
      <c r="B145" s="305" t="inlineStr">
        <is>
          <t>-</t>
        </is>
      </c>
      <c r="J145" s="305" t="inlineStr">
        <is>
          <t>MP-05</t>
        </is>
      </c>
      <c r="K145" s="10" t="inlineStr">
        <is>
          <t>Trimestral</t>
        </is>
      </c>
    </row>
    <row r="146">
      <c r="A146" s="305" t="inlineStr">
        <is>
          <t>CPMA-01</t>
        </is>
      </c>
      <c r="B146" s="305" t="inlineStr">
        <is>
          <t>Mensual</t>
        </is>
      </c>
      <c r="J146" s="305" t="inlineStr">
        <is>
          <t>MP-06</t>
        </is>
      </c>
      <c r="K146" s="10" t="inlineStr">
        <is>
          <t>Trimestral</t>
        </is>
      </c>
    </row>
    <row r="147">
      <c r="A147" s="305" t="inlineStr">
        <is>
          <t>CPMA-02</t>
        </is>
      </c>
      <c r="B147" s="305" t="inlineStr">
        <is>
          <t>Mensual</t>
        </is>
      </c>
      <c r="J147" s="305" t="inlineStr">
        <is>
          <t>MP-07</t>
        </is>
      </c>
      <c r="K147" s="10" t="inlineStr">
        <is>
          <t>Trimestral</t>
        </is>
      </c>
    </row>
    <row r="148">
      <c r="A148" s="305" t="inlineStr">
        <is>
          <t>CPPCHE</t>
        </is>
      </c>
      <c r="B148" s="305" t="inlineStr">
        <is>
          <t>-</t>
        </is>
      </c>
      <c r="J148" s="305" t="inlineStr">
        <is>
          <t>MP-08</t>
        </is>
      </c>
      <c r="K148" s="10" t="inlineStr">
        <is>
          <t>Trimestral</t>
        </is>
      </c>
    </row>
    <row r="149">
      <c r="A149" s="305" t="inlineStr">
        <is>
          <t>CPS-01</t>
        </is>
      </c>
      <c r="B149" s="305" t="inlineStr">
        <is>
          <t>Mensual</t>
        </is>
      </c>
      <c r="J149" s="305" t="inlineStr">
        <is>
          <t>MP-09</t>
        </is>
      </c>
      <c r="K149" s="10" t="inlineStr">
        <is>
          <t>Trimestral</t>
        </is>
      </c>
    </row>
    <row r="150">
      <c r="A150" s="305" t="inlineStr">
        <is>
          <t>CPS-02</t>
        </is>
      </c>
      <c r="B150" s="305" t="inlineStr">
        <is>
          <t>Mensual</t>
        </is>
      </c>
      <c r="J150" s="305" t="inlineStr">
        <is>
          <t>MP-10</t>
        </is>
      </c>
      <c r="K150" s="10" t="inlineStr">
        <is>
          <t>Bimestral</t>
        </is>
      </c>
    </row>
    <row r="151">
      <c r="A151" s="305" t="inlineStr">
        <is>
          <t>CPS-03</t>
        </is>
      </c>
      <c r="B151" s="305" t="inlineStr">
        <is>
          <t>Mensual</t>
        </is>
      </c>
      <c r="J151" s="305" t="inlineStr">
        <is>
          <t>MP-11</t>
        </is>
      </c>
      <c r="K151" s="10" t="inlineStr">
        <is>
          <t>Bimestral</t>
        </is>
      </c>
    </row>
    <row r="152">
      <c r="A152" s="305" t="inlineStr">
        <is>
          <t>CPS-04</t>
        </is>
      </c>
      <c r="B152" s="305" t="inlineStr">
        <is>
          <t>Mensual</t>
        </is>
      </c>
      <c r="J152" s="305" t="inlineStr">
        <is>
          <t>MP-12</t>
        </is>
      </c>
      <c r="K152" s="10" t="inlineStr">
        <is>
          <t>Bimestral</t>
        </is>
      </c>
    </row>
    <row r="153">
      <c r="A153" s="305" t="inlineStr">
        <is>
          <t>CPS-05</t>
        </is>
      </c>
      <c r="B153" s="305" t="inlineStr">
        <is>
          <t>Mensual</t>
        </is>
      </c>
      <c r="J153" s="305" t="inlineStr">
        <is>
          <t>MP-13</t>
        </is>
      </c>
      <c r="K153" s="10" t="inlineStr">
        <is>
          <t>Bimestral</t>
        </is>
      </c>
    </row>
    <row r="154">
      <c r="A154" s="305" t="inlineStr">
        <is>
          <t>CPS-06</t>
        </is>
      </c>
      <c r="B154" s="305" t="inlineStr">
        <is>
          <t>Mensual</t>
        </is>
      </c>
      <c r="J154" s="305" t="inlineStr">
        <is>
          <t>MP-14</t>
        </is>
      </c>
      <c r="K154" s="10" t="inlineStr">
        <is>
          <t>Bimestral</t>
        </is>
      </c>
    </row>
    <row r="155">
      <c r="A155" s="305" t="inlineStr">
        <is>
          <t>CPS-07</t>
        </is>
      </c>
      <c r="B155" s="305" t="inlineStr">
        <is>
          <t>Mensual</t>
        </is>
      </c>
      <c r="J155" s="305" t="inlineStr">
        <is>
          <t>MP-15</t>
        </is>
      </c>
      <c r="K155" s="10" t="inlineStr">
        <is>
          <t>Bimestral</t>
        </is>
      </c>
    </row>
    <row r="156">
      <c r="A156" s="305" t="inlineStr">
        <is>
          <t>CPS-09</t>
        </is>
      </c>
      <c r="B156" s="305" t="inlineStr">
        <is>
          <t>Mensual</t>
        </is>
      </c>
      <c r="J156" s="305" t="inlineStr">
        <is>
          <t>MP-17</t>
        </is>
      </c>
      <c r="K156" s="10" t="inlineStr">
        <is>
          <t>Bimestral</t>
        </is>
      </c>
    </row>
    <row r="157">
      <c r="A157" s="305" t="inlineStr">
        <is>
          <t>CPS-10</t>
        </is>
      </c>
      <c r="B157" s="305" t="inlineStr">
        <is>
          <t>Mensual</t>
        </is>
      </c>
      <c r="J157" s="305" t="inlineStr">
        <is>
          <t>MP-18</t>
        </is>
      </c>
      <c r="K157" s="10" t="inlineStr">
        <is>
          <t>Bimestral</t>
        </is>
      </c>
    </row>
    <row r="158">
      <c r="A158" s="305" t="inlineStr">
        <is>
          <t>CPS-11</t>
        </is>
      </c>
      <c r="B158" s="305" t="inlineStr">
        <is>
          <t>Mensual</t>
        </is>
      </c>
      <c r="J158" s="305" t="inlineStr">
        <is>
          <t>MPZ-09</t>
        </is>
      </c>
      <c r="K158" s="10" t="inlineStr">
        <is>
          <t>Trimestral</t>
        </is>
      </c>
    </row>
    <row r="159">
      <c r="A159" s="305" t="inlineStr">
        <is>
          <t>CPS-12</t>
        </is>
      </c>
      <c r="B159" s="305" t="inlineStr">
        <is>
          <t>Mensual</t>
        </is>
      </c>
      <c r="J159" s="305" t="inlineStr">
        <is>
          <t>MPZ-10A</t>
        </is>
      </c>
      <c r="K159" s="10" t="inlineStr">
        <is>
          <t>Mensual</t>
        </is>
      </c>
    </row>
    <row r="160">
      <c r="A160" s="305" t="inlineStr">
        <is>
          <t>CPS-13</t>
        </is>
      </c>
      <c r="B160" s="305" t="inlineStr">
        <is>
          <t>Mensual</t>
        </is>
      </c>
      <c r="J160" s="305" t="inlineStr">
        <is>
          <t>MPZ-10B</t>
        </is>
      </c>
      <c r="K160" s="10" t="inlineStr">
        <is>
          <t>Mensual</t>
        </is>
      </c>
    </row>
    <row r="161">
      <c r="A161" s="305" t="inlineStr">
        <is>
          <t>CPS-14</t>
        </is>
      </c>
      <c r="B161" s="305" t="inlineStr">
        <is>
          <t>Mensual</t>
        </is>
      </c>
      <c r="J161" s="305" t="inlineStr">
        <is>
          <t>MPZ-11B</t>
        </is>
      </c>
      <c r="K161" s="10" t="inlineStr">
        <is>
          <t>Trimestral</t>
        </is>
      </c>
    </row>
    <row r="162">
      <c r="A162" s="305" t="inlineStr">
        <is>
          <t>CPS-15</t>
        </is>
      </c>
      <c r="B162" s="305" t="inlineStr">
        <is>
          <t>Mensual</t>
        </is>
      </c>
      <c r="J162" s="305" t="inlineStr">
        <is>
          <t>MPZ-12A</t>
        </is>
      </c>
      <c r="K162" s="10" t="inlineStr">
        <is>
          <t>Trimestral</t>
        </is>
      </c>
    </row>
    <row r="163">
      <c r="A163" s="305" t="inlineStr">
        <is>
          <t>CPS-16</t>
        </is>
      </c>
      <c r="B163" s="305" t="inlineStr">
        <is>
          <t>Mensual</t>
        </is>
      </c>
      <c r="J163" s="305" t="inlineStr">
        <is>
          <t>MPZ-8A2</t>
        </is>
      </c>
      <c r="K163" s="10" t="inlineStr">
        <is>
          <t>Mensual</t>
        </is>
      </c>
    </row>
    <row r="164">
      <c r="A164" s="305" t="inlineStr">
        <is>
          <t>CPS-17</t>
        </is>
      </c>
      <c r="B164" s="305" t="inlineStr">
        <is>
          <t>Mensual</t>
        </is>
      </c>
      <c r="J164" s="305" t="inlineStr">
        <is>
          <t>MSW-02</t>
        </is>
      </c>
      <c r="K164" s="10" t="inlineStr">
        <is>
          <t>Trimestral</t>
        </is>
      </c>
    </row>
    <row r="165">
      <c r="A165" s="305" t="inlineStr">
        <is>
          <t>CPS-18</t>
        </is>
      </c>
      <c r="B165" s="305" t="inlineStr">
        <is>
          <t>Mensual</t>
        </is>
      </c>
      <c r="J165" s="305" t="inlineStr">
        <is>
          <t>MSW-03</t>
        </is>
      </c>
      <c r="K165" s="10" t="inlineStr">
        <is>
          <t>Mensual</t>
        </is>
      </c>
    </row>
    <row r="166">
      <c r="A166" s="305" t="inlineStr">
        <is>
          <t>CPS-19</t>
        </is>
      </c>
      <c r="B166" s="305" t="inlineStr">
        <is>
          <t>Mensual</t>
        </is>
      </c>
      <c r="J166" s="305" t="inlineStr">
        <is>
          <t>MSW-1A</t>
        </is>
      </c>
      <c r="K166" s="10" t="inlineStr">
        <is>
          <t>Trimestral</t>
        </is>
      </c>
    </row>
    <row r="167">
      <c r="A167" s="305" t="inlineStr">
        <is>
          <t>CPS-20</t>
        </is>
      </c>
      <c r="B167" s="305" t="inlineStr">
        <is>
          <t>Mensual</t>
        </is>
      </c>
      <c r="J167" s="305" t="inlineStr">
        <is>
          <t>MTP-09</t>
        </is>
      </c>
      <c r="K167" s="10" t="inlineStr">
        <is>
          <t>Trimestral</t>
        </is>
      </c>
    </row>
    <row r="168">
      <c r="A168" s="305" t="inlineStr">
        <is>
          <t>CPS-21</t>
        </is>
      </c>
      <c r="B168" s="305" t="inlineStr">
        <is>
          <t>Mensual</t>
        </is>
      </c>
      <c r="J168" s="305" t="inlineStr">
        <is>
          <t>MTP-11</t>
        </is>
      </c>
      <c r="K168" s="10" t="inlineStr">
        <is>
          <t>Trimestral</t>
        </is>
      </c>
    </row>
    <row r="169">
      <c r="A169" s="305" t="inlineStr">
        <is>
          <t>CPS-22</t>
        </is>
      </c>
      <c r="B169" s="305" t="inlineStr">
        <is>
          <t>Mensual</t>
        </is>
      </c>
      <c r="J169" s="305" t="inlineStr">
        <is>
          <t>MTP-12</t>
        </is>
      </c>
      <c r="K169" s="10" t="inlineStr">
        <is>
          <t>Trimestral</t>
        </is>
      </c>
    </row>
    <row r="170">
      <c r="A170" s="305" t="inlineStr">
        <is>
          <t>CPS-23</t>
        </is>
      </c>
      <c r="B170" s="305" t="inlineStr">
        <is>
          <t>Mensual</t>
        </is>
      </c>
      <c r="J170" s="305" t="inlineStr">
        <is>
          <t>MTP-13</t>
        </is>
      </c>
      <c r="K170" s="10" t="inlineStr">
        <is>
          <t>Trimestral</t>
        </is>
      </c>
    </row>
    <row r="171">
      <c r="A171" s="305" t="inlineStr">
        <is>
          <t>CPS-24</t>
        </is>
      </c>
      <c r="B171" s="305" t="inlineStr">
        <is>
          <t>Mensual</t>
        </is>
      </c>
      <c r="J171" s="305" t="inlineStr">
        <is>
          <t>MTP-14</t>
        </is>
      </c>
      <c r="K171" s="10" t="inlineStr">
        <is>
          <t>Trimestral</t>
        </is>
      </c>
    </row>
    <row r="172">
      <c r="A172" s="305" t="inlineStr">
        <is>
          <t>CPS-25</t>
        </is>
      </c>
      <c r="B172" s="305" t="inlineStr">
        <is>
          <t>Mensual</t>
        </is>
      </c>
      <c r="J172" s="305" t="inlineStr">
        <is>
          <t>MTP-16</t>
        </is>
      </c>
      <c r="K172" s="10" t="inlineStr">
        <is>
          <t>Trimestral</t>
        </is>
      </c>
    </row>
    <row r="173">
      <c r="A173" s="305" t="inlineStr">
        <is>
          <t>CPS-26</t>
        </is>
      </c>
      <c r="B173" s="305" t="inlineStr">
        <is>
          <t>Mensual</t>
        </is>
      </c>
      <c r="J173" s="305" t="inlineStr">
        <is>
          <t>NP-6
(reemplaza al P-6)</t>
        </is>
      </c>
      <c r="K173" s="10" t="inlineStr">
        <is>
          <t>Trimestral</t>
        </is>
      </c>
    </row>
    <row r="174">
      <c r="A174" s="305" t="inlineStr">
        <is>
          <t>CPS-27</t>
        </is>
      </c>
      <c r="B174" s="305" t="inlineStr">
        <is>
          <t>Mensual</t>
        </is>
      </c>
      <c r="J174" s="305" t="inlineStr">
        <is>
          <t>NS</t>
        </is>
      </c>
      <c r="K174" s="10" t="inlineStr">
        <is>
          <t>Bimestral</t>
        </is>
      </c>
    </row>
    <row r="175">
      <c r="A175" s="305" t="inlineStr">
        <is>
          <t>CPS-28</t>
        </is>
      </c>
      <c r="B175" s="305" t="inlineStr">
        <is>
          <t>Mensual</t>
        </is>
      </c>
      <c r="J175" s="305" t="inlineStr">
        <is>
          <t>P-6</t>
        </is>
      </c>
      <c r="K175" s="10" t="inlineStr">
        <is>
          <t>Trimestral</t>
        </is>
      </c>
    </row>
    <row r="176">
      <c r="A176" s="305" t="inlineStr">
        <is>
          <t>CPS-30</t>
        </is>
      </c>
      <c r="B176" s="305" t="inlineStr">
        <is>
          <t>Mensual</t>
        </is>
      </c>
      <c r="J176" s="305" t="inlineStr">
        <is>
          <t>PAR</t>
        </is>
      </c>
      <c r="K176" s="10" t="inlineStr">
        <is>
          <t>Trimestral</t>
        </is>
      </c>
    </row>
    <row r="177">
      <c r="A177" s="305" t="inlineStr">
        <is>
          <t>CPS-33</t>
        </is>
      </c>
      <c r="B177" s="305" t="inlineStr">
        <is>
          <t>Mensual</t>
        </is>
      </c>
      <c r="J177" s="305" t="inlineStr">
        <is>
          <t>PCA-07</t>
        </is>
      </c>
      <c r="K177" s="10" t="inlineStr">
        <is>
          <t>Trimestral</t>
        </is>
      </c>
    </row>
    <row r="178">
      <c r="A178" s="305" t="inlineStr">
        <is>
          <t>CPS-34</t>
        </is>
      </c>
      <c r="B178" s="305" t="inlineStr">
        <is>
          <t>Mensual</t>
        </is>
      </c>
      <c r="J178" s="305" t="inlineStr">
        <is>
          <t>PCA-08</t>
        </is>
      </c>
      <c r="K178" s="10" t="inlineStr">
        <is>
          <t>Trimestral</t>
        </is>
      </c>
    </row>
    <row r="179">
      <c r="A179" s="305" t="inlineStr">
        <is>
          <t>CPS-35</t>
        </is>
      </c>
      <c r="B179" s="305" t="inlineStr">
        <is>
          <t>Mensual</t>
        </is>
      </c>
      <c r="J179" s="305" t="inlineStr">
        <is>
          <t>PD-03</t>
        </is>
      </c>
      <c r="K179" s="10" t="inlineStr">
        <is>
          <t>Trimestral</t>
        </is>
      </c>
    </row>
    <row r="180">
      <c r="A180" s="305" t="inlineStr">
        <is>
          <t>CPS-36</t>
        </is>
      </c>
      <c r="B180" s="305" t="inlineStr">
        <is>
          <t>Mensual</t>
        </is>
      </c>
      <c r="J180" s="305" t="inlineStr">
        <is>
          <t>PDR-107</t>
        </is>
      </c>
      <c r="K180" s="10" t="inlineStr">
        <is>
          <t>Mensual</t>
        </is>
      </c>
    </row>
    <row r="181">
      <c r="A181" s="305" t="inlineStr">
        <is>
          <t>CPS-37</t>
        </is>
      </c>
      <c r="B181" s="305" t="inlineStr">
        <is>
          <t>Mensual</t>
        </is>
      </c>
      <c r="J181" s="305" t="inlineStr">
        <is>
          <t>PDR-93</t>
        </is>
      </c>
      <c r="K181" s="10" t="inlineStr">
        <is>
          <t>Trimestral</t>
        </is>
      </c>
    </row>
    <row r="182">
      <c r="A182" s="305" t="inlineStr">
        <is>
          <t>CPS-38</t>
        </is>
      </c>
      <c r="B182" s="305" t="inlineStr">
        <is>
          <t>Mensual</t>
        </is>
      </c>
      <c r="J182" s="305" t="inlineStr">
        <is>
          <t>PEM-02</t>
        </is>
      </c>
      <c r="K182" s="10" t="inlineStr">
        <is>
          <t>Mensual</t>
        </is>
      </c>
    </row>
    <row r="183">
      <c r="A183" s="305" t="inlineStr">
        <is>
          <t>CPS-40</t>
        </is>
      </c>
      <c r="B183" s="305" t="inlineStr">
        <is>
          <t>Mensual</t>
        </is>
      </c>
      <c r="J183" s="305" t="inlineStr">
        <is>
          <t>PEM-05</t>
        </is>
      </c>
      <c r="K183" s="10" t="inlineStr">
        <is>
          <t>Trimestral</t>
        </is>
      </c>
    </row>
    <row r="184">
      <c r="A184" s="305" t="inlineStr">
        <is>
          <t>CPS-41</t>
        </is>
      </c>
      <c r="B184" s="305" t="inlineStr">
        <is>
          <t>Mensual</t>
        </is>
      </c>
      <c r="J184" s="305" t="inlineStr">
        <is>
          <t>PEM-06</t>
        </is>
      </c>
      <c r="K184" s="10" t="inlineStr">
        <is>
          <t>Trimestral</t>
        </is>
      </c>
    </row>
    <row r="185">
      <c r="A185" s="305" t="inlineStr">
        <is>
          <t>CPS-43</t>
        </is>
      </c>
      <c r="B185" s="305" t="inlineStr">
        <is>
          <t>Mensual</t>
        </is>
      </c>
      <c r="J185" s="305" t="inlineStr">
        <is>
          <t>PEP-01</t>
        </is>
      </c>
      <c r="K185" s="10" t="inlineStr">
        <is>
          <t>Mensual</t>
        </is>
      </c>
    </row>
    <row r="186">
      <c r="A186" s="305" t="inlineStr">
        <is>
          <t>CPS-44</t>
        </is>
      </c>
      <c r="B186" s="305" t="inlineStr">
        <is>
          <t>Mensual</t>
        </is>
      </c>
      <c r="J186" s="305" t="inlineStr">
        <is>
          <t>PEP-03</t>
        </is>
      </c>
      <c r="K186" s="10" t="inlineStr">
        <is>
          <t>Mensual</t>
        </is>
      </c>
    </row>
    <row r="187">
      <c r="A187" s="305" t="inlineStr">
        <is>
          <t>CPS-45</t>
        </is>
      </c>
      <c r="B187" s="305" t="inlineStr">
        <is>
          <t>Mensual</t>
        </is>
      </c>
      <c r="J187" s="305" t="inlineStr">
        <is>
          <t>PEP-04</t>
        </is>
      </c>
      <c r="K187" s="10" t="inlineStr">
        <is>
          <t>Mensual</t>
        </is>
      </c>
    </row>
    <row r="188">
      <c r="A188" s="305" t="inlineStr">
        <is>
          <t>CPS-46</t>
        </is>
      </c>
      <c r="B188" s="305" t="inlineStr">
        <is>
          <t>Mensual</t>
        </is>
      </c>
      <c r="J188" s="305" t="inlineStr">
        <is>
          <t>PEV-01 (PES-01)</t>
        </is>
      </c>
      <c r="K188" s="10" t="inlineStr">
        <is>
          <t>Mensual</t>
        </is>
      </c>
    </row>
    <row r="189">
      <c r="A189" s="305" t="inlineStr">
        <is>
          <t>CPS-47</t>
        </is>
      </c>
      <c r="B189" s="305" t="inlineStr">
        <is>
          <t>Mensual</t>
        </is>
      </c>
      <c r="J189" s="305" t="inlineStr">
        <is>
          <t>Piscina Agua Desalada</t>
        </is>
      </c>
      <c r="K189" s="10" t="inlineStr">
        <is>
          <t>Trimestral</t>
        </is>
      </c>
    </row>
    <row r="190">
      <c r="A190" s="305" t="inlineStr">
        <is>
          <t>CPS-48</t>
        </is>
      </c>
      <c r="B190" s="305" t="inlineStr">
        <is>
          <t>Mensual</t>
        </is>
      </c>
      <c r="J190" s="305" t="inlineStr">
        <is>
          <t>PLIX-01A</t>
        </is>
      </c>
      <c r="K190" s="10" t="inlineStr">
        <is>
          <t>Mensual</t>
        </is>
      </c>
    </row>
    <row r="191">
      <c r="A191" s="305" t="inlineStr">
        <is>
          <t>CPS-49</t>
        </is>
      </c>
      <c r="B191" s="305" t="inlineStr">
        <is>
          <t>Mensual</t>
        </is>
      </c>
      <c r="J191" s="305" t="inlineStr">
        <is>
          <t>PLIX-01B</t>
        </is>
      </c>
      <c r="K191" s="10" t="inlineStr">
        <is>
          <t>Mensual</t>
        </is>
      </c>
    </row>
    <row r="192">
      <c r="A192" s="305" t="inlineStr">
        <is>
          <t>CPS-50</t>
        </is>
      </c>
      <c r="B192" s="305" t="inlineStr">
        <is>
          <t>Mensual</t>
        </is>
      </c>
      <c r="J192" s="305" t="inlineStr">
        <is>
          <t>PLIX-02A</t>
        </is>
      </c>
      <c r="K192" s="10" t="inlineStr">
        <is>
          <t>Mensual</t>
        </is>
      </c>
    </row>
    <row r="193">
      <c r="A193" s="305" t="inlineStr">
        <is>
          <t>CPS-54</t>
        </is>
      </c>
      <c r="B193" s="305" t="inlineStr">
        <is>
          <t>Mensual</t>
        </is>
      </c>
      <c r="J193" s="305" t="inlineStr">
        <is>
          <t>PLIX-02B</t>
        </is>
      </c>
      <c r="K193" s="10" t="inlineStr">
        <is>
          <t>Mensual</t>
        </is>
      </c>
    </row>
    <row r="194">
      <c r="A194" s="305" t="inlineStr">
        <is>
          <t>CPS-55</t>
        </is>
      </c>
      <c r="B194" s="305" t="inlineStr">
        <is>
          <t>Mensual</t>
        </is>
      </c>
      <c r="J194" s="305" t="inlineStr">
        <is>
          <t>PLIX-03A</t>
        </is>
      </c>
      <c r="K194" s="10" t="inlineStr">
        <is>
          <t>Mensual</t>
        </is>
      </c>
    </row>
    <row r="195">
      <c r="A195" s="305" t="inlineStr">
        <is>
          <t>CPZ-01</t>
        </is>
      </c>
      <c r="B195" s="305" t="inlineStr">
        <is>
          <t>Mensual</t>
        </is>
      </c>
      <c r="J195" s="305" t="inlineStr">
        <is>
          <t>PLIX-03B</t>
        </is>
      </c>
      <c r="K195" s="10" t="inlineStr">
        <is>
          <t>Mensual</t>
        </is>
      </c>
    </row>
    <row r="196">
      <c r="A196" s="305" t="inlineStr">
        <is>
          <t>CPZ-03A</t>
        </is>
      </c>
      <c r="B196" s="305" t="inlineStr">
        <is>
          <t>Mensual</t>
        </is>
      </c>
      <c r="J196" s="305" t="inlineStr">
        <is>
          <t>PLIX-04</t>
        </is>
      </c>
      <c r="K196" s="10" t="inlineStr">
        <is>
          <t>Mensual</t>
        </is>
      </c>
    </row>
    <row r="197">
      <c r="A197" s="305" t="inlineStr">
        <is>
          <t>CPZ-03B1</t>
        </is>
      </c>
      <c r="B197" s="305" t="inlineStr">
        <is>
          <t>Mensual</t>
        </is>
      </c>
      <c r="J197" s="305" t="inlineStr">
        <is>
          <t>PLIX-05A</t>
        </is>
      </c>
      <c r="K197" s="10" t="inlineStr">
        <is>
          <t>Mensual</t>
        </is>
      </c>
    </row>
    <row r="198">
      <c r="A198" s="305" t="inlineStr">
        <is>
          <t>CPZ-04A</t>
        </is>
      </c>
      <c r="B198" s="305" t="inlineStr">
        <is>
          <t>Mensual</t>
        </is>
      </c>
      <c r="J198" s="305" t="inlineStr">
        <is>
          <t>PLIX-05B</t>
        </is>
      </c>
      <c r="K198" s="10" t="inlineStr">
        <is>
          <t>Mensual</t>
        </is>
      </c>
    </row>
    <row r="199">
      <c r="A199" s="305" t="inlineStr">
        <is>
          <t>CPZ-04B</t>
        </is>
      </c>
      <c r="B199" s="305" t="inlineStr">
        <is>
          <t>Mensual</t>
        </is>
      </c>
      <c r="J199" s="305" t="inlineStr">
        <is>
          <t>PLIX-06</t>
        </is>
      </c>
      <c r="K199" s="10" t="inlineStr">
        <is>
          <t>Mensual</t>
        </is>
      </c>
    </row>
    <row r="200">
      <c r="A200" s="305" t="inlineStr">
        <is>
          <t>CPZ-05A</t>
        </is>
      </c>
      <c r="B200" s="305" t="inlineStr">
        <is>
          <t>Mensual</t>
        </is>
      </c>
      <c r="J200" s="305" t="inlineStr">
        <is>
          <t>PLIX-07A</t>
        </is>
      </c>
      <c r="K200" s="10" t="inlineStr">
        <is>
          <t>Mensual</t>
        </is>
      </c>
    </row>
    <row r="201">
      <c r="A201" s="305" t="inlineStr">
        <is>
          <t>CPZ-05B</t>
        </is>
      </c>
      <c r="B201" s="305" t="inlineStr">
        <is>
          <t>Mensual</t>
        </is>
      </c>
      <c r="J201" s="305" t="inlineStr">
        <is>
          <t>PLIX-07B</t>
        </is>
      </c>
      <c r="K201" s="10" t="inlineStr">
        <is>
          <t>Mensual</t>
        </is>
      </c>
    </row>
    <row r="202">
      <c r="A202" s="305" t="inlineStr">
        <is>
          <t>CPZ-06A</t>
        </is>
      </c>
      <c r="B202" s="305" t="inlineStr">
        <is>
          <t>Mensual</t>
        </is>
      </c>
      <c r="J202" s="305" t="inlineStr">
        <is>
          <t>PLIX-08A</t>
        </is>
      </c>
      <c r="K202" s="10" t="inlineStr">
        <is>
          <t>Mensual</t>
        </is>
      </c>
    </row>
    <row r="203">
      <c r="A203" s="305" t="inlineStr">
        <is>
          <t>CPZ-06B</t>
        </is>
      </c>
      <c r="B203" s="305" t="inlineStr">
        <is>
          <t>Mensual</t>
        </is>
      </c>
      <c r="J203" s="305" t="inlineStr">
        <is>
          <t>PLIX-08B</t>
        </is>
      </c>
      <c r="K203" s="10" t="inlineStr">
        <is>
          <t>Mensual</t>
        </is>
      </c>
    </row>
    <row r="204">
      <c r="A204" s="305" t="inlineStr">
        <is>
          <t>CPZ-07A</t>
        </is>
      </c>
      <c r="B204" s="305" t="inlineStr">
        <is>
          <t>Mensual</t>
        </is>
      </c>
      <c r="J204" s="305" t="inlineStr">
        <is>
          <t>PLIX-09</t>
        </is>
      </c>
      <c r="K204" s="10" t="inlineStr">
        <is>
          <t>Mensual</t>
        </is>
      </c>
    </row>
    <row r="205">
      <c r="A205" s="305" t="inlineStr">
        <is>
          <t>CPZ-07B</t>
        </is>
      </c>
      <c r="B205" s="305" t="inlineStr">
        <is>
          <t>Mensual</t>
        </is>
      </c>
      <c r="J205" s="305" t="inlineStr">
        <is>
          <t>PLIX-10A</t>
        </is>
      </c>
      <c r="K205" s="10" t="inlineStr">
        <is>
          <t>Mensual</t>
        </is>
      </c>
    </row>
    <row r="206">
      <c r="A206" s="305" t="inlineStr">
        <is>
          <t>CPZ-07C</t>
        </is>
      </c>
      <c r="B206" s="305" t="inlineStr">
        <is>
          <t>Mensual</t>
        </is>
      </c>
      <c r="J206" s="305" t="inlineStr">
        <is>
          <t>PLIX-10B</t>
        </is>
      </c>
      <c r="K206" s="10" t="inlineStr">
        <is>
          <t>Mensual</t>
        </is>
      </c>
    </row>
    <row r="207">
      <c r="A207" s="305" t="inlineStr">
        <is>
          <t>CPZ-08A</t>
        </is>
      </c>
      <c r="B207" s="305" t="inlineStr">
        <is>
          <t>Mensual</t>
        </is>
      </c>
      <c r="J207" s="305" t="inlineStr">
        <is>
          <t>PLIX-11A</t>
        </is>
      </c>
      <c r="K207" s="10" t="inlineStr">
        <is>
          <t>Mensual</t>
        </is>
      </c>
    </row>
    <row r="208">
      <c r="A208" s="305" t="inlineStr">
        <is>
          <t>CPZ-08B</t>
        </is>
      </c>
      <c r="B208" s="305" t="inlineStr">
        <is>
          <t>Mensual</t>
        </is>
      </c>
      <c r="J208" s="305" t="inlineStr">
        <is>
          <t>PLIX-11B</t>
        </is>
      </c>
      <c r="K208" s="10" t="inlineStr">
        <is>
          <t>Mensual</t>
        </is>
      </c>
    </row>
    <row r="209">
      <c r="A209" s="305" t="inlineStr">
        <is>
          <t>CPZ-08C</t>
        </is>
      </c>
      <c r="B209" s="305" t="inlineStr">
        <is>
          <t>Mensual</t>
        </is>
      </c>
      <c r="J209" s="305" t="inlineStr">
        <is>
          <t>PLIX-12</t>
        </is>
      </c>
      <c r="K209" s="10" t="inlineStr">
        <is>
          <t>Mensual</t>
        </is>
      </c>
    </row>
    <row r="210">
      <c r="A210" s="305" t="inlineStr">
        <is>
          <t>CPZ-10</t>
        </is>
      </c>
      <c r="B210" s="305" t="inlineStr">
        <is>
          <t>Mensual</t>
        </is>
      </c>
      <c r="J210" s="305" t="inlineStr">
        <is>
          <t>PLIX-13A</t>
        </is>
      </c>
      <c r="K210" s="10" t="inlineStr">
        <is>
          <t>Mensual</t>
        </is>
      </c>
    </row>
    <row r="211">
      <c r="A211" s="305" t="inlineStr">
        <is>
          <t>CPZ-16A</t>
        </is>
      </c>
      <c r="B211" s="305" t="inlineStr">
        <is>
          <t>Mensual</t>
        </is>
      </c>
      <c r="J211" s="305" t="inlineStr">
        <is>
          <t>PLIX-13B</t>
        </is>
      </c>
      <c r="K211" s="10" t="inlineStr">
        <is>
          <t>Mensual</t>
        </is>
      </c>
    </row>
    <row r="212">
      <c r="A212" s="305" t="inlineStr">
        <is>
          <t>CPZ-16B</t>
        </is>
      </c>
      <c r="B212" s="305" t="inlineStr">
        <is>
          <t>Mensual</t>
        </is>
      </c>
      <c r="J212" s="305" t="inlineStr">
        <is>
          <t>PLIX-14</t>
        </is>
      </c>
      <c r="K212" s="10" t="inlineStr">
        <is>
          <t>Mensual</t>
        </is>
      </c>
    </row>
    <row r="213">
      <c r="A213" s="305" t="inlineStr">
        <is>
          <t>CPZ-16C</t>
        </is>
      </c>
      <c r="B213" s="305" t="inlineStr">
        <is>
          <t>Mensual</t>
        </is>
      </c>
      <c r="J213" s="305" t="inlineStr">
        <is>
          <t>PMA-03</t>
        </is>
      </c>
      <c r="K213" s="10" t="inlineStr">
        <is>
          <t>Mensual</t>
        </is>
      </c>
    </row>
    <row r="214">
      <c r="A214" s="305" t="inlineStr">
        <is>
          <t>CSW-02</t>
        </is>
      </c>
      <c r="B214" s="305" t="inlineStr">
        <is>
          <t>-</t>
        </is>
      </c>
      <c r="J214" s="305" t="inlineStr">
        <is>
          <t>PMA-04</t>
        </is>
      </c>
      <c r="K214" s="10" t="inlineStr">
        <is>
          <t>Mensual</t>
        </is>
      </c>
    </row>
    <row r="215">
      <c r="A215" s="305" t="inlineStr">
        <is>
          <t>CSW-05</t>
        </is>
      </c>
      <c r="B215" s="305" t="inlineStr">
        <is>
          <t>-</t>
        </is>
      </c>
      <c r="J215" s="305" t="inlineStr">
        <is>
          <t>PMA-07</t>
        </is>
      </c>
      <c r="K215" s="10" t="inlineStr">
        <is>
          <t>Mensual</t>
        </is>
      </c>
    </row>
    <row r="216">
      <c r="A216" s="305" t="inlineStr">
        <is>
          <t>CTP-01</t>
        </is>
      </c>
      <c r="B216" s="305" t="inlineStr">
        <is>
          <t>Mensual</t>
        </is>
      </c>
      <c r="J216" s="305" t="inlineStr">
        <is>
          <t>PMA-08</t>
        </is>
      </c>
      <c r="K216" s="10" t="inlineStr">
        <is>
          <t>Mensual</t>
        </is>
      </c>
    </row>
    <row r="217">
      <c r="A217" s="305" t="inlineStr">
        <is>
          <t>CTP-03</t>
        </is>
      </c>
      <c r="B217" s="305" t="inlineStr">
        <is>
          <t>Mensual</t>
        </is>
      </c>
      <c r="J217" s="305" t="inlineStr">
        <is>
          <t>PMI-01</t>
        </is>
      </c>
      <c r="K217" s="10" t="inlineStr">
        <is>
          <t>Trimestral</t>
        </is>
      </c>
    </row>
    <row r="218">
      <c r="A218" s="305" t="inlineStr">
        <is>
          <t>CWE-01</t>
        </is>
      </c>
      <c r="B218" s="305" t="inlineStr">
        <is>
          <t>Trimestral</t>
        </is>
      </c>
      <c r="J218" s="305" t="inlineStr">
        <is>
          <t>PMI-06</t>
        </is>
      </c>
      <c r="K218" s="10" t="inlineStr">
        <is>
          <t>Trimestral</t>
        </is>
      </c>
    </row>
    <row r="219">
      <c r="A219" s="305" t="inlineStr">
        <is>
          <t>CWE-02A</t>
        </is>
      </c>
      <c r="B219" s="305" t="inlineStr">
        <is>
          <t>Trimestral</t>
        </is>
      </c>
      <c r="J219" s="305" t="inlineStr">
        <is>
          <t>PMI-07</t>
        </is>
      </c>
      <c r="K219" s="10" t="inlineStr">
        <is>
          <t>Trimestral</t>
        </is>
      </c>
    </row>
    <row r="220">
      <c r="A220" s="305" t="inlineStr">
        <is>
          <t>CWE-03</t>
        </is>
      </c>
      <c r="B220" s="305" t="inlineStr">
        <is>
          <t>Mensual</t>
        </is>
      </c>
      <c r="J220" s="305" t="inlineStr">
        <is>
          <t>PMI-08</t>
        </is>
      </c>
      <c r="K220" s="10" t="inlineStr">
        <is>
          <t>Trimestral</t>
        </is>
      </c>
    </row>
    <row r="221">
      <c r="A221" s="305" t="inlineStr">
        <is>
          <t>CWE-04</t>
        </is>
      </c>
      <c r="B221" s="305" t="inlineStr">
        <is>
          <t>Trimestral</t>
        </is>
      </c>
      <c r="J221" s="305" t="inlineStr">
        <is>
          <t>PMI-09A</t>
        </is>
      </c>
      <c r="K221" s="10" t="inlineStr">
        <is>
          <t>Bimestral - Trimestral</t>
        </is>
      </c>
    </row>
    <row r="222">
      <c r="A222" s="305" t="inlineStr">
        <is>
          <t>CWE-05</t>
        </is>
      </c>
      <c r="B222" s="305" t="inlineStr">
        <is>
          <t>Mensual</t>
        </is>
      </c>
      <c r="J222" s="305" t="inlineStr">
        <is>
          <t>PMI-09B</t>
        </is>
      </c>
      <c r="K222" s="10" t="inlineStr">
        <is>
          <t>Trimestral</t>
        </is>
      </c>
    </row>
    <row r="223">
      <c r="A223" s="305" t="inlineStr">
        <is>
          <t>CWE-06</t>
        </is>
      </c>
      <c r="B223" s="305" t="inlineStr">
        <is>
          <t>Trimestral</t>
        </is>
      </c>
      <c r="J223" s="305" t="inlineStr">
        <is>
          <t>Pozo 1</t>
        </is>
      </c>
      <c r="K223" s="10" t="inlineStr">
        <is>
          <t>Trimestral</t>
        </is>
      </c>
    </row>
    <row r="224">
      <c r="A224" s="305" t="inlineStr">
        <is>
          <t>CWE-07</t>
        </is>
      </c>
      <c r="B224" s="305" t="inlineStr">
        <is>
          <t>Mensual</t>
        </is>
      </c>
      <c r="J224" s="305" t="inlineStr">
        <is>
          <t>Pozo 10</t>
        </is>
      </c>
      <c r="K224" s="10" t="inlineStr">
        <is>
          <t>Trimestral</t>
        </is>
      </c>
    </row>
    <row r="225">
      <c r="A225" s="305" t="inlineStr">
        <is>
          <t>CWE-08</t>
        </is>
      </c>
      <c r="B225" s="305" t="inlineStr">
        <is>
          <t>Mensual</t>
        </is>
      </c>
      <c r="J225" s="305" t="inlineStr">
        <is>
          <t>Pozo 11</t>
        </is>
      </c>
      <c r="K225" s="10" t="inlineStr">
        <is>
          <t>Trimestral</t>
        </is>
      </c>
    </row>
    <row r="226">
      <c r="A226" s="305" t="inlineStr">
        <is>
          <t>CWE-09B</t>
        </is>
      </c>
      <c r="B226" s="305" t="inlineStr">
        <is>
          <t>Mensual</t>
        </is>
      </c>
      <c r="J226" s="305" t="inlineStr">
        <is>
          <t>Pozo 12</t>
        </is>
      </c>
      <c r="K226" s="10" t="inlineStr">
        <is>
          <t>Trimestral</t>
        </is>
      </c>
    </row>
    <row r="227">
      <c r="A227" s="305" t="inlineStr">
        <is>
          <t>CWE-10A</t>
        </is>
      </c>
      <c r="B227" s="305" t="inlineStr">
        <is>
          <t>Mensual</t>
        </is>
      </c>
      <c r="J227" s="305" t="inlineStr">
        <is>
          <t>Pozo 13</t>
        </is>
      </c>
      <c r="K227" s="10" t="inlineStr">
        <is>
          <t>Trimestral</t>
        </is>
      </c>
    </row>
    <row r="228">
      <c r="A228" s="305" t="inlineStr">
        <is>
          <t>CWE-10B</t>
        </is>
      </c>
      <c r="B228" s="305" t="inlineStr">
        <is>
          <t>Mensual</t>
        </is>
      </c>
      <c r="J228" s="305" t="inlineStr">
        <is>
          <t>Pozo 14</t>
        </is>
      </c>
      <c r="K228" s="10" t="inlineStr">
        <is>
          <t>Trimestral</t>
        </is>
      </c>
    </row>
    <row r="229">
      <c r="A229" s="305" t="inlineStr">
        <is>
          <t>CWE-12</t>
        </is>
      </c>
      <c r="B229" s="305" t="inlineStr">
        <is>
          <t>Trimestral</t>
        </is>
      </c>
      <c r="J229" s="305" t="inlineStr">
        <is>
          <t>Pozo 15</t>
        </is>
      </c>
      <c r="K229" s="10" t="inlineStr">
        <is>
          <t>Trimestral</t>
        </is>
      </c>
    </row>
    <row r="230">
      <c r="A230" s="305" t="inlineStr">
        <is>
          <t>CWE-15</t>
        </is>
      </c>
      <c r="B230" s="305" t="inlineStr">
        <is>
          <t>Mensual</t>
        </is>
      </c>
      <c r="J230" s="305" t="inlineStr">
        <is>
          <t>Pozo 2</t>
        </is>
      </c>
      <c r="K230" s="10" t="inlineStr">
        <is>
          <t>Trimestral</t>
        </is>
      </c>
    </row>
    <row r="231">
      <c r="A231" s="305" t="inlineStr">
        <is>
          <t>CWE-16</t>
        </is>
      </c>
      <c r="B231" s="305" t="inlineStr">
        <is>
          <t>Mensual</t>
        </is>
      </c>
      <c r="J231" s="305" t="inlineStr">
        <is>
          <t>Pozo 3</t>
        </is>
      </c>
      <c r="K231" s="10" t="inlineStr">
        <is>
          <t>Trimestral</t>
        </is>
      </c>
    </row>
    <row r="232">
      <c r="A232" s="305" t="inlineStr">
        <is>
          <t>CWE-18 (1)</t>
        </is>
      </c>
      <c r="B232" s="305" t="inlineStr">
        <is>
          <t>Trimestral</t>
        </is>
      </c>
      <c r="J232" s="305" t="inlineStr">
        <is>
          <t>Pozo 4</t>
        </is>
      </c>
      <c r="K232" s="10" t="inlineStr">
        <is>
          <t>Trimestral</t>
        </is>
      </c>
    </row>
    <row r="233">
      <c r="A233" s="305" t="inlineStr">
        <is>
          <t>CWE-18 (2)</t>
        </is>
      </c>
      <c r="B233" s="305" t="inlineStr">
        <is>
          <t>Trimestral</t>
        </is>
      </c>
      <c r="J233" s="305" t="inlineStr">
        <is>
          <t>Pozo 5</t>
        </is>
      </c>
      <c r="K233" s="10" t="inlineStr">
        <is>
          <t>Trimestral</t>
        </is>
      </c>
    </row>
    <row r="234">
      <c r="A234" s="305" t="inlineStr">
        <is>
          <t>CWE-19</t>
        </is>
      </c>
      <c r="B234" s="305" t="inlineStr">
        <is>
          <t>Mensual</t>
        </is>
      </c>
      <c r="J234" s="305" t="inlineStr">
        <is>
          <t>Pozo 6</t>
        </is>
      </c>
      <c r="K234" s="10" t="inlineStr">
        <is>
          <t>Mensual</t>
        </is>
      </c>
    </row>
    <row r="235">
      <c r="A235" s="305" t="inlineStr">
        <is>
          <t>CWE-20</t>
        </is>
      </c>
      <c r="B235" s="305" t="inlineStr">
        <is>
          <t>Mensual</t>
        </is>
      </c>
      <c r="J235" s="305" t="inlineStr">
        <is>
          <t>Pozo 7</t>
        </is>
      </c>
      <c r="K235" s="10" t="inlineStr">
        <is>
          <t>Trimestral</t>
        </is>
      </c>
    </row>
    <row r="236">
      <c r="A236" s="305" t="inlineStr">
        <is>
          <t>CWE-21</t>
        </is>
      </c>
      <c r="B236" s="305" t="inlineStr">
        <is>
          <t>Mensual</t>
        </is>
      </c>
      <c r="J236" s="305" t="inlineStr">
        <is>
          <t>Pozo 8</t>
        </is>
      </c>
      <c r="K236" s="10" t="inlineStr">
        <is>
          <t>Mensual</t>
        </is>
      </c>
    </row>
    <row r="237">
      <c r="A237" s="305" t="inlineStr">
        <is>
          <t>CWE-22 (1)</t>
        </is>
      </c>
      <c r="B237" s="305" t="inlineStr">
        <is>
          <t>Mensual</t>
        </is>
      </c>
      <c r="J237" s="305" t="inlineStr">
        <is>
          <t>Pozo 9</t>
        </is>
      </c>
      <c r="K237" s="10" t="inlineStr">
        <is>
          <t>Mensual</t>
        </is>
      </c>
    </row>
    <row r="238">
      <c r="A238" s="305" t="inlineStr">
        <is>
          <t>CWE-22 (2)</t>
        </is>
      </c>
      <c r="B238" s="305" t="inlineStr">
        <is>
          <t>Mensual</t>
        </is>
      </c>
      <c r="J238" s="305" t="inlineStr">
        <is>
          <t>Pozo bombeo (reemplaza RPW-04)</t>
        </is>
      </c>
      <c r="K238" s="10" t="inlineStr">
        <is>
          <t>Trimestral</t>
        </is>
      </c>
    </row>
    <row r="239">
      <c r="A239" s="305" t="inlineStr">
        <is>
          <t>CWE-22 (3)</t>
        </is>
      </c>
      <c r="B239" s="305" t="inlineStr">
        <is>
          <t>Mensual</t>
        </is>
      </c>
      <c r="J239" s="305" t="inlineStr">
        <is>
          <t>PPC-02</t>
        </is>
      </c>
      <c r="K239" s="10" t="inlineStr">
        <is>
          <t>Trimestral</t>
        </is>
      </c>
    </row>
    <row r="240">
      <c r="A240" s="305" t="inlineStr">
        <is>
          <t>CWE-22 (4)</t>
        </is>
      </c>
      <c r="B240" s="305" t="inlineStr">
        <is>
          <t>Mensual</t>
        </is>
      </c>
      <c r="J240" s="305" t="inlineStr">
        <is>
          <t>PPC-03</t>
        </is>
      </c>
      <c r="K240" s="10" t="inlineStr">
        <is>
          <t>Mensual</t>
        </is>
      </c>
    </row>
    <row r="241">
      <c r="A241" s="305" t="inlineStr">
        <is>
          <t>CWE-23 (1)</t>
        </is>
      </c>
      <c r="B241" s="305" t="inlineStr">
        <is>
          <t>Trimestral</t>
        </is>
      </c>
      <c r="J241" s="305" t="inlineStr">
        <is>
          <t>PPC-07</t>
        </is>
      </c>
      <c r="K241" s="10" t="inlineStr">
        <is>
          <t>Trimestral</t>
        </is>
      </c>
    </row>
    <row r="242">
      <c r="A242" s="305" t="inlineStr">
        <is>
          <t>CWE-23 (2)</t>
        </is>
      </c>
      <c r="B242" s="305" t="inlineStr">
        <is>
          <t>Trimestral</t>
        </is>
      </c>
      <c r="J242" s="305" t="inlineStr">
        <is>
          <t>PPC-09</t>
        </is>
      </c>
      <c r="K242" s="10" t="inlineStr">
        <is>
          <t>Trimestral</t>
        </is>
      </c>
    </row>
    <row r="243">
      <c r="A243" s="305" t="inlineStr">
        <is>
          <t>CWE-23 (3)</t>
        </is>
      </c>
      <c r="B243" s="305" t="inlineStr">
        <is>
          <t>Trimestral</t>
        </is>
      </c>
      <c r="J243" s="305" t="inlineStr">
        <is>
          <t>PPC-10</t>
        </is>
      </c>
      <c r="K243" s="10" t="inlineStr">
        <is>
          <t>Trimestral</t>
        </is>
      </c>
    </row>
    <row r="244">
      <c r="A244" s="305" t="inlineStr">
        <is>
          <t>CWE-23 (4)</t>
        </is>
      </c>
      <c r="B244" s="305" t="inlineStr">
        <is>
          <t>Trimestral</t>
        </is>
      </c>
      <c r="J244" s="305" t="inlineStr">
        <is>
          <t>PPC-14</t>
        </is>
      </c>
      <c r="K244" s="10" t="inlineStr">
        <is>
          <t>Trimestral</t>
        </is>
      </c>
    </row>
    <row r="245">
      <c r="A245" s="305" t="inlineStr">
        <is>
          <t>CWE-24 (1)</t>
        </is>
      </c>
      <c r="B245" s="305" t="inlineStr">
        <is>
          <t>Trimestral</t>
        </is>
      </c>
      <c r="J245" s="305" t="inlineStr">
        <is>
          <t>PPC-15</t>
        </is>
      </c>
      <c r="K245" s="10" t="inlineStr">
        <is>
          <t>Trimestral</t>
        </is>
      </c>
    </row>
    <row r="246">
      <c r="A246" s="305" t="inlineStr">
        <is>
          <t>CWE-24 (2)</t>
        </is>
      </c>
      <c r="B246" s="305" t="inlineStr">
        <is>
          <t>Trimestral</t>
        </is>
      </c>
      <c r="J246" s="305" t="inlineStr">
        <is>
          <t>PPC-18</t>
        </is>
      </c>
      <c r="K246" s="10" t="inlineStr">
        <is>
          <t>Mensual</t>
        </is>
      </c>
    </row>
    <row r="247">
      <c r="A247" s="305" t="inlineStr">
        <is>
          <t>CWE-24 (3)</t>
        </is>
      </c>
      <c r="B247" s="305" t="inlineStr">
        <is>
          <t>Trimestral</t>
        </is>
      </c>
      <c r="J247" s="305" t="inlineStr">
        <is>
          <t>PPC-20</t>
        </is>
      </c>
      <c r="K247" s="10" t="inlineStr">
        <is>
          <t>Trimestral</t>
        </is>
      </c>
    </row>
    <row r="248">
      <c r="A248" s="305" t="inlineStr">
        <is>
          <t>CWE-24 (4)</t>
        </is>
      </c>
      <c r="B248" s="305" t="inlineStr">
        <is>
          <t>Trimestral</t>
        </is>
      </c>
      <c r="J248" s="305" t="inlineStr">
        <is>
          <t>PPC-21</t>
        </is>
      </c>
      <c r="K248" s="10" t="inlineStr">
        <is>
          <t>Trimestral</t>
        </is>
      </c>
    </row>
    <row r="249">
      <c r="A249" s="305" t="inlineStr">
        <is>
          <t>CWE-25-1</t>
        </is>
      </c>
      <c r="B249" s="305" t="inlineStr">
        <is>
          <t>Mensual</t>
        </is>
      </c>
      <c r="J249" s="305" t="inlineStr">
        <is>
          <t>PPC-23</t>
        </is>
      </c>
      <c r="K249" s="10" t="inlineStr">
        <is>
          <t>Mensual</t>
        </is>
      </c>
    </row>
    <row r="250">
      <c r="A250" s="305" t="inlineStr">
        <is>
          <t>CWE-25-2</t>
        </is>
      </c>
      <c r="B250" s="305" t="inlineStr">
        <is>
          <t>Mensual</t>
        </is>
      </c>
      <c r="J250" s="305" t="inlineStr">
        <is>
          <t>PPC-27</t>
        </is>
      </c>
      <c r="K250" s="10" t="inlineStr">
        <is>
          <t>Mensual</t>
        </is>
      </c>
    </row>
    <row r="251">
      <c r="A251" s="305" t="inlineStr">
        <is>
          <t>CWE-25-3</t>
        </is>
      </c>
      <c r="B251" s="305" t="inlineStr">
        <is>
          <t>Mensual</t>
        </is>
      </c>
      <c r="J251" s="305" t="inlineStr">
        <is>
          <t>PPC-28</t>
        </is>
      </c>
      <c r="K251" s="10" t="inlineStr">
        <is>
          <t>Mensual</t>
        </is>
      </c>
    </row>
    <row r="252">
      <c r="A252" s="305" t="inlineStr">
        <is>
          <t>CWE-26</t>
        </is>
      </c>
      <c r="B252" s="305" t="inlineStr">
        <is>
          <t>Mensual</t>
        </is>
      </c>
      <c r="J252" s="305" t="inlineStr">
        <is>
          <t>PR</t>
        </is>
      </c>
      <c r="K252" s="305" t="inlineStr">
        <is>
          <t>Mensual</t>
        </is>
      </c>
    </row>
    <row r="253">
      <c r="A253" s="305" t="inlineStr">
        <is>
          <t>CWE-27</t>
        </is>
      </c>
      <c r="B253" s="305" t="inlineStr">
        <is>
          <t>Mensual</t>
        </is>
      </c>
      <c r="J253" s="305" t="inlineStr">
        <is>
          <t>PTAS Instalaciones de Faenas y Campamentos (8 en ductos y 4 en Puerto)</t>
        </is>
      </c>
      <c r="K253" s="10" t="inlineStr">
        <is>
          <t>Mensual</t>
        </is>
      </c>
    </row>
    <row r="254">
      <c r="A254" s="305" t="inlineStr">
        <is>
          <t>CWE-28</t>
        </is>
      </c>
      <c r="B254" s="305" t="inlineStr">
        <is>
          <t>Mensual</t>
        </is>
      </c>
      <c r="J254" s="305" t="inlineStr">
        <is>
          <t>PTAS Puerto Collahuasi</t>
        </is>
      </c>
      <c r="K254" s="10" t="inlineStr">
        <is>
          <t>Semanal</t>
        </is>
      </c>
    </row>
    <row r="255">
      <c r="A255" s="305" t="inlineStr">
        <is>
          <t>CWE-29</t>
        </is>
      </c>
      <c r="B255" s="305" t="inlineStr">
        <is>
          <t>Mensual</t>
        </is>
      </c>
      <c r="J255" s="305" t="inlineStr">
        <is>
          <t>PTAS Ujina y Línea de Impulsión Ujina – Coposa</t>
        </is>
      </c>
      <c r="K255" s="10" t="inlineStr">
        <is>
          <t>Mensual</t>
        </is>
      </c>
    </row>
    <row r="256">
      <c r="A256" s="305" t="inlineStr">
        <is>
          <t>CWE-30</t>
        </is>
      </c>
      <c r="B256" s="305" t="inlineStr">
        <is>
          <t>Mensual</t>
        </is>
      </c>
      <c r="J256" s="305" t="inlineStr">
        <is>
          <t>PTAS-C</t>
        </is>
      </c>
      <c r="K256" s="10" t="inlineStr">
        <is>
          <t>Semanal</t>
        </is>
      </c>
    </row>
    <row r="257">
      <c r="A257" s="305" t="inlineStr">
        <is>
          <t>CWE-31</t>
        </is>
      </c>
      <c r="B257" s="305" t="inlineStr">
        <is>
          <t>Mensual</t>
        </is>
      </c>
      <c r="J257" s="305" t="inlineStr">
        <is>
          <t>PTAS-R</t>
        </is>
      </c>
      <c r="K257" s="10" t="inlineStr">
        <is>
          <t>Mensual</t>
        </is>
      </c>
    </row>
    <row r="258">
      <c r="A258" s="305" t="inlineStr">
        <is>
          <t>CWE-32</t>
        </is>
      </c>
      <c r="B258" s="305" t="inlineStr">
        <is>
          <t>Mensual</t>
        </is>
      </c>
      <c r="J258" s="305" t="inlineStr">
        <is>
          <t>PTAS-U</t>
        </is>
      </c>
      <c r="K258" s="10" t="inlineStr">
        <is>
          <t>Mensual</t>
        </is>
      </c>
    </row>
    <row r="259">
      <c r="A259" s="305" t="inlineStr">
        <is>
          <t>CWE-33</t>
        </is>
      </c>
      <c r="B259" s="305" t="inlineStr">
        <is>
          <t>Mensual</t>
        </is>
      </c>
      <c r="J259" s="305" t="inlineStr">
        <is>
          <t>Puntera 1</t>
        </is>
      </c>
      <c r="K259" s="10" t="inlineStr">
        <is>
          <t>Mensual</t>
        </is>
      </c>
    </row>
    <row r="260">
      <c r="A260" s="305" t="inlineStr">
        <is>
          <t>CWE-34</t>
        </is>
      </c>
      <c r="B260" s="305" t="inlineStr">
        <is>
          <t>Mensual</t>
        </is>
      </c>
      <c r="J260" s="305" t="inlineStr">
        <is>
          <t>Puntera 2</t>
        </is>
      </c>
      <c r="K260" s="10" t="inlineStr">
        <is>
          <t>Mensual</t>
        </is>
      </c>
    </row>
    <row r="261">
      <c r="A261" s="305" t="inlineStr">
        <is>
          <t>CWE-35</t>
        </is>
      </c>
      <c r="B261" s="305" t="inlineStr">
        <is>
          <t>Trimestral</t>
        </is>
      </c>
      <c r="J261" s="305" t="inlineStr">
        <is>
          <t>Puntera 3</t>
        </is>
      </c>
      <c r="K261" s="10" t="inlineStr">
        <is>
          <t>Mensual</t>
        </is>
      </c>
    </row>
    <row r="262">
      <c r="A262" s="305" t="inlineStr">
        <is>
          <t>CWE-38</t>
        </is>
      </c>
      <c r="B262" s="305" t="inlineStr">
        <is>
          <t>Mensual</t>
        </is>
      </c>
      <c r="J262" s="305" t="inlineStr">
        <is>
          <t>Puntera 4</t>
        </is>
      </c>
      <c r="K262" s="10" t="inlineStr">
        <is>
          <t>Mensual</t>
        </is>
      </c>
    </row>
    <row r="263">
      <c r="A263" s="305" t="inlineStr">
        <is>
          <t>CWP-01</t>
        </is>
      </c>
      <c r="B263" s="305" t="inlineStr">
        <is>
          <t>Mensual</t>
        </is>
      </c>
      <c r="J263" s="305" t="inlineStr">
        <is>
          <t>Puntera 5</t>
        </is>
      </c>
      <c r="K263" s="10" t="inlineStr">
        <is>
          <t>Mensual</t>
        </is>
      </c>
    </row>
    <row r="264">
      <c r="A264" s="305" t="inlineStr">
        <is>
          <t>CWP-02</t>
        </is>
      </c>
      <c r="B264" s="305" t="inlineStr">
        <is>
          <t>Mensual</t>
        </is>
      </c>
      <c r="J264" s="305" t="inlineStr">
        <is>
          <t>Punto 1</t>
        </is>
      </c>
      <c r="K264" s="10" t="inlineStr">
        <is>
          <t>Mensual</t>
        </is>
      </c>
    </row>
    <row r="265">
      <c r="A265" s="305" t="inlineStr">
        <is>
          <t>CWP-03</t>
        </is>
      </c>
      <c r="B265" s="305" t="inlineStr">
        <is>
          <t>Mensual</t>
        </is>
      </c>
      <c r="J265" s="305" t="n"/>
      <c r="K265" s="10" t="inlineStr">
        <is>
          <t>Trimestral</t>
        </is>
      </c>
    </row>
    <row r="266">
      <c r="A266" s="305" t="inlineStr">
        <is>
          <t>CWP-04</t>
        </is>
      </c>
      <c r="B266" s="305" t="inlineStr">
        <is>
          <t>Mensual</t>
        </is>
      </c>
      <c r="J266" s="305" t="inlineStr">
        <is>
          <t>Punto 2</t>
        </is>
      </c>
      <c r="K266" s="10" t="inlineStr">
        <is>
          <t>Mensual</t>
        </is>
      </c>
    </row>
    <row r="267">
      <c r="A267" s="305" t="inlineStr">
        <is>
          <t>CWP-05</t>
        </is>
      </c>
      <c r="B267" s="305" t="inlineStr">
        <is>
          <t>Mensual</t>
        </is>
      </c>
      <c r="J267" s="305" t="n"/>
      <c r="K267" s="10" t="inlineStr">
        <is>
          <t>Trimestral</t>
        </is>
      </c>
    </row>
    <row r="268">
      <c r="A268" s="305" t="inlineStr">
        <is>
          <t>CWP-06</t>
        </is>
      </c>
      <c r="B268" s="305" t="inlineStr">
        <is>
          <t>Mensual</t>
        </is>
      </c>
      <c r="J268" s="305" t="inlineStr">
        <is>
          <t>Punto 3</t>
        </is>
      </c>
      <c r="K268" s="10" t="inlineStr">
        <is>
          <t>Trimestral</t>
        </is>
      </c>
    </row>
    <row r="269">
      <c r="A269" s="305" t="inlineStr">
        <is>
          <t>CWP-07A</t>
        </is>
      </c>
      <c r="B269" s="305" t="inlineStr">
        <is>
          <t>Mensual</t>
        </is>
      </c>
      <c r="J269" s="305" t="inlineStr">
        <is>
          <t>Punto 4</t>
        </is>
      </c>
      <c r="K269" s="10" t="inlineStr">
        <is>
          <t>Trimestral</t>
        </is>
      </c>
    </row>
    <row r="270">
      <c r="A270" s="305" t="inlineStr">
        <is>
          <t>CWP-08A</t>
        </is>
      </c>
      <c r="B270" s="305" t="inlineStr">
        <is>
          <t>Mensual</t>
        </is>
      </c>
      <c r="J270" s="305" t="inlineStr">
        <is>
          <t>QDC-01</t>
        </is>
      </c>
      <c r="K270" s="10" t="inlineStr">
        <is>
          <t>Mensual</t>
        </is>
      </c>
    </row>
    <row r="271">
      <c r="A271" s="305" t="inlineStr">
        <is>
          <t>CWP-09</t>
        </is>
      </c>
      <c r="B271" s="305" t="inlineStr">
        <is>
          <t>Mensual</t>
        </is>
      </c>
      <c r="J271" s="305" t="inlineStr">
        <is>
          <t>QDC-02</t>
        </is>
      </c>
      <c r="K271" s="10" t="inlineStr">
        <is>
          <t>Trimestral</t>
        </is>
      </c>
    </row>
    <row r="272">
      <c r="A272" s="305" t="inlineStr">
        <is>
          <t>CWP-10</t>
        </is>
      </c>
      <c r="B272" s="305" t="inlineStr">
        <is>
          <t>Mensual</t>
        </is>
      </c>
      <c r="J272" s="305" t="inlineStr">
        <is>
          <t>QDH-01C</t>
        </is>
      </c>
      <c r="K272" s="10" t="inlineStr">
        <is>
          <t>Trimestral</t>
        </is>
      </c>
    </row>
    <row r="273">
      <c r="A273" s="305" t="inlineStr">
        <is>
          <t>CWP-11</t>
        </is>
      </c>
      <c r="B273" s="305" t="inlineStr">
        <is>
          <t>Mensual</t>
        </is>
      </c>
      <c r="J273" s="305" t="inlineStr">
        <is>
          <t>QDH-01D</t>
        </is>
      </c>
      <c r="K273" s="10" t="inlineStr">
        <is>
          <t>Trimestral</t>
        </is>
      </c>
    </row>
    <row r="274">
      <c r="A274" s="305" t="inlineStr">
        <is>
          <t>CWP-12</t>
        </is>
      </c>
      <c r="B274" s="305" t="inlineStr">
        <is>
          <t>Mensual</t>
        </is>
      </c>
      <c r="J274" s="305" t="inlineStr">
        <is>
          <t>QDH-01E</t>
        </is>
      </c>
      <c r="K274" s="10" t="inlineStr">
        <is>
          <t>Mensual</t>
        </is>
      </c>
    </row>
    <row r="275">
      <c r="A275" s="305" t="inlineStr">
        <is>
          <t>CWP-13</t>
        </is>
      </c>
      <c r="B275" s="305" t="inlineStr">
        <is>
          <t>Mensual</t>
        </is>
      </c>
      <c r="J275" s="305" t="inlineStr">
        <is>
          <t>QDH-01F</t>
        </is>
      </c>
      <c r="K275" s="10" t="inlineStr">
        <is>
          <t>Mensual</t>
        </is>
      </c>
    </row>
    <row r="276">
      <c r="A276" s="305" t="inlineStr">
        <is>
          <t>CWP-14</t>
        </is>
      </c>
      <c r="B276" s="305" t="inlineStr">
        <is>
          <t>Mensual</t>
        </is>
      </c>
      <c r="J276" s="305" t="inlineStr">
        <is>
          <t>QDH-02</t>
        </is>
      </c>
      <c r="K276" s="10" t="inlineStr">
        <is>
          <t>Mensual</t>
        </is>
      </c>
    </row>
    <row r="277">
      <c r="A277" s="305" t="inlineStr">
        <is>
          <t>DCN-02</t>
        </is>
      </c>
      <c r="B277" s="305" t="inlineStr">
        <is>
          <t>Trimestral</t>
        </is>
      </c>
      <c r="J277" s="305" t="inlineStr">
        <is>
          <t>QDH-1E Piscina</t>
        </is>
      </c>
      <c r="K277" s="10" t="inlineStr">
        <is>
          <t>Semanal</t>
        </is>
      </c>
    </row>
    <row r="278">
      <c r="A278" s="305" t="inlineStr">
        <is>
          <t>DDH-62</t>
        </is>
      </c>
      <c r="B278" s="305" t="inlineStr">
        <is>
          <t>Mensual</t>
        </is>
      </c>
      <c r="J278" s="305" t="inlineStr">
        <is>
          <t>QSD-01</t>
        </is>
      </c>
      <c r="K278" s="10" t="inlineStr">
        <is>
          <t>Mensual</t>
        </is>
      </c>
    </row>
    <row r="279">
      <c r="A279" s="305" t="inlineStr">
        <is>
          <t>DDH-R236</t>
        </is>
      </c>
      <c r="B279" s="305" t="inlineStr">
        <is>
          <t>Mensual</t>
        </is>
      </c>
      <c r="J279" s="305" t="inlineStr">
        <is>
          <t>QSD-1 Piscina</t>
        </is>
      </c>
      <c r="K279" s="10" t="inlineStr">
        <is>
          <t>Semanal</t>
        </is>
      </c>
    </row>
    <row r="280">
      <c r="A280" s="305" t="inlineStr">
        <is>
          <t>DEB-02</t>
        </is>
      </c>
      <c r="B280" s="305" t="inlineStr">
        <is>
          <t>Bimestral</t>
        </is>
      </c>
      <c r="J280" s="305" t="inlineStr">
        <is>
          <t>QSN-01</t>
        </is>
      </c>
      <c r="K280" s="10" t="inlineStr">
        <is>
          <t>Quincenal</t>
        </is>
      </c>
    </row>
    <row r="281">
      <c r="A281" s="305" t="inlineStr">
        <is>
          <t>DEB-03</t>
        </is>
      </c>
      <c r="B281" s="305" t="inlineStr">
        <is>
          <t>Bimestral</t>
        </is>
      </c>
      <c r="J281" s="305" t="inlineStr">
        <is>
          <t>QYA</t>
        </is>
      </c>
      <c r="K281" s="10" t="inlineStr">
        <is>
          <t>Trimestral</t>
        </is>
      </c>
    </row>
    <row r="282">
      <c r="A282" s="305" t="inlineStr">
        <is>
          <t>DEB-04</t>
        </is>
      </c>
      <c r="B282" s="305" t="inlineStr">
        <is>
          <t>Bimestral</t>
        </is>
      </c>
      <c r="J282" s="305" t="inlineStr">
        <is>
          <t>RF-1</t>
        </is>
      </c>
      <c r="K282" s="10" t="inlineStr">
        <is>
          <t>Mensual</t>
        </is>
      </c>
    </row>
    <row r="283">
      <c r="A283" s="305" t="inlineStr">
        <is>
          <t>DEB-05</t>
        </is>
      </c>
      <c r="B283" s="305" t="inlineStr">
        <is>
          <t>Bimestral</t>
        </is>
      </c>
      <c r="J283" s="305" t="inlineStr">
        <is>
          <t>RF-2</t>
        </is>
      </c>
      <c r="K283" s="10" t="inlineStr">
        <is>
          <t>Mensual</t>
        </is>
      </c>
    </row>
    <row r="284">
      <c r="A284" s="305" t="inlineStr">
        <is>
          <t>DEB-06</t>
        </is>
      </c>
      <c r="B284" s="305" t="inlineStr">
        <is>
          <t>Bimestral</t>
        </is>
      </c>
      <c r="J284" s="305" t="inlineStr">
        <is>
          <t>RF-3</t>
        </is>
      </c>
      <c r="K284" s="10" t="inlineStr">
        <is>
          <t>Mensual</t>
        </is>
      </c>
    </row>
    <row r="285">
      <c r="A285" s="305" t="inlineStr">
        <is>
          <t>DEB-07</t>
        </is>
      </c>
      <c r="B285" s="305" t="inlineStr">
        <is>
          <t>Bimestral</t>
        </is>
      </c>
      <c r="J285" s="305" t="inlineStr">
        <is>
          <t>RF-4</t>
        </is>
      </c>
      <c r="K285" s="10" t="inlineStr">
        <is>
          <t>Mensual</t>
        </is>
      </c>
    </row>
    <row r="286">
      <c r="A286" s="305" t="inlineStr">
        <is>
          <t>DEB-08</t>
        </is>
      </c>
      <c r="B286" s="305" t="inlineStr">
        <is>
          <t>Bimestral</t>
        </is>
      </c>
      <c r="J286" s="305" t="inlineStr">
        <is>
          <t>RF-5</t>
        </is>
      </c>
      <c r="K286" s="10" t="inlineStr">
        <is>
          <t>Mensual</t>
        </is>
      </c>
    </row>
    <row r="287">
      <c r="A287" s="305" t="inlineStr">
        <is>
          <t>DEB-09</t>
        </is>
      </c>
      <c r="B287" s="305" t="inlineStr">
        <is>
          <t>Bimestral</t>
        </is>
      </c>
      <c r="J287" s="305" t="inlineStr">
        <is>
          <t>RPEC-02A</t>
        </is>
      </c>
      <c r="K287" s="10" t="inlineStr">
        <is>
          <t>Mensual</t>
        </is>
      </c>
    </row>
    <row r="288">
      <c r="A288" s="305" t="inlineStr">
        <is>
          <t>DEC-01</t>
        </is>
      </c>
      <c r="B288" s="305" t="inlineStr">
        <is>
          <t>Mensual</t>
        </is>
      </c>
      <c r="J288" s="305" t="inlineStr">
        <is>
          <t>RPW-01</t>
        </is>
      </c>
      <c r="K288" s="10" t="inlineStr">
        <is>
          <t>Trimestral</t>
        </is>
      </c>
    </row>
    <row r="289">
      <c r="A289" s="305" t="inlineStr">
        <is>
          <t>DEC-02</t>
        </is>
      </c>
      <c r="B289" s="305" t="inlineStr">
        <is>
          <t>Mensual</t>
        </is>
      </c>
      <c r="J289" s="305" t="inlineStr">
        <is>
          <t>RPW-03</t>
        </is>
      </c>
      <c r="K289" s="10" t="inlineStr">
        <is>
          <t>Trimestral</t>
        </is>
      </c>
    </row>
    <row r="290">
      <c r="A290" s="305" t="inlineStr">
        <is>
          <t>DEC-03</t>
        </is>
      </c>
      <c r="B290" s="305" t="inlineStr">
        <is>
          <t>Mensual</t>
        </is>
      </c>
      <c r="J290" s="305" t="inlineStr">
        <is>
          <t>RPW-04</t>
        </is>
      </c>
      <c r="K290" s="10" t="inlineStr">
        <is>
          <t>Trimestral</t>
        </is>
      </c>
    </row>
    <row r="291">
      <c r="A291" s="305" t="inlineStr">
        <is>
          <t>DEC-04B</t>
        </is>
      </c>
      <c r="B291" s="305" t="inlineStr">
        <is>
          <t>Mensual</t>
        </is>
      </c>
      <c r="J291" s="305" t="inlineStr">
        <is>
          <t>SALA DE CAMBIOS</t>
        </is>
      </c>
      <c r="K291" s="10" t="inlineStr">
        <is>
          <t>Mensual (Se realiza quincenal)</t>
        </is>
      </c>
    </row>
    <row r="292">
      <c r="A292" s="305" t="inlineStr">
        <is>
          <t>DEC-05</t>
        </is>
      </c>
      <c r="B292" s="305" t="inlineStr">
        <is>
          <t>Mensual</t>
        </is>
      </c>
      <c r="J292" s="305" t="inlineStr">
        <is>
          <t>SH-01</t>
        </is>
      </c>
      <c r="K292" s="10" t="inlineStr">
        <is>
          <t>Trimestral</t>
        </is>
      </c>
    </row>
    <row r="293">
      <c r="A293" s="305" t="inlineStr">
        <is>
          <t>DEC-06B</t>
        </is>
      </c>
      <c r="B293" s="305" t="inlineStr">
        <is>
          <t>Mensual</t>
        </is>
      </c>
      <c r="J293" s="305" t="inlineStr">
        <is>
          <t>SH-02B</t>
        </is>
      </c>
      <c r="K293" s="10" t="inlineStr">
        <is>
          <t>Trimestral</t>
        </is>
      </c>
    </row>
    <row r="294">
      <c r="A294" s="305" t="inlineStr">
        <is>
          <t>DER-01</t>
        </is>
      </c>
      <c r="B294" s="305" t="inlineStr">
        <is>
          <t>Bimestral</t>
        </is>
      </c>
      <c r="J294" s="305" t="inlineStr">
        <is>
          <t>SH-03</t>
        </is>
      </c>
      <c r="K294" s="10" t="inlineStr">
        <is>
          <t>Trimestral</t>
        </is>
      </c>
    </row>
    <row r="295">
      <c r="A295" s="305" t="inlineStr">
        <is>
          <t>DER-02</t>
        </is>
      </c>
      <c r="B295" s="305" t="inlineStr">
        <is>
          <t>Mensual</t>
        </is>
      </c>
      <c r="J295" s="305" t="inlineStr">
        <is>
          <t>SH-04</t>
        </is>
      </c>
      <c r="K295" s="10" t="inlineStr">
        <is>
          <t>Trimestral</t>
        </is>
      </c>
    </row>
    <row r="296">
      <c r="A296" s="305" t="inlineStr">
        <is>
          <t>DER-03</t>
        </is>
      </c>
      <c r="B296" s="305" t="inlineStr">
        <is>
          <t>Mensual</t>
        </is>
      </c>
      <c r="J296" s="305" t="inlineStr">
        <is>
          <t>SH-05</t>
        </is>
      </c>
      <c r="K296" s="10" t="inlineStr">
        <is>
          <t>Trimestral</t>
        </is>
      </c>
    </row>
    <row r="297">
      <c r="A297" s="305" t="inlineStr">
        <is>
          <t>DER-05</t>
        </is>
      </c>
      <c r="B297" s="305" t="inlineStr">
        <is>
          <t>Mensual</t>
        </is>
      </c>
      <c r="J297" s="305" t="inlineStr">
        <is>
          <t>SH-06</t>
        </is>
      </c>
      <c r="K297" s="10" t="inlineStr">
        <is>
          <t>Trimestral</t>
        </is>
      </c>
    </row>
    <row r="298">
      <c r="A298" s="305" t="inlineStr">
        <is>
          <t>DER-08</t>
        </is>
      </c>
      <c r="B298" s="305" t="inlineStr">
        <is>
          <t>Mensual</t>
        </is>
      </c>
      <c r="J298" s="305" t="inlineStr">
        <is>
          <t>SH-07</t>
        </is>
      </c>
      <c r="K298" s="10" t="inlineStr">
        <is>
          <t>Trimestral</t>
        </is>
      </c>
    </row>
    <row r="299">
      <c r="A299" s="305" t="inlineStr">
        <is>
          <t>DER-12</t>
        </is>
      </c>
      <c r="B299" s="305" t="inlineStr">
        <is>
          <t>Mensual</t>
        </is>
      </c>
      <c r="J299" s="305" t="inlineStr">
        <is>
          <t>SH-08</t>
        </is>
      </c>
      <c r="K299" s="10" t="inlineStr">
        <is>
          <t>Trimestral</t>
        </is>
      </c>
    </row>
    <row r="300">
      <c r="A300" s="305" t="inlineStr">
        <is>
          <t>DER-15</t>
        </is>
      </c>
      <c r="B300" s="305" t="inlineStr">
        <is>
          <t>Mensual</t>
        </is>
      </c>
      <c r="J300" s="305" t="inlineStr">
        <is>
          <t>SH-09</t>
        </is>
      </c>
      <c r="K300" s="10" t="inlineStr">
        <is>
          <t>Trimestral</t>
        </is>
      </c>
    </row>
    <row r="301">
      <c r="A301" s="305" t="inlineStr">
        <is>
          <t>DER-18</t>
        </is>
      </c>
      <c r="B301" s="305" t="inlineStr">
        <is>
          <t>Mensual</t>
        </is>
      </c>
      <c r="J301" s="305" t="inlineStr">
        <is>
          <t>SH-10B</t>
        </is>
      </c>
      <c r="K301" s="10" t="inlineStr">
        <is>
          <t>Trimestral</t>
        </is>
      </c>
    </row>
    <row r="302">
      <c r="A302" s="305" t="inlineStr">
        <is>
          <t>DER-20</t>
        </is>
      </c>
      <c r="B302" s="305" t="inlineStr">
        <is>
          <t>Mensual</t>
        </is>
      </c>
      <c r="J302" s="305" t="inlineStr">
        <is>
          <t>SH-11B</t>
        </is>
      </c>
      <c r="K302" s="10" t="inlineStr">
        <is>
          <t>Trimestral</t>
        </is>
      </c>
    </row>
    <row r="303">
      <c r="A303" s="305" t="inlineStr">
        <is>
          <t>DER-21</t>
        </is>
      </c>
      <c r="B303" s="305" t="inlineStr">
        <is>
          <t>Mensual</t>
        </is>
      </c>
      <c r="J303" s="305" t="inlineStr">
        <is>
          <t>SH-12B</t>
        </is>
      </c>
      <c r="K303" s="10" t="inlineStr">
        <is>
          <t>Trimestral</t>
        </is>
      </c>
    </row>
    <row r="304">
      <c r="A304" s="305" t="inlineStr">
        <is>
          <t>DER-23</t>
        </is>
      </c>
      <c r="B304" s="305" t="inlineStr">
        <is>
          <t>Mensual</t>
        </is>
      </c>
      <c r="J304" s="305" t="inlineStr">
        <is>
          <t>SH-19</t>
        </is>
      </c>
      <c r="K304" s="10" t="inlineStr">
        <is>
          <t>Mensual</t>
        </is>
      </c>
    </row>
    <row r="305">
      <c r="A305" s="305" t="inlineStr">
        <is>
          <t>DER-26</t>
        </is>
      </c>
      <c r="B305" s="305" t="inlineStr">
        <is>
          <t>Bimestral</t>
        </is>
      </c>
      <c r="J305" s="305" t="inlineStr">
        <is>
          <t>SH-20</t>
        </is>
      </c>
      <c r="K305" s="10" t="inlineStr">
        <is>
          <t>Mensual</t>
        </is>
      </c>
    </row>
    <row r="306">
      <c r="A306" s="305" t="inlineStr">
        <is>
          <t>DER-28</t>
        </is>
      </c>
      <c r="B306" s="305" t="inlineStr">
        <is>
          <t>Mensual</t>
        </is>
      </c>
      <c r="J306" s="305" t="inlineStr">
        <is>
          <t>SH-21</t>
        </is>
      </c>
      <c r="K306" s="10" t="inlineStr">
        <is>
          <t>Mensual</t>
        </is>
      </c>
    </row>
    <row r="307">
      <c r="A307" s="305" t="inlineStr">
        <is>
          <t>DER-42</t>
        </is>
      </c>
      <c r="B307" s="305" t="inlineStr">
        <is>
          <t>Mensual</t>
        </is>
      </c>
      <c r="J307" s="305" t="inlineStr">
        <is>
          <t>SH-22</t>
        </is>
      </c>
      <c r="K307" s="10" t="inlineStr">
        <is>
          <t>Mensual</t>
        </is>
      </c>
    </row>
    <row r="308">
      <c r="A308" s="305" t="inlineStr">
        <is>
          <t>Dique Huinquintipa</t>
        </is>
      </c>
      <c r="B308" s="305" t="inlineStr">
        <is>
          <t>-</t>
        </is>
      </c>
      <c r="J308" s="305" t="inlineStr">
        <is>
          <t>SH-23</t>
        </is>
      </c>
      <c r="K308" s="10" t="inlineStr">
        <is>
          <t>Mensual</t>
        </is>
      </c>
    </row>
    <row r="309">
      <c r="A309" s="305" t="inlineStr">
        <is>
          <t>Dique San Daniel</t>
        </is>
      </c>
      <c r="B309" s="305" t="inlineStr">
        <is>
          <t>-</t>
        </is>
      </c>
      <c r="J309" s="305" t="inlineStr">
        <is>
          <t>SWE-02</t>
        </is>
      </c>
      <c r="K309" s="10" t="inlineStr">
        <is>
          <t>Mensual</t>
        </is>
      </c>
    </row>
    <row r="310">
      <c r="A310" s="305" t="inlineStr">
        <is>
          <t>DPEC-04</t>
        </is>
      </c>
      <c r="B310" s="305" t="inlineStr">
        <is>
          <t>Mensual</t>
        </is>
      </c>
      <c r="J310" s="305" t="inlineStr">
        <is>
          <t>TK-002</t>
        </is>
      </c>
      <c r="K310" s="10" t="inlineStr">
        <is>
          <t>Mensual (Se realiza quincenal)</t>
        </is>
      </c>
    </row>
    <row r="311">
      <c r="A311" s="305" t="inlineStr">
        <is>
          <t>DPEC-05</t>
        </is>
      </c>
      <c r="B311" s="305" t="inlineStr">
        <is>
          <t>Mensual</t>
        </is>
      </c>
      <c r="J311" s="305" t="inlineStr">
        <is>
          <t>TK-1004</t>
        </is>
      </c>
      <c r="K311" s="10" t="inlineStr">
        <is>
          <t>Mensual (Se realiza quincenal) - Diario</t>
        </is>
      </c>
    </row>
    <row r="312">
      <c r="A312" s="305" t="inlineStr">
        <is>
          <t>DPEC-06</t>
        </is>
      </c>
      <c r="B312" s="305" t="inlineStr">
        <is>
          <t>Mensual</t>
        </is>
      </c>
      <c r="J312" s="305" t="inlineStr">
        <is>
          <t>TK-505</t>
        </is>
      </c>
      <c r="K312" s="10" t="inlineStr">
        <is>
          <t>Mensual (Se realiza quincenal) - Diario</t>
        </is>
      </c>
    </row>
    <row r="313">
      <c r="A313" s="305" t="inlineStr">
        <is>
          <t>DPEC-07</t>
        </is>
      </c>
      <c r="B313" s="305" t="inlineStr">
        <is>
          <t>Mensual</t>
        </is>
      </c>
      <c r="J313" s="305" t="inlineStr">
        <is>
          <t>TK-517</t>
        </is>
      </c>
      <c r="K313" s="10" t="inlineStr">
        <is>
          <t>Mensual (Se realiza quincenal) - Diario</t>
        </is>
      </c>
    </row>
    <row r="314">
      <c r="A314" s="305" t="inlineStr">
        <is>
          <t>DPEC-08</t>
        </is>
      </c>
      <c r="B314" s="305" t="inlineStr">
        <is>
          <t>Mensual</t>
        </is>
      </c>
      <c r="J314" s="305" t="inlineStr">
        <is>
          <t>UC-602</t>
        </is>
      </c>
      <c r="K314" s="10" t="inlineStr">
        <is>
          <t>Mensual</t>
        </is>
      </c>
    </row>
    <row r="315">
      <c r="A315" s="305" t="inlineStr">
        <is>
          <t>DU-01</t>
        </is>
      </c>
      <c r="B315" s="305" t="inlineStr">
        <is>
          <t>Mensual</t>
        </is>
      </c>
      <c r="J315" s="305" t="inlineStr">
        <is>
          <t>UC-603</t>
        </is>
      </c>
      <c r="K315" s="10" t="inlineStr">
        <is>
          <t>Mensual</t>
        </is>
      </c>
    </row>
    <row r="316">
      <c r="A316" s="305" t="inlineStr">
        <is>
          <t>DU-02A</t>
        </is>
      </c>
      <c r="B316" s="305" t="inlineStr">
        <is>
          <t>Mensual</t>
        </is>
      </c>
      <c r="J316" s="305" t="inlineStr">
        <is>
          <t>Mitigación Jachucoposa (actual)</t>
        </is>
      </c>
      <c r="K316" s="10" t="inlineStr">
        <is>
          <t>Mensual</t>
        </is>
      </c>
    </row>
    <row r="317">
      <c r="A317" s="305" t="inlineStr">
        <is>
          <t>DU-04</t>
        </is>
      </c>
      <c r="B317" s="305" t="inlineStr">
        <is>
          <t>Mensual</t>
        </is>
      </c>
      <c r="J317" s="305" t="inlineStr">
        <is>
          <t>Mitigación Jachucoposa (Nuevo)</t>
        </is>
      </c>
      <c r="K317" s="10" t="inlineStr">
        <is>
          <t>Mensual</t>
        </is>
      </c>
    </row>
    <row r="318">
      <c r="A318" s="305" t="inlineStr">
        <is>
          <t>DU-06</t>
        </is>
      </c>
      <c r="B318" s="305" t="inlineStr">
        <is>
          <t>Mensual</t>
        </is>
      </c>
      <c r="J318" s="305" t="inlineStr">
        <is>
          <t>P-4B</t>
        </is>
      </c>
      <c r="K318" s="10" t="inlineStr">
        <is>
          <t>Trimestral</t>
        </is>
      </c>
    </row>
    <row r="319">
      <c r="A319" s="305" t="inlineStr">
        <is>
          <t>Efluente desaladora</t>
        </is>
      </c>
      <c r="B319" s="305" t="inlineStr">
        <is>
          <t>-</t>
        </is>
      </c>
      <c r="J319" s="305" t="inlineStr">
        <is>
          <t>PTAS-M</t>
        </is>
      </c>
      <c r="K319" s="10" t="inlineStr">
        <is>
          <t>Semanal</t>
        </is>
      </c>
    </row>
    <row r="320">
      <c r="A320" s="305" t="inlineStr">
        <is>
          <t>EPC-01</t>
        </is>
      </c>
      <c r="B320" s="305" t="inlineStr">
        <is>
          <t>Trimestral</t>
        </is>
      </c>
      <c r="J320" s="305" t="inlineStr">
        <is>
          <t>Piscina P2</t>
        </is>
      </c>
      <c r="K320" s="305" t="inlineStr">
        <is>
          <t>Mensual</t>
        </is>
      </c>
    </row>
    <row r="321">
      <c r="A321" s="305" t="inlineStr">
        <is>
          <t>Estación 1</t>
        </is>
      </c>
      <c r="B321" s="305" t="inlineStr">
        <is>
          <t>-</t>
        </is>
      </c>
      <c r="J321" s="305" t="inlineStr">
        <is>
          <t>Piscina P3</t>
        </is>
      </c>
      <c r="K321" s="305" t="inlineStr">
        <is>
          <t>Mensual</t>
        </is>
      </c>
    </row>
    <row r="322">
      <c r="A322" s="305" t="inlineStr">
        <is>
          <t>Estación 2</t>
        </is>
      </c>
      <c r="B322" s="305" t="inlineStr">
        <is>
          <t>-</t>
        </is>
      </c>
    </row>
    <row r="323">
      <c r="A323" s="305" t="inlineStr">
        <is>
          <t>Estación 3</t>
        </is>
      </c>
      <c r="B323" s="305" t="inlineStr">
        <is>
          <t>-</t>
        </is>
      </c>
    </row>
    <row r="324">
      <c r="A324" s="305" t="inlineStr">
        <is>
          <t>Estanque recolección abastecimiento medida reposición MM1</t>
        </is>
      </c>
      <c r="B324" s="305" t="inlineStr">
        <is>
          <t>-</t>
        </is>
      </c>
    </row>
    <row r="325">
      <c r="A325" s="305" t="inlineStr">
        <is>
          <t>Extracciones del Rajo Rosario</t>
        </is>
      </c>
      <c r="B325" s="305" t="inlineStr">
        <is>
          <t>-</t>
        </is>
      </c>
    </row>
    <row r="326">
      <c r="A326" s="305" t="inlineStr">
        <is>
          <t>FAD</t>
        </is>
      </c>
      <c r="B326" s="305" t="inlineStr">
        <is>
          <t>-</t>
        </is>
      </c>
    </row>
    <row r="327">
      <c r="A327" s="305" t="inlineStr">
        <is>
          <t>GB-01</t>
        </is>
      </c>
      <c r="B327" s="305" t="inlineStr">
        <is>
          <t>Trimestral</t>
        </is>
      </c>
    </row>
    <row r="328">
      <c r="A328" s="305" t="inlineStr">
        <is>
          <t>GB-02</t>
        </is>
      </c>
      <c r="B328" s="305" t="inlineStr">
        <is>
          <t>Trimestral</t>
        </is>
      </c>
    </row>
    <row r="329">
      <c r="A329" s="305" t="inlineStr">
        <is>
          <t>GB-03</t>
        </is>
      </c>
      <c r="B329" s="305" t="inlineStr">
        <is>
          <t>Trimestral</t>
        </is>
      </c>
    </row>
    <row r="330">
      <c r="A330" s="305" t="inlineStr">
        <is>
          <t>GB-05</t>
        </is>
      </c>
      <c r="B330" s="305" t="inlineStr">
        <is>
          <t>Trimestral</t>
        </is>
      </c>
    </row>
    <row r="331">
      <c r="A331" s="305" t="inlineStr">
        <is>
          <t>GB-06</t>
        </is>
      </c>
      <c r="B331" s="305" t="inlineStr">
        <is>
          <t>Trimestral</t>
        </is>
      </c>
    </row>
    <row r="332">
      <c r="A332" s="305" t="inlineStr">
        <is>
          <t>HPS-01</t>
        </is>
      </c>
      <c r="B332" s="305" t="inlineStr">
        <is>
          <t>Trimestral</t>
        </is>
      </c>
    </row>
    <row r="333">
      <c r="A333" s="305" t="inlineStr">
        <is>
          <t>HPS-02</t>
        </is>
      </c>
      <c r="B333" s="305" t="inlineStr">
        <is>
          <t>Trimestral</t>
        </is>
      </c>
    </row>
    <row r="334">
      <c r="A334" s="305" t="inlineStr">
        <is>
          <t>HPS-04</t>
        </is>
      </c>
      <c r="B334" s="305" t="inlineStr">
        <is>
          <t>Trimestral</t>
        </is>
      </c>
    </row>
    <row r="335">
      <c r="A335" s="305" t="inlineStr">
        <is>
          <t>HPS-11</t>
        </is>
      </c>
      <c r="B335" s="305" t="inlineStr">
        <is>
          <t>Trimestral</t>
        </is>
      </c>
    </row>
    <row r="336">
      <c r="A336" s="305" t="inlineStr">
        <is>
          <t>HPS-12</t>
        </is>
      </c>
      <c r="B336" s="305" t="inlineStr">
        <is>
          <t>Trimestral</t>
        </is>
      </c>
    </row>
    <row r="337">
      <c r="A337" s="305" t="inlineStr">
        <is>
          <t>HPS-14</t>
        </is>
      </c>
      <c r="B337" s="305" t="inlineStr">
        <is>
          <t>Trimestral</t>
        </is>
      </c>
    </row>
    <row r="338">
      <c r="A338" s="305" t="inlineStr">
        <is>
          <t>HPS-36</t>
        </is>
      </c>
      <c r="B338" s="305" t="inlineStr">
        <is>
          <t>Trimestral</t>
        </is>
      </c>
    </row>
    <row r="339">
      <c r="A339" s="305" t="inlineStr">
        <is>
          <t>HPS-38</t>
        </is>
      </c>
      <c r="B339" s="305" t="inlineStr">
        <is>
          <t>Trimestral</t>
        </is>
      </c>
    </row>
    <row r="340">
      <c r="A340" s="305" t="inlineStr">
        <is>
          <t>HPS-39A</t>
        </is>
      </c>
      <c r="B340" s="305" t="inlineStr">
        <is>
          <t>Trimestral</t>
        </is>
      </c>
    </row>
    <row r="341">
      <c r="A341" s="305" t="inlineStr">
        <is>
          <t>HPS-39B</t>
        </is>
      </c>
      <c r="B341" s="305" t="inlineStr">
        <is>
          <t>Trimestral</t>
        </is>
      </c>
    </row>
    <row r="342">
      <c r="A342" s="305" t="inlineStr">
        <is>
          <t>HPS-40A</t>
        </is>
      </c>
      <c r="B342" s="305" t="inlineStr">
        <is>
          <t>Trimestral</t>
        </is>
      </c>
    </row>
    <row r="343">
      <c r="A343" s="305" t="inlineStr">
        <is>
          <t>HPS-40B</t>
        </is>
      </c>
      <c r="B343" s="305" t="inlineStr">
        <is>
          <t>Trimestral</t>
        </is>
      </c>
    </row>
    <row r="344">
      <c r="A344" s="305" t="inlineStr">
        <is>
          <t>HTC-1</t>
        </is>
      </c>
      <c r="B344" s="305" t="inlineStr">
        <is>
          <t>-</t>
        </is>
      </c>
    </row>
    <row r="345">
      <c r="A345" s="305" t="inlineStr">
        <is>
          <t>HTC-3</t>
        </is>
      </c>
      <c r="B345" s="305" t="inlineStr">
        <is>
          <t>-</t>
        </is>
      </c>
    </row>
    <row r="346">
      <c r="A346" s="305" t="inlineStr">
        <is>
          <t>HTC-4A</t>
        </is>
      </c>
      <c r="B346" s="305" t="inlineStr">
        <is>
          <t>-</t>
        </is>
      </c>
    </row>
    <row r="347">
      <c r="A347" s="305" t="inlineStr">
        <is>
          <t>HUA-P01</t>
        </is>
      </c>
      <c r="B347" s="305" t="inlineStr">
        <is>
          <t>Trimestral</t>
        </is>
      </c>
    </row>
    <row r="348">
      <c r="A348" s="305" t="inlineStr">
        <is>
          <t>Huinquintipa arriba (QDH-02)</t>
        </is>
      </c>
      <c r="B348" s="305" t="inlineStr">
        <is>
          <t>-</t>
        </is>
      </c>
    </row>
    <row r="349">
      <c r="A349" s="305" t="inlineStr">
        <is>
          <t>JCC-04</t>
        </is>
      </c>
      <c r="B349" s="305" t="inlineStr">
        <is>
          <t>-</t>
        </is>
      </c>
    </row>
    <row r="350">
      <c r="A350" s="305" t="inlineStr">
        <is>
          <t>JCC-05</t>
        </is>
      </c>
      <c r="B350" s="305" t="inlineStr">
        <is>
          <t>-</t>
        </is>
      </c>
    </row>
    <row r="351">
      <c r="A351" s="305" t="inlineStr">
        <is>
          <t>L01</t>
        </is>
      </c>
      <c r="B351" s="305" t="inlineStr">
        <is>
          <t>Trimestral</t>
        </is>
      </c>
    </row>
    <row r="352">
      <c r="A352" s="305" t="inlineStr">
        <is>
          <t>L02</t>
        </is>
      </c>
      <c r="B352" s="305" t="inlineStr">
        <is>
          <t>Trimestral</t>
        </is>
      </c>
    </row>
    <row r="353">
      <c r="A353" s="305" t="inlineStr">
        <is>
          <t>LC</t>
        </is>
      </c>
      <c r="B353" s="305" t="inlineStr">
        <is>
          <t>Continuo</t>
        </is>
      </c>
    </row>
    <row r="354">
      <c r="A354" s="305" t="inlineStr">
        <is>
          <t>LM</t>
        </is>
      </c>
      <c r="B354" s="305" t="inlineStr">
        <is>
          <t>Continuo</t>
        </is>
      </c>
    </row>
    <row r="355">
      <c r="A355" s="305" t="inlineStr">
        <is>
          <t>LPDC-01</t>
        </is>
      </c>
      <c r="B355" s="305" t="inlineStr">
        <is>
          <t>Mensual</t>
        </is>
      </c>
    </row>
    <row r="356">
      <c r="A356" s="305" t="inlineStr">
        <is>
          <t>LPDC-02</t>
        </is>
      </c>
      <c r="B356" s="305" t="inlineStr">
        <is>
          <t>Mensual</t>
        </is>
      </c>
    </row>
    <row r="357">
      <c r="A357" s="305" t="inlineStr">
        <is>
          <t>LPDC-03</t>
        </is>
      </c>
      <c r="B357" s="305" t="inlineStr">
        <is>
          <t>Mensual</t>
        </is>
      </c>
    </row>
    <row r="358">
      <c r="A358" s="305" t="inlineStr">
        <is>
          <t>LPDC-04</t>
        </is>
      </c>
      <c r="B358" s="305" t="inlineStr">
        <is>
          <t>Mensual</t>
        </is>
      </c>
    </row>
    <row r="359">
      <c r="A359" s="305" t="inlineStr">
        <is>
          <t>LPDC-05</t>
        </is>
      </c>
      <c r="B359" s="305" t="inlineStr">
        <is>
          <t>Mensual</t>
        </is>
      </c>
    </row>
    <row r="360">
      <c r="A360" s="305" t="inlineStr">
        <is>
          <t>LPDC-06</t>
        </is>
      </c>
      <c r="B360" s="305" t="inlineStr">
        <is>
          <t>Mensual</t>
        </is>
      </c>
    </row>
    <row r="361">
      <c r="A361" s="305" t="inlineStr">
        <is>
          <t>LPDC-07</t>
        </is>
      </c>
      <c r="B361" s="305" t="inlineStr">
        <is>
          <t>Mensual</t>
        </is>
      </c>
    </row>
    <row r="362">
      <c r="A362" s="305" t="inlineStr">
        <is>
          <t>LPDC-08</t>
        </is>
      </c>
      <c r="B362" s="305" t="inlineStr">
        <is>
          <t>Mensual</t>
        </is>
      </c>
    </row>
    <row r="363">
      <c r="A363" s="305" t="inlineStr">
        <is>
          <t>LPDC-09</t>
        </is>
      </c>
      <c r="B363" s="305" t="inlineStr">
        <is>
          <t>Mensual</t>
        </is>
      </c>
    </row>
    <row r="364">
      <c r="A364" s="305" t="inlineStr">
        <is>
          <t>LPDC-10</t>
        </is>
      </c>
      <c r="B364" s="305" t="inlineStr">
        <is>
          <t>Mensual</t>
        </is>
      </c>
    </row>
    <row r="365">
      <c r="A365" s="305" t="inlineStr">
        <is>
          <t>LPDC-11</t>
        </is>
      </c>
      <c r="B365" s="305" t="inlineStr">
        <is>
          <t>Mensual</t>
        </is>
      </c>
    </row>
    <row r="366">
      <c r="A366" s="305" t="inlineStr">
        <is>
          <t>M-04C</t>
        </is>
      </c>
      <c r="B366" s="305" t="inlineStr">
        <is>
          <t>Mensual</t>
        </is>
      </c>
    </row>
    <row r="367">
      <c r="A367" s="305" t="inlineStr">
        <is>
          <t>M-05</t>
        </is>
      </c>
      <c r="B367" s="305" t="inlineStr">
        <is>
          <t>Mensual</t>
        </is>
      </c>
    </row>
    <row r="368">
      <c r="A368" s="305" t="inlineStr">
        <is>
          <t>M-09</t>
        </is>
      </c>
      <c r="B368" s="305" t="inlineStr">
        <is>
          <t>Trimestral</t>
        </is>
      </c>
    </row>
    <row r="369">
      <c r="A369" s="305" t="inlineStr">
        <is>
          <t>M-10</t>
        </is>
      </c>
      <c r="B369" s="305" t="inlineStr">
        <is>
          <t>Mensual</t>
        </is>
      </c>
    </row>
    <row r="370">
      <c r="A370" s="305" t="inlineStr">
        <is>
          <t>M-12</t>
        </is>
      </c>
      <c r="B370" s="305" t="inlineStr">
        <is>
          <t>Mensual</t>
        </is>
      </c>
    </row>
    <row r="371">
      <c r="A371" s="305" t="inlineStr">
        <is>
          <t>M-13</t>
        </is>
      </c>
      <c r="B371" s="305" t="inlineStr">
        <is>
          <t>Mensual</t>
        </is>
      </c>
    </row>
    <row r="372">
      <c r="A372" s="305" t="inlineStr">
        <is>
          <t>M-14</t>
        </is>
      </c>
      <c r="B372" s="305" t="inlineStr">
        <is>
          <t>Mensual</t>
        </is>
      </c>
    </row>
    <row r="373">
      <c r="A373" s="305" t="inlineStr">
        <is>
          <t>M-15</t>
        </is>
      </c>
      <c r="B373" s="305" t="inlineStr">
        <is>
          <t>Mensual</t>
        </is>
      </c>
    </row>
    <row r="374">
      <c r="A374" s="305" t="inlineStr">
        <is>
          <t>M-16</t>
        </is>
      </c>
      <c r="B374" s="305" t="inlineStr">
        <is>
          <t>Trimestral</t>
        </is>
      </c>
    </row>
    <row r="375">
      <c r="A375" s="305" t="inlineStr">
        <is>
          <t>M-17</t>
        </is>
      </c>
      <c r="B375" s="305" t="inlineStr">
        <is>
          <t>Trimestral</t>
        </is>
      </c>
    </row>
    <row r="376">
      <c r="A376" s="305" t="inlineStr">
        <is>
          <t>M-18</t>
        </is>
      </c>
      <c r="B376" s="305" t="inlineStr">
        <is>
          <t>Mensual</t>
        </is>
      </c>
    </row>
    <row r="377">
      <c r="A377" s="305" t="inlineStr">
        <is>
          <t>M-19</t>
        </is>
      </c>
      <c r="B377" s="305" t="inlineStr">
        <is>
          <t>Mensual</t>
        </is>
      </c>
    </row>
    <row r="378">
      <c r="A378" s="305" t="inlineStr">
        <is>
          <t>M-21</t>
        </is>
      </c>
      <c r="B378" s="305" t="inlineStr">
        <is>
          <t>Mensual</t>
        </is>
      </c>
    </row>
    <row r="379">
      <c r="A379" s="305" t="inlineStr">
        <is>
          <t>M-23</t>
        </is>
      </c>
      <c r="B379" s="305" t="inlineStr">
        <is>
          <t>Trimestral</t>
        </is>
      </c>
    </row>
    <row r="380">
      <c r="A380" s="305" t="inlineStr">
        <is>
          <t>M-26A</t>
        </is>
      </c>
      <c r="B380" s="305" t="inlineStr">
        <is>
          <t>Mensual</t>
        </is>
      </c>
    </row>
    <row r="381">
      <c r="A381" s="305" t="inlineStr">
        <is>
          <t>M-27</t>
        </is>
      </c>
      <c r="B381" s="305" t="inlineStr">
        <is>
          <t>Mensual</t>
        </is>
      </c>
    </row>
    <row r="382">
      <c r="A382" s="305" t="inlineStr">
        <is>
          <t>M-28</t>
        </is>
      </c>
      <c r="B382" s="305" t="inlineStr">
        <is>
          <t>Mensual</t>
        </is>
      </c>
    </row>
    <row r="383">
      <c r="A383" s="305" t="inlineStr">
        <is>
          <t>MA-01</t>
        </is>
      </c>
      <c r="B383" s="305" t="inlineStr">
        <is>
          <t>Mensual</t>
        </is>
      </c>
    </row>
    <row r="384">
      <c r="A384" s="305" t="inlineStr">
        <is>
          <t>MA-02C</t>
        </is>
      </c>
      <c r="B384" s="305" t="inlineStr">
        <is>
          <t>Mensual</t>
        </is>
      </c>
    </row>
    <row r="385">
      <c r="A385" s="305" t="inlineStr">
        <is>
          <t>MA-03A</t>
        </is>
      </c>
      <c r="B385" s="305" t="inlineStr">
        <is>
          <t>Mensual</t>
        </is>
      </c>
    </row>
    <row r="386">
      <c r="A386" s="305" t="inlineStr">
        <is>
          <t>MA-08</t>
        </is>
      </c>
      <c r="B386" s="305" t="inlineStr">
        <is>
          <t>Mensual</t>
        </is>
      </c>
    </row>
    <row r="387">
      <c r="A387" s="305" t="inlineStr">
        <is>
          <t>MA-09B</t>
        </is>
      </c>
      <c r="B387" s="305" t="inlineStr">
        <is>
          <t>Trimestral</t>
        </is>
      </c>
    </row>
    <row r="388">
      <c r="A388" s="305" t="inlineStr">
        <is>
          <t>MAH-01</t>
        </is>
      </c>
      <c r="B388" s="305" t="inlineStr">
        <is>
          <t>Mensual</t>
        </is>
      </c>
    </row>
    <row r="389">
      <c r="A389" s="305" t="inlineStr">
        <is>
          <t>Mal Paso</t>
        </is>
      </c>
      <c r="B389" s="305" t="inlineStr">
        <is>
          <t>-</t>
        </is>
      </c>
    </row>
    <row r="390">
      <c r="A390" s="305" t="inlineStr">
        <is>
          <t>MAU-01B</t>
        </is>
      </c>
      <c r="B390" s="305" t="inlineStr">
        <is>
          <t>Trimestral</t>
        </is>
      </c>
    </row>
    <row r="391">
      <c r="A391" s="305" t="inlineStr">
        <is>
          <t>MAU-02</t>
        </is>
      </c>
      <c r="B391" s="305" t="inlineStr">
        <is>
          <t>Mensual</t>
        </is>
      </c>
    </row>
    <row r="392">
      <c r="A392" s="305" t="inlineStr">
        <is>
          <t>MAU-03B</t>
        </is>
      </c>
      <c r="B392" s="305" t="inlineStr">
        <is>
          <t>Mensual</t>
        </is>
      </c>
    </row>
    <row r="393">
      <c r="A393" s="305" t="inlineStr">
        <is>
          <t>MAU-05B</t>
        </is>
      </c>
      <c r="B393" s="305" t="inlineStr">
        <is>
          <t>Mensual</t>
        </is>
      </c>
    </row>
    <row r="394">
      <c r="A394" s="305" t="inlineStr">
        <is>
          <t>MAU-07B</t>
        </is>
      </c>
      <c r="B394" s="305" t="inlineStr">
        <is>
          <t>Mensual</t>
        </is>
      </c>
    </row>
    <row r="395">
      <c r="A395" s="305" t="inlineStr">
        <is>
          <t>MAU-08B</t>
        </is>
      </c>
      <c r="B395" s="305" t="inlineStr">
        <is>
          <t>Mensual</t>
        </is>
      </c>
    </row>
    <row r="396">
      <c r="A396" s="305" t="inlineStr">
        <is>
          <t>MAU-09</t>
        </is>
      </c>
      <c r="B396" s="305" t="inlineStr">
        <is>
          <t>Mensual</t>
        </is>
      </c>
    </row>
    <row r="397">
      <c r="A397" s="305" t="inlineStr">
        <is>
          <t>MAU-10</t>
        </is>
      </c>
      <c r="B397" s="305" t="inlineStr">
        <is>
          <t>Mensual</t>
        </is>
      </c>
    </row>
    <row r="398">
      <c r="A398" s="305" t="inlineStr">
        <is>
          <t>MAU-11B</t>
        </is>
      </c>
      <c r="B398" s="305" t="inlineStr">
        <is>
          <t>Mensual</t>
        </is>
      </c>
    </row>
    <row r="399">
      <c r="A399" s="305" t="inlineStr">
        <is>
          <t>MAU-12</t>
        </is>
      </c>
      <c r="B399" s="305" t="inlineStr">
        <is>
          <t>Mensual</t>
        </is>
      </c>
    </row>
    <row r="400">
      <c r="A400" s="305" t="inlineStr">
        <is>
          <t>MAU-13</t>
        </is>
      </c>
      <c r="B400" s="305" t="inlineStr">
        <is>
          <t>Mensual</t>
        </is>
      </c>
    </row>
    <row r="401">
      <c r="A401" s="305" t="inlineStr">
        <is>
          <t>MAU-14</t>
        </is>
      </c>
      <c r="B401" s="305" t="inlineStr">
        <is>
          <t>Mensual</t>
        </is>
      </c>
    </row>
    <row r="402">
      <c r="A402" s="305" t="inlineStr">
        <is>
          <t>MAU-15</t>
        </is>
      </c>
      <c r="B402" s="305" t="inlineStr">
        <is>
          <t>Mensual</t>
        </is>
      </c>
    </row>
    <row r="403">
      <c r="A403" s="305" t="inlineStr">
        <is>
          <t>MAU-16</t>
        </is>
      </c>
      <c r="B403" s="305" t="inlineStr">
        <is>
          <t>Mensual</t>
        </is>
      </c>
    </row>
    <row r="404">
      <c r="A404" s="305" t="inlineStr">
        <is>
          <t>MIT-01B</t>
        </is>
      </c>
      <c r="B404" s="305" t="inlineStr">
        <is>
          <t>Mensual</t>
        </is>
      </c>
    </row>
    <row r="405">
      <c r="A405" s="305" t="inlineStr">
        <is>
          <t>MIT-02B</t>
        </is>
      </c>
      <c r="B405" s="305" t="inlineStr">
        <is>
          <t>Mensual</t>
        </is>
      </c>
    </row>
    <row r="406">
      <c r="A406" s="305" t="inlineStr">
        <is>
          <t>MIT-03</t>
        </is>
      </c>
      <c r="B406" s="305" t="inlineStr">
        <is>
          <t>Mensual</t>
        </is>
      </c>
    </row>
    <row r="407">
      <c r="A407" s="305" t="inlineStr">
        <is>
          <t>MMA-01</t>
        </is>
      </c>
      <c r="B407" s="305" t="inlineStr">
        <is>
          <t>Trimestral</t>
        </is>
      </c>
    </row>
    <row r="408">
      <c r="A408" s="305" t="inlineStr">
        <is>
          <t>MMA-02</t>
        </is>
      </c>
      <c r="B408" s="305" t="inlineStr">
        <is>
          <t>Trimestral</t>
        </is>
      </c>
    </row>
    <row r="409">
      <c r="A409" s="305" t="inlineStr">
        <is>
          <t>MMA-03</t>
        </is>
      </c>
      <c r="B409" s="305" t="inlineStr">
        <is>
          <t>Trimestral</t>
        </is>
      </c>
    </row>
    <row r="410">
      <c r="A410" s="305" t="inlineStr">
        <is>
          <t>MMA-04</t>
        </is>
      </c>
      <c r="B410" s="305" t="inlineStr">
        <is>
          <t>Mensual</t>
        </is>
      </c>
    </row>
    <row r="411">
      <c r="A411" s="305" t="inlineStr">
        <is>
          <t>MMA-05</t>
        </is>
      </c>
      <c r="B411" s="305" t="inlineStr">
        <is>
          <t>Mensual</t>
        </is>
      </c>
    </row>
    <row r="412">
      <c r="A412" s="305" t="inlineStr">
        <is>
          <t>MMA-06</t>
        </is>
      </c>
      <c r="B412" s="305" t="inlineStr">
        <is>
          <t>Mensual</t>
        </is>
      </c>
    </row>
    <row r="413">
      <c r="A413" s="305" t="inlineStr">
        <is>
          <t>MMA-07</t>
        </is>
      </c>
      <c r="B413" s="305" t="inlineStr">
        <is>
          <t>Mensual</t>
        </is>
      </c>
    </row>
    <row r="414">
      <c r="A414" s="305" t="inlineStr">
        <is>
          <t>MMA-08</t>
        </is>
      </c>
      <c r="B414" s="305" t="inlineStr">
        <is>
          <t>Mensual</t>
        </is>
      </c>
    </row>
    <row r="415">
      <c r="A415" s="305" t="inlineStr">
        <is>
          <t>MMA-09</t>
        </is>
      </c>
      <c r="B415" s="305" t="inlineStr">
        <is>
          <t>Mensual</t>
        </is>
      </c>
    </row>
    <row r="416">
      <c r="A416" s="305" t="inlineStr">
        <is>
          <t>MMA-10</t>
        </is>
      </c>
      <c r="B416" s="305" t="inlineStr">
        <is>
          <t>Mensual</t>
        </is>
      </c>
    </row>
    <row r="417">
      <c r="A417" s="305" t="inlineStr">
        <is>
          <t>MMA-11</t>
        </is>
      </c>
      <c r="B417" s="305" t="inlineStr">
        <is>
          <t>Mensual</t>
        </is>
      </c>
    </row>
    <row r="418">
      <c r="A418" s="305" t="inlineStr">
        <is>
          <t>MMA-12</t>
        </is>
      </c>
      <c r="B418" s="305" t="inlineStr">
        <is>
          <t>Mensual</t>
        </is>
      </c>
    </row>
    <row r="419">
      <c r="A419" s="305" t="inlineStr">
        <is>
          <t>MMA-13</t>
        </is>
      </c>
      <c r="B419" s="305" t="inlineStr">
        <is>
          <t>Mensual</t>
        </is>
      </c>
    </row>
    <row r="420">
      <c r="A420" s="305" t="inlineStr">
        <is>
          <t>MMA-14</t>
        </is>
      </c>
      <c r="B420" s="305" t="inlineStr">
        <is>
          <t>Mensual</t>
        </is>
      </c>
    </row>
    <row r="421">
      <c r="A421" s="305" t="inlineStr">
        <is>
          <t>MP-01</t>
        </is>
      </c>
      <c r="B421" s="305" t="inlineStr">
        <is>
          <t>Mensual</t>
        </is>
      </c>
    </row>
    <row r="422">
      <c r="A422" s="305" t="inlineStr">
        <is>
          <t>MP-02</t>
        </is>
      </c>
      <c r="B422" s="305" t="inlineStr">
        <is>
          <t>Mensual</t>
        </is>
      </c>
    </row>
    <row r="423">
      <c r="A423" s="305" t="inlineStr">
        <is>
          <t>MP-03</t>
        </is>
      </c>
      <c r="B423" s="305" t="inlineStr">
        <is>
          <t>Mensual</t>
        </is>
      </c>
    </row>
    <row r="424">
      <c r="A424" s="305" t="inlineStr">
        <is>
          <t>MP-04</t>
        </is>
      </c>
      <c r="B424" s="305" t="inlineStr">
        <is>
          <t>Mensual</t>
        </is>
      </c>
    </row>
    <row r="425">
      <c r="A425" s="305" t="inlineStr">
        <is>
          <t>MP-05</t>
        </is>
      </c>
      <c r="B425" s="305" t="inlineStr">
        <is>
          <t>Mensual</t>
        </is>
      </c>
    </row>
    <row r="426">
      <c r="A426" s="305" t="inlineStr">
        <is>
          <t>MP-06</t>
        </is>
      </c>
      <c r="B426" s="305" t="inlineStr">
        <is>
          <t>Mensual</t>
        </is>
      </c>
    </row>
    <row r="427">
      <c r="A427" s="305" t="inlineStr">
        <is>
          <t>MP-07</t>
        </is>
      </c>
      <c r="B427" s="305" t="inlineStr">
        <is>
          <t>Mensual</t>
        </is>
      </c>
    </row>
    <row r="428">
      <c r="A428" s="305" t="inlineStr">
        <is>
          <t>MP-08</t>
        </is>
      </c>
      <c r="B428" s="305" t="inlineStr">
        <is>
          <t>Mensual</t>
        </is>
      </c>
    </row>
    <row r="429">
      <c r="A429" s="305" t="inlineStr">
        <is>
          <t>MP-09</t>
        </is>
      </c>
      <c r="B429" s="305" t="inlineStr">
        <is>
          <t>Mensual</t>
        </is>
      </c>
    </row>
    <row r="430">
      <c r="A430" s="305" t="inlineStr">
        <is>
          <t>MP-10</t>
        </is>
      </c>
      <c r="B430" s="305" t="inlineStr">
        <is>
          <t>Mensual</t>
        </is>
      </c>
    </row>
    <row r="431">
      <c r="A431" s="305" t="inlineStr">
        <is>
          <t>MP-11</t>
        </is>
      </c>
      <c r="B431" s="305" t="inlineStr">
        <is>
          <t>Mensual</t>
        </is>
      </c>
    </row>
    <row r="432">
      <c r="A432" s="305" t="inlineStr">
        <is>
          <t>MP-12</t>
        </is>
      </c>
      <c r="B432" s="305" t="inlineStr">
        <is>
          <t>Mensual</t>
        </is>
      </c>
    </row>
    <row r="433">
      <c r="A433" s="305" t="inlineStr">
        <is>
          <t>MP-13</t>
        </is>
      </c>
      <c r="B433" s="305" t="inlineStr">
        <is>
          <t>Mensual</t>
        </is>
      </c>
    </row>
    <row r="434">
      <c r="A434" s="305" t="inlineStr">
        <is>
          <t>MP-14</t>
        </is>
      </c>
      <c r="B434" s="305" t="inlineStr">
        <is>
          <t>Mensual</t>
        </is>
      </c>
    </row>
    <row r="435">
      <c r="A435" s="305" t="inlineStr">
        <is>
          <t>MP-15</t>
        </is>
      </c>
      <c r="B435" s="305" t="inlineStr">
        <is>
          <t>Mensual</t>
        </is>
      </c>
    </row>
    <row r="436">
      <c r="A436" s="305" t="inlineStr">
        <is>
          <t>MP-17</t>
        </is>
      </c>
      <c r="B436" s="305" t="inlineStr">
        <is>
          <t>Mensual</t>
        </is>
      </c>
    </row>
    <row r="437">
      <c r="A437" s="305" t="inlineStr">
        <is>
          <t>MP-18</t>
        </is>
      </c>
      <c r="B437" s="305" t="inlineStr">
        <is>
          <t>Mensual</t>
        </is>
      </c>
    </row>
    <row r="438">
      <c r="A438" s="305" t="inlineStr">
        <is>
          <t>MPDR</t>
        </is>
      </c>
      <c r="B438" s="305" t="inlineStr">
        <is>
          <t>-</t>
        </is>
      </c>
    </row>
    <row r="439">
      <c r="A439" s="305" t="inlineStr">
        <is>
          <t>MPZ-04</t>
        </is>
      </c>
      <c r="B439" s="305" t="inlineStr">
        <is>
          <t>Mensual</t>
        </is>
      </c>
    </row>
    <row r="440">
      <c r="A440" s="305" t="inlineStr">
        <is>
          <t>MPZ-05B</t>
        </is>
      </c>
      <c r="B440" s="305" t="inlineStr">
        <is>
          <t>Mensual</t>
        </is>
      </c>
    </row>
    <row r="441">
      <c r="A441" s="305" t="inlineStr">
        <is>
          <t>MPZ-05B-L2</t>
        </is>
      </c>
      <c r="B441" s="305" t="inlineStr">
        <is>
          <t>Mensual</t>
        </is>
      </c>
    </row>
    <row r="442">
      <c r="A442" s="305" t="inlineStr">
        <is>
          <t>MPZ-08A2-L2</t>
        </is>
      </c>
      <c r="B442" s="305" t="inlineStr">
        <is>
          <t>Mensual</t>
        </is>
      </c>
    </row>
    <row r="443">
      <c r="A443" s="305" t="inlineStr">
        <is>
          <t>MPZ-08B2</t>
        </is>
      </c>
      <c r="B443" s="305" t="inlineStr">
        <is>
          <t>Mensual</t>
        </is>
      </c>
    </row>
    <row r="444">
      <c r="A444" s="305" t="inlineStr">
        <is>
          <t>MPZ-08C</t>
        </is>
      </c>
      <c r="B444" s="305" t="inlineStr">
        <is>
          <t>Mensual</t>
        </is>
      </c>
    </row>
    <row r="445">
      <c r="A445" s="305" t="inlineStr">
        <is>
          <t>MPZ-09</t>
        </is>
      </c>
      <c r="B445" s="305" t="inlineStr">
        <is>
          <t>Mensual</t>
        </is>
      </c>
    </row>
    <row r="446">
      <c r="A446" s="305" t="inlineStr">
        <is>
          <t>MPZ-10A</t>
        </is>
      </c>
      <c r="B446" s="305" t="inlineStr">
        <is>
          <t>Mensual</t>
        </is>
      </c>
    </row>
    <row r="447">
      <c r="A447" s="305" t="inlineStr">
        <is>
          <t>MPZ-10B</t>
        </is>
      </c>
      <c r="B447" s="305" t="inlineStr">
        <is>
          <t>Mensual</t>
        </is>
      </c>
    </row>
    <row r="448">
      <c r="A448" s="305" t="inlineStr">
        <is>
          <t>MPZ-11B</t>
        </is>
      </c>
      <c r="B448" s="305" t="inlineStr">
        <is>
          <t>Mensual</t>
        </is>
      </c>
    </row>
    <row r="449">
      <c r="A449" s="305" t="inlineStr">
        <is>
          <t>MPZ-12</t>
        </is>
      </c>
      <c r="B449" s="305" t="inlineStr">
        <is>
          <t>Mensual</t>
        </is>
      </c>
    </row>
    <row r="450">
      <c r="A450" s="305" t="inlineStr">
        <is>
          <t>MPZ-12A</t>
        </is>
      </c>
      <c r="B450" s="305" t="inlineStr">
        <is>
          <t>Mensual</t>
        </is>
      </c>
    </row>
    <row r="451">
      <c r="A451" s="305" t="inlineStr">
        <is>
          <t>MPZ-12AL2</t>
        </is>
      </c>
      <c r="B451" s="305" t="inlineStr">
        <is>
          <t>Mensual</t>
        </is>
      </c>
    </row>
    <row r="452">
      <c r="A452" s="305" t="inlineStr">
        <is>
          <t>MPZ-12L2</t>
        </is>
      </c>
      <c r="B452" s="305" t="inlineStr">
        <is>
          <t>Mensual</t>
        </is>
      </c>
    </row>
    <row r="453">
      <c r="A453" s="305" t="inlineStr">
        <is>
          <t>MPZ-8A2</t>
        </is>
      </c>
      <c r="B453" s="305" t="inlineStr">
        <is>
          <t>Mensual</t>
        </is>
      </c>
    </row>
    <row r="454">
      <c r="A454" s="305" t="inlineStr">
        <is>
          <t>MSW-02</t>
        </is>
      </c>
      <c r="B454" s="305" t="inlineStr">
        <is>
          <t>-</t>
        </is>
      </c>
    </row>
    <row r="455">
      <c r="A455" s="305" t="inlineStr">
        <is>
          <t>MSW-03</t>
        </is>
      </c>
      <c r="B455" s="305" t="inlineStr">
        <is>
          <t>-</t>
        </is>
      </c>
    </row>
    <row r="456">
      <c r="A456" s="305" t="inlineStr">
        <is>
          <t>MSW-1A</t>
        </is>
      </c>
      <c r="B456" s="305" t="inlineStr">
        <is>
          <t>-</t>
        </is>
      </c>
    </row>
    <row r="457">
      <c r="A457" s="305" t="inlineStr">
        <is>
          <t>MTP-09</t>
        </is>
      </c>
      <c r="B457" s="305" t="inlineStr">
        <is>
          <t>Mensual</t>
        </is>
      </c>
    </row>
    <row r="458">
      <c r="A458" s="305" t="inlineStr">
        <is>
          <t>MTP-11</t>
        </is>
      </c>
      <c r="B458" s="305" t="inlineStr">
        <is>
          <t>Mensual</t>
        </is>
      </c>
    </row>
    <row r="459">
      <c r="A459" s="305" t="inlineStr">
        <is>
          <t>MTP-12</t>
        </is>
      </c>
      <c r="B459" s="305" t="inlineStr">
        <is>
          <t>Mensual</t>
        </is>
      </c>
    </row>
    <row r="460">
      <c r="A460" s="305" t="inlineStr">
        <is>
          <t>MTP-13</t>
        </is>
      </c>
      <c r="B460" s="305" t="inlineStr">
        <is>
          <t>Mensual</t>
        </is>
      </c>
    </row>
    <row r="461">
      <c r="A461" s="305" t="inlineStr">
        <is>
          <t>MTP-14</t>
        </is>
      </c>
      <c r="B461" s="305" t="inlineStr">
        <is>
          <t>Mensual</t>
        </is>
      </c>
    </row>
    <row r="462">
      <c r="A462" s="305" t="inlineStr">
        <is>
          <t>MTP-15</t>
        </is>
      </c>
      <c r="B462" s="305" t="inlineStr">
        <is>
          <t>Mensual</t>
        </is>
      </c>
    </row>
    <row r="463">
      <c r="A463" s="305" t="inlineStr">
        <is>
          <t>MTP-16</t>
        </is>
      </c>
      <c r="B463" s="305" t="inlineStr">
        <is>
          <t>Mensual</t>
        </is>
      </c>
    </row>
    <row r="464">
      <c r="A464" s="305" t="inlineStr">
        <is>
          <t>MTP-20</t>
        </is>
      </c>
      <c r="B464" s="305" t="inlineStr">
        <is>
          <t>Mensual</t>
        </is>
      </c>
    </row>
    <row r="465">
      <c r="A465" s="305" t="inlineStr">
        <is>
          <t>NN1</t>
        </is>
      </c>
      <c r="B465" s="305" t="inlineStr">
        <is>
          <t>Trimestral</t>
        </is>
      </c>
    </row>
    <row r="466">
      <c r="A466" s="305" t="inlineStr">
        <is>
          <t>NN2</t>
        </is>
      </c>
      <c r="B466" s="305" t="inlineStr">
        <is>
          <t>Trimestral</t>
        </is>
      </c>
    </row>
    <row r="467">
      <c r="A467" s="305" t="inlineStr">
        <is>
          <t>NP-6
(reemplaza al P-6)</t>
        </is>
      </c>
      <c r="B467" s="305" t="inlineStr">
        <is>
          <t>Trimestral</t>
        </is>
      </c>
    </row>
    <row r="468">
      <c r="A468" s="305" t="inlineStr">
        <is>
          <t>NS</t>
        </is>
      </c>
      <c r="B468" s="305" t="inlineStr">
        <is>
          <t>Mensual</t>
        </is>
      </c>
    </row>
    <row r="469">
      <c r="A469" s="305" t="inlineStr">
        <is>
          <t>P-6</t>
        </is>
      </c>
      <c r="B469" s="305" t="inlineStr">
        <is>
          <t>Mensual</t>
        </is>
      </c>
    </row>
    <row r="470">
      <c r="A470" s="305" t="inlineStr">
        <is>
          <t>PAR</t>
        </is>
      </c>
      <c r="B470" s="305" t="inlineStr">
        <is>
          <t>Trimestral</t>
        </is>
      </c>
    </row>
    <row r="471">
      <c r="A471" s="305" t="inlineStr">
        <is>
          <t>PC-01</t>
        </is>
      </c>
      <c r="B471" s="305" t="inlineStr">
        <is>
          <t>Mensual</t>
        </is>
      </c>
    </row>
    <row r="472">
      <c r="A472" s="305" t="inlineStr">
        <is>
          <t>PC-02</t>
        </is>
      </c>
      <c r="B472" s="305" t="inlineStr">
        <is>
          <t>Mensual</t>
        </is>
      </c>
    </row>
    <row r="473">
      <c r="A473" s="305" t="inlineStr">
        <is>
          <t>PC-03</t>
        </is>
      </c>
      <c r="B473" s="305" t="inlineStr">
        <is>
          <t>Mensual</t>
        </is>
      </c>
    </row>
    <row r="474">
      <c r="A474" s="305" t="inlineStr">
        <is>
          <t>PC-04</t>
        </is>
      </c>
      <c r="B474" s="305" t="inlineStr">
        <is>
          <t>Mensual</t>
        </is>
      </c>
    </row>
    <row r="475">
      <c r="A475" s="305" t="inlineStr">
        <is>
          <t>PC-05</t>
        </is>
      </c>
      <c r="B475" s="305" t="inlineStr">
        <is>
          <t>Mensual</t>
        </is>
      </c>
    </row>
    <row r="476">
      <c r="A476" s="305" t="inlineStr">
        <is>
          <t>PC-06</t>
        </is>
      </c>
      <c r="B476" s="305" t="inlineStr">
        <is>
          <t>Mensual</t>
        </is>
      </c>
    </row>
    <row r="477">
      <c r="A477" s="305" t="inlineStr">
        <is>
          <t>PC-2</t>
        </is>
      </c>
      <c r="B477" s="305" t="inlineStr">
        <is>
          <t>Trimestral</t>
        </is>
      </c>
    </row>
    <row r="478">
      <c r="A478" s="305" t="inlineStr">
        <is>
          <t>PC-3</t>
        </is>
      </c>
      <c r="B478" s="305" t="inlineStr">
        <is>
          <t>Trimestral</t>
        </is>
      </c>
    </row>
    <row r="479">
      <c r="A479" s="305" t="inlineStr">
        <is>
          <t>PCA-01</t>
        </is>
      </c>
      <c r="B479" s="305" t="inlineStr">
        <is>
          <t>Bimestral</t>
        </is>
      </c>
    </row>
    <row r="480">
      <c r="A480" s="305" t="inlineStr">
        <is>
          <t>PCA-02B</t>
        </is>
      </c>
      <c r="B480" s="305" t="inlineStr">
        <is>
          <t>Mensual</t>
        </is>
      </c>
    </row>
    <row r="481">
      <c r="A481" s="305" t="inlineStr">
        <is>
          <t>PCA-03</t>
        </is>
      </c>
      <c r="B481" s="305" t="inlineStr">
        <is>
          <t>Mensual</t>
        </is>
      </c>
    </row>
    <row r="482">
      <c r="A482" s="305" t="inlineStr">
        <is>
          <t>PCA-05</t>
        </is>
      </c>
      <c r="B482" s="305" t="inlineStr">
        <is>
          <t>Mensual</t>
        </is>
      </c>
    </row>
    <row r="483">
      <c r="A483" s="305" t="inlineStr">
        <is>
          <t>PCA-07</t>
        </is>
      </c>
      <c r="B483" s="305" t="inlineStr">
        <is>
          <t>Trimestral</t>
        </is>
      </c>
    </row>
    <row r="484">
      <c r="A484" s="305" t="inlineStr">
        <is>
          <t>PCA-08</t>
        </is>
      </c>
      <c r="B484" s="305" t="inlineStr">
        <is>
          <t>Trimestral</t>
        </is>
      </c>
    </row>
    <row r="485">
      <c r="A485" s="305" t="inlineStr">
        <is>
          <t>PCA-09</t>
        </is>
      </c>
      <c r="B485" s="305" t="inlineStr">
        <is>
          <t>Mensual</t>
        </is>
      </c>
    </row>
    <row r="486">
      <c r="A486" s="305" t="inlineStr">
        <is>
          <t>PCH-01</t>
        </is>
      </c>
      <c r="B486" s="305" t="inlineStr">
        <is>
          <t>Bimestral</t>
        </is>
      </c>
    </row>
    <row r="487">
      <c r="A487" s="305" t="inlineStr">
        <is>
          <t>PCH-02</t>
        </is>
      </c>
      <c r="B487" s="305" t="inlineStr">
        <is>
          <t>Bimestral</t>
        </is>
      </c>
    </row>
    <row r="488">
      <c r="A488" s="305" t="inlineStr">
        <is>
          <t>PCH-03</t>
        </is>
      </c>
      <c r="B488" s="305" t="inlineStr">
        <is>
          <t>Bimestral</t>
        </is>
      </c>
    </row>
    <row r="489">
      <c r="A489" s="305" t="inlineStr">
        <is>
          <t>PCH-04</t>
        </is>
      </c>
      <c r="B489" s="305" t="inlineStr">
        <is>
          <t>Bimestral</t>
        </is>
      </c>
    </row>
    <row r="490">
      <c r="A490" s="305" t="inlineStr">
        <is>
          <t>PCH-05</t>
        </is>
      </c>
      <c r="B490" s="305" t="inlineStr">
        <is>
          <t>Bimestral</t>
        </is>
      </c>
    </row>
    <row r="491">
      <c r="A491" s="305" t="inlineStr">
        <is>
          <t>PCH-06</t>
        </is>
      </c>
      <c r="B491" s="305" t="inlineStr">
        <is>
          <t>Bimestral</t>
        </is>
      </c>
    </row>
    <row r="492">
      <c r="A492" s="305" t="inlineStr">
        <is>
          <t>PCN-02</t>
        </is>
      </c>
      <c r="B492" s="305" t="inlineStr">
        <is>
          <t>Trimestral</t>
        </is>
      </c>
    </row>
    <row r="493">
      <c r="A493" s="305" t="inlineStr">
        <is>
          <t>PD-03</t>
        </is>
      </c>
      <c r="B493" s="305" t="inlineStr">
        <is>
          <t>-</t>
        </is>
      </c>
    </row>
    <row r="494">
      <c r="A494" s="305" t="inlineStr">
        <is>
          <t>PDB-01</t>
        </is>
      </c>
      <c r="B494" s="305" t="inlineStr">
        <is>
          <t>Bimestral</t>
        </is>
      </c>
    </row>
    <row r="495">
      <c r="A495" s="305" t="inlineStr">
        <is>
          <t>PDC-01</t>
        </is>
      </c>
      <c r="B495" s="305" t="inlineStr">
        <is>
          <t>Mensual</t>
        </is>
      </c>
    </row>
    <row r="496">
      <c r="A496" s="305" t="inlineStr">
        <is>
          <t>PDR-107</t>
        </is>
      </c>
      <c r="B496" s="305" t="inlineStr">
        <is>
          <t>Mensual</t>
        </is>
      </c>
    </row>
    <row r="497">
      <c r="A497" s="305" t="inlineStr">
        <is>
          <t>PDR-93</t>
        </is>
      </c>
      <c r="B497" s="305" t="inlineStr">
        <is>
          <t>Mensual</t>
        </is>
      </c>
    </row>
    <row r="498">
      <c r="A498" s="305" t="inlineStr">
        <is>
          <t>PDS-01</t>
        </is>
      </c>
      <c r="B498" s="305" t="inlineStr">
        <is>
          <t>Mensual</t>
        </is>
      </c>
    </row>
    <row r="499">
      <c r="A499" s="305" t="inlineStr">
        <is>
          <t>PDU-03</t>
        </is>
      </c>
      <c r="B499" s="305" t="inlineStr">
        <is>
          <t>Bimestral</t>
        </is>
      </c>
    </row>
    <row r="500">
      <c r="A500" s="305" t="inlineStr">
        <is>
          <t>PDU-14</t>
        </is>
      </c>
      <c r="B500" s="305" t="inlineStr">
        <is>
          <t>Mensual</t>
        </is>
      </c>
    </row>
    <row r="501">
      <c r="A501" s="305" t="inlineStr">
        <is>
          <t>PDU-16</t>
        </is>
      </c>
      <c r="B501" s="305" t="inlineStr">
        <is>
          <t>Mensual</t>
        </is>
      </c>
    </row>
    <row r="502">
      <c r="A502" s="305" t="inlineStr">
        <is>
          <t>PDU-18</t>
        </is>
      </c>
      <c r="B502" s="305" t="inlineStr">
        <is>
          <t>Mensual</t>
        </is>
      </c>
    </row>
    <row r="503">
      <c r="A503" s="305" t="inlineStr">
        <is>
          <t>PDU-19</t>
        </is>
      </c>
      <c r="B503" s="305" t="inlineStr">
        <is>
          <t>Mensual</t>
        </is>
      </c>
    </row>
    <row r="504">
      <c r="A504" s="305" t="inlineStr">
        <is>
          <t>PDU-22</t>
        </is>
      </c>
      <c r="B504" s="305" t="inlineStr">
        <is>
          <t>Mensual</t>
        </is>
      </c>
    </row>
    <row r="505">
      <c r="A505" s="305" t="inlineStr">
        <is>
          <t>PDU-23</t>
        </is>
      </c>
      <c r="B505" s="305" t="inlineStr">
        <is>
          <t>Mensual</t>
        </is>
      </c>
    </row>
    <row r="506">
      <c r="A506" s="305" t="inlineStr">
        <is>
          <t>PDU-24</t>
        </is>
      </c>
      <c r="B506" s="305" t="inlineStr">
        <is>
          <t>Mensual</t>
        </is>
      </c>
    </row>
    <row r="507">
      <c r="A507" s="305" t="inlineStr">
        <is>
          <t>PDU-26</t>
        </is>
      </c>
      <c r="B507" s="305" t="inlineStr">
        <is>
          <t>Mensual</t>
        </is>
      </c>
    </row>
    <row r="508">
      <c r="A508" s="305" t="inlineStr">
        <is>
          <t>PDU-27</t>
        </is>
      </c>
      <c r="B508" s="305" t="inlineStr">
        <is>
          <t>Mensual</t>
        </is>
      </c>
    </row>
    <row r="509">
      <c r="A509" s="305" t="inlineStr">
        <is>
          <t>PDU-28</t>
        </is>
      </c>
      <c r="B509" s="305" t="inlineStr">
        <is>
          <t>Mensual</t>
        </is>
      </c>
    </row>
    <row r="510">
      <c r="A510" s="305" t="inlineStr">
        <is>
          <t>PDU-29</t>
        </is>
      </c>
      <c r="B510" s="305" t="inlineStr">
        <is>
          <t>Mensual</t>
        </is>
      </c>
    </row>
    <row r="511">
      <c r="A511" s="305" t="inlineStr">
        <is>
          <t>PDU-30</t>
        </is>
      </c>
      <c r="B511" s="305" t="inlineStr">
        <is>
          <t>Mensual</t>
        </is>
      </c>
    </row>
    <row r="512">
      <c r="A512" s="305" t="inlineStr">
        <is>
          <t>PDU-31</t>
        </is>
      </c>
      <c r="B512" s="305" t="inlineStr">
        <is>
          <t>Mensual</t>
        </is>
      </c>
    </row>
    <row r="513">
      <c r="A513" s="305" t="inlineStr">
        <is>
          <t>PEA-01</t>
        </is>
      </c>
      <c r="B513" s="305" t="inlineStr">
        <is>
          <t>Trimestral</t>
        </is>
      </c>
    </row>
    <row r="514">
      <c r="A514" s="305" t="inlineStr">
        <is>
          <t>PEA-02A</t>
        </is>
      </c>
      <c r="B514" s="305" t="inlineStr">
        <is>
          <t>Trimestral</t>
        </is>
      </c>
    </row>
    <row r="515">
      <c r="A515" s="305" t="inlineStr">
        <is>
          <t>PEB-01</t>
        </is>
      </c>
      <c r="B515" s="305" t="inlineStr">
        <is>
          <t>Mensual</t>
        </is>
      </c>
    </row>
    <row r="516">
      <c r="A516" s="305" t="inlineStr">
        <is>
          <t>PEB-02</t>
        </is>
      </c>
      <c r="B516" s="305" t="inlineStr">
        <is>
          <t>Bimestral</t>
        </is>
      </c>
    </row>
    <row r="517">
      <c r="A517" s="305" t="inlineStr">
        <is>
          <t>PEC-01</t>
        </is>
      </c>
      <c r="B517" s="305" t="inlineStr">
        <is>
          <t>Mensual</t>
        </is>
      </c>
    </row>
    <row r="518">
      <c r="A518" s="305" t="inlineStr">
        <is>
          <t>PEC-02</t>
        </is>
      </c>
      <c r="B518" s="305" t="inlineStr">
        <is>
          <t>Mensual</t>
        </is>
      </c>
    </row>
    <row r="519">
      <c r="A519" s="305" t="inlineStr">
        <is>
          <t>PEC-06</t>
        </is>
      </c>
      <c r="B519" s="305" t="inlineStr">
        <is>
          <t>Mensual</t>
        </is>
      </c>
    </row>
    <row r="520">
      <c r="A520" s="305" t="inlineStr">
        <is>
          <t>PEM-01</t>
        </is>
      </c>
      <c r="B520" s="305" t="inlineStr">
        <is>
          <t>Mensual</t>
        </is>
      </c>
    </row>
    <row r="521">
      <c r="A521" s="305" t="inlineStr">
        <is>
          <t>PEM-02</t>
        </is>
      </c>
      <c r="B521" s="305" t="inlineStr">
        <is>
          <t>Mensual</t>
        </is>
      </c>
    </row>
    <row r="522">
      <c r="A522" s="305" t="inlineStr">
        <is>
          <t>PEM-05</t>
        </is>
      </c>
      <c r="B522" s="305" t="inlineStr">
        <is>
          <t>Mensual</t>
        </is>
      </c>
    </row>
    <row r="523">
      <c r="A523" s="305" t="inlineStr">
        <is>
          <t>PEM-06</t>
        </is>
      </c>
      <c r="B523" s="305" t="inlineStr">
        <is>
          <t>Mensual</t>
        </is>
      </c>
    </row>
    <row r="524">
      <c r="A524" s="305" t="inlineStr">
        <is>
          <t>PEM-07</t>
        </is>
      </c>
      <c r="B524" s="305" t="inlineStr">
        <is>
          <t>Bimestral</t>
        </is>
      </c>
    </row>
    <row r="525">
      <c r="A525" s="305" t="inlineStr">
        <is>
          <t>PEM-07B</t>
        </is>
      </c>
      <c r="B525" s="305" t="inlineStr">
        <is>
          <t>Bimestral</t>
        </is>
      </c>
    </row>
    <row r="526">
      <c r="A526" s="305" t="inlineStr">
        <is>
          <t>PEM-09</t>
        </is>
      </c>
      <c r="B526" s="305" t="inlineStr">
        <is>
          <t>Mensual</t>
        </is>
      </c>
    </row>
    <row r="527">
      <c r="A527" s="305" t="inlineStr">
        <is>
          <t>PEM-10</t>
        </is>
      </c>
      <c r="B527" s="305" t="inlineStr">
        <is>
          <t>Bimestral</t>
        </is>
      </c>
    </row>
    <row r="528">
      <c r="A528" s="305" t="inlineStr">
        <is>
          <t>PEP-01</t>
        </is>
      </c>
      <c r="B528" s="305" t="inlineStr">
        <is>
          <t>Mensual</t>
        </is>
      </c>
    </row>
    <row r="529">
      <c r="A529" s="305" t="inlineStr">
        <is>
          <t>PEP-02</t>
        </is>
      </c>
      <c r="B529" s="305" t="inlineStr">
        <is>
          <t>Mensual</t>
        </is>
      </c>
    </row>
    <row r="530">
      <c r="A530" s="305" t="inlineStr">
        <is>
          <t>PEP-03</t>
        </is>
      </c>
      <c r="B530" s="305" t="inlineStr">
        <is>
          <t>Mensual</t>
        </is>
      </c>
    </row>
    <row r="531">
      <c r="A531" s="305" t="inlineStr">
        <is>
          <t>PEP-04</t>
        </is>
      </c>
      <c r="B531" s="305" t="inlineStr">
        <is>
          <t>Mensual</t>
        </is>
      </c>
    </row>
    <row r="532">
      <c r="A532" s="305" t="inlineStr">
        <is>
          <t>PER-12</t>
        </is>
      </c>
      <c r="B532" s="305" t="inlineStr">
        <is>
          <t>Bimestral</t>
        </is>
      </c>
    </row>
    <row r="533">
      <c r="A533" s="305" t="inlineStr">
        <is>
          <t>PEU-01</t>
        </is>
      </c>
      <c r="B533" s="305" t="inlineStr">
        <is>
          <t>Mensual</t>
        </is>
      </c>
    </row>
    <row r="534">
      <c r="A534" s="305" t="inlineStr">
        <is>
          <t>PEU-2B</t>
        </is>
      </c>
      <c r="B534" s="305" t="inlineStr">
        <is>
          <t>Mensual</t>
        </is>
      </c>
    </row>
    <row r="535">
      <c r="A535" s="305" t="inlineStr">
        <is>
          <t>PEV-01 (PES-01)</t>
        </is>
      </c>
      <c r="B535" s="305" t="inlineStr">
        <is>
          <t>-</t>
        </is>
      </c>
    </row>
    <row r="536">
      <c r="A536" s="305" t="inlineStr">
        <is>
          <t>PIEZ-11</t>
        </is>
      </c>
      <c r="B536" s="305" t="inlineStr">
        <is>
          <t>Mensual</t>
        </is>
      </c>
    </row>
    <row r="537">
      <c r="A537" s="305" t="inlineStr">
        <is>
          <t>PIEZ-19</t>
        </is>
      </c>
      <c r="B537" s="305" t="inlineStr">
        <is>
          <t>Mensual</t>
        </is>
      </c>
    </row>
    <row r="538">
      <c r="A538" s="305" t="inlineStr">
        <is>
          <t>PIEZ-20</t>
        </is>
      </c>
      <c r="B538" s="305" t="inlineStr">
        <is>
          <t>Mensual</t>
        </is>
      </c>
    </row>
    <row r="539">
      <c r="A539" s="305" t="inlineStr">
        <is>
          <t>PIEZ-21</t>
        </is>
      </c>
      <c r="B539" s="305" t="inlineStr">
        <is>
          <t>Mensual</t>
        </is>
      </c>
    </row>
    <row r="540">
      <c r="A540" s="305" t="inlineStr">
        <is>
          <t>PIEZ-22</t>
        </is>
      </c>
      <c r="B540" s="305" t="inlineStr">
        <is>
          <t>Mensual</t>
        </is>
      </c>
    </row>
    <row r="541">
      <c r="A541" s="305" t="inlineStr">
        <is>
          <t>PIEZ-23</t>
        </is>
      </c>
      <c r="B541" s="305" t="inlineStr">
        <is>
          <t>Mensual</t>
        </is>
      </c>
    </row>
    <row r="542">
      <c r="A542" s="305" t="inlineStr">
        <is>
          <t>PIEZ-25</t>
        </is>
      </c>
      <c r="B542" s="305" t="inlineStr">
        <is>
          <t>Mensual</t>
        </is>
      </c>
    </row>
    <row r="543">
      <c r="A543" s="305" t="inlineStr">
        <is>
          <t>PIEZ-26</t>
        </is>
      </c>
      <c r="B543" s="305" t="inlineStr">
        <is>
          <t>Mensual</t>
        </is>
      </c>
    </row>
    <row r="544">
      <c r="A544" s="305" t="inlineStr">
        <is>
          <t>PIEZ-27</t>
        </is>
      </c>
      <c r="B544" s="305" t="inlineStr">
        <is>
          <t>Mensual</t>
        </is>
      </c>
    </row>
    <row r="545">
      <c r="A545" s="305" t="inlineStr">
        <is>
          <t>PIEZ-28</t>
        </is>
      </c>
      <c r="B545" s="305" t="inlineStr">
        <is>
          <t>Mensual</t>
        </is>
      </c>
    </row>
    <row r="546">
      <c r="A546" s="305" t="inlineStr">
        <is>
          <t>Piscina Agua Desalada</t>
        </is>
      </c>
      <c r="B546" s="305" t="inlineStr">
        <is>
          <t>-</t>
        </is>
      </c>
    </row>
    <row r="547">
      <c r="A547" s="305" t="inlineStr">
        <is>
          <t>PIU-02</t>
        </is>
      </c>
      <c r="B547" s="305" t="inlineStr">
        <is>
          <t>Mensual</t>
        </is>
      </c>
    </row>
    <row r="548">
      <c r="A548" s="305" t="inlineStr">
        <is>
          <t>PIU-04</t>
        </is>
      </c>
      <c r="B548" s="305" t="inlineStr">
        <is>
          <t>Mensual</t>
        </is>
      </c>
    </row>
    <row r="549">
      <c r="A549" s="305" t="inlineStr">
        <is>
          <t>PLIX-01A</t>
        </is>
      </c>
      <c r="B549" s="305" t="inlineStr">
        <is>
          <t>Mensual</t>
        </is>
      </c>
    </row>
    <row r="550">
      <c r="A550" s="305" t="inlineStr">
        <is>
          <t>PLIX-01B</t>
        </is>
      </c>
      <c r="B550" s="305" t="inlineStr">
        <is>
          <t>Mensual</t>
        </is>
      </c>
    </row>
    <row r="551">
      <c r="A551" s="305" t="inlineStr">
        <is>
          <t>PLIX-02A</t>
        </is>
      </c>
      <c r="B551" s="305" t="inlineStr">
        <is>
          <t>Mensual</t>
        </is>
      </c>
    </row>
    <row r="552">
      <c r="A552" s="305" t="inlineStr">
        <is>
          <t>PLIX-02B</t>
        </is>
      </c>
      <c r="B552" s="305" t="inlineStr">
        <is>
          <t>Mensual</t>
        </is>
      </c>
    </row>
    <row r="553">
      <c r="A553" s="305" t="inlineStr">
        <is>
          <t>PLIX-03A</t>
        </is>
      </c>
      <c r="B553" s="305" t="inlineStr">
        <is>
          <t>Mensual</t>
        </is>
      </c>
    </row>
    <row r="554">
      <c r="A554" s="305" t="inlineStr">
        <is>
          <t>PLIX-03B</t>
        </is>
      </c>
      <c r="B554" s="305" t="inlineStr">
        <is>
          <t>Mensual</t>
        </is>
      </c>
    </row>
    <row r="555">
      <c r="A555" s="305" t="inlineStr">
        <is>
          <t>PLIX-04</t>
        </is>
      </c>
      <c r="B555" s="305" t="inlineStr">
        <is>
          <t>Mensual</t>
        </is>
      </c>
    </row>
    <row r="556">
      <c r="A556" s="305" t="inlineStr">
        <is>
          <t>PLIX-05A</t>
        </is>
      </c>
      <c r="B556" s="305" t="inlineStr">
        <is>
          <t>Mensual</t>
        </is>
      </c>
    </row>
    <row r="557">
      <c r="A557" s="305" t="inlineStr">
        <is>
          <t>PLIX-05B</t>
        </is>
      </c>
      <c r="B557" s="305" t="inlineStr">
        <is>
          <t>Mensual</t>
        </is>
      </c>
    </row>
    <row r="558">
      <c r="A558" s="305" t="inlineStr">
        <is>
          <t>PLIX-06</t>
        </is>
      </c>
      <c r="B558" s="305" t="inlineStr">
        <is>
          <t>Mensual</t>
        </is>
      </c>
    </row>
    <row r="559">
      <c r="A559" s="305" t="inlineStr">
        <is>
          <t>PLIX-07A</t>
        </is>
      </c>
      <c r="B559" s="305" t="inlineStr">
        <is>
          <t>Mensual</t>
        </is>
      </c>
    </row>
    <row r="560">
      <c r="A560" s="305" t="inlineStr">
        <is>
          <t>PLIX-07B</t>
        </is>
      </c>
      <c r="B560" s="305" t="inlineStr">
        <is>
          <t>Mensual</t>
        </is>
      </c>
    </row>
    <row r="561">
      <c r="A561" s="305" t="inlineStr">
        <is>
          <t>PLIX-08A</t>
        </is>
      </c>
      <c r="B561" s="305" t="inlineStr">
        <is>
          <t>Mensual</t>
        </is>
      </c>
    </row>
    <row r="562">
      <c r="A562" s="305" t="inlineStr">
        <is>
          <t>PLIX-08B</t>
        </is>
      </c>
      <c r="B562" s="305" t="inlineStr">
        <is>
          <t>Mensual</t>
        </is>
      </c>
    </row>
    <row r="563">
      <c r="A563" s="305" t="inlineStr">
        <is>
          <t>PLIX-09</t>
        </is>
      </c>
      <c r="B563" s="305" t="inlineStr">
        <is>
          <t>Mensual</t>
        </is>
      </c>
    </row>
    <row r="564">
      <c r="A564" s="305" t="inlineStr">
        <is>
          <t>PLIX-10A</t>
        </is>
      </c>
      <c r="B564" s="305" t="inlineStr">
        <is>
          <t>Mensual</t>
        </is>
      </c>
    </row>
    <row r="565">
      <c r="A565" s="305" t="inlineStr">
        <is>
          <t>PLIX-10B</t>
        </is>
      </c>
      <c r="B565" s="305" t="inlineStr">
        <is>
          <t>Mensual</t>
        </is>
      </c>
    </row>
    <row r="566">
      <c r="A566" s="305" t="inlineStr">
        <is>
          <t>PLIX-11A</t>
        </is>
      </c>
      <c r="B566" s="305" t="inlineStr">
        <is>
          <t>Mensual</t>
        </is>
      </c>
    </row>
    <row r="567">
      <c r="A567" s="305" t="inlineStr">
        <is>
          <t>PLIX-11B</t>
        </is>
      </c>
      <c r="B567" s="305" t="inlineStr">
        <is>
          <t>Mensual</t>
        </is>
      </c>
    </row>
    <row r="568">
      <c r="A568" s="305" t="inlineStr">
        <is>
          <t>PLIX-12</t>
        </is>
      </c>
      <c r="B568" s="305" t="inlineStr">
        <is>
          <t>Mensual</t>
        </is>
      </c>
    </row>
    <row r="569">
      <c r="A569" s="305" t="inlineStr">
        <is>
          <t>PLIX-13A</t>
        </is>
      </c>
      <c r="B569" s="305" t="inlineStr">
        <is>
          <t>Mensual</t>
        </is>
      </c>
    </row>
    <row r="570">
      <c r="A570" s="305" t="inlineStr">
        <is>
          <t>PLIX-13B</t>
        </is>
      </c>
      <c r="B570" s="305" t="inlineStr">
        <is>
          <t>Mensual</t>
        </is>
      </c>
    </row>
    <row r="571">
      <c r="A571" s="305" t="inlineStr">
        <is>
          <t>PLIX-14</t>
        </is>
      </c>
      <c r="B571" s="305" t="inlineStr">
        <is>
          <t>Mensual</t>
        </is>
      </c>
    </row>
    <row r="572">
      <c r="A572" s="305" t="inlineStr">
        <is>
          <t>PMA-01</t>
        </is>
      </c>
      <c r="B572" s="305" t="inlineStr">
        <is>
          <t>Mensual</t>
        </is>
      </c>
    </row>
    <row r="573">
      <c r="A573" s="305" t="inlineStr">
        <is>
          <t>PMA-02</t>
        </is>
      </c>
      <c r="B573" s="305" t="inlineStr">
        <is>
          <t>Mensual</t>
        </is>
      </c>
    </row>
    <row r="574">
      <c r="A574" s="305" t="inlineStr">
        <is>
          <t>PMA-03</t>
        </is>
      </c>
      <c r="B574" s="305" t="inlineStr">
        <is>
          <t>Mensual</t>
        </is>
      </c>
    </row>
    <row r="575">
      <c r="A575" s="305" t="inlineStr">
        <is>
          <t>PMA-04</t>
        </is>
      </c>
      <c r="B575" s="305" t="inlineStr">
        <is>
          <t>Mensual</t>
        </is>
      </c>
    </row>
    <row r="576">
      <c r="A576" s="305" t="inlineStr">
        <is>
          <t>PMA-05</t>
        </is>
      </c>
      <c r="B576" s="305" t="inlineStr">
        <is>
          <t>Trimestral</t>
        </is>
      </c>
    </row>
    <row r="577">
      <c r="A577" s="305" t="inlineStr">
        <is>
          <t>PMA-06</t>
        </is>
      </c>
      <c r="B577" s="305" t="inlineStr">
        <is>
          <t>Bimestral</t>
        </is>
      </c>
    </row>
    <row r="578">
      <c r="A578" s="305" t="inlineStr">
        <is>
          <t>PMA-07</t>
        </is>
      </c>
      <c r="B578" s="305" t="inlineStr">
        <is>
          <t>Mensual</t>
        </is>
      </c>
    </row>
    <row r="579">
      <c r="A579" s="305" t="inlineStr">
        <is>
          <t>PMA-08</t>
        </is>
      </c>
      <c r="B579" s="305" t="inlineStr">
        <is>
          <t>Mensual</t>
        </is>
      </c>
    </row>
    <row r="580">
      <c r="A580" s="305" t="inlineStr">
        <is>
          <t>PMA-09</t>
        </is>
      </c>
      <c r="B580" s="305" t="inlineStr">
        <is>
          <t>Bimestral</t>
        </is>
      </c>
    </row>
    <row r="581">
      <c r="A581" s="305" t="inlineStr">
        <is>
          <t>PMA-10</t>
        </is>
      </c>
      <c r="B581" s="305" t="inlineStr">
        <is>
          <t>Bimestral</t>
        </is>
      </c>
    </row>
    <row r="582">
      <c r="A582" s="305" t="inlineStr">
        <is>
          <t>PMA-11</t>
        </is>
      </c>
      <c r="B582" s="305" t="inlineStr">
        <is>
          <t>Bimestral</t>
        </is>
      </c>
    </row>
    <row r="583">
      <c r="A583" s="305" t="inlineStr">
        <is>
          <t>PMA-12</t>
        </is>
      </c>
      <c r="B583" s="305" t="inlineStr">
        <is>
          <t>Bimestral</t>
        </is>
      </c>
    </row>
    <row r="584">
      <c r="A584" s="305" t="inlineStr">
        <is>
          <t>PMA-13</t>
        </is>
      </c>
      <c r="B584" s="305" t="inlineStr">
        <is>
          <t>Bimestral</t>
        </is>
      </c>
    </row>
    <row r="585">
      <c r="A585" s="305" t="inlineStr">
        <is>
          <t>PMA-14</t>
        </is>
      </c>
      <c r="B585" s="305" t="inlineStr">
        <is>
          <t>Bimestral</t>
        </is>
      </c>
    </row>
    <row r="586">
      <c r="A586" s="305" t="inlineStr">
        <is>
          <t>PMA-15</t>
        </is>
      </c>
      <c r="B586" s="305" t="inlineStr">
        <is>
          <t>Bimestral</t>
        </is>
      </c>
    </row>
    <row r="587">
      <c r="A587" s="305" t="inlineStr">
        <is>
          <t>PMA-16</t>
        </is>
      </c>
      <c r="B587" s="305" t="inlineStr">
        <is>
          <t>Bimestral</t>
        </is>
      </c>
    </row>
    <row r="588">
      <c r="A588" s="305" t="inlineStr">
        <is>
          <t>PMA-17</t>
        </is>
      </c>
      <c r="B588" s="305" t="inlineStr">
        <is>
          <t>Bimestral</t>
        </is>
      </c>
    </row>
    <row r="589">
      <c r="A589" s="305" t="inlineStr">
        <is>
          <t>PMI-01</t>
        </is>
      </c>
      <c r="B589" s="305" t="inlineStr">
        <is>
          <t>Mensual</t>
        </is>
      </c>
    </row>
    <row r="590">
      <c r="A590" s="305" t="inlineStr">
        <is>
          <t>PMI-03</t>
        </is>
      </c>
      <c r="B590" s="305" t="inlineStr">
        <is>
          <t>Bimestral</t>
        </is>
      </c>
    </row>
    <row r="591">
      <c r="A591" s="305" t="inlineStr">
        <is>
          <t>PMI-04</t>
        </is>
      </c>
      <c r="B591" s="305" t="inlineStr">
        <is>
          <t>Bimestral</t>
        </is>
      </c>
    </row>
    <row r="592">
      <c r="A592" s="305" t="inlineStr">
        <is>
          <t>PMI-05</t>
        </is>
      </c>
      <c r="B592" s="305" t="inlineStr">
        <is>
          <t>Bimestral</t>
        </is>
      </c>
    </row>
    <row r="593">
      <c r="A593" s="305" t="inlineStr">
        <is>
          <t>PMI-06</t>
        </is>
      </c>
      <c r="B593" s="305" t="inlineStr">
        <is>
          <t>Mensual</t>
        </is>
      </c>
    </row>
    <row r="594">
      <c r="A594" s="305" t="inlineStr">
        <is>
          <t>PMI-07</t>
        </is>
      </c>
      <c r="B594" s="305" t="inlineStr">
        <is>
          <t>Mensual</t>
        </is>
      </c>
    </row>
    <row r="595">
      <c r="A595" s="305" t="inlineStr">
        <is>
          <t>PMI-08</t>
        </is>
      </c>
      <c r="B595" s="305" t="inlineStr">
        <is>
          <t>Mensual</t>
        </is>
      </c>
    </row>
    <row r="596">
      <c r="A596" s="305" t="inlineStr">
        <is>
          <t>PMI-09A</t>
        </is>
      </c>
      <c r="B596" s="305" t="inlineStr">
        <is>
          <t>Mensual</t>
        </is>
      </c>
    </row>
    <row r="597">
      <c r="A597" s="305" t="inlineStr">
        <is>
          <t>PMI-09B</t>
        </is>
      </c>
      <c r="B597" s="305" t="inlineStr">
        <is>
          <t>Mensual</t>
        </is>
      </c>
    </row>
    <row r="598">
      <c r="A598" s="305" t="inlineStr">
        <is>
          <t>POP-02</t>
        </is>
      </c>
      <c r="B598" s="305" t="inlineStr">
        <is>
          <t>Mensual</t>
        </is>
      </c>
    </row>
    <row r="599">
      <c r="A599" s="305" t="inlineStr">
        <is>
          <t>POPC-01</t>
        </is>
      </c>
      <c r="B599" s="305" t="inlineStr">
        <is>
          <t>Mensual</t>
        </is>
      </c>
    </row>
    <row r="600">
      <c r="A600" s="305" t="inlineStr">
        <is>
          <t>POPC-02</t>
        </is>
      </c>
      <c r="B600" s="305" t="inlineStr">
        <is>
          <t>Mensual</t>
        </is>
      </c>
    </row>
    <row r="601">
      <c r="A601" s="305" t="inlineStr">
        <is>
          <t>POS-01</t>
        </is>
      </c>
      <c r="B601" s="305" t="inlineStr">
        <is>
          <t>Mensual</t>
        </is>
      </c>
    </row>
    <row r="602">
      <c r="A602" s="305" t="inlineStr">
        <is>
          <t>POS-02</t>
        </is>
      </c>
      <c r="B602" s="305" t="inlineStr">
        <is>
          <t>Mensual</t>
        </is>
      </c>
    </row>
    <row r="603">
      <c r="A603" s="305" t="inlineStr">
        <is>
          <t>POS-03</t>
        </is>
      </c>
      <c r="B603" s="305" t="inlineStr">
        <is>
          <t>Mensual</t>
        </is>
      </c>
    </row>
    <row r="604">
      <c r="A604" s="305" t="inlineStr">
        <is>
          <t>Pozo 1</t>
        </is>
      </c>
      <c r="B604" s="305" t="inlineStr">
        <is>
          <t>Mensual</t>
        </is>
      </c>
    </row>
    <row r="605">
      <c r="A605" s="305" t="inlineStr">
        <is>
          <t>Pozo 10</t>
        </is>
      </c>
      <c r="B605" s="305" t="inlineStr">
        <is>
          <t>Mensual</t>
        </is>
      </c>
    </row>
    <row r="606">
      <c r="A606" s="305" t="inlineStr">
        <is>
          <t>Pozo 11</t>
        </is>
      </c>
      <c r="B606" s="305" t="inlineStr">
        <is>
          <t>Mensual</t>
        </is>
      </c>
    </row>
    <row r="607">
      <c r="A607" s="305" t="inlineStr">
        <is>
          <t>Pozo 12</t>
        </is>
      </c>
      <c r="B607" s="305" t="inlineStr">
        <is>
          <t>Mensual</t>
        </is>
      </c>
    </row>
    <row r="608">
      <c r="A608" s="305" t="inlineStr">
        <is>
          <t>Pozo 13</t>
        </is>
      </c>
      <c r="B608" s="305" t="inlineStr">
        <is>
          <t>Mensual</t>
        </is>
      </c>
    </row>
    <row r="609">
      <c r="A609" s="305" t="inlineStr">
        <is>
          <t>Pozo 14</t>
        </is>
      </c>
      <c r="B609" s="305" t="inlineStr">
        <is>
          <t>Mensual</t>
        </is>
      </c>
    </row>
    <row r="610">
      <c r="A610" s="305" t="inlineStr">
        <is>
          <t>Pozo 15</t>
        </is>
      </c>
      <c r="B610" s="305" t="inlineStr">
        <is>
          <t>Mensual</t>
        </is>
      </c>
    </row>
    <row r="611">
      <c r="A611" s="305" t="inlineStr">
        <is>
          <t>Pozo 2</t>
        </is>
      </c>
      <c r="B611" s="305" t="inlineStr">
        <is>
          <t>Mensual</t>
        </is>
      </c>
    </row>
    <row r="612">
      <c r="A612" s="305" t="inlineStr">
        <is>
          <t>Pozo 3</t>
        </is>
      </c>
      <c r="B612" s="305" t="inlineStr">
        <is>
          <t>Mensual</t>
        </is>
      </c>
    </row>
    <row r="613">
      <c r="A613" s="305" t="inlineStr">
        <is>
          <t>Pozo 4</t>
        </is>
      </c>
      <c r="B613" s="305" t="inlineStr">
        <is>
          <t>Mensual</t>
        </is>
      </c>
    </row>
    <row r="614">
      <c r="A614" s="305" t="inlineStr">
        <is>
          <t>Pozo 5</t>
        </is>
      </c>
      <c r="B614" s="305" t="inlineStr">
        <is>
          <t>Mensual</t>
        </is>
      </c>
    </row>
    <row r="615">
      <c r="A615" s="305" t="inlineStr">
        <is>
          <t>Pozo 6</t>
        </is>
      </c>
      <c r="B615" s="305" t="inlineStr">
        <is>
          <t>Mensual</t>
        </is>
      </c>
    </row>
    <row r="616">
      <c r="A616" s="305" t="inlineStr">
        <is>
          <t>Pozo 7</t>
        </is>
      </c>
      <c r="B616" s="305" t="inlineStr">
        <is>
          <t>Mensual</t>
        </is>
      </c>
    </row>
    <row r="617">
      <c r="A617" s="305" t="inlineStr">
        <is>
          <t>Pozo 8</t>
        </is>
      </c>
      <c r="B617" s="305" t="inlineStr">
        <is>
          <t>Mensual</t>
        </is>
      </c>
    </row>
    <row r="618">
      <c r="A618" s="305" t="inlineStr">
        <is>
          <t>Pozo 9</t>
        </is>
      </c>
      <c r="B618" s="305" t="inlineStr">
        <is>
          <t>Mensual</t>
        </is>
      </c>
    </row>
    <row r="619">
      <c r="A619" s="305" t="inlineStr">
        <is>
          <t>Pozo bombeo (reemplaza RPW-04)</t>
        </is>
      </c>
      <c r="B619" s="305" t="inlineStr">
        <is>
          <t>Mensual</t>
        </is>
      </c>
    </row>
    <row r="620">
      <c r="A620" s="305" t="inlineStr">
        <is>
          <t>Pozo Monitoreo 1</t>
        </is>
      </c>
      <c r="B620" s="305" t="inlineStr">
        <is>
          <t>Mensual</t>
        </is>
      </c>
    </row>
    <row r="621">
      <c r="A621" s="305" t="inlineStr">
        <is>
          <t>PPC-01A</t>
        </is>
      </c>
      <c r="B621" s="305" t="inlineStr">
        <is>
          <t>Mensual</t>
        </is>
      </c>
    </row>
    <row r="622">
      <c r="A622" s="305" t="inlineStr">
        <is>
          <t>PPC-02</t>
        </is>
      </c>
      <c r="B622" s="305" t="inlineStr">
        <is>
          <t>Mensual</t>
        </is>
      </c>
    </row>
    <row r="623">
      <c r="A623" s="305" t="inlineStr">
        <is>
          <t>PPC-03</t>
        </is>
      </c>
      <c r="B623" s="305" t="inlineStr">
        <is>
          <t>Mensual</t>
        </is>
      </c>
    </row>
    <row r="624">
      <c r="A624" s="305" t="inlineStr">
        <is>
          <t>PPC-04</t>
        </is>
      </c>
      <c r="B624" s="305" t="inlineStr">
        <is>
          <t>Mensual</t>
        </is>
      </c>
    </row>
    <row r="625">
      <c r="A625" s="305" t="inlineStr">
        <is>
          <t>PPC-07</t>
        </is>
      </c>
      <c r="B625" s="305" t="inlineStr">
        <is>
          <t>Mensual</t>
        </is>
      </c>
    </row>
    <row r="626">
      <c r="A626" s="305" t="inlineStr">
        <is>
          <t>PPC-08</t>
        </is>
      </c>
      <c r="B626" s="305" t="inlineStr">
        <is>
          <t>Mensual</t>
        </is>
      </c>
    </row>
    <row r="627">
      <c r="A627" s="305" t="inlineStr">
        <is>
          <t>PPC-09</t>
        </is>
      </c>
      <c r="B627" s="305" t="inlineStr">
        <is>
          <t>Mensual</t>
        </is>
      </c>
    </row>
    <row r="628">
      <c r="A628" s="305" t="inlineStr">
        <is>
          <t>PPC-10</t>
        </is>
      </c>
      <c r="B628" s="305" t="inlineStr">
        <is>
          <t>Mensual</t>
        </is>
      </c>
    </row>
    <row r="629">
      <c r="A629" s="305" t="inlineStr">
        <is>
          <t>PPC-14</t>
        </is>
      </c>
      <c r="B629" s="305" t="inlineStr">
        <is>
          <t>Mensual</t>
        </is>
      </c>
    </row>
    <row r="630">
      <c r="A630" s="305" t="inlineStr">
        <is>
          <t>PPC-15</t>
        </is>
      </c>
      <c r="B630" s="305" t="inlineStr">
        <is>
          <t>Mensual</t>
        </is>
      </c>
    </row>
    <row r="631">
      <c r="A631" s="305" t="inlineStr">
        <is>
          <t>PPC-16</t>
        </is>
      </c>
      <c r="B631" s="305" t="inlineStr">
        <is>
          <t>Mensual</t>
        </is>
      </c>
    </row>
    <row r="632">
      <c r="A632" s="305" t="inlineStr">
        <is>
          <t>PPC-18</t>
        </is>
      </c>
      <c r="B632" s="305" t="inlineStr">
        <is>
          <t>Mensual</t>
        </is>
      </c>
    </row>
    <row r="633">
      <c r="A633" s="305" t="inlineStr">
        <is>
          <t>PPC-19</t>
        </is>
      </c>
      <c r="B633" s="305" t="inlineStr">
        <is>
          <t>Mensual</t>
        </is>
      </c>
    </row>
    <row r="634">
      <c r="A634" s="305" t="inlineStr">
        <is>
          <t>PPC-20</t>
        </is>
      </c>
      <c r="B634" s="305" t="inlineStr">
        <is>
          <t>Mensual</t>
        </is>
      </c>
    </row>
    <row r="635">
      <c r="A635" s="305" t="inlineStr">
        <is>
          <t>PPC-21</t>
        </is>
      </c>
      <c r="B635" s="305" t="inlineStr">
        <is>
          <t>Mensual</t>
        </is>
      </c>
    </row>
    <row r="636">
      <c r="A636" s="305" t="inlineStr">
        <is>
          <t>PPC-23</t>
        </is>
      </c>
      <c r="B636" s="305" t="inlineStr">
        <is>
          <t>Mensual</t>
        </is>
      </c>
    </row>
    <row r="637">
      <c r="A637" s="305" t="inlineStr">
        <is>
          <t>PPC-27</t>
        </is>
      </c>
      <c r="B637" s="305" t="inlineStr">
        <is>
          <t>Mensual</t>
        </is>
      </c>
    </row>
    <row r="638">
      <c r="A638" s="305" t="inlineStr">
        <is>
          <t>PPC-28</t>
        </is>
      </c>
      <c r="B638" s="305" t="inlineStr">
        <is>
          <t>Mensual</t>
        </is>
      </c>
    </row>
    <row r="639">
      <c r="A639" s="305" t="inlineStr">
        <is>
          <t>PPC-29</t>
        </is>
      </c>
      <c r="B639" s="305" t="inlineStr">
        <is>
          <t>Mensual</t>
        </is>
      </c>
    </row>
    <row r="640">
      <c r="A640" s="305" t="inlineStr">
        <is>
          <t>PPC-30</t>
        </is>
      </c>
      <c r="B640" s="305" t="inlineStr">
        <is>
          <t>Mensual</t>
        </is>
      </c>
    </row>
    <row r="641">
      <c r="A641" s="305" t="inlineStr">
        <is>
          <t>PPC-31</t>
        </is>
      </c>
      <c r="B641" s="305" t="inlineStr">
        <is>
          <t>Mensual</t>
        </is>
      </c>
    </row>
    <row r="642">
      <c r="A642" s="305" t="inlineStr">
        <is>
          <t>PPC-32</t>
        </is>
      </c>
      <c r="B642" s="305" t="inlineStr">
        <is>
          <t>Mensual</t>
        </is>
      </c>
    </row>
    <row r="643">
      <c r="A643" s="305" t="inlineStr">
        <is>
          <t>PPC-33</t>
        </is>
      </c>
      <c r="B643" s="305" t="inlineStr">
        <is>
          <t>Mensual</t>
        </is>
      </c>
    </row>
    <row r="644">
      <c r="A644" s="305" t="inlineStr">
        <is>
          <t>PPS-01</t>
        </is>
      </c>
      <c r="B644" s="305" t="inlineStr">
        <is>
          <t>Mensual</t>
        </is>
      </c>
    </row>
    <row r="645">
      <c r="A645" s="305" t="inlineStr">
        <is>
          <t>PPS-02B</t>
        </is>
      </c>
      <c r="B645" s="305" t="inlineStr">
        <is>
          <t>Mensual</t>
        </is>
      </c>
    </row>
    <row r="646">
      <c r="A646" s="305" t="inlineStr">
        <is>
          <t>PQC-B</t>
        </is>
      </c>
      <c r="B646" s="305" t="inlineStr">
        <is>
          <t>Trimestral</t>
        </is>
      </c>
    </row>
    <row r="647">
      <c r="A647" s="305" t="inlineStr">
        <is>
          <t>PQC-C1</t>
        </is>
      </c>
      <c r="B647" s="305" t="inlineStr">
        <is>
          <t>Trimestral</t>
        </is>
      </c>
    </row>
    <row r="648">
      <c r="A648" s="305" t="inlineStr">
        <is>
          <t>PQY-02</t>
        </is>
      </c>
      <c r="B648" s="305" t="inlineStr">
        <is>
          <t>Trimestral</t>
        </is>
      </c>
    </row>
    <row r="649">
      <c r="A649" s="305" t="inlineStr">
        <is>
          <t>PQY-03</t>
        </is>
      </c>
      <c r="B649" s="305" t="inlineStr">
        <is>
          <t>Bimestral</t>
        </is>
      </c>
    </row>
    <row r="650">
      <c r="A650" s="305" t="inlineStr">
        <is>
          <t>PR</t>
        </is>
      </c>
      <c r="B650" s="305" t="inlineStr">
        <is>
          <t>-</t>
        </is>
      </c>
    </row>
    <row r="651">
      <c r="A651" s="305" t="inlineStr">
        <is>
          <t>PTAS Instalaciones de Faenas y Campamentos (8 en ductos y 4 en Puerto)</t>
        </is>
      </c>
      <c r="B651" s="305" t="inlineStr">
        <is>
          <t>-</t>
        </is>
      </c>
    </row>
    <row r="652">
      <c r="A652" s="305" t="inlineStr">
        <is>
          <t>PTAS Puerto Collahuasi</t>
        </is>
      </c>
      <c r="B652" s="305" t="inlineStr">
        <is>
          <t>-</t>
        </is>
      </c>
    </row>
    <row r="653">
      <c r="A653" s="305" t="inlineStr">
        <is>
          <t>PTAS Ujina y Línea de Impulsión Ujina – Coposa</t>
        </is>
      </c>
      <c r="B653" s="305" t="inlineStr">
        <is>
          <t>-</t>
        </is>
      </c>
    </row>
    <row r="654">
      <c r="A654" s="305" t="inlineStr">
        <is>
          <t>PTAS-C</t>
        </is>
      </c>
      <c r="B654" s="305" t="inlineStr">
        <is>
          <t>-</t>
        </is>
      </c>
    </row>
    <row r="655">
      <c r="A655" s="305" t="inlineStr">
        <is>
          <t>PTAS-R</t>
        </is>
      </c>
      <c r="B655" s="305" t="inlineStr">
        <is>
          <t>-</t>
        </is>
      </c>
    </row>
    <row r="656">
      <c r="A656" s="305" t="inlineStr">
        <is>
          <t>PTAS-U</t>
        </is>
      </c>
      <c r="B656" s="305" t="inlineStr">
        <is>
          <t>-</t>
        </is>
      </c>
    </row>
    <row r="657">
      <c r="A657" s="305" t="inlineStr">
        <is>
          <t>Puntera 1</t>
        </is>
      </c>
      <c r="B657" s="305" t="inlineStr">
        <is>
          <t>Mensual</t>
        </is>
      </c>
    </row>
    <row r="658">
      <c r="A658" s="305" t="inlineStr">
        <is>
          <t>Puntera 2</t>
        </is>
      </c>
      <c r="B658" s="305" t="inlineStr">
        <is>
          <t>Mensual</t>
        </is>
      </c>
    </row>
    <row r="659">
      <c r="A659" s="305" t="inlineStr">
        <is>
          <t>Puntera 3</t>
        </is>
      </c>
      <c r="B659" s="305" t="inlineStr">
        <is>
          <t>Mensual</t>
        </is>
      </c>
    </row>
    <row r="660">
      <c r="A660" s="305" t="inlineStr">
        <is>
          <t>Puntera 4</t>
        </is>
      </c>
      <c r="B660" s="305" t="inlineStr">
        <is>
          <t>Mensual</t>
        </is>
      </c>
    </row>
    <row r="661">
      <c r="A661" s="305" t="inlineStr">
        <is>
          <t>Puntera 5</t>
        </is>
      </c>
      <c r="B661" s="305" t="inlineStr">
        <is>
          <t>Mensual</t>
        </is>
      </c>
    </row>
    <row r="662">
      <c r="A662" s="305" t="inlineStr">
        <is>
          <t>Puntera JAC-01</t>
        </is>
      </c>
      <c r="B662" s="305" t="inlineStr">
        <is>
          <t>Mensual</t>
        </is>
      </c>
    </row>
    <row r="663">
      <c r="A663" s="305" t="inlineStr">
        <is>
          <t>Puntera JAC-02</t>
        </is>
      </c>
      <c r="B663" s="305" t="inlineStr">
        <is>
          <t>Mensual</t>
        </is>
      </c>
    </row>
    <row r="664">
      <c r="A664" s="305" t="inlineStr">
        <is>
          <t>Punto 1</t>
        </is>
      </c>
      <c r="B664" s="305" t="inlineStr">
        <is>
          <t>-</t>
        </is>
      </c>
    </row>
    <row r="665">
      <c r="A665" s="305" t="n"/>
      <c r="B665" s="305" t="inlineStr">
        <is>
          <t>Mensual</t>
        </is>
      </c>
    </row>
    <row r="666">
      <c r="A666" s="305" t="inlineStr">
        <is>
          <t>Punto 2</t>
        </is>
      </c>
      <c r="B666" s="305" t="inlineStr">
        <is>
          <t>-</t>
        </is>
      </c>
    </row>
    <row r="667">
      <c r="A667" s="305" t="n"/>
      <c r="B667" s="305" t="inlineStr">
        <is>
          <t>Mensual</t>
        </is>
      </c>
    </row>
    <row r="668">
      <c r="A668" s="305" t="inlineStr">
        <is>
          <t>Punto 3</t>
        </is>
      </c>
      <c r="B668" s="305" t="inlineStr">
        <is>
          <t>Mensual</t>
        </is>
      </c>
    </row>
    <row r="669">
      <c r="A669" s="305" t="inlineStr">
        <is>
          <t>Punto 4</t>
        </is>
      </c>
      <c r="B669" s="305" t="inlineStr">
        <is>
          <t>Mensual</t>
        </is>
      </c>
    </row>
    <row r="670">
      <c r="A670" s="305" t="inlineStr">
        <is>
          <t>QBE-2</t>
        </is>
      </c>
      <c r="B670" s="305" t="inlineStr">
        <is>
          <t>Bimestral</t>
        </is>
      </c>
    </row>
    <row r="671">
      <c r="A671" s="305" t="inlineStr">
        <is>
          <t>QBE-4A</t>
        </is>
      </c>
      <c r="B671" s="305" t="inlineStr">
        <is>
          <t>Bimestral</t>
        </is>
      </c>
    </row>
    <row r="672">
      <c r="A672" s="305" t="inlineStr">
        <is>
          <t>QBE-4B</t>
        </is>
      </c>
      <c r="B672" s="305" t="inlineStr">
        <is>
          <t>Mensual</t>
        </is>
      </c>
    </row>
    <row r="673">
      <c r="A673" s="305" t="inlineStr">
        <is>
          <t>QCA-01</t>
        </is>
      </c>
      <c r="B673" s="305" t="inlineStr">
        <is>
          <t>Trimestral</t>
        </is>
      </c>
    </row>
    <row r="674">
      <c r="A674" s="305" t="inlineStr">
        <is>
          <t>QCA-02</t>
        </is>
      </c>
      <c r="B674" s="305" t="inlineStr">
        <is>
          <t>Trimestral</t>
        </is>
      </c>
    </row>
    <row r="675">
      <c r="A675" s="305" t="inlineStr">
        <is>
          <t>QCA-03</t>
        </is>
      </c>
      <c r="B675" s="305" t="inlineStr">
        <is>
          <t>Trimestral</t>
        </is>
      </c>
    </row>
    <row r="676">
      <c r="A676" s="305" t="inlineStr">
        <is>
          <t>QDC-01</t>
        </is>
      </c>
      <c r="B676" s="305" t="inlineStr">
        <is>
          <t>-</t>
        </is>
      </c>
    </row>
    <row r="677">
      <c r="A677" s="305" t="inlineStr">
        <is>
          <t>QDC-02</t>
        </is>
      </c>
      <c r="B677" s="305" t="inlineStr">
        <is>
          <t>-</t>
        </is>
      </c>
    </row>
    <row r="678">
      <c r="A678" s="305" t="inlineStr">
        <is>
          <t>QDH-01C</t>
        </is>
      </c>
      <c r="B678" s="305" t="inlineStr">
        <is>
          <t>-</t>
        </is>
      </c>
    </row>
    <row r="679">
      <c r="A679" s="305" t="inlineStr">
        <is>
          <t>QDH-01D</t>
        </is>
      </c>
      <c r="B679" s="305" t="inlineStr">
        <is>
          <t>-</t>
        </is>
      </c>
    </row>
    <row r="680">
      <c r="A680" s="305" t="inlineStr">
        <is>
          <t>QDH-01E</t>
        </is>
      </c>
      <c r="B680" s="305" t="inlineStr">
        <is>
          <t>-</t>
        </is>
      </c>
    </row>
    <row r="681">
      <c r="A681" s="305" t="inlineStr">
        <is>
          <t>QDH-01F</t>
        </is>
      </c>
      <c r="B681" s="305" t="inlineStr">
        <is>
          <t>-</t>
        </is>
      </c>
    </row>
    <row r="682">
      <c r="A682" s="305" t="inlineStr">
        <is>
          <t>QDH-02</t>
        </is>
      </c>
      <c r="B682" s="305" t="inlineStr">
        <is>
          <t>-</t>
        </is>
      </c>
    </row>
    <row r="683">
      <c r="A683" s="305" t="inlineStr">
        <is>
          <t>QDH-1E Piscina</t>
        </is>
      </c>
      <c r="B683" s="305" t="inlineStr">
        <is>
          <t>-</t>
        </is>
      </c>
    </row>
    <row r="684">
      <c r="A684" s="305" t="inlineStr">
        <is>
          <t>QSD-01</t>
        </is>
      </c>
      <c r="B684" s="305" t="inlineStr">
        <is>
          <t>-</t>
        </is>
      </c>
    </row>
    <row r="685">
      <c r="A685" s="305" t="inlineStr">
        <is>
          <t>QSD-1 Piscina</t>
        </is>
      </c>
      <c r="B685" s="305" t="inlineStr">
        <is>
          <t>-</t>
        </is>
      </c>
    </row>
    <row r="686">
      <c r="A686" s="305" t="inlineStr">
        <is>
          <t>QSN-01</t>
        </is>
      </c>
      <c r="B686" s="305" t="inlineStr">
        <is>
          <t>-</t>
        </is>
      </c>
    </row>
    <row r="687">
      <c r="A687" s="305" t="inlineStr">
        <is>
          <t>QYA</t>
        </is>
      </c>
      <c r="B687" s="305" t="inlineStr">
        <is>
          <t>-</t>
        </is>
      </c>
    </row>
    <row r="688">
      <c r="A688" s="305" t="inlineStr">
        <is>
          <t>R-A-1</t>
        </is>
      </c>
      <c r="B688" s="305" t="inlineStr">
        <is>
          <t>Mensual</t>
        </is>
      </c>
    </row>
    <row r="689">
      <c r="A689" s="305" t="inlineStr">
        <is>
          <t>R-B-1</t>
        </is>
      </c>
      <c r="B689" s="305" t="inlineStr">
        <is>
          <t>Mensual</t>
        </is>
      </c>
    </row>
    <row r="690">
      <c r="A690" s="305" t="inlineStr">
        <is>
          <t>R-B-2</t>
        </is>
      </c>
      <c r="B690" s="305" t="inlineStr">
        <is>
          <t>Mensual</t>
        </is>
      </c>
    </row>
    <row r="691">
      <c r="A691" s="305" t="inlineStr">
        <is>
          <t>R-C-1</t>
        </is>
      </c>
      <c r="B691" s="305" t="inlineStr">
        <is>
          <t>Mensual</t>
        </is>
      </c>
    </row>
    <row r="692">
      <c r="A692" s="305" t="inlineStr">
        <is>
          <t>RC12</t>
        </is>
      </c>
      <c r="B692" s="305" t="inlineStr">
        <is>
          <t>Trimestral</t>
        </is>
      </c>
    </row>
    <row r="693">
      <c r="A693" s="305" t="inlineStr">
        <is>
          <t>R-C-2</t>
        </is>
      </c>
      <c r="B693" s="305" t="inlineStr">
        <is>
          <t>Mensual</t>
        </is>
      </c>
    </row>
    <row r="694">
      <c r="A694" s="305" t="inlineStr">
        <is>
          <t>R-C-3</t>
        </is>
      </c>
      <c r="B694" s="305" t="inlineStr">
        <is>
          <t>Mensual</t>
        </is>
      </c>
    </row>
    <row r="695">
      <c r="A695" s="305" t="inlineStr">
        <is>
          <t>R-D-1</t>
        </is>
      </c>
      <c r="B695" s="305" t="inlineStr">
        <is>
          <t>Mensual</t>
        </is>
      </c>
    </row>
    <row r="696">
      <c r="A696" s="305" t="inlineStr">
        <is>
          <t>R-D-2</t>
        </is>
      </c>
      <c r="B696" s="305" t="inlineStr">
        <is>
          <t>Mensual</t>
        </is>
      </c>
    </row>
    <row r="697">
      <c r="A697" s="305" t="inlineStr">
        <is>
          <t>REC-01</t>
        </is>
      </c>
      <c r="B697" s="305" t="inlineStr">
        <is>
          <t>Mensual</t>
        </is>
      </c>
    </row>
    <row r="698">
      <c r="A698" s="305" t="inlineStr">
        <is>
          <t>Represa</t>
        </is>
      </c>
      <c r="B698" s="305" t="inlineStr">
        <is>
          <t>-</t>
        </is>
      </c>
    </row>
    <row r="699">
      <c r="A699" s="305" t="inlineStr">
        <is>
          <t>RF-1</t>
        </is>
      </c>
      <c r="B699" s="305" t="inlineStr">
        <is>
          <t>Mensual</t>
        </is>
      </c>
    </row>
    <row r="700">
      <c r="A700" s="305" t="inlineStr">
        <is>
          <t>RF-2</t>
        </is>
      </c>
      <c r="B700" s="305" t="inlineStr">
        <is>
          <t>Mensual</t>
        </is>
      </c>
    </row>
    <row r="701">
      <c r="A701" s="305" t="inlineStr">
        <is>
          <t>RF-3</t>
        </is>
      </c>
      <c r="B701" s="305" t="inlineStr">
        <is>
          <t>Mensual</t>
        </is>
      </c>
    </row>
    <row r="702">
      <c r="A702" s="305" t="inlineStr">
        <is>
          <t>RF-4</t>
        </is>
      </c>
      <c r="B702" s="305" t="inlineStr">
        <is>
          <t>Mensual</t>
        </is>
      </c>
    </row>
    <row r="703">
      <c r="A703" s="305" t="inlineStr">
        <is>
          <t>RF-5</t>
        </is>
      </c>
      <c r="B703" s="305" t="inlineStr">
        <is>
          <t>Mensual</t>
        </is>
      </c>
    </row>
    <row r="704">
      <c r="A704" s="305" t="inlineStr">
        <is>
          <t>RMA01</t>
        </is>
      </c>
      <c r="B704" s="305" t="inlineStr">
        <is>
          <t>Bimestral</t>
        </is>
      </c>
    </row>
    <row r="705">
      <c r="A705" s="305" t="inlineStr">
        <is>
          <t>RPEC-02A</t>
        </is>
      </c>
      <c r="B705" s="305" t="inlineStr">
        <is>
          <t>Mensual</t>
        </is>
      </c>
    </row>
    <row r="706">
      <c r="A706" s="305" t="inlineStr">
        <is>
          <t>R-Port-1</t>
        </is>
      </c>
      <c r="B706" s="305" t="inlineStr">
        <is>
          <t>Mensual</t>
        </is>
      </c>
    </row>
    <row r="707">
      <c r="A707" s="305" t="inlineStr">
        <is>
          <t>RPW-01</t>
        </is>
      </c>
      <c r="B707" s="305" t="inlineStr">
        <is>
          <t>Mensual</t>
        </is>
      </c>
    </row>
    <row r="708">
      <c r="A708" s="305" t="inlineStr">
        <is>
          <t>RPW-03</t>
        </is>
      </c>
      <c r="B708" s="305" t="inlineStr">
        <is>
          <t>Mensual</t>
        </is>
      </c>
    </row>
    <row r="709">
      <c r="A709" s="305" t="inlineStr">
        <is>
          <t>RPW-04</t>
        </is>
      </c>
      <c r="B709" s="305" t="inlineStr">
        <is>
          <t>Mensual</t>
        </is>
      </c>
    </row>
    <row r="710">
      <c r="A710" s="305" t="inlineStr">
        <is>
          <t>RW-1</t>
        </is>
      </c>
      <c r="B710" s="305" t="inlineStr">
        <is>
          <t>Mensual</t>
        </is>
      </c>
    </row>
    <row r="711">
      <c r="A711" s="305" t="inlineStr">
        <is>
          <t>RW-2</t>
        </is>
      </c>
      <c r="B711" s="305" t="inlineStr">
        <is>
          <t>Mensual</t>
        </is>
      </c>
    </row>
    <row r="712">
      <c r="A712" s="305" t="inlineStr">
        <is>
          <t>RW-3</t>
        </is>
      </c>
      <c r="B712" s="305" t="inlineStr">
        <is>
          <t>Mensual</t>
        </is>
      </c>
    </row>
    <row r="713">
      <c r="A713" s="305" t="inlineStr">
        <is>
          <t>RW-4</t>
        </is>
      </c>
      <c r="B713" s="305" t="inlineStr">
        <is>
          <t>Mensual</t>
        </is>
      </c>
    </row>
    <row r="714">
      <c r="A714" s="305" t="inlineStr">
        <is>
          <t>RW-5</t>
        </is>
      </c>
      <c r="B714" s="305" t="inlineStr">
        <is>
          <t>Mensual</t>
        </is>
      </c>
    </row>
    <row r="715">
      <c r="A715" s="305" t="inlineStr">
        <is>
          <t>SALA DE CAMBIOS</t>
        </is>
      </c>
      <c r="B715" s="305" t="inlineStr">
        <is>
          <t>-</t>
        </is>
      </c>
    </row>
    <row r="716">
      <c r="A716" s="305" t="inlineStr">
        <is>
          <t>Sallihuinca</t>
        </is>
      </c>
      <c r="B716" s="305" t="inlineStr">
        <is>
          <t>-</t>
        </is>
      </c>
    </row>
    <row r="717">
      <c r="A717" s="305" t="inlineStr">
        <is>
          <t>San Daniel</t>
        </is>
      </c>
      <c r="B717" s="305" t="inlineStr">
        <is>
          <t>-</t>
        </is>
      </c>
    </row>
    <row r="718">
      <c r="A718" s="305" t="inlineStr">
        <is>
          <t>San Nicolás 1</t>
        </is>
      </c>
      <c r="B718" s="305" t="inlineStr">
        <is>
          <t>-</t>
        </is>
      </c>
    </row>
    <row r="719">
      <c r="A719" s="305" t="inlineStr">
        <is>
          <t>San Nicolás 2</t>
        </is>
      </c>
      <c r="B719" s="305" t="inlineStr">
        <is>
          <t>-</t>
        </is>
      </c>
    </row>
    <row r="720">
      <c r="A720" s="305" t="inlineStr">
        <is>
          <t>SCE-01</t>
        </is>
      </c>
      <c r="B720" s="305" t="inlineStr">
        <is>
          <t>Mensual</t>
        </is>
      </c>
    </row>
    <row r="721">
      <c r="A721" s="305" t="inlineStr">
        <is>
          <t>SCE-02</t>
        </is>
      </c>
      <c r="B721" s="305" t="inlineStr">
        <is>
          <t>Mensual</t>
        </is>
      </c>
    </row>
    <row r="722">
      <c r="A722" s="305" t="inlineStr">
        <is>
          <t>SCE-03</t>
        </is>
      </c>
      <c r="B722" s="305" t="inlineStr">
        <is>
          <t>Mensual</t>
        </is>
      </c>
    </row>
    <row r="723">
      <c r="A723" s="305" t="inlineStr">
        <is>
          <t>SCE-04</t>
        </is>
      </c>
      <c r="B723" s="305" t="inlineStr">
        <is>
          <t>Mensual</t>
        </is>
      </c>
    </row>
    <row r="724">
      <c r="A724" s="305" t="inlineStr">
        <is>
          <t>SH-01</t>
        </is>
      </c>
      <c r="B724" s="305" t="inlineStr">
        <is>
          <t>Mensual</t>
        </is>
      </c>
    </row>
    <row r="725">
      <c r="A725" s="305" t="inlineStr">
        <is>
          <t>SH-02B</t>
        </is>
      </c>
      <c r="B725" s="305" t="inlineStr">
        <is>
          <t>Semanal</t>
        </is>
      </c>
    </row>
    <row r="726">
      <c r="A726" s="305" t="inlineStr">
        <is>
          <t>SH-03</t>
        </is>
      </c>
      <c r="B726" s="305" t="inlineStr">
        <is>
          <t>Mensual</t>
        </is>
      </c>
    </row>
    <row r="727">
      <c r="A727" s="305" t="inlineStr">
        <is>
          <t>SH-04</t>
        </is>
      </c>
      <c r="B727" s="305" t="inlineStr">
        <is>
          <t>Mensual</t>
        </is>
      </c>
    </row>
    <row r="728">
      <c r="A728" s="305" t="inlineStr">
        <is>
          <t>SH-05</t>
        </is>
      </c>
      <c r="B728" s="305" t="inlineStr">
        <is>
          <t>Mensual</t>
        </is>
      </c>
    </row>
    <row r="729">
      <c r="A729" s="305" t="inlineStr">
        <is>
          <t>SH-06</t>
        </is>
      </c>
      <c r="B729" s="305" t="inlineStr">
        <is>
          <t>Semanal</t>
        </is>
      </c>
    </row>
    <row r="730">
      <c r="A730" s="305" t="inlineStr">
        <is>
          <t>SH-07</t>
        </is>
      </c>
      <c r="B730" s="305" t="inlineStr">
        <is>
          <t>Semanal</t>
        </is>
      </c>
    </row>
    <row r="731">
      <c r="A731" s="305" t="inlineStr">
        <is>
          <t>SH-08</t>
        </is>
      </c>
      <c r="B731" s="305" t="inlineStr">
        <is>
          <t>Semanal</t>
        </is>
      </c>
    </row>
    <row r="732">
      <c r="A732" s="305" t="inlineStr">
        <is>
          <t>SH-09</t>
        </is>
      </c>
      <c r="B732" s="305" t="inlineStr">
        <is>
          <t>Mensual</t>
        </is>
      </c>
    </row>
    <row r="733">
      <c r="A733" s="305" t="inlineStr">
        <is>
          <t>SH-10B</t>
        </is>
      </c>
      <c r="B733" s="305" t="inlineStr">
        <is>
          <t>Trimestral</t>
        </is>
      </c>
    </row>
    <row r="734">
      <c r="A734" s="305" t="inlineStr">
        <is>
          <t>SH-11B</t>
        </is>
      </c>
      <c r="B734" s="305" t="inlineStr">
        <is>
          <t>Trimestral</t>
        </is>
      </c>
    </row>
    <row r="735">
      <c r="A735" s="305" t="inlineStr">
        <is>
          <t>SH-12B</t>
        </is>
      </c>
      <c r="B735" s="305" t="inlineStr">
        <is>
          <t>Mensual</t>
        </is>
      </c>
    </row>
    <row r="736">
      <c r="A736" s="305" t="inlineStr">
        <is>
          <t>SH-19</t>
        </is>
      </c>
      <c r="B736" s="305" t="inlineStr">
        <is>
          <t>Semanal</t>
        </is>
      </c>
    </row>
    <row r="737">
      <c r="A737" s="305" t="inlineStr">
        <is>
          <t>SH-20</t>
        </is>
      </c>
      <c r="B737" s="305" t="inlineStr">
        <is>
          <t>Mensual</t>
        </is>
      </c>
    </row>
    <row r="738">
      <c r="A738" s="305" t="inlineStr">
        <is>
          <t>SH-21</t>
        </is>
      </c>
      <c r="B738" s="305" t="inlineStr">
        <is>
          <t>Mensual</t>
        </is>
      </c>
    </row>
    <row r="739">
      <c r="A739" s="305" t="inlineStr">
        <is>
          <t>SH-22</t>
        </is>
      </c>
      <c r="B739" s="305" t="inlineStr">
        <is>
          <t>Mensual</t>
        </is>
      </c>
    </row>
    <row r="740">
      <c r="A740" s="305" t="inlineStr">
        <is>
          <t>SH-23</t>
        </is>
      </c>
      <c r="B740" s="305" t="inlineStr">
        <is>
          <t>Mensual</t>
        </is>
      </c>
    </row>
    <row r="741">
      <c r="A741" s="305" t="inlineStr">
        <is>
          <t>SHA-E01</t>
        </is>
      </c>
      <c r="B741" s="305" t="inlineStr">
        <is>
          <t>Trimestral</t>
        </is>
      </c>
    </row>
    <row r="742">
      <c r="A742" s="305" t="inlineStr">
        <is>
          <t>SHA-E02</t>
        </is>
      </c>
      <c r="B742" s="305" t="inlineStr">
        <is>
          <t>Trimestral</t>
        </is>
      </c>
    </row>
    <row r="743">
      <c r="A743" s="305" t="inlineStr">
        <is>
          <t>SHA-E03</t>
        </is>
      </c>
      <c r="B743" s="305" t="inlineStr">
        <is>
          <t>Trimestral</t>
        </is>
      </c>
    </row>
    <row r="744">
      <c r="A744" s="305" t="inlineStr">
        <is>
          <t>SHA-E04</t>
        </is>
      </c>
      <c r="B744" s="305" t="inlineStr">
        <is>
          <t>Trimestral</t>
        </is>
      </c>
    </row>
    <row r="745">
      <c r="A745" s="305" t="inlineStr">
        <is>
          <t>SHA-E05</t>
        </is>
      </c>
      <c r="B745" s="305" t="inlineStr">
        <is>
          <t>Trimestral</t>
        </is>
      </c>
    </row>
    <row r="746">
      <c r="A746" s="305" t="inlineStr">
        <is>
          <t>SHA-E06</t>
        </is>
      </c>
      <c r="B746" s="305" t="inlineStr">
        <is>
          <t>Trimestral</t>
        </is>
      </c>
    </row>
    <row r="747">
      <c r="A747" s="305" t="inlineStr">
        <is>
          <t>SHA-E07</t>
        </is>
      </c>
      <c r="B747" s="305" t="inlineStr">
        <is>
          <t>Trimestral</t>
        </is>
      </c>
    </row>
    <row r="748">
      <c r="A748" s="305" t="inlineStr">
        <is>
          <t>SHA-E08</t>
        </is>
      </c>
      <c r="B748" s="305" t="inlineStr">
        <is>
          <t>Trimestral</t>
        </is>
      </c>
    </row>
    <row r="749">
      <c r="A749" s="305" t="inlineStr">
        <is>
          <t>SHA-E09</t>
        </is>
      </c>
      <c r="B749" s="305" t="inlineStr">
        <is>
          <t>Trimestral</t>
        </is>
      </c>
    </row>
    <row r="750">
      <c r="A750" s="305" t="inlineStr">
        <is>
          <t>SHA-E10</t>
        </is>
      </c>
      <c r="B750" s="305" t="inlineStr">
        <is>
          <t>Trimestral</t>
        </is>
      </c>
    </row>
    <row r="751">
      <c r="A751" s="305" t="inlineStr">
        <is>
          <t>SHA-E11</t>
        </is>
      </c>
      <c r="B751" s="305" t="inlineStr">
        <is>
          <t>Trimestral</t>
        </is>
      </c>
    </row>
    <row r="752">
      <c r="A752" s="305" t="inlineStr">
        <is>
          <t>SHA-E12</t>
        </is>
      </c>
      <c r="B752" s="305" t="inlineStr">
        <is>
          <t>Trimestral</t>
        </is>
      </c>
    </row>
    <row r="753">
      <c r="A753" s="305" t="inlineStr">
        <is>
          <t>SHA-E13</t>
        </is>
      </c>
      <c r="B753" s="305" t="inlineStr">
        <is>
          <t>Trimestral</t>
        </is>
      </c>
    </row>
    <row r="754">
      <c r="A754" s="305" t="inlineStr">
        <is>
          <t>SHA-E14</t>
        </is>
      </c>
      <c r="B754" s="305" t="inlineStr">
        <is>
          <t>Trimestral</t>
        </is>
      </c>
    </row>
    <row r="755">
      <c r="A755" s="305" t="inlineStr">
        <is>
          <t>SHA-E15</t>
        </is>
      </c>
      <c r="B755" s="305" t="inlineStr">
        <is>
          <t>Trimestral</t>
        </is>
      </c>
    </row>
    <row r="756">
      <c r="A756" s="305" t="inlineStr">
        <is>
          <t>SHA-E16</t>
        </is>
      </c>
      <c r="B756" s="305" t="inlineStr">
        <is>
          <t>Trimestral</t>
        </is>
      </c>
    </row>
    <row r="757">
      <c r="A757" s="305" t="inlineStr">
        <is>
          <t>SHA-E17</t>
        </is>
      </c>
      <c r="B757" s="305" t="inlineStr">
        <is>
          <t>Trimestral</t>
        </is>
      </c>
    </row>
    <row r="758">
      <c r="A758" s="305" t="inlineStr">
        <is>
          <t>SHA-E18</t>
        </is>
      </c>
      <c r="B758" s="305" t="inlineStr">
        <is>
          <t>Trimestral</t>
        </is>
      </c>
    </row>
    <row r="759">
      <c r="A759" s="305" t="inlineStr">
        <is>
          <t>SHA-E19</t>
        </is>
      </c>
      <c r="B759" s="305" t="inlineStr">
        <is>
          <t>Trimestral</t>
        </is>
      </c>
    </row>
    <row r="760">
      <c r="A760" s="305" t="inlineStr">
        <is>
          <t>SHA-E20</t>
        </is>
      </c>
      <c r="B760" s="305" t="inlineStr">
        <is>
          <t>Trimestral</t>
        </is>
      </c>
    </row>
    <row r="761">
      <c r="A761" s="305" t="inlineStr">
        <is>
          <t>SHA-E22</t>
        </is>
      </c>
      <c r="B761" s="305" t="inlineStr">
        <is>
          <t>Trimestral</t>
        </is>
      </c>
    </row>
    <row r="762">
      <c r="A762" s="305" t="inlineStr">
        <is>
          <t>SHA-E23</t>
        </is>
      </c>
      <c r="B762" s="305" t="inlineStr">
        <is>
          <t>Trimestral</t>
        </is>
      </c>
    </row>
    <row r="763">
      <c r="A763" s="305" t="inlineStr">
        <is>
          <t>SHA-E24</t>
        </is>
      </c>
      <c r="B763" s="305" t="inlineStr">
        <is>
          <t>Trimestral</t>
        </is>
      </c>
    </row>
    <row r="764">
      <c r="A764" s="305" t="inlineStr">
        <is>
          <t>SHA-E27</t>
        </is>
      </c>
      <c r="B764" s="305" t="inlineStr">
        <is>
          <t>Trimestral</t>
        </is>
      </c>
    </row>
    <row r="765">
      <c r="A765" s="305" t="inlineStr">
        <is>
          <t>SHA-E30</t>
        </is>
      </c>
      <c r="B765" s="305" t="inlineStr">
        <is>
          <t>Trimestral</t>
        </is>
      </c>
    </row>
    <row r="766">
      <c r="A766" s="305" t="inlineStr">
        <is>
          <t>SHA-E34</t>
        </is>
      </c>
      <c r="B766" s="305" t="inlineStr">
        <is>
          <t>Trimestral</t>
        </is>
      </c>
    </row>
    <row r="767">
      <c r="A767" s="305" t="inlineStr">
        <is>
          <t>SHA-P01</t>
        </is>
      </c>
      <c r="B767" s="305" t="inlineStr">
        <is>
          <t>Trimestral</t>
        </is>
      </c>
    </row>
    <row r="768">
      <c r="A768" s="305" t="inlineStr">
        <is>
          <t>SHA-P02</t>
        </is>
      </c>
      <c r="B768" s="305" t="inlineStr">
        <is>
          <t>Trimestral</t>
        </is>
      </c>
    </row>
    <row r="769">
      <c r="A769" s="305" t="inlineStr">
        <is>
          <t>SHA-P03</t>
        </is>
      </c>
      <c r="B769" s="305" t="inlineStr">
        <is>
          <t>Trimestral</t>
        </is>
      </c>
    </row>
    <row r="770">
      <c r="A770" s="305" t="inlineStr">
        <is>
          <t>SHA-P04</t>
        </is>
      </c>
      <c r="B770" s="305" t="inlineStr">
        <is>
          <t>Trimestral</t>
        </is>
      </c>
    </row>
    <row r="771">
      <c r="A771" s="305" t="inlineStr">
        <is>
          <t>SHA-P05</t>
        </is>
      </c>
      <c r="B771" s="305" t="inlineStr">
        <is>
          <t>Trimestral</t>
        </is>
      </c>
    </row>
    <row r="772">
      <c r="A772" s="305" t="inlineStr">
        <is>
          <t>SHA-P06</t>
        </is>
      </c>
      <c r="B772" s="305" t="inlineStr">
        <is>
          <t>Trimestral</t>
        </is>
      </c>
    </row>
    <row r="773">
      <c r="A773" s="305" t="inlineStr">
        <is>
          <t>SHA-P07</t>
        </is>
      </c>
      <c r="B773" s="305" t="inlineStr">
        <is>
          <t>Trimestral</t>
        </is>
      </c>
    </row>
    <row r="774">
      <c r="A774" s="305" t="inlineStr">
        <is>
          <t>SHA-P08</t>
        </is>
      </c>
      <c r="B774" s="305" t="inlineStr">
        <is>
          <t>Trimestral</t>
        </is>
      </c>
    </row>
    <row r="775">
      <c r="A775" s="305" t="inlineStr">
        <is>
          <t>SHA-P08A</t>
        </is>
      </c>
      <c r="B775" s="305" t="inlineStr">
        <is>
          <t>Trimestral</t>
        </is>
      </c>
    </row>
    <row r="776">
      <c r="A776" s="305" t="inlineStr">
        <is>
          <t>SHA-P09</t>
        </is>
      </c>
      <c r="B776" s="305" t="inlineStr">
        <is>
          <t>Trimestral</t>
        </is>
      </c>
    </row>
    <row r="777">
      <c r="A777" s="305" t="inlineStr">
        <is>
          <t>SHA-P10</t>
        </is>
      </c>
      <c r="B777" s="305" t="inlineStr">
        <is>
          <t>Trimestral</t>
        </is>
      </c>
    </row>
    <row r="778">
      <c r="A778" s="305" t="inlineStr">
        <is>
          <t>SHA-P11</t>
        </is>
      </c>
      <c r="B778" s="305" t="inlineStr">
        <is>
          <t>Trimestral</t>
        </is>
      </c>
    </row>
    <row r="779">
      <c r="A779" s="305" t="inlineStr">
        <is>
          <t>SHA-P12</t>
        </is>
      </c>
      <c r="B779" s="305" t="inlineStr">
        <is>
          <t>Trimestral</t>
        </is>
      </c>
    </row>
    <row r="780">
      <c r="A780" s="305" t="inlineStr">
        <is>
          <t>SHA-P13</t>
        </is>
      </c>
      <c r="B780" s="305" t="inlineStr">
        <is>
          <t>Trimestral</t>
        </is>
      </c>
    </row>
    <row r="781">
      <c r="A781" s="305" t="inlineStr">
        <is>
          <t>SHA-P14</t>
        </is>
      </c>
      <c r="B781" s="305" t="inlineStr">
        <is>
          <t>Trimestral</t>
        </is>
      </c>
    </row>
    <row r="782">
      <c r="A782" s="305" t="inlineStr">
        <is>
          <t>SME-01</t>
        </is>
      </c>
      <c r="B782" s="305" t="inlineStr">
        <is>
          <t>Mensual</t>
        </is>
      </c>
    </row>
    <row r="783">
      <c r="A783" s="305" t="inlineStr">
        <is>
          <t>SN-B</t>
        </is>
      </c>
      <c r="B783" s="305" t="inlineStr">
        <is>
          <t>Mensual</t>
        </is>
      </c>
    </row>
    <row r="784">
      <c r="A784" s="305" t="inlineStr">
        <is>
          <t>SWE-02</t>
        </is>
      </c>
      <c r="B784" s="305" t="inlineStr">
        <is>
          <t>-</t>
        </is>
      </c>
    </row>
    <row r="785">
      <c r="A785" s="305" t="inlineStr">
        <is>
          <t>TK-002</t>
        </is>
      </c>
      <c r="B785" s="305" t="inlineStr">
        <is>
          <t>-</t>
        </is>
      </c>
    </row>
    <row r="786">
      <c r="A786" s="305" t="inlineStr">
        <is>
          <t>TK-1004</t>
        </is>
      </c>
      <c r="B786" s="305" t="inlineStr">
        <is>
          <t>-</t>
        </is>
      </c>
    </row>
    <row r="787">
      <c r="A787" s="305" t="inlineStr">
        <is>
          <t>TK-505</t>
        </is>
      </c>
      <c r="B787" s="305" t="inlineStr">
        <is>
          <t>-</t>
        </is>
      </c>
    </row>
    <row r="788">
      <c r="A788" s="305" t="inlineStr">
        <is>
          <t>TK-517</t>
        </is>
      </c>
      <c r="B788" s="305" t="inlineStr">
        <is>
          <t>-</t>
        </is>
      </c>
    </row>
    <row r="789">
      <c r="A789" s="305" t="inlineStr">
        <is>
          <t>UC-602</t>
        </is>
      </c>
      <c r="B789" s="305" t="inlineStr">
        <is>
          <t>Mensual</t>
        </is>
      </c>
    </row>
    <row r="790">
      <c r="A790" s="305" t="inlineStr">
        <is>
          <t>UC-603</t>
        </is>
      </c>
      <c r="B790" s="305" t="inlineStr">
        <is>
          <t>Mensual</t>
        </is>
      </c>
    </row>
    <row r="791">
      <c r="A791" s="305" t="inlineStr">
        <is>
          <t>UC-604</t>
        </is>
      </c>
      <c r="B791" s="305" t="inlineStr">
        <is>
          <t>Mensual</t>
        </is>
      </c>
    </row>
    <row r="792">
      <c r="A792" s="305" t="inlineStr">
        <is>
          <t>UC-634</t>
        </is>
      </c>
      <c r="B792" s="305" t="inlineStr">
        <is>
          <t>Bimestral</t>
        </is>
      </c>
    </row>
    <row r="793">
      <c r="A793" s="305" t="inlineStr">
        <is>
          <t>X-1</t>
        </is>
      </c>
      <c r="B793" s="305" t="inlineStr">
        <is>
          <t>Mensual</t>
        </is>
      </c>
    </row>
    <row r="794">
      <c r="A794" s="305" t="inlineStr">
        <is>
          <t>X-2</t>
        </is>
      </c>
      <c r="B794" s="305" t="inlineStr">
        <is>
          <t>Mensual</t>
        </is>
      </c>
    </row>
    <row r="795">
      <c r="A795" s="305" t="inlineStr">
        <is>
          <t>Yabricollita 1</t>
        </is>
      </c>
      <c r="B795" s="305" t="inlineStr">
        <is>
          <t>-</t>
        </is>
      </c>
    </row>
    <row r="796">
      <c r="A796" s="305" t="inlineStr">
        <is>
          <t>Yabricollita 2</t>
        </is>
      </c>
      <c r="B796" s="305" t="inlineStr">
        <is>
          <t>-</t>
        </is>
      </c>
    </row>
    <row r="797">
      <c r="A797" s="305" t="inlineStr">
        <is>
          <t>Yabricollita 3</t>
        </is>
      </c>
      <c r="B797" s="305" t="inlineStr">
        <is>
          <t>-</t>
        </is>
      </c>
    </row>
    <row r="798">
      <c r="A798" s="305" t="inlineStr">
        <is>
          <t>Yabricollita 4</t>
        </is>
      </c>
      <c r="B798" s="305" t="inlineStr">
        <is>
          <t>-</t>
        </is>
      </c>
    </row>
    <row r="799">
      <c r="A799" s="305" t="inlineStr">
        <is>
          <t>Mitigación Jachucoposa (actual)</t>
        </is>
      </c>
      <c r="B799" s="305" t="inlineStr">
        <is>
          <t>-</t>
        </is>
      </c>
    </row>
    <row r="800">
      <c r="A800" s="305" t="inlineStr">
        <is>
          <t>Mitigación Jachucoposa (Nuevo)</t>
        </is>
      </c>
      <c r="B800" s="305" t="inlineStr">
        <is>
          <t>-</t>
        </is>
      </c>
    </row>
    <row r="801">
      <c r="A801" s="305" t="inlineStr">
        <is>
          <t>P-4B</t>
        </is>
      </c>
      <c r="B801" s="305" t="inlineStr">
        <is>
          <t>Mensual</t>
        </is>
      </c>
    </row>
    <row r="802">
      <c r="A802" s="305" t="inlineStr">
        <is>
          <t>PTAS-M</t>
        </is>
      </c>
      <c r="B802" s="305" t="inlineStr">
        <is>
          <t>-</t>
        </is>
      </c>
    </row>
    <row r="803">
      <c r="A803" s="305" t="inlineStr">
        <is>
          <t>DPA-02</t>
        </is>
      </c>
      <c r="B803" s="305" t="inlineStr">
        <is>
          <t>Trimestral</t>
        </is>
      </c>
    </row>
    <row r="804">
      <c r="A804" s="305" t="inlineStr">
        <is>
          <t>DU-05</t>
        </is>
      </c>
      <c r="B804" s="305" t="inlineStr">
        <is>
          <t>Mensual</t>
        </is>
      </c>
    </row>
    <row r="805">
      <c r="A805" s="305" t="inlineStr">
        <is>
          <t>M-003</t>
        </is>
      </c>
      <c r="B805" s="305" t="inlineStr">
        <is>
          <t>Mensual</t>
        </is>
      </c>
    </row>
    <row r="806">
      <c r="A806" s="305" t="inlineStr">
        <is>
          <t>Piscina P2</t>
        </is>
      </c>
      <c r="B806" s="305" t="inlineStr">
        <is>
          <t>-</t>
        </is>
      </c>
    </row>
    <row r="807">
      <c r="A807" s="305" t="inlineStr">
        <is>
          <t>Piscina P3</t>
        </is>
      </c>
      <c r="B807" s="305" t="inlineStr">
        <is>
          <t>-</t>
        </is>
      </c>
    </row>
    <row r="808">
      <c r="A808" s="305" t="inlineStr">
        <is>
          <t>PMI-02</t>
        </is>
      </c>
      <c r="B808" s="305" t="inlineStr">
        <is>
          <t>Trimestral</t>
        </is>
      </c>
    </row>
    <row r="809">
      <c r="A809" s="305" t="inlineStr">
        <is>
          <t>SH-13</t>
        </is>
      </c>
      <c r="B809" s="305" t="inlineStr">
        <is>
          <t>Trimestral</t>
        </is>
      </c>
    </row>
    <row r="810">
      <c r="A810" s="305" t="inlineStr">
        <is>
          <t>SH-14</t>
        </is>
      </c>
      <c r="B810" s="305" t="inlineStr">
        <is>
          <t>Trimestral</t>
        </is>
      </c>
    </row>
    <row r="811">
      <c r="A811" s="305" t="inlineStr">
        <is>
          <t>SH-15</t>
        </is>
      </c>
      <c r="B811" s="305" t="inlineStr">
        <is>
          <t>Trimestral</t>
        </is>
      </c>
    </row>
    <row r="812">
      <c r="A812" s="305" t="inlineStr">
        <is>
          <t>SH-16</t>
        </is>
      </c>
      <c r="B812" s="305" t="inlineStr">
        <is>
          <t>Trimestral</t>
        </is>
      </c>
    </row>
    <row r="813">
      <c r="A813" s="305" t="inlineStr">
        <is>
          <t>SH-17A</t>
        </is>
      </c>
      <c r="B813" s="305" t="inlineStr">
        <is>
          <t>Trimestral</t>
        </is>
      </c>
    </row>
    <row r="814">
      <c r="A814" s="305" t="inlineStr">
        <is>
          <t>SH-17B</t>
        </is>
      </c>
      <c r="B814" s="305" t="inlineStr">
        <is>
          <t>Trimestral</t>
        </is>
      </c>
    </row>
    <row r="815">
      <c r="A815" s="305" t="inlineStr">
        <is>
          <t>SH-18</t>
        </is>
      </c>
      <c r="B815" s="305" t="inlineStr">
        <is>
          <t>Trimestral</t>
        </is>
      </c>
    </row>
    <row r="816">
      <c r="A816" s="305" t="inlineStr">
        <is>
          <t>APOYO QB</t>
        </is>
      </c>
      <c r="B816" s="305" t="inlineStr">
        <is>
          <t>Mensual</t>
        </is>
      </c>
    </row>
    <row r="817">
      <c r="A817" s="305" t="inlineStr">
        <is>
          <t>Total general</t>
        </is>
      </c>
      <c r="B817" s="305"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workbookViewId="0">
      <selection activeCell="G13" sqref="C4:G1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0" t="inlineStr">
        <is>
          <t>PUNTO</t>
        </is>
      </c>
      <c r="D4" s="200" t="inlineStr">
        <is>
          <t>MATIRZ</t>
        </is>
      </c>
      <c r="E4" s="200" t="inlineStr">
        <is>
          <t>RAJO</t>
        </is>
      </c>
      <c r="F4" s="200" t="inlineStr">
        <is>
          <t>GERENCIA</t>
        </is>
      </c>
      <c r="G4" s="200" t="inlineStr">
        <is>
          <t>FECHAS</t>
        </is>
      </c>
      <c r="J4" s="237" t="inlineStr">
        <is>
          <t>Puntos sector HITO 54 Coposa Norte</t>
        </is>
      </c>
      <c r="K4" s="369" t="n"/>
      <c r="L4" s="108" t="n"/>
    </row>
    <row r="5" ht="20.15" customHeight="1">
      <c r="C5" s="200" t="inlineStr">
        <is>
          <t>Piscina P3</t>
        </is>
      </c>
      <c r="D5" s="200" t="inlineStr">
        <is>
          <t>ASUP</t>
        </is>
      </c>
      <c r="E5" s="200" t="inlineStr">
        <is>
          <t>Rosario</t>
        </is>
      </c>
      <c r="F5" s="200" t="inlineStr">
        <is>
          <t>GTAM</t>
        </is>
      </c>
      <c r="G5" s="201" t="n">
        <v>46117</v>
      </c>
      <c r="J5" s="237" t="inlineStr">
        <is>
          <t>Pozo</t>
        </is>
      </c>
      <c r="K5" s="237" t="inlineStr">
        <is>
          <t>Fecha Programada</t>
        </is>
      </c>
      <c r="L5" s="237" t="inlineStr">
        <is>
          <t>Observacion</t>
        </is>
      </c>
    </row>
    <row r="6" ht="20.15" customHeight="1">
      <c r="C6" s="200" t="inlineStr">
        <is>
          <t>Piscina P3</t>
        </is>
      </c>
      <c r="D6" s="200" t="inlineStr">
        <is>
          <t>ASUP</t>
        </is>
      </c>
      <c r="E6" s="200" t="inlineStr">
        <is>
          <t>Rosario</t>
        </is>
      </c>
      <c r="F6" s="200" t="inlineStr">
        <is>
          <t>GTAM</t>
        </is>
      </c>
      <c r="G6" s="201" t="n">
        <v>46131</v>
      </c>
      <c r="J6" s="200" t="inlineStr">
        <is>
          <t>CPZ-03A</t>
        </is>
      </c>
      <c r="K6" s="238" t="n">
        <v>46095</v>
      </c>
      <c r="L6" s="200" t="n"/>
    </row>
    <row r="7" ht="20.15" customHeight="1">
      <c r="C7" s="200" t="inlineStr">
        <is>
          <t>AU-02</t>
        </is>
      </c>
      <c r="D7" s="200" t="inlineStr">
        <is>
          <t>NF</t>
        </is>
      </c>
      <c r="E7" s="200" t="inlineStr">
        <is>
          <t>Ujina</t>
        </is>
      </c>
      <c r="F7" s="200" t="inlineStr">
        <is>
          <t>MINA</t>
        </is>
      </c>
      <c r="G7" s="201" t="inlineStr">
        <is>
          <t>10 y 12 de ABRIL 2026</t>
        </is>
      </c>
      <c r="J7" s="200" t="inlineStr">
        <is>
          <t>CPZ-03B1</t>
        </is>
      </c>
      <c r="K7" s="238" t="n">
        <v>46095</v>
      </c>
      <c r="L7" s="200" t="n"/>
    </row>
    <row r="8" ht="20.15" customHeight="1">
      <c r="C8" s="200" t="inlineStr">
        <is>
          <t>AU-05</t>
        </is>
      </c>
      <c r="D8" s="200" t="inlineStr">
        <is>
          <t>NF</t>
        </is>
      </c>
      <c r="E8" s="200" t="inlineStr">
        <is>
          <t>Ujina</t>
        </is>
      </c>
      <c r="F8" s="200" t="inlineStr">
        <is>
          <t>MINA</t>
        </is>
      </c>
      <c r="G8" s="201" t="inlineStr">
        <is>
          <t>10 y 12 de ABRIL 2026</t>
        </is>
      </c>
      <c r="J8" s="200" t="inlineStr">
        <is>
          <t>CTP-01</t>
        </is>
      </c>
      <c r="K8" s="238" t="n">
        <v>46095</v>
      </c>
      <c r="L8" s="200" t="n"/>
    </row>
    <row r="9" ht="20.15" customHeight="1">
      <c r="C9" s="200" t="inlineStr">
        <is>
          <t>DU-04</t>
        </is>
      </c>
      <c r="D9" s="200" t="inlineStr">
        <is>
          <t>NF</t>
        </is>
      </c>
      <c r="E9" s="200" t="inlineStr">
        <is>
          <t>Ujina</t>
        </is>
      </c>
      <c r="F9" s="200" t="inlineStr">
        <is>
          <t>MINA</t>
        </is>
      </c>
      <c r="G9" s="201" t="inlineStr">
        <is>
          <t>10 y 12 de ABRIL 2026</t>
        </is>
      </c>
      <c r="J9" s="200" t="inlineStr">
        <is>
          <t>PPC-07</t>
        </is>
      </c>
      <c r="K9" s="238" t="n">
        <v>46095</v>
      </c>
      <c r="L9" s="200" t="n"/>
    </row>
    <row r="10" ht="20.15" customHeight="1">
      <c r="C10" s="200" t="inlineStr">
        <is>
          <t>DU-05</t>
        </is>
      </c>
      <c r="D10" s="200" t="inlineStr">
        <is>
          <t>NF</t>
        </is>
      </c>
      <c r="E10" s="200" t="inlineStr">
        <is>
          <t>Ujina</t>
        </is>
      </c>
      <c r="F10" s="200" t="inlineStr">
        <is>
          <t>MINA</t>
        </is>
      </c>
      <c r="G10" s="201" t="inlineStr">
        <is>
          <t>10 y 12 de ABRIL 2026</t>
        </is>
      </c>
      <c r="J10" s="200" t="inlineStr">
        <is>
          <t>PPC-10</t>
        </is>
      </c>
      <c r="K10" s="238" t="n">
        <v>46095</v>
      </c>
      <c r="L10" s="200" t="n"/>
    </row>
    <row r="11" ht="20.15" customHeight="1">
      <c r="C11" s="200" t="inlineStr">
        <is>
          <t>DU-06</t>
        </is>
      </c>
      <c r="D11" s="200" t="inlineStr">
        <is>
          <t>NF</t>
        </is>
      </c>
      <c r="E11" s="200" t="inlineStr">
        <is>
          <t>Ujina</t>
        </is>
      </c>
      <c r="F11" s="200" t="inlineStr">
        <is>
          <t>MINA</t>
        </is>
      </c>
      <c r="G11" s="201" t="inlineStr">
        <is>
          <t>10 y 12 de ABRIL 2026</t>
        </is>
      </c>
      <c r="J11" s="200" t="inlineStr">
        <is>
          <t>PPC-20</t>
        </is>
      </c>
      <c r="K11" s="238" t="n">
        <v>46095</v>
      </c>
      <c r="L11" s="200" t="n"/>
    </row>
    <row r="12" ht="20.15" customHeight="1">
      <c r="C12" s="200" t="inlineStr">
        <is>
          <t>PIEZ-11</t>
        </is>
      </c>
      <c r="D12" s="200" t="inlineStr">
        <is>
          <t>NF</t>
        </is>
      </c>
      <c r="E12" s="200" t="inlineStr">
        <is>
          <t>Ujina</t>
        </is>
      </c>
      <c r="F12" s="200" t="inlineStr">
        <is>
          <t>MINA</t>
        </is>
      </c>
      <c r="G12" s="201" t="inlineStr">
        <is>
          <t>10 y 12 de ABRIL 2026</t>
        </is>
      </c>
      <c r="J12" s="200" t="inlineStr">
        <is>
          <t>PPC-21</t>
        </is>
      </c>
      <c r="K12" s="238" t="n">
        <v>46095</v>
      </c>
      <c r="L12" s="200" t="n"/>
    </row>
    <row r="13" ht="20.15" customHeight="1">
      <c r="C13" s="200" t="inlineStr">
        <is>
          <t>PD-03</t>
        </is>
      </c>
      <c r="D13" s="200" t="inlineStr">
        <is>
          <t>ASUP</t>
        </is>
      </c>
      <c r="E13" s="200" t="inlineStr">
        <is>
          <t>Ujina</t>
        </is>
      </c>
      <c r="F13" s="200" t="inlineStr">
        <is>
          <t>MINA</t>
        </is>
      </c>
      <c r="G13" s="201" t="inlineStr">
        <is>
          <t>10 y 12 de ABRIL 2026</t>
        </is>
      </c>
      <c r="J13" s="200" t="inlineStr">
        <is>
          <t>PPC-16</t>
        </is>
      </c>
      <c r="K13" s="238" t="n">
        <v>46104</v>
      </c>
      <c r="L13" s="200" t="inlineStr">
        <is>
          <t>Medición PMAP</t>
        </is>
      </c>
    </row>
    <row r="14" ht="20.15" customHeight="1">
      <c r="J14" s="200" t="inlineStr">
        <is>
          <t>PPC-19</t>
        </is>
      </c>
      <c r="K14" s="238" t="n">
        <v>46104</v>
      </c>
      <c r="L14" s="200" t="inlineStr">
        <is>
          <t>Medición PMAP</t>
        </is>
      </c>
    </row>
    <row r="15" ht="20.15" customHeight="1">
      <c r="J15" s="200" t="inlineStr">
        <is>
          <t>R-A-1</t>
        </is>
      </c>
      <c r="K15" s="238" t="n">
        <v>46104</v>
      </c>
      <c r="L15" s="200" t="n"/>
    </row>
    <row r="16" ht="20.15" customHeight="1">
      <c r="J16" s="200" t="inlineStr">
        <is>
          <t>R-D-2</t>
        </is>
      </c>
      <c r="K16" s="238" t="n">
        <v>46104</v>
      </c>
      <c r="L16" s="200" t="n"/>
    </row>
    <row r="22">
      <c r="C22" s="239" t="inlineStr">
        <is>
          <t xml:space="preserve">Aceites y grasas </t>
        </is>
      </c>
    </row>
    <row r="23">
      <c r="C23" s="239" t="inlineStr">
        <is>
          <t>Benceno</t>
        </is>
      </c>
    </row>
    <row r="24">
      <c r="C24" s="125" t="inlineStr">
        <is>
          <t>Etilbenceno</t>
        </is>
      </c>
    </row>
    <row r="25" ht="14.15" customHeight="1">
      <c r="C25" s="125" t="inlineStr">
        <is>
          <t>Hidrocarburos fijos</t>
        </is>
      </c>
      <c r="E25" t="inlineStr">
        <is>
          <t>Aceites y grasas</t>
        </is>
      </c>
      <c r="G25" s="199" t="n"/>
    </row>
    <row r="26">
      <c r="C26" s="125" t="inlineStr">
        <is>
          <t>Hidrocarburos totales de petroleo</t>
        </is>
      </c>
    </row>
    <row r="27">
      <c r="C27" s="125" t="inlineStr">
        <is>
          <t>Hidorcarburos totales por cálculo</t>
        </is>
      </c>
      <c r="E27" t="inlineStr">
        <is>
          <t>Benceno</t>
        </is>
      </c>
    </row>
    <row r="28">
      <c r="C28" s="125" t="inlineStr">
        <is>
          <t xml:space="preserve">Hidrocarburos volátiles </t>
        </is>
      </c>
    </row>
    <row r="29">
      <c r="C29" s="125" t="inlineStr">
        <is>
          <t>Índice de permanganato (Oxidabilidad)</t>
        </is>
      </c>
      <c r="E29" t="inlineStr">
        <is>
          <t>Tolueno</t>
        </is>
      </c>
    </row>
    <row r="30">
      <c r="C30" s="125" t="inlineStr">
        <is>
          <t>* PAH's</t>
        </is>
      </c>
    </row>
    <row r="31">
      <c r="C31" s="239" t="inlineStr">
        <is>
          <t>Tolueno</t>
        </is>
      </c>
      <c r="E31" t="inlineStr">
        <is>
          <t>Xilenos (o, m, p)</t>
        </is>
      </c>
    </row>
    <row r="32">
      <c r="C32" s="125" t="inlineStr">
        <is>
          <t>Turbiedad</t>
        </is>
      </c>
    </row>
    <row r="33">
      <c r="C33" s="239"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0" t="inlineStr">
        <is>
          <t>CÓDIGO</t>
        </is>
      </c>
      <c r="G12" s="121" t="inlineStr">
        <is>
          <t>UBICACIÓN</t>
        </is>
      </c>
      <c r="H12" s="122" t="inlineStr">
        <is>
          <t>FECHA PLANIFICADA</t>
        </is>
      </c>
      <c r="I12" s="121" t="inlineStr">
        <is>
          <t>OT DESDE</t>
        </is>
      </c>
      <c r="J12" s="121" t="inlineStr">
        <is>
          <t>OT HASTA</t>
        </is>
      </c>
      <c r="K12" s="121" t="inlineStr">
        <is>
          <t>METROS</t>
        </is>
      </c>
    </row>
    <row r="13" ht="14.5" customHeight="1">
      <c r="F13" s="119" t="inlineStr">
        <is>
          <t>DEC-01</t>
        </is>
      </c>
      <c r="G13" s="118" t="inlineStr">
        <is>
          <t>PORTEZUELO</t>
        </is>
      </c>
      <c r="H13" s="115" t="n">
        <v>45101</v>
      </c>
      <c r="I13" s="116" t="n">
        <v>45099</v>
      </c>
      <c r="J13" s="116" t="n">
        <v>45105</v>
      </c>
      <c r="K13" s="117" t="n">
        <v>325</v>
      </c>
    </row>
    <row r="14" ht="14.5" customHeight="1">
      <c r="F14" s="119" t="inlineStr">
        <is>
          <t>DEC-02</t>
        </is>
      </c>
      <c r="G14" s="118" t="inlineStr">
        <is>
          <t>PORTEZUELO</t>
        </is>
      </c>
      <c r="H14" s="115" t="n">
        <v>45101</v>
      </c>
      <c r="I14" s="116" t="n">
        <v>45099</v>
      </c>
      <c r="J14" s="116" t="n">
        <v>45105</v>
      </c>
      <c r="K14" s="117" t="n">
        <v>364</v>
      </c>
    </row>
    <row r="15" ht="14.5" customHeight="1">
      <c r="F15" s="119" t="inlineStr">
        <is>
          <t>DPEC-06</t>
        </is>
      </c>
      <c r="G15" s="118" t="inlineStr">
        <is>
          <t>COPOSA SUR</t>
        </is>
      </c>
      <c r="H15" s="115" t="n">
        <v>45101</v>
      </c>
      <c r="I15" s="116" t="n">
        <v>45099</v>
      </c>
      <c r="J15" s="116" t="n">
        <v>45105</v>
      </c>
      <c r="K15" s="117" t="n">
        <v>300</v>
      </c>
    </row>
    <row r="16" ht="14.5" customHeight="1">
      <c r="F16" s="119" t="inlineStr">
        <is>
          <t>PEC-01</t>
        </is>
      </c>
      <c r="G16" s="118" t="inlineStr">
        <is>
          <t>COPOSA SUR</t>
        </is>
      </c>
      <c r="H16" s="115" t="n">
        <v>45101</v>
      </c>
      <c r="I16" s="116" t="n">
        <v>45099</v>
      </c>
      <c r="J16" s="116" t="n">
        <v>45105</v>
      </c>
      <c r="K16" s="117" t="n">
        <v>480</v>
      </c>
    </row>
    <row r="17" ht="14.5" customHeight="1">
      <c r="F17" s="119" t="inlineStr">
        <is>
          <t>PEP-01</t>
        </is>
      </c>
      <c r="G17" s="118" t="inlineStr">
        <is>
          <t>PORTEZUELO</t>
        </is>
      </c>
      <c r="H17" s="115" t="n">
        <v>45090</v>
      </c>
      <c r="I17" s="116" t="n">
        <v>45085</v>
      </c>
      <c r="J17" s="116" t="n">
        <v>45098</v>
      </c>
      <c r="K17" s="117" t="n">
        <v>381.203</v>
      </c>
    </row>
    <row r="18" ht="14.5" customHeight="1">
      <c r="F18" s="119" t="inlineStr">
        <is>
          <t>PEP-02</t>
        </is>
      </c>
      <c r="G18" s="118" t="inlineStr">
        <is>
          <t>PORTEZUELO</t>
        </is>
      </c>
      <c r="H18" s="115" t="n">
        <v>45090</v>
      </c>
      <c r="I18" s="116" t="n">
        <v>45085</v>
      </c>
      <c r="J18" s="116" t="n">
        <v>45098</v>
      </c>
      <c r="K18" s="117" t="n">
        <v>348.701</v>
      </c>
    </row>
    <row r="19" ht="14.5" customHeight="1">
      <c r="F19" s="119" t="inlineStr">
        <is>
          <t>PEP-03</t>
        </is>
      </c>
      <c r="G19" s="118" t="inlineStr">
        <is>
          <t>PORTEZUELO</t>
        </is>
      </c>
      <c r="H19" s="115" t="n">
        <v>45090</v>
      </c>
      <c r="I19" s="116" t="n">
        <v>45085</v>
      </c>
      <c r="J19" s="116" t="n">
        <v>45098</v>
      </c>
      <c r="K19" s="117" t="n">
        <v>429.775</v>
      </c>
    </row>
    <row r="20" ht="14.5" customHeight="1">
      <c r="F20" s="119" t="inlineStr">
        <is>
          <t>PEP-04</t>
        </is>
      </c>
      <c r="G20" s="118" t="inlineStr">
        <is>
          <t>PORTEZUELO</t>
        </is>
      </c>
      <c r="H20" s="115" t="n">
        <v>45090</v>
      </c>
      <c r="I20" s="116" t="n">
        <v>45085</v>
      </c>
      <c r="J20" s="116" t="n">
        <v>45098</v>
      </c>
      <c r="K20" s="117" t="n">
        <v>424</v>
      </c>
    </row>
    <row r="21" ht="14.5" customHeight="1">
      <c r="F21" s="228" t="inlineStr">
        <is>
          <t>R-PORT-1</t>
        </is>
      </c>
      <c r="G21" s="118" t="inlineStr">
        <is>
          <t>PORTEZUELO</t>
        </is>
      </c>
    </row>
    <row r="22" ht="14.5" customHeight="1">
      <c r="F22" s="228" t="inlineStr">
        <is>
          <t>MTP-17</t>
        </is>
      </c>
      <c r="G22" s="229" t="inlineStr">
        <is>
          <t>TRANQUE</t>
        </is>
      </c>
    </row>
    <row r="42">
      <c r="F42" s="105" t="inlineStr">
        <is>
          <t>PUNTO</t>
        </is>
      </c>
      <c r="G42" s="105" t="inlineStr">
        <is>
          <t>MATIRZ</t>
        </is>
      </c>
      <c r="H42" s="105" t="inlineStr">
        <is>
          <t>RAJO</t>
        </is>
      </c>
      <c r="I42" s="105" t="inlineStr">
        <is>
          <t>GERENCIA</t>
        </is>
      </c>
      <c r="J42" s="105" t="inlineStr">
        <is>
          <t>FECHAS</t>
        </is>
      </c>
    </row>
    <row r="43">
      <c r="F43" s="252" t="inlineStr">
        <is>
          <t>AU-02</t>
        </is>
      </c>
      <c r="G43" s="125" t="inlineStr">
        <is>
          <t>NF</t>
        </is>
      </c>
      <c r="H43" s="106" t="inlineStr">
        <is>
          <t>Ujina</t>
        </is>
      </c>
      <c r="I43" s="194" t="inlineStr">
        <is>
          <t>MINA</t>
        </is>
      </c>
      <c r="J43" s="195" t="n">
        <v>45851</v>
      </c>
    </row>
    <row r="44">
      <c r="F44" s="252" t="inlineStr">
        <is>
          <t>AU-05</t>
        </is>
      </c>
      <c r="G44" s="125" t="inlineStr">
        <is>
          <t>NF</t>
        </is>
      </c>
      <c r="H44" s="106" t="inlineStr">
        <is>
          <t>Ujina</t>
        </is>
      </c>
      <c r="I44" s="194" t="inlineStr">
        <is>
          <t>MINA</t>
        </is>
      </c>
      <c r="J44" s="195" t="n">
        <v>45851</v>
      </c>
    </row>
    <row r="45">
      <c r="F45" s="252" t="inlineStr">
        <is>
          <t>DU-02A</t>
        </is>
      </c>
      <c r="G45" s="125" t="inlineStr">
        <is>
          <t>NF</t>
        </is>
      </c>
      <c r="H45" s="106" t="inlineStr">
        <is>
          <t>Ujina</t>
        </is>
      </c>
      <c r="I45" s="194" t="inlineStr">
        <is>
          <t>MINA</t>
        </is>
      </c>
      <c r="J45" s="195" t="n">
        <v>45851</v>
      </c>
    </row>
    <row r="46">
      <c r="F46" s="252" t="inlineStr">
        <is>
          <t>DU-04</t>
        </is>
      </c>
      <c r="G46" s="125" t="inlineStr">
        <is>
          <t>NF</t>
        </is>
      </c>
      <c r="H46" s="106" t="inlineStr">
        <is>
          <t>Ujina</t>
        </is>
      </c>
      <c r="I46" s="194" t="inlineStr">
        <is>
          <t>MINA</t>
        </is>
      </c>
      <c r="J46" s="195" t="n">
        <v>45851</v>
      </c>
    </row>
    <row r="47">
      <c r="F47" s="252" t="inlineStr">
        <is>
          <t>DU-05</t>
        </is>
      </c>
      <c r="G47" s="125" t="inlineStr">
        <is>
          <t>NF</t>
        </is>
      </c>
      <c r="H47" s="106" t="inlineStr">
        <is>
          <t>Ujina</t>
        </is>
      </c>
      <c r="I47" s="194" t="inlineStr">
        <is>
          <t>MINA</t>
        </is>
      </c>
      <c r="J47" s="195" t="n">
        <v>45851</v>
      </c>
    </row>
    <row r="48">
      <c r="F48" s="252" t="inlineStr">
        <is>
          <t>DU-06</t>
        </is>
      </c>
      <c r="G48" s="125" t="inlineStr">
        <is>
          <t>NF</t>
        </is>
      </c>
      <c r="H48" s="106" t="inlineStr">
        <is>
          <t>Ujina</t>
        </is>
      </c>
      <c r="I48" s="194" t="inlineStr">
        <is>
          <t>MINA</t>
        </is>
      </c>
      <c r="J48" s="195" t="n">
        <v>45851</v>
      </c>
    </row>
    <row r="49">
      <c r="F49" s="252" t="inlineStr">
        <is>
          <t>PIEZ-11</t>
        </is>
      </c>
      <c r="G49" s="125" t="inlineStr">
        <is>
          <t>NF</t>
        </is>
      </c>
      <c r="H49" s="106" t="inlineStr">
        <is>
          <t>Ujina</t>
        </is>
      </c>
      <c r="I49" s="194" t="inlineStr">
        <is>
          <t>MINA</t>
        </is>
      </c>
      <c r="J49" s="195" t="n">
        <v>45851</v>
      </c>
    </row>
    <row r="50">
      <c r="F50" s="252" t="inlineStr">
        <is>
          <t>PD-03</t>
        </is>
      </c>
      <c r="G50" s="125" t="inlineStr">
        <is>
          <t>ASUP</t>
        </is>
      </c>
      <c r="H50" s="106" t="inlineStr">
        <is>
          <t>Ujina</t>
        </is>
      </c>
      <c r="I50" s="194" t="inlineStr">
        <is>
          <t>MINA</t>
        </is>
      </c>
      <c r="J50" s="195" t="n">
        <v>45851</v>
      </c>
    </row>
    <row r="51">
      <c r="F51" s="252" t="inlineStr">
        <is>
          <t>Piscina P3</t>
        </is>
      </c>
      <c r="G51" s="125" t="inlineStr">
        <is>
          <t>ASUP</t>
        </is>
      </c>
      <c r="H51" s="106" t="inlineStr">
        <is>
          <t>Rosario</t>
        </is>
      </c>
      <c r="I51" s="194" t="inlineStr">
        <is>
          <t>GTAM</t>
        </is>
      </c>
      <c r="J51" s="195" t="n">
        <v>45844</v>
      </c>
    </row>
    <row r="52">
      <c r="F52" s="252" t="inlineStr">
        <is>
          <t>Piscina P3</t>
        </is>
      </c>
      <c r="G52" s="125" t="inlineStr">
        <is>
          <t>ASUP</t>
        </is>
      </c>
      <c r="H52" s="106" t="inlineStr">
        <is>
          <t>Rosario</t>
        </is>
      </c>
      <c r="I52" s="194" t="inlineStr">
        <is>
          <t>GTAM</t>
        </is>
      </c>
      <c r="J52" s="195"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37"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2" t="inlineStr">
        <is>
          <t>AL</t>
        </is>
      </c>
      <c r="D7" s="352" t="inlineStr">
        <is>
          <t>AS</t>
        </is>
      </c>
      <c r="E7" s="352" t="inlineStr">
        <is>
          <t>BA</t>
        </is>
      </c>
      <c r="F7" s="352" t="inlineStr">
        <is>
          <t>BE</t>
        </is>
      </c>
      <c r="G7" s="352" t="inlineStr">
        <is>
          <t>B</t>
        </is>
      </c>
      <c r="H7" s="352" t="inlineStr">
        <is>
          <t>CD</t>
        </is>
      </c>
      <c r="I7" s="352" t="inlineStr">
        <is>
          <t>CN-</t>
        </is>
      </c>
      <c r="J7" s="352" t="inlineStr">
        <is>
          <t>CL-</t>
        </is>
      </c>
      <c r="K7" s="352" t="inlineStr">
        <is>
          <t>CO</t>
        </is>
      </c>
      <c r="L7" s="352" t="inlineStr">
        <is>
          <t>CU</t>
        </is>
      </c>
      <c r="M7" s="352" t="inlineStr">
        <is>
          <t>CR</t>
        </is>
      </c>
      <c r="N7" s="352" t="inlineStr">
        <is>
          <t>F-</t>
        </is>
      </c>
      <c r="O7" s="352" t="inlineStr">
        <is>
          <t>FE</t>
        </is>
      </c>
      <c r="P7" s="352" t="inlineStr">
        <is>
          <t>LI</t>
        </is>
      </c>
      <c r="Q7" s="251" t="n"/>
      <c r="R7" s="352" t="inlineStr">
        <is>
          <t>MN</t>
        </is>
      </c>
      <c r="S7" s="352" t="inlineStr">
        <is>
          <t>HG</t>
        </is>
      </c>
      <c r="T7" s="337" t="inlineStr">
        <is>
          <t>MO</t>
        </is>
      </c>
      <c r="U7" s="352" t="inlineStr">
        <is>
          <t>NI</t>
        </is>
      </c>
      <c r="V7" s="352" t="inlineStr">
        <is>
          <t>AG</t>
        </is>
      </c>
      <c r="W7" s="352" t="inlineStr">
        <is>
          <t>PB</t>
        </is>
      </c>
      <c r="X7" s="352" t="inlineStr">
        <is>
          <t>SE</t>
        </is>
      </c>
      <c r="Y7" s="352" t="inlineStr">
        <is>
          <t>NA</t>
        </is>
      </c>
      <c r="Z7" s="352" t="inlineStr">
        <is>
          <t>SO4=</t>
        </is>
      </c>
      <c r="AA7" s="352" t="inlineStr">
        <is>
          <t>V</t>
        </is>
      </c>
      <c r="AB7" s="352" t="inlineStr">
        <is>
          <t>ZN</t>
        </is>
      </c>
      <c r="AC7" s="352" t="inlineStr">
        <is>
          <t>CE</t>
        </is>
      </c>
      <c r="AD7" s="337" t="inlineStr">
        <is>
          <t>PH</t>
        </is>
      </c>
      <c r="AE7" s="251" t="n"/>
      <c r="AF7" s="251" t="n"/>
      <c r="AG7" s="251" t="n"/>
      <c r="AH7" s="251" t="n"/>
      <c r="AI7" s="251" t="n"/>
      <c r="AJ7" s="251" t="n"/>
      <c r="AK7" s="251" t="n"/>
      <c r="AL7" s="43" t="inlineStr">
        <is>
          <t>Bicarbonato</t>
        </is>
      </c>
      <c r="AM7" s="43" t="inlineStr">
        <is>
          <t>Carbonato</t>
        </is>
      </c>
      <c r="AN7" s="7" t="n"/>
      <c r="AO7" s="7" t="n"/>
      <c r="AP7" s="352" t="inlineStr">
        <is>
          <t>Nitrogeno de Nitritos</t>
        </is>
      </c>
      <c r="AQ7" s="352" t="inlineStr">
        <is>
          <t>Solidos Disueltos</t>
        </is>
      </c>
      <c r="AR7" s="305" t="n"/>
      <c r="AS7" s="352" t="inlineStr">
        <is>
          <t>CA</t>
        </is>
      </c>
      <c r="AT7" s="352" t="inlineStr">
        <is>
          <t xml:space="preserve">CU DISUELTO </t>
        </is>
      </c>
      <c r="AU7" s="352" t="inlineStr">
        <is>
          <t>Magnesio</t>
        </is>
      </c>
      <c r="AV7" s="352" t="inlineStr">
        <is>
          <t>Nitrogeno Amoniacal</t>
        </is>
      </c>
      <c r="AW7" s="352" t="inlineStr">
        <is>
          <t>K</t>
        </is>
      </c>
      <c r="AX7" s="352"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37"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2" t="inlineStr">
        <is>
          <t>Metales Disueltos Según Nch 1333 y Nch 409</t>
        </is>
      </c>
      <c r="D9" s="369" t="n"/>
      <c r="E9" s="369" t="n"/>
      <c r="F9" s="369" t="n"/>
      <c r="G9" s="369" t="n"/>
      <c r="H9" s="369" t="n"/>
      <c r="I9" s="369" t="n"/>
      <c r="J9" s="369" t="n"/>
      <c r="K9" s="369" t="n"/>
      <c r="L9" s="369" t="n"/>
      <c r="M9" s="369" t="n"/>
      <c r="N9" s="369" t="n"/>
      <c r="O9" s="369" t="n"/>
      <c r="P9" s="369" t="n"/>
      <c r="Q9" s="369" t="n"/>
      <c r="R9" s="369" t="n"/>
      <c r="S9" s="369" t="n"/>
      <c r="T9" s="369" t="n"/>
      <c r="U9" s="369" t="n"/>
      <c r="V9" s="369" t="n"/>
      <c r="W9" s="369" t="n"/>
      <c r="X9" s="369" t="n"/>
      <c r="Y9" s="369" t="n"/>
      <c r="Z9" s="369" t="n"/>
      <c r="AA9" s="369" t="n"/>
      <c r="AB9" s="369" t="n"/>
      <c r="AC9" s="369" t="n"/>
      <c r="AD9" s="369" t="n"/>
      <c r="AE9" s="369" t="n"/>
      <c r="AF9" s="369" t="n"/>
      <c r="AG9" s="369" t="n"/>
      <c r="AH9" s="369" t="n"/>
      <c r="AI9" s="369" t="n"/>
      <c r="AJ9" s="369" t="n"/>
      <c r="AK9" s="369" t="n"/>
      <c r="AL9" s="369" t="n"/>
      <c r="AM9" s="369" t="n"/>
      <c r="AN9" s="369" t="n"/>
      <c r="AO9" s="369" t="n"/>
      <c r="AP9" s="369" t="n"/>
      <c r="AQ9" s="369"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2"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2" t="inlineStr">
        <is>
          <t>LI</t>
        </is>
      </c>
      <c r="Q13" s="7" t="n"/>
      <c r="R13" s="10" t="inlineStr">
        <is>
          <t>MN</t>
        </is>
      </c>
      <c r="S13" s="7" t="n"/>
      <c r="T13" s="337" t="inlineStr">
        <is>
          <t>MO</t>
        </is>
      </c>
      <c r="U13" s="352" t="inlineStr">
        <is>
          <t>NI</t>
        </is>
      </c>
      <c r="V13" s="10" t="inlineStr">
        <is>
          <t>AG</t>
        </is>
      </c>
      <c r="W13" s="352"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2" t="inlineStr">
        <is>
          <t>Carbonato</t>
        </is>
      </c>
      <c r="AN13" s="7" t="n"/>
      <c r="AO13" s="7" t="n"/>
      <c r="AP13" s="7" t="n"/>
      <c r="AQ13" s="352" t="inlineStr">
        <is>
          <t>Solidos disueltos totales</t>
        </is>
      </c>
      <c r="AR13" s="7" t="inlineStr">
        <is>
          <t>Nitrato</t>
        </is>
      </c>
      <c r="AS13" s="7" t="inlineStr">
        <is>
          <t>CA</t>
        </is>
      </c>
      <c r="AT13" s="7" t="n"/>
      <c r="AU13" s="352"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2"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2" t="inlineStr">
        <is>
          <t>Solidos disueltos totales</t>
        </is>
      </c>
      <c r="AR14" s="7" t="n"/>
      <c r="AS14" s="7" t="n"/>
      <c r="AT14" s="7" t="n"/>
      <c r="AU14" s="7" t="n"/>
      <c r="AV14" s="7" t="n"/>
      <c r="AW14" s="7" t="n"/>
      <c r="AX14" s="352"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2"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2"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3" t="inlineStr">
        <is>
          <t>PLAN BACTER ARSÉNICO</t>
        </is>
      </c>
      <c r="E23" s="369" t="n"/>
      <c r="F23" s="369" t="n"/>
      <c r="G23" s="369" t="n"/>
      <c r="H23" s="369" t="n"/>
      <c r="I23" s="369" t="n"/>
      <c r="J23" s="369" t="n"/>
      <c r="K23" s="369" t="n"/>
      <c r="L23" s="369" t="n"/>
      <c r="M23" s="369" t="n"/>
      <c r="N23" s="369" t="n"/>
      <c r="O23" s="369" t="n"/>
      <c r="P23" s="369" t="n"/>
      <c r="Q23" s="108" t="n"/>
      <c r="S23" s="354" t="inlineStr">
        <is>
          <t>PLAN NCh 1333 / IONICO RIEGO / SALINIDAD /BACTER TURB</t>
        </is>
      </c>
      <c r="T23" s="369" t="n"/>
      <c r="U23" s="369" t="n"/>
      <c r="V23" s="369" t="n"/>
      <c r="W23" s="369" t="n"/>
      <c r="X23" s="369" t="n"/>
      <c r="Y23" s="369" t="n"/>
      <c r="Z23" s="369" t="n"/>
      <c r="AA23" s="369" t="n"/>
      <c r="AB23" s="369" t="n"/>
      <c r="AC23" s="369" t="n"/>
      <c r="AD23" s="369" t="n"/>
      <c r="AE23" s="369" t="n"/>
      <c r="AF23" s="108" t="n"/>
      <c r="AI23" s="354" t="inlineStr">
        <is>
          <t>PLAN PTAS PUERTO</t>
        </is>
      </c>
      <c r="AJ23" s="369" t="n"/>
      <c r="AK23" s="369" t="n"/>
      <c r="AL23" s="369" t="n"/>
      <c r="AM23" s="369" t="n"/>
      <c r="AN23" s="369" t="n"/>
      <c r="AO23" s="369" t="n"/>
      <c r="AP23" s="369" t="n"/>
      <c r="AQ23" s="369" t="n"/>
      <c r="AR23" s="369" t="n"/>
      <c r="AS23" s="369" t="n"/>
      <c r="AT23" s="369" t="n"/>
      <c r="AU23" s="369" t="n"/>
      <c r="AV23" s="108" t="n"/>
    </row>
    <row r="24" ht="13" customHeight="1">
      <c r="D24" s="354" t="inlineStr">
        <is>
          <t>Análisis</t>
        </is>
      </c>
      <c r="E24" s="369" t="n"/>
      <c r="F24" s="369" t="n"/>
      <c r="G24" s="369" t="n"/>
      <c r="H24" s="369" t="n"/>
      <c r="I24" s="369" t="n"/>
      <c r="J24" s="369" t="n"/>
      <c r="K24" s="369" t="n"/>
      <c r="L24" s="369" t="n"/>
      <c r="M24" s="369" t="n"/>
      <c r="N24" s="369" t="n"/>
      <c r="O24" s="369" t="n"/>
      <c r="P24" s="369" t="n"/>
      <c r="Q24" s="108" t="n"/>
      <c r="S24" s="354" t="inlineStr">
        <is>
          <t>Análisis</t>
        </is>
      </c>
      <c r="T24" s="369" t="n"/>
      <c r="U24" s="369" t="n"/>
      <c r="V24" s="369" t="n"/>
      <c r="W24" s="369" t="n"/>
      <c r="X24" s="369" t="n"/>
      <c r="Y24" s="369" t="n"/>
      <c r="Z24" s="369" t="n"/>
      <c r="AA24" s="369" t="n"/>
      <c r="AB24" s="369" t="n"/>
      <c r="AC24" s="369" t="n"/>
      <c r="AD24" s="369" t="n"/>
      <c r="AE24" s="369" t="n"/>
      <c r="AF24" s="108" t="n"/>
      <c r="AI24" s="354" t="inlineStr">
        <is>
          <t>Análisis</t>
        </is>
      </c>
      <c r="AJ24" s="369" t="n"/>
      <c r="AK24" s="369" t="n"/>
      <c r="AL24" s="369" t="n"/>
      <c r="AM24" s="369" t="n"/>
      <c r="AN24" s="369" t="n"/>
      <c r="AO24" s="369" t="n"/>
      <c r="AP24" s="369" t="n"/>
      <c r="AQ24" s="369" t="n"/>
      <c r="AR24" s="369" t="n"/>
      <c r="AS24" s="369" t="n"/>
      <c r="AT24" s="369" t="n"/>
      <c r="AU24" s="369" t="n"/>
      <c r="AV24" s="108" t="n"/>
    </row>
    <row r="25" ht="27" customHeight="1">
      <c r="D25" s="355" t="inlineStr">
        <is>
          <t xml:space="preserve"> Coliformes Totales, Escherichia coli, TurbiedadArsenico Total</t>
        </is>
      </c>
      <c r="E25" s="369" t="n"/>
      <c r="F25" s="369" t="n"/>
      <c r="G25" s="369" t="n"/>
      <c r="H25" s="369" t="n"/>
      <c r="I25" s="369" t="n"/>
      <c r="J25" s="369" t="n"/>
      <c r="K25" s="369" t="n"/>
      <c r="L25" s="369" t="n"/>
      <c r="M25" s="369" t="n"/>
      <c r="N25" s="369" t="n"/>
      <c r="O25" s="369" t="n"/>
      <c r="P25" s="369" t="n"/>
      <c r="Q25" s="108" t="n"/>
      <c r="S25" s="355" t="inlineStr">
        <is>
          <t>Conductividad, pH, carbonato, bicarbonato, sólidos disueltos, sulfatos, N-Nitrato, cloruros, Fluoruros</t>
        </is>
      </c>
      <c r="T25" s="369" t="n"/>
      <c r="U25" s="369" t="n"/>
      <c r="V25" s="369" t="n"/>
      <c r="W25" s="369" t="n"/>
      <c r="X25" s="369" t="n"/>
      <c r="Y25" s="369" t="n"/>
      <c r="Z25" s="369" t="n"/>
      <c r="AA25" s="369" t="n"/>
      <c r="AB25" s="369" t="n"/>
      <c r="AC25" s="369" t="n"/>
      <c r="AD25" s="369" t="n"/>
      <c r="AE25" s="369" t="n"/>
      <c r="AF25" s="108" t="n"/>
      <c r="AI25" s="355" t="inlineStr">
        <is>
          <t>pH</t>
        </is>
      </c>
      <c r="AJ25" s="369" t="n"/>
      <c r="AK25" s="369" t="n"/>
      <c r="AL25" s="369" t="n"/>
      <c r="AM25" s="369" t="n"/>
      <c r="AN25" s="369" t="n"/>
      <c r="AO25" s="369" t="n"/>
      <c r="AP25" s="369" t="n"/>
      <c r="AQ25" s="369" t="n"/>
      <c r="AR25" s="369" t="n"/>
      <c r="AS25" s="369" t="n"/>
      <c r="AT25" s="369" t="n"/>
      <c r="AU25" s="369" t="n"/>
      <c r="AV25" s="108" t="n"/>
    </row>
    <row r="26" ht="27" customHeight="1">
      <c r="D26" s="32" t="n"/>
      <c r="S26" s="355" t="inlineStr">
        <is>
          <t>Al, As, B, Ba, Be, Cd, Ca, Zn, Cu, Co, Cr, Fe, Li, Mg, Mn, Mo, Ni, Ag, Pb, K, Se, Na, Na %, V,</t>
        </is>
      </c>
      <c r="T26" s="369" t="n"/>
      <c r="U26" s="369" t="n"/>
      <c r="V26" s="369" t="n"/>
      <c r="W26" s="369" t="n"/>
      <c r="X26" s="369" t="n"/>
      <c r="Y26" s="369" t="n"/>
      <c r="Z26" s="369" t="n"/>
      <c r="AA26" s="369" t="n"/>
      <c r="AB26" s="369" t="n"/>
      <c r="AC26" s="369" t="n"/>
      <c r="AD26" s="369" t="n"/>
      <c r="AE26" s="369" t="n"/>
      <c r="AF26" s="108" t="n"/>
      <c r="AI26" s="355" t="inlineStr">
        <is>
          <t>Conductividad Eléctrica</t>
        </is>
      </c>
      <c r="AJ26" s="369" t="n"/>
      <c r="AK26" s="369" t="n"/>
      <c r="AL26" s="369" t="n"/>
      <c r="AM26" s="369" t="n"/>
      <c r="AN26" s="369" t="n"/>
      <c r="AO26" s="369" t="n"/>
      <c r="AP26" s="369" t="n"/>
      <c r="AQ26" s="369" t="n"/>
      <c r="AR26" s="369" t="n"/>
      <c r="AS26" s="369" t="n"/>
      <c r="AT26" s="369" t="n"/>
      <c r="AU26" s="369" t="n"/>
      <c r="AV26" s="108" t="n"/>
    </row>
    <row r="27" ht="12.5" customHeight="1">
      <c r="S27" s="355" t="inlineStr">
        <is>
          <t>Mercurio</t>
        </is>
      </c>
      <c r="T27" s="369" t="n"/>
      <c r="U27" s="369" t="n"/>
      <c r="V27" s="369" t="n"/>
      <c r="W27" s="369" t="n"/>
      <c r="X27" s="369" t="n"/>
      <c r="Y27" s="369" t="n"/>
      <c r="Z27" s="369" t="n"/>
      <c r="AA27" s="369" t="n"/>
      <c r="AB27" s="369" t="n"/>
      <c r="AC27" s="369" t="n"/>
      <c r="AD27" s="369" t="n"/>
      <c r="AE27" s="369" t="n"/>
      <c r="AF27" s="108" t="n"/>
      <c r="AI27" s="355" t="inlineStr">
        <is>
          <t>Solidos Disueltos Totales</t>
        </is>
      </c>
      <c r="AJ27" s="369" t="n"/>
      <c r="AK27" s="369" t="n"/>
      <c r="AL27" s="369" t="n"/>
      <c r="AM27" s="369" t="n"/>
      <c r="AN27" s="369" t="n"/>
      <c r="AO27" s="369" t="n"/>
      <c r="AP27" s="369" t="n"/>
      <c r="AQ27" s="369" t="n"/>
      <c r="AR27" s="369" t="n"/>
      <c r="AS27" s="369" t="n"/>
      <c r="AT27" s="369" t="n"/>
      <c r="AU27" s="369" t="n"/>
      <c r="AV27" s="108" t="n"/>
    </row>
    <row r="28" ht="13" customHeight="1">
      <c r="D28" s="353" t="inlineStr">
        <is>
          <t>PLAN ARSENICO</t>
        </is>
      </c>
      <c r="E28" s="369" t="n"/>
      <c r="F28" s="369" t="n"/>
      <c r="G28" s="369" t="n"/>
      <c r="H28" s="369" t="n"/>
      <c r="I28" s="369" t="n"/>
      <c r="J28" s="369" t="n"/>
      <c r="K28" s="369" t="n"/>
      <c r="L28" s="369" t="n"/>
      <c r="M28" s="369" t="n"/>
      <c r="N28" s="369" t="n"/>
      <c r="O28" s="369" t="n"/>
      <c r="P28" s="369" t="n"/>
      <c r="Q28" s="108" t="n"/>
      <c r="S28" s="355" t="inlineStr">
        <is>
          <t>Cianuro.</t>
        </is>
      </c>
      <c r="T28" s="369" t="n"/>
      <c r="U28" s="369" t="n"/>
      <c r="V28" s="369" t="n"/>
      <c r="W28" s="369" t="n"/>
      <c r="X28" s="369" t="n"/>
      <c r="Y28" s="369" t="n"/>
      <c r="Z28" s="369" t="n"/>
      <c r="AA28" s="369" t="n"/>
      <c r="AB28" s="369" t="n"/>
      <c r="AC28" s="369" t="n"/>
      <c r="AD28" s="369" t="n"/>
      <c r="AE28" s="369" t="n"/>
      <c r="AF28" s="108" t="n"/>
      <c r="AI28" s="355" t="inlineStr">
        <is>
          <t>Coliformes Fecales</t>
        </is>
      </c>
      <c r="AJ28" s="369" t="n"/>
      <c r="AK28" s="369" t="n"/>
      <c r="AL28" s="369" t="n"/>
      <c r="AM28" s="369" t="n"/>
      <c r="AN28" s="369" t="n"/>
      <c r="AO28" s="369" t="n"/>
      <c r="AP28" s="369" t="n"/>
      <c r="AQ28" s="369" t="n"/>
      <c r="AR28" s="369" t="n"/>
      <c r="AS28" s="369" t="n"/>
      <c r="AT28" s="369" t="n"/>
      <c r="AU28" s="369" t="n"/>
      <c r="AV28" s="108" t="n"/>
    </row>
    <row r="29" ht="13" customHeight="1">
      <c r="D29" s="354" t="inlineStr">
        <is>
          <t>Análisis</t>
        </is>
      </c>
      <c r="E29" s="369" t="n"/>
      <c r="F29" s="369" t="n"/>
      <c r="G29" s="369" t="n"/>
      <c r="H29" s="369" t="n"/>
      <c r="I29" s="369" t="n"/>
      <c r="J29" s="369" t="n"/>
      <c r="K29" s="369" t="n"/>
      <c r="L29" s="369" t="n"/>
      <c r="M29" s="369" t="n"/>
      <c r="N29" s="369" t="n"/>
      <c r="O29" s="369" t="n"/>
      <c r="P29" s="369" t="n"/>
      <c r="Q29" s="108" t="n"/>
      <c r="S29" s="355" t="inlineStr">
        <is>
          <t>Salinidad</t>
        </is>
      </c>
      <c r="T29" s="369" t="n"/>
      <c r="U29" s="369" t="n"/>
      <c r="V29" s="369" t="n"/>
      <c r="W29" s="369" t="n"/>
      <c r="X29" s="369" t="n"/>
      <c r="Y29" s="369" t="n"/>
      <c r="Z29" s="369" t="n"/>
      <c r="AA29" s="369" t="n"/>
      <c r="AB29" s="369" t="n"/>
      <c r="AC29" s="369" t="n"/>
      <c r="AD29" s="369" t="n"/>
      <c r="AE29" s="369" t="n"/>
      <c r="AF29" s="108" t="n"/>
      <c r="AI29" s="355" t="inlineStr">
        <is>
          <t>Coliformes Totales</t>
        </is>
      </c>
      <c r="AJ29" s="369" t="n"/>
      <c r="AK29" s="369" t="n"/>
      <c r="AL29" s="369" t="n"/>
      <c r="AM29" s="369" t="n"/>
      <c r="AN29" s="369" t="n"/>
      <c r="AO29" s="369" t="n"/>
      <c r="AP29" s="369" t="n"/>
      <c r="AQ29" s="369" t="n"/>
      <c r="AR29" s="369" t="n"/>
      <c r="AS29" s="369" t="n"/>
      <c r="AT29" s="369" t="n"/>
      <c r="AU29" s="369" t="n"/>
      <c r="AV29" s="108" t="n"/>
    </row>
    <row r="30" ht="12.5" customHeight="1">
      <c r="D30" s="355" t="inlineStr">
        <is>
          <t>Arsenico Total, Arsénico Especiado, Fosfato Silice</t>
        </is>
      </c>
      <c r="E30" s="369" t="n"/>
      <c r="F30" s="369" t="n"/>
      <c r="G30" s="369" t="n"/>
      <c r="H30" s="369" t="n"/>
      <c r="I30" s="369" t="n"/>
      <c r="J30" s="369" t="n"/>
      <c r="K30" s="369" t="n"/>
      <c r="L30" s="369" t="n"/>
      <c r="M30" s="369" t="n"/>
      <c r="N30" s="369" t="n"/>
      <c r="O30" s="369" t="n"/>
      <c r="P30" s="369" t="n"/>
      <c r="Q30" s="108" t="n"/>
      <c r="S30" s="355" t="inlineStr">
        <is>
          <t xml:space="preserve"> Coliformes Totales, Escherichia coli, Turbiedad</t>
        </is>
      </c>
      <c r="T30" s="369" t="n"/>
      <c r="U30" s="369" t="n"/>
      <c r="V30" s="369" t="n"/>
      <c r="W30" s="369" t="n"/>
      <c r="X30" s="369" t="n"/>
      <c r="Y30" s="369" t="n"/>
      <c r="Z30" s="369" t="n"/>
      <c r="AA30" s="369" t="n"/>
      <c r="AB30" s="369" t="n"/>
      <c r="AC30" s="369" t="n"/>
      <c r="AD30" s="369" t="n"/>
      <c r="AE30" s="369" t="n"/>
      <c r="AF30" s="108" t="n"/>
    </row>
    <row r="32" ht="13" customHeight="1">
      <c r="D32" s="353" t="inlineStr">
        <is>
          <t>PLAN BACTER</t>
        </is>
      </c>
      <c r="E32" s="369" t="n"/>
      <c r="F32" s="369" t="n"/>
      <c r="G32" s="369" t="n"/>
      <c r="H32" s="369" t="n"/>
      <c r="I32" s="369" t="n"/>
      <c r="J32" s="369" t="n"/>
      <c r="K32" s="369" t="n"/>
      <c r="L32" s="369" t="n"/>
      <c r="M32" s="369" t="n"/>
      <c r="N32" s="369" t="n"/>
      <c r="O32" s="369" t="n"/>
      <c r="P32" s="369" t="n"/>
      <c r="Q32" s="108" t="n"/>
      <c r="S32" s="353" t="inlineStr">
        <is>
          <t>PLAN SALAR</t>
        </is>
      </c>
      <c r="T32" s="369" t="n"/>
      <c r="U32" s="369" t="n"/>
      <c r="V32" s="369" t="n"/>
      <c r="W32" s="369" t="n"/>
      <c r="X32" s="369" t="n"/>
      <c r="Y32" s="369" t="n"/>
      <c r="Z32" s="369" t="n"/>
      <c r="AA32" s="369" t="n"/>
      <c r="AB32" s="369" t="n"/>
      <c r="AC32" s="369" t="n"/>
      <c r="AD32" s="369" t="n"/>
      <c r="AE32" s="369" t="n"/>
      <c r="AF32" s="108" t="n"/>
      <c r="AI32" s="354" t="inlineStr">
        <is>
          <t>PLAN BACTER PUERTO</t>
        </is>
      </c>
      <c r="AJ32" s="369" t="n"/>
      <c r="AK32" s="369" t="n"/>
      <c r="AL32" s="369" t="n"/>
      <c r="AM32" s="369" t="n"/>
      <c r="AN32" s="369" t="n"/>
      <c r="AO32" s="369" t="n"/>
      <c r="AP32" s="369" t="n"/>
      <c r="AQ32" s="369" t="n"/>
      <c r="AR32" s="369" t="n"/>
      <c r="AS32" s="369" t="n"/>
      <c r="AT32" s="369" t="n"/>
      <c r="AU32" s="369" t="n"/>
      <c r="AV32" s="108" t="n"/>
    </row>
    <row r="33" ht="13" customHeight="1">
      <c r="D33" s="354" t="inlineStr">
        <is>
          <t>Análisis</t>
        </is>
      </c>
      <c r="E33" s="369" t="n"/>
      <c r="F33" s="369" t="n"/>
      <c r="G33" s="369" t="n"/>
      <c r="H33" s="369" t="n"/>
      <c r="I33" s="369" t="n"/>
      <c r="J33" s="369" t="n"/>
      <c r="K33" s="369" t="n"/>
      <c r="L33" s="369" t="n"/>
      <c r="M33" s="369" t="n"/>
      <c r="N33" s="369" t="n"/>
      <c r="O33" s="369" t="n"/>
      <c r="P33" s="369" t="n"/>
      <c r="Q33" s="108" t="n"/>
      <c r="S33" s="353" t="inlineStr">
        <is>
          <t>Análisis</t>
        </is>
      </c>
      <c r="T33" s="369" t="n"/>
      <c r="U33" s="369" t="n"/>
      <c r="V33" s="369" t="n"/>
      <c r="W33" s="369" t="n"/>
      <c r="X33" s="369" t="n"/>
      <c r="Y33" s="369" t="n"/>
      <c r="Z33" s="369" t="n"/>
      <c r="AA33" s="369" t="n"/>
      <c r="AB33" s="369" t="n"/>
      <c r="AC33" s="369" t="n"/>
      <c r="AD33" s="369" t="n"/>
      <c r="AE33" s="369" t="n"/>
      <c r="AF33" s="108" t="n"/>
      <c r="AI33" s="354" t="inlineStr">
        <is>
          <t>Análisis</t>
        </is>
      </c>
      <c r="AJ33" s="369" t="n"/>
      <c r="AK33" s="369" t="n"/>
      <c r="AL33" s="369" t="n"/>
      <c r="AM33" s="369" t="n"/>
      <c r="AN33" s="369" t="n"/>
      <c r="AO33" s="369" t="n"/>
      <c r="AP33" s="369" t="n"/>
      <c r="AQ33" s="369" t="n"/>
      <c r="AR33" s="369" t="n"/>
      <c r="AS33" s="369" t="n"/>
      <c r="AT33" s="369" t="n"/>
      <c r="AU33" s="369" t="n"/>
      <c r="AV33" s="108" t="n"/>
    </row>
    <row r="34" ht="12.5" customHeight="1">
      <c r="D34" s="355" t="inlineStr">
        <is>
          <t>Coliformes Totales, Escherichia coli, Turbiedad</t>
        </is>
      </c>
      <c r="E34" s="369" t="n"/>
      <c r="F34" s="369" t="n"/>
      <c r="G34" s="369" t="n"/>
      <c r="H34" s="369" t="n"/>
      <c r="I34" s="369" t="n"/>
      <c r="J34" s="369" t="n"/>
      <c r="K34" s="369" t="n"/>
      <c r="L34" s="369" t="n"/>
      <c r="M34" s="369" t="n"/>
      <c r="N34" s="369" t="n"/>
      <c r="O34" s="369" t="n"/>
      <c r="P34" s="369" t="n"/>
      <c r="Q34" s="108" t="n"/>
      <c r="S34" s="355" t="inlineStr">
        <is>
          <t>Conductividad, pH, carbonato, bicarbonato, Fluoruros, sulfatos, cloruros, Nitrógeno de  Nitratos</t>
        </is>
      </c>
      <c r="T34" s="369" t="n"/>
      <c r="U34" s="369" t="n"/>
      <c r="V34" s="369" t="n"/>
      <c r="W34" s="369" t="n"/>
      <c r="X34" s="369" t="n"/>
      <c r="Y34" s="369" t="n"/>
      <c r="Z34" s="369" t="n"/>
      <c r="AA34" s="369" t="n"/>
      <c r="AB34" s="369" t="n"/>
      <c r="AC34" s="369" t="n"/>
      <c r="AD34" s="369" t="n"/>
      <c r="AE34" s="369" t="n"/>
      <c r="AF34" s="108" t="n"/>
      <c r="AI34" s="355" t="inlineStr">
        <is>
          <t xml:space="preserve"> Coliformes Totales, Escherichia coli, Turbiedad</t>
        </is>
      </c>
      <c r="AJ34" s="369" t="n"/>
      <c r="AK34" s="369" t="n"/>
      <c r="AL34" s="369" t="n"/>
      <c r="AM34" s="369" t="n"/>
      <c r="AN34" s="369" t="n"/>
      <c r="AO34" s="369" t="n"/>
      <c r="AP34" s="369" t="n"/>
      <c r="AQ34" s="369" t="n"/>
      <c r="AR34" s="369" t="n"/>
      <c r="AS34" s="369" t="n"/>
      <c r="AT34" s="369" t="n"/>
      <c r="AU34" s="369" t="n"/>
      <c r="AV34" s="108" t="n"/>
    </row>
    <row r="35" ht="12.5" customHeight="1">
      <c r="S35" s="355" t="inlineStr">
        <is>
          <t>B, Ca, Mn total, Na, K, Balance Iónico</t>
        </is>
      </c>
      <c r="T35" s="369" t="n"/>
      <c r="U35" s="369" t="n"/>
      <c r="V35" s="369" t="n"/>
      <c r="W35" s="369" t="n"/>
      <c r="X35" s="369" t="n"/>
      <c r="Y35" s="369" t="n"/>
      <c r="Z35" s="369" t="n"/>
      <c r="AA35" s="369" t="n"/>
      <c r="AB35" s="369" t="n"/>
      <c r="AC35" s="369" t="n"/>
      <c r="AD35" s="369" t="n"/>
      <c r="AE35" s="369" t="n"/>
      <c r="AF35" s="108" t="n"/>
      <c r="AI35" s="355" t="inlineStr">
        <is>
          <t>Hierro Total</t>
        </is>
      </c>
      <c r="AJ35" s="369" t="n"/>
      <c r="AK35" s="369" t="n"/>
      <c r="AL35" s="369" t="n"/>
      <c r="AM35" s="369" t="n"/>
      <c r="AN35" s="369" t="n"/>
      <c r="AO35" s="369" t="n"/>
      <c r="AP35" s="369" t="n"/>
      <c r="AQ35" s="369" t="n"/>
      <c r="AR35" s="369" t="n"/>
      <c r="AS35" s="369" t="n"/>
      <c r="AT35" s="369" t="n"/>
      <c r="AU35" s="369" t="n"/>
      <c r="AV35" s="108" t="n"/>
    </row>
    <row r="36" ht="13" customHeight="1">
      <c r="D36" s="353" t="inlineStr">
        <is>
          <t>PLAN NCh 1333 IONICO RIEGO</t>
        </is>
      </c>
      <c r="E36" s="369" t="n"/>
      <c r="F36" s="369" t="n"/>
      <c r="G36" s="369" t="n"/>
      <c r="H36" s="369" t="n"/>
      <c r="I36" s="369" t="n"/>
      <c r="J36" s="369" t="n"/>
      <c r="K36" s="369" t="n"/>
      <c r="L36" s="369" t="n"/>
      <c r="M36" s="369" t="n"/>
      <c r="N36" s="369" t="n"/>
      <c r="O36" s="369" t="n"/>
      <c r="P36" s="369" t="n"/>
      <c r="Q36" s="108" t="n"/>
      <c r="AI36" s="355" t="inlineStr">
        <is>
          <t>Cloruro</t>
        </is>
      </c>
      <c r="AJ36" s="369" t="n"/>
      <c r="AK36" s="369" t="n"/>
      <c r="AL36" s="369" t="n"/>
      <c r="AM36" s="369" t="n"/>
      <c r="AN36" s="369" t="n"/>
      <c r="AO36" s="369" t="n"/>
      <c r="AP36" s="369" t="n"/>
      <c r="AQ36" s="369" t="n"/>
      <c r="AR36" s="369" t="n"/>
      <c r="AS36" s="369" t="n"/>
      <c r="AT36" s="369" t="n"/>
      <c r="AU36" s="369" t="n"/>
      <c r="AV36" s="108" t="n"/>
    </row>
    <row r="37" ht="13" customHeight="1">
      <c r="D37" s="356" t="inlineStr">
        <is>
          <t>Análisis</t>
        </is>
      </c>
      <c r="E37" s="380" t="n"/>
      <c r="F37" s="380" t="n"/>
      <c r="G37" s="380" t="n"/>
      <c r="H37" s="380" t="n"/>
      <c r="I37" s="380" t="n"/>
      <c r="J37" s="380" t="n"/>
      <c r="K37" s="380" t="n"/>
      <c r="L37" s="380" t="n"/>
      <c r="M37" s="380" t="n"/>
      <c r="N37" s="380" t="n"/>
      <c r="O37" s="380" t="n"/>
      <c r="P37" s="380" t="n"/>
      <c r="Q37" s="380" t="n"/>
      <c r="S37" s="356" t="inlineStr">
        <is>
          <t>PLAN VERTEDERO</t>
        </is>
      </c>
      <c r="T37" s="380" t="n"/>
      <c r="U37" s="380" t="n"/>
      <c r="V37" s="380" t="n"/>
      <c r="W37" s="380" t="n"/>
      <c r="X37" s="380" t="n"/>
      <c r="Y37" s="380" t="n"/>
      <c r="Z37" s="380" t="n"/>
      <c r="AA37" s="380" t="n"/>
      <c r="AB37" s="380" t="n"/>
      <c r="AC37" s="380" t="n"/>
      <c r="AD37" s="380" t="n"/>
      <c r="AE37" s="380" t="n"/>
      <c r="AF37" s="380" t="n"/>
      <c r="AI37" s="355" t="inlineStr">
        <is>
          <t>pH</t>
        </is>
      </c>
      <c r="AJ37" s="369" t="n"/>
      <c r="AK37" s="369" t="n"/>
      <c r="AL37" s="369" t="n"/>
      <c r="AM37" s="369" t="n"/>
      <c r="AN37" s="369" t="n"/>
      <c r="AO37" s="369" t="n"/>
      <c r="AP37" s="369" t="n"/>
      <c r="AQ37" s="369" t="n"/>
      <c r="AR37" s="369" t="n"/>
      <c r="AS37" s="369" t="n"/>
      <c r="AT37" s="369" t="n"/>
      <c r="AU37" s="369" t="n"/>
      <c r="AV37" s="108" t="n"/>
    </row>
    <row r="38" ht="34.5" customHeight="1">
      <c r="D38" s="358" t="inlineStr">
        <is>
          <t>Conductividad, pH, carbonato, bicarbonato, sólidos disueltos, sulfatos, N-Nitrato, cloruros, Fluoruros</t>
        </is>
      </c>
      <c r="E38" s="379" t="n"/>
      <c r="F38" s="379" t="n"/>
      <c r="G38" s="379" t="n"/>
      <c r="H38" s="379" t="n"/>
      <c r="I38" s="379" t="n"/>
      <c r="J38" s="379" t="n"/>
      <c r="K38" s="379" t="n"/>
      <c r="L38" s="379" t="n"/>
      <c r="M38" s="379" t="n"/>
      <c r="N38" s="379" t="n"/>
      <c r="O38" s="379" t="n"/>
      <c r="P38" s="379" t="n"/>
      <c r="Q38" s="379" t="n"/>
      <c r="S38" s="360" t="inlineStr">
        <is>
          <t>Análisis</t>
        </is>
      </c>
      <c r="T38" s="379" t="n"/>
      <c r="U38" s="379" t="n"/>
      <c r="V38" s="379" t="n"/>
      <c r="W38" s="379" t="n"/>
      <c r="X38" s="379" t="n"/>
      <c r="Y38" s="379" t="n"/>
      <c r="Z38" s="379" t="n"/>
      <c r="AA38" s="379" t="n"/>
      <c r="AB38" s="379" t="n"/>
      <c r="AC38" s="379" t="n"/>
      <c r="AD38" s="379" t="n"/>
      <c r="AE38" s="379" t="n"/>
      <c r="AF38" s="379" t="n"/>
    </row>
    <row r="39" ht="34.5" customHeight="1">
      <c r="D39" s="355" t="inlineStr">
        <is>
          <t>Al, As, B, Ba, Be, Cd, Ca, Zn, Cu, Co, Cr, Fe, Li, Mg, Mn, Mo, Ni, Ag, Pb, K, Se, Na, Na %, V,</t>
        </is>
      </c>
      <c r="E39" s="369" t="n"/>
      <c r="F39" s="369" t="n"/>
      <c r="G39" s="369" t="n"/>
      <c r="H39" s="369" t="n"/>
      <c r="I39" s="369" t="n"/>
      <c r="J39" s="369" t="n"/>
      <c r="K39" s="369" t="n"/>
      <c r="L39" s="369" t="n"/>
      <c r="M39" s="369" t="n"/>
      <c r="N39" s="369" t="n"/>
      <c r="O39" s="369" t="n"/>
      <c r="P39" s="369" t="n"/>
      <c r="Q39" s="108" t="n"/>
      <c r="S39" s="355" t="inlineStr">
        <is>
          <t>Sulfatos, Cloruros, Bicarbonato, Fluoruros, DBO5, pH a 25°C, Cromo hexavalente, Carbonatos, Nitrógeno de nitrito, Nitrógeno de nitrato</t>
        </is>
      </c>
      <c r="T39" s="369" t="n"/>
      <c r="U39" s="369" t="n"/>
      <c r="V39" s="369" t="n"/>
      <c r="W39" s="369" t="n"/>
      <c r="X39" s="369" t="n"/>
      <c r="Y39" s="369" t="n"/>
      <c r="Z39" s="369" t="n"/>
      <c r="AA39" s="369" t="n"/>
      <c r="AB39" s="369" t="n"/>
      <c r="AC39" s="369" t="n"/>
      <c r="AD39" s="369" t="n"/>
      <c r="AE39" s="369" t="n"/>
      <c r="AF39" s="108" t="n"/>
      <c r="AI39" s="354" t="inlineStr">
        <is>
          <t>PLAN PCA</t>
        </is>
      </c>
      <c r="AJ39" s="369" t="n"/>
      <c r="AK39" s="369" t="n"/>
      <c r="AL39" s="369" t="n"/>
      <c r="AM39" s="369" t="n"/>
      <c r="AN39" s="369" t="n"/>
      <c r="AO39" s="369" t="n"/>
      <c r="AP39" s="369" t="n"/>
      <c r="AQ39" s="369" t="n"/>
      <c r="AR39" s="369" t="n"/>
      <c r="AS39" s="369" t="n"/>
      <c r="AT39" s="369" t="n"/>
      <c r="AU39" s="369" t="n"/>
      <c r="AV39" s="108" t="n"/>
    </row>
    <row r="40" ht="13" customHeight="1">
      <c r="D40" s="355" t="inlineStr">
        <is>
          <t>Mercurio</t>
        </is>
      </c>
      <c r="E40" s="369" t="n"/>
      <c r="F40" s="369" t="n"/>
      <c r="G40" s="369" t="n"/>
      <c r="H40" s="369" t="n"/>
      <c r="I40" s="369" t="n"/>
      <c r="J40" s="369" t="n"/>
      <c r="K40" s="369" t="n"/>
      <c r="L40" s="369" t="n"/>
      <c r="M40" s="369" t="n"/>
      <c r="N40" s="369" t="n"/>
      <c r="O40" s="369" t="n"/>
      <c r="P40" s="369" t="n"/>
      <c r="Q40" s="108" t="n"/>
      <c r="S40" s="355" t="inlineStr">
        <is>
          <t>Al, As, B, Cd, Ca, Cinc, Cu, Co, Fe, Mg, Mn, Mo, Ni, Pb, Se, Na.</t>
        </is>
      </c>
      <c r="T40" s="369" t="n"/>
      <c r="U40" s="369" t="n"/>
      <c r="V40" s="369" t="n"/>
      <c r="W40" s="369" t="n"/>
      <c r="X40" s="369" t="n"/>
      <c r="Y40" s="369" t="n"/>
      <c r="Z40" s="369" t="n"/>
      <c r="AA40" s="369" t="n"/>
      <c r="AB40" s="369" t="n"/>
      <c r="AC40" s="369" t="n"/>
      <c r="AD40" s="369" t="n"/>
      <c r="AE40" s="369" t="n"/>
      <c r="AF40" s="108" t="n"/>
      <c r="AI40" s="354" t="inlineStr">
        <is>
          <t>Análisis</t>
        </is>
      </c>
      <c r="AJ40" s="369" t="n"/>
      <c r="AK40" s="369" t="n"/>
      <c r="AL40" s="369" t="n"/>
      <c r="AM40" s="369" t="n"/>
      <c r="AN40" s="369" t="n"/>
      <c r="AO40" s="369" t="n"/>
      <c r="AP40" s="369" t="n"/>
      <c r="AQ40" s="369" t="n"/>
      <c r="AR40" s="369" t="n"/>
      <c r="AS40" s="369" t="n"/>
      <c r="AT40" s="369" t="n"/>
      <c r="AU40" s="369" t="n"/>
      <c r="AV40" s="108" t="n"/>
    </row>
    <row r="41" ht="12.5" customHeight="1">
      <c r="D41" s="355" t="inlineStr">
        <is>
          <t>Cianuro.</t>
        </is>
      </c>
      <c r="E41" s="369" t="n"/>
      <c r="F41" s="369" t="n"/>
      <c r="G41" s="369" t="n"/>
      <c r="H41" s="369" t="n"/>
      <c r="I41" s="369" t="n"/>
      <c r="J41" s="369" t="n"/>
      <c r="K41" s="369" t="n"/>
      <c r="L41" s="369" t="n"/>
      <c r="M41" s="369" t="n"/>
      <c r="N41" s="369" t="n"/>
      <c r="O41" s="369" t="n"/>
      <c r="P41" s="369" t="n"/>
      <c r="Q41" s="108" t="n"/>
      <c r="S41" s="355" t="inlineStr">
        <is>
          <t>Mercurio</t>
        </is>
      </c>
      <c r="T41" s="369" t="n"/>
      <c r="U41" s="369" t="n"/>
      <c r="V41" s="369" t="n"/>
      <c r="W41" s="369" t="n"/>
      <c r="X41" s="369" t="n"/>
      <c r="Y41" s="369" t="n"/>
      <c r="Z41" s="369" t="n"/>
      <c r="AA41" s="369" t="n"/>
      <c r="AB41" s="369" t="n"/>
      <c r="AC41" s="369" t="n"/>
      <c r="AD41" s="369" t="n"/>
      <c r="AE41" s="369" t="n"/>
      <c r="AF41" s="108" t="n"/>
      <c r="AI41" s="355" t="inlineStr">
        <is>
          <t>As, Ag, B, Ca, K, Na, Ni, Pb, Fe, Cu, Zn, Li, Mn, Mg, Mo</t>
        </is>
      </c>
      <c r="AJ41" s="369" t="n"/>
      <c r="AK41" s="369" t="n"/>
      <c r="AL41" s="369" t="n"/>
      <c r="AM41" s="369" t="n"/>
      <c r="AN41" s="369" t="n"/>
      <c r="AO41" s="369" t="n"/>
      <c r="AP41" s="369" t="n"/>
      <c r="AQ41" s="369" t="n"/>
      <c r="AR41" s="369" t="n"/>
      <c r="AS41" s="369" t="n"/>
      <c r="AT41" s="369" t="n"/>
      <c r="AU41" s="369" t="n"/>
      <c r="AV41" s="108" t="n"/>
    </row>
    <row r="42" ht="12.5" customHeight="1">
      <c r="S42" s="355" t="inlineStr">
        <is>
          <t>Aceites y grasas</t>
        </is>
      </c>
      <c r="T42" s="369" t="n"/>
      <c r="U42" s="369" t="n"/>
      <c r="V42" s="369" t="n"/>
      <c r="W42" s="369" t="n"/>
      <c r="X42" s="369" t="n"/>
      <c r="Y42" s="369" t="n"/>
      <c r="Z42" s="369" t="n"/>
      <c r="AA42" s="369" t="n"/>
      <c r="AB42" s="369" t="n"/>
      <c r="AC42" s="369" t="n"/>
      <c r="AD42" s="369" t="n"/>
      <c r="AE42" s="369" t="n"/>
      <c r="AF42" s="108" t="n"/>
      <c r="AI42" s="355" t="inlineStr">
        <is>
          <t>HCO3, CO3, Sulfatos, S. Disueltos, Nitratos, Cl, pH, Conductividad</t>
        </is>
      </c>
      <c r="AJ42" s="369" t="n"/>
      <c r="AK42" s="369" t="n"/>
      <c r="AL42" s="369" t="n"/>
      <c r="AM42" s="369" t="n"/>
      <c r="AN42" s="369" t="n"/>
      <c r="AO42" s="369" t="n"/>
      <c r="AP42" s="369" t="n"/>
      <c r="AQ42" s="369" t="n"/>
      <c r="AR42" s="369" t="n"/>
      <c r="AS42" s="369" t="n"/>
      <c r="AT42" s="369" t="n"/>
      <c r="AU42" s="369" t="n"/>
      <c r="AV42" s="108" t="n"/>
    </row>
    <row r="43" ht="13" customHeight="1">
      <c r="D43" s="353" t="inlineStr">
        <is>
          <t>PLAN NCh 1333 / IONICO RIEGO / SALINIDAD</t>
        </is>
      </c>
      <c r="E43" s="369" t="n"/>
      <c r="F43" s="369" t="n"/>
      <c r="G43" s="369" t="n"/>
      <c r="H43" s="369" t="n"/>
      <c r="I43" s="369" t="n"/>
      <c r="J43" s="369" t="n"/>
      <c r="K43" s="369" t="n"/>
      <c r="L43" s="369" t="n"/>
      <c r="M43" s="369" t="n"/>
      <c r="N43" s="369" t="n"/>
      <c r="O43" s="369" t="n"/>
      <c r="P43" s="369" t="n"/>
      <c r="Q43" s="108" t="n"/>
      <c r="S43" s="355" t="inlineStr">
        <is>
          <t>Pentaclorofenol</t>
        </is>
      </c>
      <c r="T43" s="369" t="n"/>
      <c r="U43" s="369" t="n"/>
      <c r="V43" s="369" t="n"/>
      <c r="W43" s="369" t="n"/>
      <c r="X43" s="369" t="n"/>
      <c r="Y43" s="369" t="n"/>
      <c r="Z43" s="369" t="n"/>
      <c r="AA43" s="369" t="n"/>
      <c r="AB43" s="369" t="n"/>
      <c r="AC43" s="369" t="n"/>
      <c r="AD43" s="369" t="n"/>
      <c r="AE43" s="369" t="n"/>
      <c r="AF43" s="108" t="n"/>
    </row>
    <row r="44" ht="13" customHeight="1">
      <c r="D44" s="360" t="inlineStr">
        <is>
          <t>Análisis</t>
        </is>
      </c>
      <c r="E44" s="379" t="n"/>
      <c r="F44" s="379" t="n"/>
      <c r="G44" s="379" t="n"/>
      <c r="H44" s="379" t="n"/>
      <c r="I44" s="379" t="n"/>
      <c r="J44" s="379" t="n"/>
      <c r="K44" s="379" t="n"/>
      <c r="L44" s="379" t="n"/>
      <c r="M44" s="379" t="n"/>
      <c r="N44" s="379" t="n"/>
      <c r="O44" s="379" t="n"/>
      <c r="P44" s="379" t="n"/>
      <c r="Q44" s="379" t="n"/>
      <c r="S44" s="355" t="inlineStr">
        <is>
          <t>Súlfuro Total</t>
        </is>
      </c>
      <c r="T44" s="369" t="n"/>
      <c r="U44" s="369" t="n"/>
      <c r="V44" s="369" t="n"/>
      <c r="W44" s="369" t="n"/>
      <c r="X44" s="369" t="n"/>
      <c r="Y44" s="369" t="n"/>
      <c r="Z44" s="369" t="n"/>
      <c r="AA44" s="369" t="n"/>
      <c r="AB44" s="369" t="n"/>
      <c r="AC44" s="369" t="n"/>
      <c r="AD44" s="369" t="n"/>
      <c r="AE44" s="369" t="n"/>
      <c r="AF44" s="108" t="n"/>
    </row>
    <row r="45" ht="13" customHeight="1">
      <c r="D45" s="355" t="inlineStr">
        <is>
          <t>Conductividad, pH, carbonato, bicarbonato, sólidos disueltos, sulfatos, N-Nitrato, cloruros, Fluoruros</t>
        </is>
      </c>
      <c r="E45" s="369" t="n"/>
      <c r="F45" s="369" t="n"/>
      <c r="G45" s="369" t="n"/>
      <c r="H45" s="369" t="n"/>
      <c r="I45" s="369" t="n"/>
      <c r="J45" s="369" t="n"/>
      <c r="K45" s="369" t="n"/>
      <c r="L45" s="369" t="n"/>
      <c r="M45" s="369" t="n"/>
      <c r="N45" s="369" t="n"/>
      <c r="O45" s="369" t="n"/>
      <c r="P45" s="369" t="n"/>
      <c r="Q45" s="108" t="n"/>
      <c r="S45" s="355" t="inlineStr">
        <is>
          <t>Benceno, Tolueno, Xileno, Triclorometano, tetracloetano.</t>
        </is>
      </c>
      <c r="T45" s="369" t="n"/>
      <c r="U45" s="369" t="n"/>
      <c r="V45" s="369" t="n"/>
      <c r="W45" s="369" t="n"/>
      <c r="X45" s="369" t="n"/>
      <c r="Y45" s="369" t="n"/>
      <c r="Z45" s="369" t="n"/>
      <c r="AA45" s="369" t="n"/>
      <c r="AB45" s="369" t="n"/>
      <c r="AC45" s="369" t="n"/>
      <c r="AD45" s="369" t="n"/>
      <c r="AE45" s="369" t="n"/>
      <c r="AF45" s="108" t="n"/>
      <c r="AI45" s="354" t="inlineStr">
        <is>
          <t>PLAN PTAS-COMP</t>
        </is>
      </c>
      <c r="AJ45" s="369" t="n"/>
      <c r="AK45" s="369" t="n"/>
      <c r="AL45" s="369" t="n"/>
      <c r="AM45" s="369" t="n"/>
      <c r="AN45" s="369" t="n"/>
      <c r="AO45" s="369" t="n"/>
      <c r="AP45" s="369" t="n"/>
      <c r="AQ45" s="369" t="n"/>
      <c r="AR45" s="369" t="n"/>
      <c r="AS45" s="369" t="n"/>
      <c r="AT45" s="369" t="n"/>
      <c r="AU45" s="369" t="n"/>
      <c r="AV45" s="108" t="n"/>
    </row>
    <row r="46" ht="13" customHeight="1">
      <c r="D46" s="355" t="inlineStr">
        <is>
          <t>Al, As, B, Ba, Be, Cd, Ca, Zn, Cu, Co, Cr, Fe, Li, Mg, Mn, Mo, Ni, Ag, Pb, K, Se, Na, Na %, V,</t>
        </is>
      </c>
      <c r="E46" s="369" t="n"/>
      <c r="F46" s="369" t="n"/>
      <c r="G46" s="369" t="n"/>
      <c r="H46" s="369" t="n"/>
      <c r="I46" s="369" t="n"/>
      <c r="J46" s="369" t="n"/>
      <c r="K46" s="369" t="n"/>
      <c r="L46" s="369" t="n"/>
      <c r="M46" s="369" t="n"/>
      <c r="N46" s="369" t="n"/>
      <c r="O46" s="369" t="n"/>
      <c r="P46" s="369" t="n"/>
      <c r="Q46" s="108" t="n"/>
      <c r="S46" s="355" t="inlineStr">
        <is>
          <t>Nitrógeno total Kjeldahl, DQO</t>
        </is>
      </c>
      <c r="T46" s="369" t="n"/>
      <c r="U46" s="369" t="n"/>
      <c r="V46" s="369" t="n"/>
      <c r="W46" s="369" t="n"/>
      <c r="X46" s="369" t="n"/>
      <c r="Y46" s="369" t="n"/>
      <c r="Z46" s="369" t="n"/>
      <c r="AA46" s="369" t="n"/>
      <c r="AB46" s="369" t="n"/>
      <c r="AC46" s="369" t="n"/>
      <c r="AD46" s="369" t="n"/>
      <c r="AE46" s="369" t="n"/>
      <c r="AF46" s="108" t="n"/>
      <c r="AI46" s="354" t="inlineStr">
        <is>
          <t>Análisis</t>
        </is>
      </c>
      <c r="AJ46" s="369" t="n"/>
      <c r="AK46" s="369" t="n"/>
      <c r="AL46" s="369" t="n"/>
      <c r="AM46" s="369" t="n"/>
      <c r="AN46" s="369" t="n"/>
      <c r="AO46" s="369" t="n"/>
      <c r="AP46" s="369" t="n"/>
      <c r="AQ46" s="369" t="n"/>
      <c r="AR46" s="369" t="n"/>
      <c r="AS46" s="369" t="n"/>
      <c r="AT46" s="369" t="n"/>
      <c r="AU46" s="369" t="n"/>
      <c r="AV46" s="108" t="n"/>
    </row>
    <row r="47" ht="12.5" customHeight="1">
      <c r="D47" s="355" t="inlineStr">
        <is>
          <t>Mercurio</t>
        </is>
      </c>
      <c r="E47" s="369" t="n"/>
      <c r="F47" s="369" t="n"/>
      <c r="G47" s="369" t="n"/>
      <c r="H47" s="369" t="n"/>
      <c r="I47" s="369" t="n"/>
      <c r="J47" s="369" t="n"/>
      <c r="K47" s="369" t="n"/>
      <c r="L47" s="369" t="n"/>
      <c r="M47" s="369" t="n"/>
      <c r="N47" s="369" t="n"/>
      <c r="O47" s="369" t="n"/>
      <c r="P47" s="369" t="n"/>
      <c r="Q47" s="108" t="n"/>
      <c r="S47" s="355" t="inlineStr">
        <is>
          <t>Cianuro</t>
        </is>
      </c>
      <c r="T47" s="369" t="n"/>
      <c r="U47" s="369" t="n"/>
      <c r="V47" s="369" t="n"/>
      <c r="W47" s="369" t="n"/>
      <c r="X47" s="369" t="n"/>
      <c r="Y47" s="369" t="n"/>
      <c r="Z47" s="369" t="n"/>
      <c r="AA47" s="369" t="n"/>
      <c r="AB47" s="369" t="n"/>
      <c r="AC47" s="369" t="n"/>
      <c r="AD47" s="369" t="n"/>
      <c r="AE47" s="369" t="n"/>
      <c r="AF47" s="108" t="n"/>
      <c r="AI47" s="355" t="inlineStr">
        <is>
          <t>Aceite s y grasas</t>
        </is>
      </c>
      <c r="AJ47" s="369" t="n"/>
      <c r="AK47" s="369" t="n"/>
      <c r="AL47" s="369" t="n"/>
      <c r="AM47" s="369" t="n"/>
      <c r="AN47" s="369" t="n"/>
      <c r="AO47" s="369" t="n"/>
      <c r="AP47" s="369" t="n"/>
      <c r="AQ47" s="369" t="n"/>
      <c r="AR47" s="369" t="n"/>
      <c r="AS47" s="369" t="n"/>
      <c r="AT47" s="369" t="n"/>
      <c r="AU47" s="369" t="n"/>
      <c r="AV47" s="108" t="n"/>
    </row>
    <row r="48" ht="12.5" customHeight="1">
      <c r="D48" s="355" t="inlineStr">
        <is>
          <t>Cianuro.</t>
        </is>
      </c>
      <c r="E48" s="369" t="n"/>
      <c r="F48" s="369" t="n"/>
      <c r="G48" s="369" t="n"/>
      <c r="H48" s="369" t="n"/>
      <c r="I48" s="369" t="n"/>
      <c r="J48" s="369" t="n"/>
      <c r="K48" s="369" t="n"/>
      <c r="L48" s="369" t="n"/>
      <c r="M48" s="369" t="n"/>
      <c r="N48" s="369" t="n"/>
      <c r="O48" s="369" t="n"/>
      <c r="P48" s="369" t="n"/>
      <c r="Q48" s="108" t="n"/>
      <c r="AI48" s="355" t="inlineStr">
        <is>
          <t>DBO5 y SST</t>
        </is>
      </c>
      <c r="AJ48" s="369" t="n"/>
      <c r="AK48" s="369" t="n"/>
      <c r="AL48" s="369" t="n"/>
      <c r="AM48" s="369" t="n"/>
      <c r="AN48" s="369" t="n"/>
      <c r="AO48" s="369" t="n"/>
      <c r="AP48" s="369" t="n"/>
      <c r="AQ48" s="369" t="n"/>
      <c r="AR48" s="369" t="n"/>
      <c r="AS48" s="369" t="n"/>
      <c r="AT48" s="369" t="n"/>
      <c r="AU48" s="369" t="n"/>
      <c r="AV48" s="108" t="n"/>
    </row>
    <row r="49" ht="13" customHeight="1">
      <c r="D49" s="355" t="inlineStr">
        <is>
          <t>Salinidad</t>
        </is>
      </c>
      <c r="E49" s="369" t="n"/>
      <c r="F49" s="369" t="n"/>
      <c r="G49" s="369" t="n"/>
      <c r="H49" s="369" t="n"/>
      <c r="I49" s="369" t="n"/>
      <c r="J49" s="369" t="n"/>
      <c r="K49" s="369" t="n"/>
      <c r="L49" s="369" t="n"/>
      <c r="M49" s="369" t="n"/>
      <c r="N49" s="369" t="n"/>
      <c r="O49" s="369" t="n"/>
      <c r="P49" s="369" t="n"/>
      <c r="Q49" s="108" t="n"/>
      <c r="S49" s="353" t="inlineStr">
        <is>
          <t xml:space="preserve">PLAN FAD </t>
        </is>
      </c>
      <c r="T49" s="369" t="n"/>
      <c r="U49" s="369" t="n"/>
      <c r="V49" s="369" t="n"/>
      <c r="W49" s="369" t="n"/>
      <c r="X49" s="369" t="n"/>
      <c r="Y49" s="369" t="n"/>
      <c r="Z49" s="369" t="n"/>
      <c r="AA49" s="369" t="n"/>
      <c r="AB49" s="369" t="n"/>
      <c r="AC49" s="369" t="n"/>
      <c r="AD49" s="369" t="n"/>
      <c r="AE49" s="369" t="n"/>
      <c r="AF49" s="108" t="n"/>
      <c r="AI49" s="355" t="inlineStr">
        <is>
          <t>Fosforo, nitrogeno total Kjeldahl, Nitrogenop amoniacal</t>
        </is>
      </c>
      <c r="AJ49" s="369" t="n"/>
      <c r="AK49" s="369" t="n"/>
      <c r="AL49" s="369" t="n"/>
      <c r="AM49" s="369" t="n"/>
      <c r="AN49" s="369" t="n"/>
      <c r="AO49" s="369" t="n"/>
      <c r="AP49" s="369" t="n"/>
      <c r="AQ49" s="369" t="n"/>
      <c r="AR49" s="369" t="n"/>
      <c r="AS49" s="369" t="n"/>
      <c r="AT49" s="369" t="n"/>
      <c r="AU49" s="369" t="n"/>
      <c r="AV49" s="108" t="n"/>
    </row>
    <row r="50" ht="13" customHeight="1">
      <c r="S50" s="353" t="inlineStr">
        <is>
          <t>Análisis</t>
        </is>
      </c>
      <c r="T50" s="369" t="n"/>
      <c r="U50" s="369" t="n"/>
      <c r="V50" s="369" t="n"/>
      <c r="W50" s="369" t="n"/>
      <c r="X50" s="369" t="n"/>
      <c r="Y50" s="369" t="n"/>
      <c r="Z50" s="369" t="n"/>
      <c r="AA50" s="369" t="n"/>
      <c r="AB50" s="369" t="n"/>
      <c r="AC50" s="369" t="n"/>
      <c r="AD50" s="369" t="n"/>
      <c r="AE50" s="369" t="n"/>
      <c r="AF50" s="108" t="n"/>
    </row>
    <row r="51" ht="12.5" customHeight="1">
      <c r="S51" s="355" t="inlineStr">
        <is>
          <t>Conductividad, Sólidos Disueltos, Sulfatos</t>
        </is>
      </c>
      <c r="T51" s="369" t="n"/>
      <c r="U51" s="369" t="n"/>
      <c r="V51" s="369" t="n"/>
      <c r="W51" s="369" t="n"/>
      <c r="X51" s="369" t="n"/>
      <c r="Y51" s="369" t="n"/>
      <c r="Z51" s="369" t="n"/>
      <c r="AA51" s="369" t="n"/>
      <c r="AB51" s="369" t="n"/>
      <c r="AC51" s="369" t="n"/>
      <c r="AD51" s="369" t="n"/>
      <c r="AE51" s="369" t="n"/>
      <c r="AF51" s="108" t="n"/>
    </row>
    <row r="52" ht="13" customHeight="1">
      <c r="D52" s="360" t="inlineStr">
        <is>
          <t>PLAN NCH 409 COMPLETA</t>
        </is>
      </c>
      <c r="E52" s="379" t="n"/>
      <c r="F52" s="379" t="n"/>
      <c r="G52" s="379" t="n"/>
      <c r="H52" s="379" t="n"/>
      <c r="I52" s="379" t="n"/>
      <c r="J52" s="379" t="n"/>
      <c r="K52" s="379" t="n"/>
      <c r="L52" s="379" t="n"/>
      <c r="M52" s="379" t="n"/>
      <c r="N52" s="379" t="n"/>
      <c r="O52" s="379" t="n"/>
      <c r="P52" s="379" t="n"/>
      <c r="Q52" s="379" t="n"/>
      <c r="S52" s="355" t="inlineStr">
        <is>
          <t>Sodio total</t>
        </is>
      </c>
      <c r="T52" s="369" t="n"/>
      <c r="U52" s="369" t="n"/>
      <c r="V52" s="369" t="n"/>
      <c r="W52" s="369" t="n"/>
      <c r="X52" s="369" t="n"/>
      <c r="Y52" s="369" t="n"/>
      <c r="Z52" s="369" t="n"/>
      <c r="AA52" s="369" t="n"/>
      <c r="AB52" s="369" t="n"/>
      <c r="AC52" s="369" t="n"/>
      <c r="AD52" s="369" t="n"/>
      <c r="AE52" s="369" t="n"/>
      <c r="AF52" s="108" t="n"/>
      <c r="AI52" s="354" t="inlineStr">
        <is>
          <t>PLAN PTAS-PUNTUAL</t>
        </is>
      </c>
      <c r="AJ52" s="369" t="n"/>
      <c r="AK52" s="369" t="n"/>
      <c r="AL52" s="369" t="n"/>
      <c r="AM52" s="369" t="n"/>
      <c r="AN52" s="369" t="n"/>
      <c r="AO52" s="369" t="n"/>
      <c r="AP52" s="369" t="n"/>
      <c r="AQ52" s="369" t="n"/>
      <c r="AR52" s="369" t="n"/>
      <c r="AS52" s="369" t="n"/>
      <c r="AT52" s="369" t="n"/>
      <c r="AU52" s="369" t="n"/>
      <c r="AV52" s="108" t="n"/>
    </row>
    <row r="53" ht="13" customHeight="1">
      <c r="D53" s="360" t="inlineStr">
        <is>
          <t>Análisis</t>
        </is>
      </c>
      <c r="E53" s="379" t="n"/>
      <c r="F53" s="379" t="n"/>
      <c r="G53" s="379" t="n"/>
      <c r="H53" s="379" t="n"/>
      <c r="I53" s="379" t="n"/>
      <c r="J53" s="379" t="n"/>
      <c r="K53" s="379" t="n"/>
      <c r="L53" s="379" t="n"/>
      <c r="M53" s="379" t="n"/>
      <c r="N53" s="379" t="n"/>
      <c r="O53" s="379" t="n"/>
      <c r="P53" s="379" t="n"/>
      <c r="Q53" s="379" t="n"/>
      <c r="S53" s="355" t="inlineStr">
        <is>
          <t>RAS</t>
        </is>
      </c>
      <c r="T53" s="369" t="n"/>
      <c r="U53" s="369" t="n"/>
      <c r="V53" s="369" t="n"/>
      <c r="W53" s="369" t="n"/>
      <c r="X53" s="369" t="n"/>
      <c r="Y53" s="369" t="n"/>
      <c r="Z53" s="369" t="n"/>
      <c r="AA53" s="369" t="n"/>
      <c r="AB53" s="369" t="n"/>
      <c r="AC53" s="369" t="n"/>
      <c r="AD53" s="369" t="n"/>
      <c r="AE53" s="369" t="n"/>
      <c r="AF53" s="108" t="n"/>
      <c r="AI53" s="354" t="inlineStr">
        <is>
          <t>Análisis</t>
        </is>
      </c>
      <c r="AJ53" s="369" t="n"/>
      <c r="AK53" s="369" t="n"/>
      <c r="AL53" s="369" t="n"/>
      <c r="AM53" s="369" t="n"/>
      <c r="AN53" s="369" t="n"/>
      <c r="AO53" s="369" t="n"/>
      <c r="AP53" s="369" t="n"/>
      <c r="AQ53" s="369" t="n"/>
      <c r="AR53" s="369" t="n"/>
      <c r="AS53" s="369" t="n"/>
      <c r="AT53" s="369" t="n"/>
      <c r="AU53" s="369" t="n"/>
      <c r="AV53" s="108" t="n"/>
    </row>
    <row r="54" ht="25.5" customHeight="1">
      <c r="D54" s="355" t="inlineStr">
        <is>
          <t xml:space="preserve">Tipo I: </t>
        </is>
      </c>
      <c r="E54" s="369" t="n"/>
      <c r="F54" s="369" t="n"/>
      <c r="G54" s="369" t="n"/>
      <c r="H54" s="369" t="n"/>
      <c r="I54" s="369" t="n"/>
      <c r="J54" s="369" t="n"/>
      <c r="K54" s="369" t="n"/>
      <c r="L54" s="369" t="n"/>
      <c r="M54" s="369" t="n"/>
      <c r="N54" s="369" t="n"/>
      <c r="O54" s="369" t="n"/>
      <c r="P54" s="369" t="n"/>
      <c r="Q54" s="108" t="n"/>
      <c r="AI54" s="355" t="inlineStr">
        <is>
          <t>mercurio, cianuro, coliformes fecales</t>
        </is>
      </c>
      <c r="AJ54" s="369" t="n"/>
      <c r="AK54" s="369" t="n"/>
      <c r="AL54" s="369" t="n"/>
      <c r="AM54" s="369" t="n"/>
      <c r="AN54" s="369" t="n"/>
      <c r="AO54" s="369" t="n"/>
      <c r="AP54" s="369" t="n"/>
      <c r="AQ54" s="369" t="n"/>
      <c r="AR54" s="369" t="n"/>
      <c r="AS54" s="369" t="n"/>
      <c r="AT54" s="369" t="n"/>
      <c r="AU54" s="369" t="n"/>
      <c r="AV54" s="108" t="n"/>
    </row>
    <row r="55" ht="25.5" customHeight="1">
      <c r="D55" s="355" t="inlineStr">
        <is>
          <t>Coliformes Totales, Escherichia coli, Turbiedad</t>
        </is>
      </c>
      <c r="E55" s="369" t="n"/>
      <c r="F55" s="369" t="n"/>
      <c r="G55" s="369" t="n"/>
      <c r="H55" s="369" t="n"/>
      <c r="I55" s="369" t="n"/>
      <c r="J55" s="369" t="n"/>
      <c r="K55" s="369" t="n"/>
      <c r="L55" s="369" t="n"/>
      <c r="M55" s="369" t="n"/>
      <c r="N55" s="369" t="n"/>
      <c r="O55" s="369" t="n"/>
      <c r="P55" s="369" t="n"/>
      <c r="Q55" s="108" t="n"/>
      <c r="AI55" s="355" t="inlineStr">
        <is>
          <t>Al, As, B, Ba, Be, Cd, Ca, Zn, Cu, Co, Cr, Fe, Li, Mg, Mn, Mo, Ni, Ag, Pb, K, Se, Na, Na %, V</t>
        </is>
      </c>
      <c r="AJ55" s="369" t="n"/>
      <c r="AK55" s="369" t="n"/>
      <c r="AL55" s="369" t="n"/>
      <c r="AM55" s="369" t="n"/>
      <c r="AN55" s="369" t="n"/>
      <c r="AO55" s="369" t="n"/>
      <c r="AP55" s="369" t="n"/>
      <c r="AQ55" s="369" t="n"/>
      <c r="AR55" s="369" t="n"/>
      <c r="AS55" s="369" t="n"/>
      <c r="AT55" s="369" t="n"/>
      <c r="AU55" s="369" t="n"/>
      <c r="AV55" s="108" t="n"/>
    </row>
    <row r="56" ht="25.5" customHeight="1">
      <c r="D56" s="355" t="inlineStr">
        <is>
          <t>Tipo II:</t>
        </is>
      </c>
      <c r="E56" s="369" t="n"/>
      <c r="F56" s="369" t="n"/>
      <c r="G56" s="369" t="n"/>
      <c r="H56" s="369" t="n"/>
      <c r="I56" s="369" t="n"/>
      <c r="J56" s="369" t="n"/>
      <c r="K56" s="369" t="n"/>
      <c r="L56" s="369" t="n"/>
      <c r="M56" s="369" t="n"/>
      <c r="N56" s="369" t="n"/>
      <c r="O56" s="369" t="n"/>
      <c r="P56" s="369" t="n"/>
      <c r="Q56" s="108" t="n"/>
      <c r="AI56" s="355" t="inlineStr">
        <is>
          <t>Conductividad, pH, sólidos disueltos, sulfatos, cloruros, Fluoruros</t>
        </is>
      </c>
      <c r="AJ56" s="369" t="n"/>
      <c r="AK56" s="369" t="n"/>
      <c r="AL56" s="369" t="n"/>
      <c r="AM56" s="369" t="n"/>
      <c r="AN56" s="369" t="n"/>
      <c r="AO56" s="369" t="n"/>
      <c r="AP56" s="369" t="n"/>
      <c r="AQ56" s="369" t="n"/>
      <c r="AR56" s="369" t="n"/>
      <c r="AS56" s="369" t="n"/>
      <c r="AT56" s="369" t="n"/>
      <c r="AU56" s="369" t="n"/>
      <c r="AV56" s="108" t="n"/>
    </row>
    <row r="57" ht="25.5" customHeight="1">
      <c r="D57" s="355" t="inlineStr">
        <is>
          <t>Cobre, Cromo Total, Fluoruro, Hierro, Manganeso, Magnesio, Selenio, Zinc</t>
        </is>
      </c>
      <c r="E57" s="369" t="n"/>
      <c r="F57" s="369" t="n"/>
      <c r="G57" s="369" t="n"/>
      <c r="H57" s="369" t="n"/>
      <c r="I57" s="369" t="n"/>
      <c r="J57" s="369" t="n"/>
      <c r="K57" s="369" t="n"/>
      <c r="L57" s="369" t="n"/>
      <c r="M57" s="369" t="n"/>
      <c r="N57" s="369" t="n"/>
      <c r="O57" s="369" t="n"/>
      <c r="P57" s="369" t="n"/>
      <c r="Q57" s="108" t="n"/>
    </row>
    <row r="58" ht="25.5" customHeight="1">
      <c r="D58" s="355" t="inlineStr">
        <is>
          <t>Arsenico, Cadmio, Cianuro, Mercurio, Nitrato, Nitrito, Razon Nitrato + Nitrito, Plomo</t>
        </is>
      </c>
      <c r="E58" s="369" t="n"/>
      <c r="F58" s="369" t="n"/>
      <c r="G58" s="369" t="n"/>
      <c r="H58" s="369" t="n"/>
      <c r="I58" s="369" t="n"/>
      <c r="J58" s="369" t="n"/>
      <c r="K58" s="369" t="n"/>
      <c r="L58" s="369" t="n"/>
      <c r="M58" s="369" t="n"/>
      <c r="N58" s="369" t="n"/>
      <c r="O58" s="369" t="n"/>
      <c r="P58" s="369" t="n"/>
      <c r="Q58" s="108" t="n"/>
      <c r="AI58" s="354" t="inlineStr">
        <is>
          <t>PLAN MINA</t>
        </is>
      </c>
      <c r="AJ58" s="369" t="n"/>
      <c r="AK58" s="369" t="n"/>
      <c r="AL58" s="369" t="n"/>
      <c r="AM58" s="369" t="n"/>
      <c r="AN58" s="369" t="n"/>
      <c r="AO58" s="369" t="n"/>
      <c r="AP58" s="369" t="n"/>
      <c r="AQ58" s="369" t="n"/>
      <c r="AR58" s="369" t="n"/>
      <c r="AS58" s="369" t="n"/>
      <c r="AT58" s="369" t="n"/>
      <c r="AU58" s="369" t="n"/>
      <c r="AV58" s="108" t="n"/>
    </row>
    <row r="59" ht="25.5" customHeight="1">
      <c r="D59" s="355" t="inlineStr">
        <is>
          <t>Tetracloroeteno, Benceno, Tolueno, Xilenos</t>
        </is>
      </c>
      <c r="E59" s="369" t="n"/>
      <c r="F59" s="369" t="n"/>
      <c r="G59" s="369" t="n"/>
      <c r="H59" s="369" t="n"/>
      <c r="I59" s="369" t="n"/>
      <c r="J59" s="369" t="n"/>
      <c r="K59" s="369" t="n"/>
      <c r="L59" s="369" t="n"/>
      <c r="M59" s="369" t="n"/>
      <c r="N59" s="369" t="n"/>
      <c r="O59" s="369" t="n"/>
      <c r="P59" s="369" t="n"/>
      <c r="Q59" s="108" t="n"/>
      <c r="AI59" s="354" t="inlineStr">
        <is>
          <t>Análisis</t>
        </is>
      </c>
      <c r="AJ59" s="369" t="n"/>
      <c r="AK59" s="369" t="n"/>
      <c r="AL59" s="369" t="n"/>
      <c r="AM59" s="369" t="n"/>
      <c r="AN59" s="369" t="n"/>
      <c r="AO59" s="369" t="n"/>
      <c r="AP59" s="369" t="n"/>
      <c r="AQ59" s="369" t="n"/>
      <c r="AR59" s="369" t="n"/>
      <c r="AS59" s="369" t="n"/>
      <c r="AT59" s="369" t="n"/>
      <c r="AU59" s="369" t="n"/>
      <c r="AV59" s="108" t="n"/>
    </row>
    <row r="60" ht="25.5" customHeight="1">
      <c r="D60" s="355" t="inlineStr">
        <is>
          <t>DDT+DD+DDE; 2,4-D. Lindano, Metoxicloro, Pentaclorofenol</t>
        </is>
      </c>
      <c r="E60" s="369" t="n"/>
      <c r="F60" s="369" t="n"/>
      <c r="G60" s="369" t="n"/>
      <c r="H60" s="369" t="n"/>
      <c r="I60" s="369" t="n"/>
      <c r="J60" s="369" t="n"/>
      <c r="K60" s="369" t="n"/>
      <c r="L60" s="369" t="n"/>
      <c r="M60" s="369" t="n"/>
      <c r="N60" s="369" t="n"/>
      <c r="O60" s="369" t="n"/>
      <c r="P60" s="369" t="n"/>
      <c r="Q60" s="108" t="n"/>
      <c r="AI60" s="355" t="inlineStr">
        <is>
          <t>Conductividad, pH, carbonato, bicarbonato, sulfatos, cloruros, fluoruros, Nitrato</t>
        </is>
      </c>
      <c r="AJ60" s="369" t="n"/>
      <c r="AK60" s="369" t="n"/>
      <c r="AL60" s="369" t="n"/>
      <c r="AM60" s="369" t="n"/>
      <c r="AN60" s="369" t="n"/>
      <c r="AO60" s="369" t="n"/>
      <c r="AP60" s="369" t="n"/>
      <c r="AQ60" s="369" t="n"/>
      <c r="AR60" s="369" t="n"/>
      <c r="AS60" s="369" t="n"/>
      <c r="AT60" s="369" t="n"/>
      <c r="AU60" s="369" t="n"/>
      <c r="AV60" s="108" t="n"/>
    </row>
    <row r="61" ht="25.5" customHeight="1">
      <c r="D61" s="355" t="inlineStr">
        <is>
          <t>Monocloroamina, Dibromoclorometano, Bromodiclorometano, Tribromometano, Triclorometano, Trihalometanos</t>
        </is>
      </c>
      <c r="E61" s="369" t="n"/>
      <c r="F61" s="369" t="n"/>
      <c r="G61" s="369" t="n"/>
      <c r="H61" s="369" t="n"/>
      <c r="I61" s="369" t="n"/>
      <c r="J61" s="369" t="n"/>
      <c r="K61" s="369" t="n"/>
      <c r="L61" s="369" t="n"/>
      <c r="M61" s="369" t="n"/>
      <c r="N61" s="369" t="n"/>
      <c r="O61" s="369" t="n"/>
      <c r="P61" s="369" t="n"/>
      <c r="Q61" s="108" t="n"/>
      <c r="AI61" s="355" t="inlineStr">
        <is>
          <t>Al, As, Ba, Be, B, Cd, Ca, Zn, Cu, Co, Cr, Fe, Li, Mg, Mn, Mo, Ni, Ag, Pb, K, Se, Na, Na %, V</t>
        </is>
      </c>
      <c r="AJ61" s="369" t="n"/>
      <c r="AK61" s="369" t="n"/>
      <c r="AL61" s="369" t="n"/>
      <c r="AM61" s="369" t="n"/>
      <c r="AN61" s="369" t="n"/>
      <c r="AO61" s="369" t="n"/>
      <c r="AP61" s="369" t="n"/>
      <c r="AQ61" s="369" t="n"/>
      <c r="AR61" s="369" t="n"/>
      <c r="AS61" s="369" t="n"/>
      <c r="AT61" s="369" t="n"/>
      <c r="AU61" s="369" t="n"/>
      <c r="AV61" s="108" t="n"/>
    </row>
    <row r="62" ht="25.5" customHeight="1">
      <c r="D62" s="355" t="inlineStr">
        <is>
          <t>Tipo III:</t>
        </is>
      </c>
      <c r="E62" s="369" t="n"/>
      <c r="F62" s="369" t="n"/>
      <c r="G62" s="369" t="n"/>
      <c r="H62" s="369" t="n"/>
      <c r="I62" s="369" t="n"/>
      <c r="J62" s="369" t="n"/>
      <c r="K62" s="369" t="n"/>
      <c r="L62" s="369" t="n"/>
      <c r="M62" s="369" t="n"/>
      <c r="N62" s="369" t="n"/>
      <c r="O62" s="369" t="n"/>
      <c r="P62" s="369" t="n"/>
      <c r="Q62" s="108" t="n"/>
      <c r="AI62" s="355" t="inlineStr">
        <is>
          <t>Cianuro</t>
        </is>
      </c>
      <c r="AJ62" s="369" t="n"/>
      <c r="AK62" s="369" t="n"/>
      <c r="AL62" s="369" t="n"/>
      <c r="AM62" s="369" t="n"/>
      <c r="AN62" s="369" t="n"/>
      <c r="AO62" s="369" t="n"/>
      <c r="AP62" s="369" t="n"/>
      <c r="AQ62" s="369" t="n"/>
      <c r="AR62" s="369" t="n"/>
      <c r="AS62" s="369" t="n"/>
      <c r="AT62" s="369" t="n"/>
      <c r="AU62" s="369" t="n"/>
      <c r="AV62" s="108" t="n"/>
    </row>
    <row r="63" ht="25.5" customHeight="1">
      <c r="D63" s="355" t="inlineStr">
        <is>
          <t>Estroncio 90, Radio 226, Actividad Base Total, Actividad Beta Total, Actividad Alta Total</t>
        </is>
      </c>
      <c r="E63" s="369" t="n"/>
      <c r="F63" s="369" t="n"/>
      <c r="G63" s="369" t="n"/>
      <c r="H63" s="369" t="n"/>
      <c r="I63" s="369" t="n"/>
      <c r="J63" s="369" t="n"/>
      <c r="K63" s="369" t="n"/>
      <c r="L63" s="369" t="n"/>
      <c r="M63" s="369" t="n"/>
      <c r="N63" s="369" t="n"/>
      <c r="O63" s="369" t="n"/>
      <c r="P63" s="369" t="n"/>
      <c r="Q63" s="108" t="n"/>
      <c r="AI63" s="355" t="inlineStr">
        <is>
          <t>Mercurio</t>
        </is>
      </c>
      <c r="AJ63" s="369" t="n"/>
      <c r="AK63" s="369" t="n"/>
      <c r="AL63" s="369" t="n"/>
      <c r="AM63" s="369" t="n"/>
      <c r="AN63" s="369" t="n"/>
      <c r="AO63" s="369" t="n"/>
      <c r="AP63" s="369" t="n"/>
      <c r="AQ63" s="369" t="n"/>
      <c r="AR63" s="369" t="n"/>
      <c r="AS63" s="369" t="n"/>
      <c r="AT63" s="369" t="n"/>
      <c r="AU63" s="369" t="n"/>
      <c r="AV63" s="108" t="n"/>
    </row>
    <row r="64" ht="25.5" customHeight="1">
      <c r="D64" s="355" t="inlineStr">
        <is>
          <t>Tipo IV:</t>
        </is>
      </c>
      <c r="E64" s="369" t="n"/>
      <c r="F64" s="369" t="n"/>
      <c r="G64" s="369" t="n"/>
      <c r="H64" s="369" t="n"/>
      <c r="I64" s="369" t="n"/>
      <c r="J64" s="369" t="n"/>
      <c r="K64" s="369" t="n"/>
      <c r="L64" s="369" t="n"/>
      <c r="M64" s="369" t="n"/>
      <c r="N64" s="369" t="n"/>
      <c r="O64" s="369" t="n"/>
      <c r="P64" s="369" t="n"/>
      <c r="Q64" s="108" t="n"/>
      <c r="AI64" s="355" t="inlineStr">
        <is>
          <t>Cu Disuelto</t>
        </is>
      </c>
      <c r="AJ64" s="369" t="n"/>
      <c r="AK64" s="369" t="n"/>
      <c r="AL64" s="369" t="n"/>
      <c r="AM64" s="369" t="n"/>
      <c r="AN64" s="369" t="n"/>
      <c r="AO64" s="369" t="n"/>
      <c r="AP64" s="369" t="n"/>
      <c r="AQ64" s="369" t="n"/>
      <c r="AR64" s="369" t="n"/>
      <c r="AS64" s="369" t="n"/>
      <c r="AT64" s="369" t="n"/>
      <c r="AU64" s="369" t="n"/>
      <c r="AV64" s="108" t="n"/>
    </row>
    <row r="65" ht="25.5" customHeight="1">
      <c r="D65" s="355" t="inlineStr">
        <is>
          <t>Color verdadero, Olor, Sabor, Amoniaco, Cloruro, pH, Sulfato, SDT, Compuestos Fenólicos</t>
        </is>
      </c>
      <c r="E65" s="369" t="n"/>
      <c r="F65" s="369" t="n"/>
      <c r="G65" s="369" t="n"/>
      <c r="H65" s="369" t="n"/>
      <c r="I65" s="369" t="n"/>
      <c r="J65" s="369" t="n"/>
      <c r="K65" s="369" t="n"/>
      <c r="L65" s="369" t="n"/>
      <c r="M65" s="369" t="n"/>
      <c r="N65" s="369" t="n"/>
      <c r="O65" s="369" t="n"/>
      <c r="P65" s="369" t="n"/>
      <c r="Q65" s="108" t="n"/>
    </row>
    <row r="66" ht="25.5" customHeight="1">
      <c r="D66" s="355" t="inlineStr">
        <is>
          <t>Tipo V:</t>
        </is>
      </c>
      <c r="E66" s="369" t="n"/>
      <c r="F66" s="369" t="n"/>
      <c r="G66" s="369" t="n"/>
      <c r="H66" s="369" t="n"/>
      <c r="I66" s="369" t="n"/>
      <c r="J66" s="369" t="n"/>
      <c r="K66" s="369" t="n"/>
      <c r="L66" s="369" t="n"/>
      <c r="M66" s="369" t="n"/>
      <c r="N66" s="369" t="n"/>
      <c r="O66" s="369" t="n"/>
      <c r="P66" s="369" t="n"/>
      <c r="Q66" s="108" t="n"/>
    </row>
    <row r="67" ht="25.5" customHeight="1">
      <c r="D67" s="355" t="inlineStr">
        <is>
          <t>Cloro Libre</t>
        </is>
      </c>
      <c r="E67" s="369" t="n"/>
      <c r="F67" s="369" t="n"/>
      <c r="G67" s="369" t="n"/>
      <c r="H67" s="369" t="n"/>
      <c r="I67" s="369" t="n"/>
      <c r="J67" s="369" t="n"/>
      <c r="K67" s="369" t="n"/>
      <c r="L67" s="369" t="n"/>
      <c r="M67" s="369" t="n"/>
      <c r="N67" s="369" t="n"/>
      <c r="O67" s="369" t="n"/>
      <c r="P67" s="369" t="n"/>
      <c r="Q67" s="108" t="n"/>
    </row>
    <row r="70" ht="13" customHeight="1">
      <c r="D70" s="354" t="inlineStr">
        <is>
          <t>PLAN NCH 409 Sin Radiológicos</t>
        </is>
      </c>
      <c r="E70" s="369" t="n"/>
      <c r="F70" s="369" t="n"/>
      <c r="G70" s="369" t="n"/>
      <c r="H70" s="369" t="n"/>
      <c r="I70" s="369" t="n"/>
      <c r="J70" s="369" t="n"/>
      <c r="K70" s="369" t="n"/>
      <c r="L70" s="369" t="n"/>
      <c r="M70" s="369" t="n"/>
      <c r="N70" s="369" t="n"/>
      <c r="O70" s="369" t="n"/>
      <c r="P70" s="369" t="n"/>
      <c r="Q70" s="108" t="n"/>
    </row>
    <row r="71" ht="13" customHeight="1">
      <c r="D71" s="354" t="inlineStr">
        <is>
          <t>Análisis</t>
        </is>
      </c>
      <c r="E71" s="369" t="n"/>
      <c r="F71" s="369" t="n"/>
      <c r="G71" s="369" t="n"/>
      <c r="H71" s="369" t="n"/>
      <c r="I71" s="369" t="n"/>
      <c r="J71" s="369" t="n"/>
      <c r="K71" s="369" t="n"/>
      <c r="L71" s="369" t="n"/>
      <c r="M71" s="369" t="n"/>
      <c r="N71" s="369" t="n"/>
      <c r="O71" s="369" t="n"/>
      <c r="P71" s="369" t="n"/>
      <c r="Q71" s="108" t="n"/>
    </row>
    <row r="72" ht="25.5" customHeight="1">
      <c r="D72" s="355" t="inlineStr">
        <is>
          <t xml:space="preserve">Tipo I: </t>
        </is>
      </c>
      <c r="E72" s="369" t="n"/>
      <c r="F72" s="369" t="n"/>
      <c r="G72" s="369" t="n"/>
      <c r="H72" s="369" t="n"/>
      <c r="I72" s="369" t="n"/>
      <c r="J72" s="369" t="n"/>
      <c r="K72" s="369" t="n"/>
      <c r="L72" s="369" t="n"/>
      <c r="M72" s="369" t="n"/>
      <c r="N72" s="369" t="n"/>
      <c r="O72" s="369" t="n"/>
      <c r="P72" s="369" t="n"/>
      <c r="Q72" s="108" t="n"/>
    </row>
    <row r="73" ht="25.5" customHeight="1">
      <c r="D73" s="355" t="inlineStr">
        <is>
          <t>Coliformes Totales, Escherichia coli, Turbiedad</t>
        </is>
      </c>
      <c r="E73" s="369" t="n"/>
      <c r="F73" s="369" t="n"/>
      <c r="G73" s="369" t="n"/>
      <c r="H73" s="369" t="n"/>
      <c r="I73" s="369" t="n"/>
      <c r="J73" s="369" t="n"/>
      <c r="K73" s="369" t="n"/>
      <c r="L73" s="369" t="n"/>
      <c r="M73" s="369" t="n"/>
      <c r="N73" s="369" t="n"/>
      <c r="O73" s="369" t="n"/>
      <c r="P73" s="369" t="n"/>
      <c r="Q73" s="108" t="n"/>
    </row>
    <row r="74" ht="25.5" customHeight="1">
      <c r="D74" s="355" t="inlineStr">
        <is>
          <t>Tipo II:</t>
        </is>
      </c>
      <c r="E74" s="369" t="n"/>
      <c r="F74" s="369" t="n"/>
      <c r="G74" s="369" t="n"/>
      <c r="H74" s="369" t="n"/>
      <c r="I74" s="369" t="n"/>
      <c r="J74" s="369" t="n"/>
      <c r="K74" s="369" t="n"/>
      <c r="L74" s="369" t="n"/>
      <c r="M74" s="369" t="n"/>
      <c r="N74" s="369" t="n"/>
      <c r="O74" s="369" t="n"/>
      <c r="P74" s="369" t="n"/>
      <c r="Q74" s="108" t="n"/>
    </row>
    <row r="75" ht="25.5" customHeight="1">
      <c r="D75" s="355" t="inlineStr">
        <is>
          <t>Cobre, Cromo Total, Fluoruro, Hierro, Manganeso, Magnesio, Selenio, Zinc</t>
        </is>
      </c>
      <c r="E75" s="369" t="n"/>
      <c r="F75" s="369" t="n"/>
      <c r="G75" s="369" t="n"/>
      <c r="H75" s="369" t="n"/>
      <c r="I75" s="369" t="n"/>
      <c r="J75" s="369" t="n"/>
      <c r="K75" s="369" t="n"/>
      <c r="L75" s="369" t="n"/>
      <c r="M75" s="369" t="n"/>
      <c r="N75" s="369" t="n"/>
      <c r="O75" s="369" t="n"/>
      <c r="P75" s="369" t="n"/>
      <c r="Q75" s="108" t="n"/>
    </row>
    <row r="76" ht="25.5" customHeight="1">
      <c r="D76" s="355" t="inlineStr">
        <is>
          <t>Arsenico, Cadmio, Cianuro, Mercurio, Nitrato, Nitrito, Razon Nitrato + Nitrito, Plomo</t>
        </is>
      </c>
      <c r="E76" s="369" t="n"/>
      <c r="F76" s="369" t="n"/>
      <c r="G76" s="369" t="n"/>
      <c r="H76" s="369" t="n"/>
      <c r="I76" s="369" t="n"/>
      <c r="J76" s="369" t="n"/>
      <c r="K76" s="369" t="n"/>
      <c r="L76" s="369" t="n"/>
      <c r="M76" s="369" t="n"/>
      <c r="N76" s="369" t="n"/>
      <c r="O76" s="369" t="n"/>
      <c r="P76" s="369" t="n"/>
      <c r="Q76" s="108" t="n"/>
    </row>
    <row r="77" ht="25.5" customHeight="1">
      <c r="D77" s="355" t="inlineStr">
        <is>
          <t>Tetracloroeteno, Benceno, Tolueno, Xilenos</t>
        </is>
      </c>
      <c r="E77" s="369" t="n"/>
      <c r="F77" s="369" t="n"/>
      <c r="G77" s="369" t="n"/>
      <c r="H77" s="369" t="n"/>
      <c r="I77" s="369" t="n"/>
      <c r="J77" s="369" t="n"/>
      <c r="K77" s="369" t="n"/>
      <c r="L77" s="369" t="n"/>
      <c r="M77" s="369" t="n"/>
      <c r="N77" s="369" t="n"/>
      <c r="O77" s="369" t="n"/>
      <c r="P77" s="369" t="n"/>
      <c r="Q77" s="108" t="n"/>
    </row>
    <row r="78" ht="25.5" customHeight="1">
      <c r="D78" s="355" t="inlineStr">
        <is>
          <t>DDT+DD+DDE; 2,4-D. Lindano, Metoxicloro, Pentaclorofenol</t>
        </is>
      </c>
      <c r="E78" s="369" t="n"/>
      <c r="F78" s="369" t="n"/>
      <c r="G78" s="369" t="n"/>
      <c r="H78" s="369" t="n"/>
      <c r="I78" s="369" t="n"/>
      <c r="J78" s="369" t="n"/>
      <c r="K78" s="369" t="n"/>
      <c r="L78" s="369" t="n"/>
      <c r="M78" s="369" t="n"/>
      <c r="N78" s="369" t="n"/>
      <c r="O78" s="369" t="n"/>
      <c r="P78" s="369" t="n"/>
      <c r="Q78" s="108" t="n"/>
    </row>
    <row r="79" ht="25.5" customHeight="1">
      <c r="D79" s="355" t="inlineStr">
        <is>
          <t>Monocloroamina, Dibromoclorometano, Bromodiclorometano, Tribromometano, Triclorometano, Trihalometanos</t>
        </is>
      </c>
      <c r="E79" s="369" t="n"/>
      <c r="F79" s="369" t="n"/>
      <c r="G79" s="369" t="n"/>
      <c r="H79" s="369" t="n"/>
      <c r="I79" s="369" t="n"/>
      <c r="J79" s="369" t="n"/>
      <c r="K79" s="369" t="n"/>
      <c r="L79" s="369" t="n"/>
      <c r="M79" s="369" t="n"/>
      <c r="N79" s="369" t="n"/>
      <c r="O79" s="369" t="n"/>
      <c r="P79" s="369" t="n"/>
      <c r="Q79" s="108" t="n"/>
    </row>
    <row r="80" ht="25.5" customHeight="1">
      <c r="D80" s="355" t="inlineStr">
        <is>
          <t>Tipo IV:</t>
        </is>
      </c>
      <c r="E80" s="369" t="n"/>
      <c r="F80" s="369" t="n"/>
      <c r="G80" s="369" t="n"/>
      <c r="H80" s="369" t="n"/>
      <c r="I80" s="369" t="n"/>
      <c r="J80" s="369" t="n"/>
      <c r="K80" s="369" t="n"/>
      <c r="L80" s="369" t="n"/>
      <c r="M80" s="369" t="n"/>
      <c r="N80" s="369" t="n"/>
      <c r="O80" s="369" t="n"/>
      <c r="P80" s="369" t="n"/>
      <c r="Q80" s="108" t="n"/>
    </row>
    <row r="81" ht="25.5" customHeight="1">
      <c r="D81" s="355" t="inlineStr">
        <is>
          <t>Color verdadero, Olor, Sabor, Amoniaco, Cloruro, pH, Sulfato, SDT, Compuestos Fenólicos</t>
        </is>
      </c>
      <c r="E81" s="369" t="n"/>
      <c r="F81" s="369" t="n"/>
      <c r="G81" s="369" t="n"/>
      <c r="H81" s="369" t="n"/>
      <c r="I81" s="369" t="n"/>
      <c r="J81" s="369" t="n"/>
      <c r="K81" s="369" t="n"/>
      <c r="L81" s="369" t="n"/>
      <c r="M81" s="369" t="n"/>
      <c r="N81" s="369" t="n"/>
      <c r="O81" s="369" t="n"/>
      <c r="P81" s="369" t="n"/>
      <c r="Q81" s="108" t="n"/>
    </row>
    <row r="82" ht="25.5" customHeight="1">
      <c r="D82" s="355" t="inlineStr">
        <is>
          <t>Tipo V:</t>
        </is>
      </c>
      <c r="E82" s="369" t="n"/>
      <c r="F82" s="369" t="n"/>
      <c r="G82" s="369" t="n"/>
      <c r="H82" s="369" t="n"/>
      <c r="I82" s="369" t="n"/>
      <c r="J82" s="369" t="n"/>
      <c r="K82" s="369" t="n"/>
      <c r="L82" s="369" t="n"/>
      <c r="M82" s="369" t="n"/>
      <c r="N82" s="369" t="n"/>
      <c r="O82" s="369" t="n"/>
      <c r="P82" s="369" t="n"/>
      <c r="Q82" s="108" t="n"/>
    </row>
    <row r="83" ht="25.5" customHeight="1">
      <c r="D83" s="355" t="inlineStr">
        <is>
          <t>Cloro Libre</t>
        </is>
      </c>
      <c r="E83" s="369" t="n"/>
      <c r="F83" s="369" t="n"/>
      <c r="G83" s="369" t="n"/>
      <c r="H83" s="369" t="n"/>
      <c r="I83" s="369" t="n"/>
      <c r="J83" s="369" t="n"/>
      <c r="K83" s="369" t="n"/>
      <c r="L83" s="369" t="n"/>
      <c r="M83" s="369" t="n"/>
      <c r="N83" s="369" t="n"/>
      <c r="O83" s="369" t="n"/>
      <c r="P83" s="369"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2" t="inlineStr">
        <is>
          <t>Instrumento</t>
        </is>
      </c>
      <c r="B1" s="362" t="inlineStr">
        <is>
          <t>Punto</t>
        </is>
      </c>
      <c r="C1" s="362" t="inlineStr">
        <is>
          <t>Sector</t>
        </is>
      </c>
      <c r="D1" s="362" t="inlineStr">
        <is>
          <t>Detalle sector</t>
        </is>
      </c>
      <c r="E1" s="362" t="inlineStr">
        <is>
          <t>Tipo de punto</t>
        </is>
      </c>
      <c r="F1" s="362" t="inlineStr">
        <is>
          <t>Tipo de agua</t>
        </is>
      </c>
      <c r="G1" s="362" t="inlineStr">
        <is>
          <t>Coordenadas (WGS84, Huso 19S)</t>
        </is>
      </c>
      <c r="H1" s="382" t="n"/>
      <c r="I1" s="362" t="inlineStr">
        <is>
          <t>Variables y frecuencia</t>
        </is>
      </c>
      <c r="J1" s="383" t="n"/>
      <c r="K1" s="383" t="n"/>
      <c r="L1" s="382" t="n"/>
      <c r="M1" s="362" t="inlineStr">
        <is>
          <t>Profundidad (m)</t>
        </is>
      </c>
      <c r="N1" s="362" t="inlineStr">
        <is>
          <t>Comprometido en:</t>
        </is>
      </c>
      <c r="O1" s="362" t="inlineStr">
        <is>
          <t>Detalle comprometido en:</t>
        </is>
      </c>
    </row>
    <row r="2" hidden="1" ht="20" customHeight="1">
      <c r="A2" s="384" t="n"/>
      <c r="B2" s="384" t="n"/>
      <c r="C2" s="384" t="n"/>
      <c r="D2" s="384" t="n"/>
      <c r="E2" s="384" t="n"/>
      <c r="F2" s="384" t="n"/>
      <c r="G2" s="362" t="inlineStr">
        <is>
          <t>Este (m)</t>
        </is>
      </c>
      <c r="H2" s="362" t="inlineStr">
        <is>
          <t>Norte (m)</t>
        </is>
      </c>
      <c r="I2" s="362" t="inlineStr">
        <is>
          <t>Bombeo</t>
        </is>
      </c>
      <c r="J2" s="362" t="inlineStr">
        <is>
          <t>Calidad del agua</t>
        </is>
      </c>
      <c r="K2" s="362" t="inlineStr">
        <is>
          <t>Nivel</t>
        </is>
      </c>
      <c r="L2" s="362" t="inlineStr">
        <is>
          <t>Caudal</t>
        </is>
      </c>
      <c r="M2" s="384" t="n"/>
      <c r="N2" s="384" t="n"/>
      <c r="O2" s="384"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5"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86" t="n"/>
      <c r="O5" s="19" t="inlineStr">
        <is>
          <t>Arsénico</t>
        </is>
      </c>
    </row>
    <row r="6">
      <c r="B6" s="23" t="inlineStr">
        <is>
          <t>amonio</t>
        </is>
      </c>
      <c r="C6" s="24" t="n"/>
      <c r="D6" s="23" t="inlineStr">
        <is>
          <t>isótopo deuterio</t>
        </is>
      </c>
      <c r="F6" s="387" t="n"/>
      <c r="L6" s="386" t="n"/>
      <c r="O6" s="19" t="inlineStr">
        <is>
          <t>Bario</t>
        </is>
      </c>
    </row>
    <row r="7">
      <c r="B7" s="23" t="inlineStr">
        <is>
          <t>arsénico</t>
        </is>
      </c>
      <c r="C7" s="24" t="n"/>
      <c r="D7" s="23" t="inlineStr">
        <is>
          <t>isótopo oxígeno 18</t>
        </is>
      </c>
      <c r="F7" s="387" t="n"/>
      <c r="L7" s="386" t="n"/>
      <c r="O7" s="19" t="inlineStr">
        <is>
          <t>Berilio</t>
        </is>
      </c>
    </row>
    <row r="8">
      <c r="B8" s="23" t="inlineStr">
        <is>
          <t>bario</t>
        </is>
      </c>
      <c r="C8" s="24" t="n"/>
      <c r="D8" s="23" t="n"/>
      <c r="F8" s="387" t="n"/>
      <c r="L8" s="386" t="n"/>
      <c r="O8" s="19" t="inlineStr">
        <is>
          <t>Bicarbonato</t>
        </is>
      </c>
    </row>
    <row r="9">
      <c r="B9" s="23" t="inlineStr">
        <is>
          <t>bicarbonato</t>
        </is>
      </c>
      <c r="C9" s="24" t="n"/>
      <c r="D9" s="25" t="inlineStr">
        <is>
          <t>**en puntos específicos</t>
        </is>
      </c>
      <c r="F9" s="387" t="n"/>
      <c r="L9" s="386" t="n"/>
      <c r="O9" s="19" t="inlineStr">
        <is>
          <t>Boro</t>
        </is>
      </c>
    </row>
    <row r="10">
      <c r="B10" s="23" t="inlineStr">
        <is>
          <t>berilio</t>
        </is>
      </c>
      <c r="C10" s="24" t="n"/>
      <c r="D10" s="23" t="n"/>
      <c r="F10" s="387" t="n"/>
      <c r="L10" s="386" t="n"/>
      <c r="O10" s="19" t="inlineStr">
        <is>
          <t>Cadmio</t>
        </is>
      </c>
    </row>
    <row r="11">
      <c r="B11" s="23" t="inlineStr">
        <is>
          <t xml:space="preserve">boro </t>
        </is>
      </c>
      <c r="C11" s="24" t="n"/>
      <c r="D11" s="23" t="n"/>
      <c r="F11" s="387" t="n"/>
      <c r="L11" s="386" t="n"/>
      <c r="O11" s="19" t="inlineStr">
        <is>
          <t>Calcio</t>
        </is>
      </c>
    </row>
    <row r="12">
      <c r="B12" s="23" t="inlineStr">
        <is>
          <t>cadmio</t>
        </is>
      </c>
      <c r="C12" s="24" t="n"/>
      <c r="D12" s="23" t="n"/>
      <c r="F12" s="387" t="n"/>
      <c r="L12" s="386" t="n"/>
      <c r="O12" s="19" t="inlineStr">
        <is>
          <t>Carbonato</t>
        </is>
      </c>
    </row>
    <row r="13">
      <c r="B13" s="23" t="inlineStr">
        <is>
          <t>calcio</t>
        </is>
      </c>
      <c r="C13" s="24" t="n"/>
      <c r="D13" s="23" t="n"/>
      <c r="F13" s="387" t="n"/>
      <c r="L13" s="386" t="n"/>
      <c r="O13" s="19" t="inlineStr">
        <is>
          <t>Cianuro</t>
        </is>
      </c>
    </row>
    <row r="14">
      <c r="B14" s="23" t="inlineStr">
        <is>
          <t>carbonato</t>
        </is>
      </c>
      <c r="C14" s="24" t="n"/>
      <c r="D14" s="23" t="n"/>
      <c r="F14" s="387" t="n"/>
      <c r="L14" s="386" t="n"/>
      <c r="O14" s="19" t="inlineStr">
        <is>
          <t>Cinc</t>
        </is>
      </c>
    </row>
    <row r="15">
      <c r="B15" s="23" t="inlineStr">
        <is>
          <t>cianuro</t>
        </is>
      </c>
      <c r="C15" s="24" t="n"/>
      <c r="D15" s="23" t="n"/>
      <c r="F15" s="387" t="n"/>
      <c r="L15" s="386" t="n"/>
      <c r="O15" s="19" t="inlineStr">
        <is>
          <t>Cloruro</t>
        </is>
      </c>
    </row>
    <row r="16">
      <c r="B16" s="23" t="inlineStr">
        <is>
          <t>cinc</t>
        </is>
      </c>
      <c r="C16" s="24" t="n"/>
      <c r="D16" s="23" t="n"/>
      <c r="F16" s="387" t="n"/>
      <c r="L16" s="386" t="n"/>
      <c r="O16" s="19" t="inlineStr">
        <is>
          <t>Cobalto</t>
        </is>
      </c>
    </row>
    <row r="17">
      <c r="B17" s="23" t="inlineStr">
        <is>
          <t>cloruro</t>
        </is>
      </c>
      <c r="C17" s="24" t="n"/>
      <c r="D17" s="23" t="n"/>
      <c r="F17" s="387" t="n"/>
      <c r="L17" s="386" t="n"/>
      <c r="O17" s="19" t="inlineStr">
        <is>
          <t>Cobre</t>
        </is>
      </c>
    </row>
    <row r="18">
      <c r="B18" s="23" t="inlineStr">
        <is>
          <t>cobalto</t>
        </is>
      </c>
      <c r="C18" s="24" t="n"/>
      <c r="D18" s="23" t="n"/>
      <c r="F18" s="387" t="n"/>
      <c r="L18" s="386" t="n"/>
      <c r="O18" s="19" t="inlineStr">
        <is>
          <t>Cobre Disuelto</t>
        </is>
      </c>
    </row>
    <row r="19">
      <c r="B19" s="23" t="inlineStr">
        <is>
          <t>cobre</t>
        </is>
      </c>
      <c r="C19" s="24" t="n"/>
      <c r="D19" s="23" t="n"/>
      <c r="F19" s="387" t="n"/>
      <c r="L19" s="386" t="n"/>
      <c r="O19" s="19" t="inlineStr">
        <is>
          <t>Conductividad Eléctrica (in situ y laboratorio)</t>
        </is>
      </c>
    </row>
    <row r="20" ht="27" customHeight="1">
      <c r="B20" s="23" t="inlineStr">
        <is>
          <t>conductividad eléctrica (in situ y laboratorio)</t>
        </is>
      </c>
      <c r="C20" s="24" t="n"/>
      <c r="D20" s="23" t="n"/>
      <c r="F20" s="387" t="n"/>
      <c r="L20" s="386" t="n"/>
      <c r="O20" s="19" t="inlineStr">
        <is>
          <t>Cromo</t>
        </is>
      </c>
    </row>
    <row r="21">
      <c r="B21" s="23" t="inlineStr">
        <is>
          <t>cromo</t>
        </is>
      </c>
      <c r="C21" s="24" t="n"/>
      <c r="D21" s="23" t="n"/>
      <c r="F21" s="387" t="n"/>
      <c r="L21" s="386" t="n"/>
      <c r="O21" s="19" t="inlineStr">
        <is>
          <t>Fluoruro</t>
        </is>
      </c>
    </row>
    <row r="22">
      <c r="B22" s="23" t="inlineStr">
        <is>
          <t>fluoruro</t>
        </is>
      </c>
      <c r="C22" s="24" t="n"/>
      <c r="D22" s="23" t="n"/>
      <c r="F22" s="387" t="n"/>
      <c r="L22" s="386" t="n"/>
      <c r="O22" s="19" t="inlineStr">
        <is>
          <t>Hierro</t>
        </is>
      </c>
    </row>
    <row r="23">
      <c r="B23" s="23" t="inlineStr">
        <is>
          <t>hierro</t>
        </is>
      </c>
      <c r="C23" s="24" t="n"/>
      <c r="D23" s="23" t="n"/>
      <c r="F23" s="387" t="n"/>
      <c r="L23" s="386" t="n"/>
      <c r="O23" s="19" t="inlineStr">
        <is>
          <t>Litio</t>
        </is>
      </c>
    </row>
    <row r="24">
      <c r="B24" s="23" t="inlineStr">
        <is>
          <t>litio</t>
        </is>
      </c>
      <c r="C24" s="24" t="n"/>
      <c r="D24" s="23" t="n"/>
      <c r="F24" s="387" t="n"/>
      <c r="L24" s="386" t="n"/>
      <c r="O24" s="19" t="inlineStr">
        <is>
          <t>Magnesio</t>
        </is>
      </c>
    </row>
    <row r="25">
      <c r="B25" s="23" t="inlineStr">
        <is>
          <t>magnesio</t>
        </is>
      </c>
      <c r="C25" s="24" t="n"/>
      <c r="D25" s="23" t="n"/>
      <c r="F25" s="387" t="n"/>
      <c r="L25" s="386" t="n"/>
      <c r="O25" s="19" t="inlineStr">
        <is>
          <t>Manganeso</t>
        </is>
      </c>
    </row>
    <row r="26">
      <c r="B26" s="23" t="inlineStr">
        <is>
          <t>manganeso</t>
        </is>
      </c>
      <c r="C26" s="24" t="n"/>
      <c r="D26" s="23" t="n"/>
      <c r="F26" s="387" t="n"/>
      <c r="L26" s="386" t="n"/>
      <c r="O26" s="19" t="inlineStr">
        <is>
          <t>Mercurio</t>
        </is>
      </c>
    </row>
    <row r="27">
      <c r="B27" s="23" t="inlineStr">
        <is>
          <t>mercurio</t>
        </is>
      </c>
      <c r="C27" s="24" t="n"/>
      <c r="D27" s="23" t="n"/>
      <c r="F27" s="387" t="n"/>
      <c r="L27" s="386" t="n"/>
      <c r="O27" s="19" t="inlineStr">
        <is>
          <t>Molibdeno</t>
        </is>
      </c>
    </row>
    <row r="28">
      <c r="B28" s="23" t="inlineStr">
        <is>
          <t>molibdeno</t>
        </is>
      </c>
      <c r="C28" s="24" t="n"/>
      <c r="D28" s="23" t="n"/>
      <c r="F28" s="387" t="n"/>
      <c r="L28" s="386" t="n"/>
      <c r="O28" s="19" t="inlineStr">
        <is>
          <t>Níquel</t>
        </is>
      </c>
    </row>
    <row r="29">
      <c r="B29" s="23" t="inlineStr">
        <is>
          <t>níquel</t>
        </is>
      </c>
      <c r="C29" s="24" t="n"/>
      <c r="D29" s="23" t="n"/>
      <c r="F29" s="387" t="n"/>
      <c r="L29" s="386" t="n"/>
      <c r="O29" s="19" t="inlineStr">
        <is>
          <t>Nitrato</t>
        </is>
      </c>
    </row>
    <row r="30">
      <c r="B30" s="23" t="inlineStr">
        <is>
          <t>nitrato</t>
        </is>
      </c>
      <c r="C30" s="24" t="n"/>
      <c r="D30" s="23" t="n"/>
      <c r="F30" s="387" t="n"/>
      <c r="L30" s="386" t="n"/>
      <c r="O30" s="19" t="inlineStr">
        <is>
          <t>Nitrito</t>
        </is>
      </c>
    </row>
    <row r="31">
      <c r="B31" s="23" t="inlineStr">
        <is>
          <t>nitrito</t>
        </is>
      </c>
      <c r="C31" s="24" t="n"/>
      <c r="D31" s="23" t="n"/>
      <c r="F31" s="387" t="n"/>
      <c r="L31" s="386" t="n"/>
      <c r="O31" s="19" t="inlineStr">
        <is>
          <t>pH (in situ y laboratorio)</t>
        </is>
      </c>
    </row>
    <row r="32">
      <c r="B32" s="23" t="inlineStr">
        <is>
          <t>pH (in situ y laboratorio)</t>
        </is>
      </c>
      <c r="C32" s="24" t="n"/>
      <c r="D32" s="23" t="n"/>
      <c r="F32" s="387" t="n"/>
      <c r="L32" s="386" t="n"/>
      <c r="O32" s="19" t="inlineStr">
        <is>
          <t>Plata</t>
        </is>
      </c>
    </row>
    <row r="33">
      <c r="B33" s="23" t="inlineStr">
        <is>
          <t>plata</t>
        </is>
      </c>
      <c r="C33" s="24" t="n"/>
      <c r="D33" s="23" t="n"/>
      <c r="F33" s="387" t="n"/>
      <c r="L33" s="386" t="n"/>
      <c r="O33" s="19" t="inlineStr">
        <is>
          <t>Plomo</t>
        </is>
      </c>
    </row>
    <row r="34">
      <c r="B34" s="23" t="inlineStr">
        <is>
          <t>plomo</t>
        </is>
      </c>
      <c r="C34" s="24" t="n"/>
      <c r="D34" s="23" t="n"/>
      <c r="F34" s="387" t="n"/>
      <c r="L34" s="386" t="n"/>
      <c r="O34" s="19" t="inlineStr">
        <is>
          <t>Potasio</t>
        </is>
      </c>
    </row>
    <row r="35">
      <c r="B35" s="23" t="inlineStr">
        <is>
          <t>potasio</t>
        </is>
      </c>
      <c r="C35" s="24" t="n"/>
      <c r="D35" s="23" t="n"/>
      <c r="F35" s="387" t="n"/>
      <c r="L35" s="386"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2026-04-03T13:12:57Z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