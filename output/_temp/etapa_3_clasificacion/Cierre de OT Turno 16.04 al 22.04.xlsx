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" sheetId="1" state="visible" r:id="rId1"/>
    <sheet name="17" sheetId="2" state="visible" r:id="rId2"/>
    <sheet name="20" sheetId="3" state="visible" r:id="rId3"/>
    <sheet name="21" sheetId="4" state="visible" r:id="rId4"/>
    <sheet name="22" sheetId="5" state="visible" r:id="rId5"/>
    <sheet name="SIGRPMO" sheetId="6" state="visible" r:id="rId6"/>
  </sheets>
  <definedNames>
    <definedName name="_xlnm._FilterDatabase" localSheetId="0" hidden="1">'16'!$A$1:$L$1</definedName>
    <definedName name="_xlnm._FilterDatabase" localSheetId="1" hidden="1">'17'!$A$1:$L$1</definedName>
    <definedName name="_xlnm._FilterDatabase" localSheetId="2" hidden="1">'20'!$A$1:$L$1</definedName>
    <definedName name="_xlnm._FilterDatabase" localSheetId="3" hidden="1">'21'!$A$1:$L$1</definedName>
    <definedName name="_xlnm._FilterDatabase" localSheetId="4" hidden="1">'22'!$A$1:$L$1</definedName>
    <definedName name="_xlnm._FilterDatabase" localSheetId="5" hidden="1">'SIGRPMO'!$A$1:$J$1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97A76"/>
      </patternFill>
    </fill>
    <fill>
      <patternFill patternType="solid">
        <fgColor rgb="FF00B0AA"/>
      </patternFill>
    </fill>
    <fill>
      <patternFill patternType="solid">
        <fgColor rgb="FF666666"/>
      </patternFill>
    </fill>
    <fill>
      <patternFill patternType="solid">
        <fgColor rgb="FF9CE2DD"/>
      </patternFill>
    </fill>
    <fill>
      <patternFill patternType="solid">
        <fgColor rgb="FFB8B8B8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dxfs count="1">
    <dxf>
      <font>
        <b val="1"/>
        <i val="1"/>
        <strike val="1"/>
      </font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03649003</t>
        </is>
      </c>
      <c r="B2" s="4" t="inlineStr">
        <is>
          <t>MED DE NIVELES FREATICOS</t>
        </is>
      </c>
      <c r="C2" s="4" t="inlineStr">
        <is>
          <t>RF-4 SAN NICOLAS</t>
        </is>
      </c>
      <c r="D2" s="4" t="inlineStr">
        <is>
          <t>2026-04-01</t>
        </is>
      </c>
      <c r="E2" s="4" t="inlineStr">
        <is>
          <t>2026-04-16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>
        <is>
          <t>TT</t>
        </is>
      </c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inlineStr">
        <is>
          <t>PAF TAMENTICA</t>
        </is>
      </c>
      <c r="L2" s="4" t="inlineStr">
        <is>
          <t>NF</t>
        </is>
      </c>
    </row>
    <row r="3">
      <c r="A3" s="4" t="inlineStr">
        <is>
          <t>03649004</t>
        </is>
      </c>
      <c r="B3" s="4" t="inlineStr">
        <is>
          <t>MM DE AGUAS SUBTERRÁNEAS</t>
        </is>
      </c>
      <c r="C3" s="4" t="inlineStr">
        <is>
          <t>RF-4 SAN NICOLAS</t>
        </is>
      </c>
      <c r="D3" s="4" t="inlineStr">
        <is>
          <t>2026-04-01</t>
        </is>
      </c>
      <c r="E3" s="4" t="inlineStr">
        <is>
          <t>2026-04-16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>
        <is>
          <t>TT</t>
        </is>
      </c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inlineStr">
        <is>
          <t>PAF TAMENTICA</t>
        </is>
      </c>
      <c r="L3" s="4" t="inlineStr">
        <is>
          <t>ASUB</t>
        </is>
      </c>
    </row>
    <row r="4">
      <c r="A4" s="4" t="inlineStr">
        <is>
          <t>03649057</t>
        </is>
      </c>
      <c r="B4" s="4" t="inlineStr">
        <is>
          <t>MEDICION DE NIVELES FREATICOS</t>
        </is>
      </c>
      <c r="C4" s="4" t="inlineStr">
        <is>
          <t>MAH-01 HUINQUINTIPA</t>
        </is>
      </c>
      <c r="D4" s="4" t="inlineStr">
        <is>
          <t>2026-04-01</t>
        </is>
      </c>
      <c r="E4" s="4" t="inlineStr">
        <is>
          <t>2026-04-16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>
        <is>
          <t>TT</t>
        </is>
      </c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inlineStr">
        <is>
          <t>PAF SALLIHUINXA</t>
        </is>
      </c>
      <c r="L4" s="4" t="inlineStr">
        <is>
          <t>NF</t>
        </is>
      </c>
    </row>
    <row r="5">
      <c r="A5" s="4" t="inlineStr">
        <is>
          <t>03649058</t>
        </is>
      </c>
      <c r="B5" s="4" t="inlineStr">
        <is>
          <t>MM DE AGUAS SUBTERRÁNEAS</t>
        </is>
      </c>
      <c r="C5" s="4" t="inlineStr">
        <is>
          <t>MAH-01 HUINQUINTIPA</t>
        </is>
      </c>
      <c r="D5" s="4" t="inlineStr">
        <is>
          <t>2026-04-01</t>
        </is>
      </c>
      <c r="E5" s="4" t="inlineStr">
        <is>
          <t>2026-04-16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>
        <is>
          <t>TT</t>
        </is>
      </c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inlineStr">
        <is>
          <t>PAF SALLIHUINXA</t>
        </is>
      </c>
      <c r="L5" s="4" t="inlineStr">
        <is>
          <t>ASUB</t>
        </is>
      </c>
    </row>
    <row r="6">
      <c r="A6" s="4" t="inlineStr">
        <is>
          <t>03649190</t>
        </is>
      </c>
      <c r="B6" s="4" t="inlineStr">
        <is>
          <t>MM DE AGUAS SUPERFICIALES</t>
        </is>
      </c>
      <c r="C6" s="4" t="inlineStr">
        <is>
          <t>QYA YABRICOYITA</t>
        </is>
      </c>
      <c r="D6" s="4" t="inlineStr">
        <is>
          <t>2026-04-01</t>
        </is>
      </c>
      <c r="E6" s="4" t="inlineStr">
        <is>
          <t>2026-04-16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ASUP</t>
        </is>
      </c>
    </row>
    <row r="7">
      <c r="A7" s="4" t="inlineStr">
        <is>
          <t>03649191</t>
        </is>
      </c>
      <c r="B7" s="4" t="inlineStr">
        <is>
          <t>MEDICION DE CAUDAL</t>
        </is>
      </c>
      <c r="C7" s="4" t="inlineStr">
        <is>
          <t>QYA YABRICOYITA</t>
        </is>
      </c>
      <c r="D7" s="4" t="inlineStr">
        <is>
          <t>2026-04-01</t>
        </is>
      </c>
      <c r="E7" s="4" t="inlineStr">
        <is>
          <t>2026-04-16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CAUDAL</t>
        </is>
      </c>
    </row>
    <row r="8">
      <c r="A8" s="4" t="inlineStr">
        <is>
          <t>03649194</t>
        </is>
      </c>
      <c r="B8" s="4" t="inlineStr">
        <is>
          <t>MEDICION DE NIVELES FREATICOS</t>
        </is>
      </c>
      <c r="C8" s="4" t="inlineStr">
        <is>
          <t>PUNTERA 1 (P-01)</t>
        </is>
      </c>
      <c r="D8" s="4" t="inlineStr">
        <is>
          <t>2026-04-01</t>
        </is>
      </c>
      <c r="E8" s="4" t="inlineStr">
        <is>
          <t>2026-04-16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NF</t>
        </is>
      </c>
    </row>
    <row r="9">
      <c r="A9" s="4" t="inlineStr">
        <is>
          <t>03649195</t>
        </is>
      </c>
      <c r="B9" s="4" t="inlineStr">
        <is>
          <t>MM DE AGUAS SUBTERRÁNEAS</t>
        </is>
      </c>
      <c r="C9" s="4" t="inlineStr">
        <is>
          <t>PUNTERA 1 (P-01)</t>
        </is>
      </c>
      <c r="D9" s="4" t="inlineStr">
        <is>
          <t>2026-04-01</t>
        </is>
      </c>
      <c r="E9" s="4" t="inlineStr">
        <is>
          <t>2026-04-16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ASUB</t>
        </is>
      </c>
    </row>
    <row r="10">
      <c r="A10" s="4" t="inlineStr">
        <is>
          <t>03649200</t>
        </is>
      </c>
      <c r="B10" s="4" t="inlineStr">
        <is>
          <t>MM DE AGUAS SUBTERRÁNEAS</t>
        </is>
      </c>
      <c r="C10" s="4" t="inlineStr">
        <is>
          <t>PUNTERA 2 SALLIHUINCA</t>
        </is>
      </c>
      <c r="D10" s="4" t="inlineStr">
        <is>
          <t>2026-04-01</t>
        </is>
      </c>
      <c r="E10" s="4" t="inlineStr">
        <is>
          <t>2026-04-16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>
        <is>
          <t>TT</t>
        </is>
      </c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inlineStr">
        <is>
          <t>PAF TAMENTICA</t>
        </is>
      </c>
      <c r="L10" s="4" t="inlineStr">
        <is>
          <t>ASUB</t>
        </is>
      </c>
    </row>
    <row r="11">
      <c r="A11" s="4" t="inlineStr">
        <is>
          <t>03649201</t>
        </is>
      </c>
      <c r="B11" s="4" t="inlineStr">
        <is>
          <t>MEDICIÓN NIVELES FREÁTICOS</t>
        </is>
      </c>
      <c r="C11" s="4" t="inlineStr">
        <is>
          <t>PUNTERA 2 SALLIHUINCA</t>
        </is>
      </c>
      <c r="D11" s="4" t="inlineStr">
        <is>
          <t>2026-04-01</t>
        </is>
      </c>
      <c r="E11" s="4" t="inlineStr">
        <is>
          <t>2026-04-16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>
        <is>
          <t>TT</t>
        </is>
      </c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inlineStr">
        <is>
          <t>PAF TAMENTICA</t>
        </is>
      </c>
      <c r="L11" s="4" t="inlineStr">
        <is>
          <t>NF</t>
        </is>
      </c>
    </row>
    <row r="12">
      <c r="A12" s="4" t="inlineStr">
        <is>
          <t>03649212</t>
        </is>
      </c>
      <c r="B12" s="4" t="inlineStr">
        <is>
          <t>MED DE NIVELES FREATICOS</t>
        </is>
      </c>
      <c r="C12" s="4" t="inlineStr">
        <is>
          <t>RF-1 YABRICOLLITA</t>
        </is>
      </c>
      <c r="D12" s="4" t="inlineStr">
        <is>
          <t>2026-04-01</t>
        </is>
      </c>
      <c r="E12" s="4" t="inlineStr">
        <is>
          <t>2026-04-16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03649213</t>
        </is>
      </c>
      <c r="B13" s="4" t="inlineStr">
        <is>
          <t>MM DE AGUAS SUBTERRÁNEAS</t>
        </is>
      </c>
      <c r="C13" s="4" t="inlineStr">
        <is>
          <t>RF-1 YABRICOLLITA</t>
        </is>
      </c>
      <c r="D13" s="4" t="inlineStr">
        <is>
          <t>2026-04-01</t>
        </is>
      </c>
      <c r="E13" s="4" t="inlineStr">
        <is>
          <t>2026-04-16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ASUB</t>
        </is>
      </c>
    </row>
    <row r="14">
      <c r="A14" s="4" t="inlineStr">
        <is>
          <t>03649214</t>
        </is>
      </c>
      <c r="B14" s="4" t="inlineStr">
        <is>
          <t>MED DE NIVELES FREATICOS</t>
        </is>
      </c>
      <c r="C14" s="4" t="inlineStr">
        <is>
          <t>RF-2 SALLIHUINCA</t>
        </is>
      </c>
      <c r="D14" s="4" t="inlineStr">
        <is>
          <t>2026-04-01</t>
        </is>
      </c>
      <c r="E14" s="4" t="inlineStr">
        <is>
          <t>2026-04-16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>
        <is>
          <t>TT</t>
        </is>
      </c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inlineStr">
        <is>
          <t>PAF TAMENTICA</t>
        </is>
      </c>
      <c r="L14" s="4" t="inlineStr">
        <is>
          <t>NF</t>
        </is>
      </c>
    </row>
    <row r="15">
      <c r="A15" s="4" t="inlineStr">
        <is>
          <t>03649215</t>
        </is>
      </c>
      <c r="B15" s="4" t="inlineStr">
        <is>
          <t>MM DE AGUAS SUBTERRÁNEAS</t>
        </is>
      </c>
      <c r="C15" s="4" t="inlineStr">
        <is>
          <t>RF-2 SALLIHUINCA</t>
        </is>
      </c>
      <c r="D15" s="4" t="inlineStr">
        <is>
          <t>2026-04-01</t>
        </is>
      </c>
      <c r="E15" s="4" t="inlineStr">
        <is>
          <t>2026-04-16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>
        <is>
          <t>TT</t>
        </is>
      </c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inlineStr">
        <is>
          <t>PAF TAMENTICA</t>
        </is>
      </c>
      <c r="L15" s="4" t="inlineStr">
        <is>
          <t>ASUB</t>
        </is>
      </c>
    </row>
    <row r="16">
      <c r="A16" s="4" t="inlineStr">
        <is>
          <t>03649222</t>
        </is>
      </c>
      <c r="B16" s="4" t="inlineStr">
        <is>
          <t>MEDICION DE NIVELES FREATICOS</t>
        </is>
      </c>
      <c r="C16" s="4" t="inlineStr">
        <is>
          <t>RF-05 Chiclla</t>
        </is>
      </c>
      <c r="D16" s="4" t="inlineStr">
        <is>
          <t>2026-04-01</t>
        </is>
      </c>
      <c r="E16" s="4" t="inlineStr">
        <is>
          <t>2026-04-16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>
        <is>
          <t>TT</t>
        </is>
      </c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inlineStr">
        <is>
          <t>PAF TAMENTICA</t>
        </is>
      </c>
      <c r="L16" s="4" t="inlineStr">
        <is>
          <t>NF</t>
        </is>
      </c>
    </row>
    <row r="17">
      <c r="A17" s="4" t="inlineStr">
        <is>
          <t>03649223</t>
        </is>
      </c>
      <c r="B17" s="4" t="inlineStr">
        <is>
          <t>MM DE AGUAS SUBTERRÁNEAS</t>
        </is>
      </c>
      <c r="C17" s="4" t="inlineStr">
        <is>
          <t>RF-05 Chiclla</t>
        </is>
      </c>
      <c r="D17" s="4" t="inlineStr">
        <is>
          <t>2026-04-01</t>
        </is>
      </c>
      <c r="E17" s="4" t="inlineStr">
        <is>
          <t>2026-04-16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>
        <is>
          <t>TT</t>
        </is>
      </c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inlineStr">
        <is>
          <t>PAF TAMENTICA</t>
        </is>
      </c>
      <c r="L17" s="4" t="inlineStr">
        <is>
          <t>ASUB</t>
        </is>
      </c>
    </row>
  </sheetData>
  <autoFilter ref="A1:L1"/>
  <conditionalFormatting sqref="I2:I17">
    <cfRule type="expression" priority="1" dxfId="0">
      <formula>AND(I2&lt;&gt;"", LEN(I2)&gt;50)</formula>
    </cfRule>
  </conditionalFormatting>
  <dataValidations count="1">
    <dataValidation sqref="I1:I17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03649224</t>
        </is>
      </c>
      <c r="B2" s="4" t="inlineStr">
        <is>
          <t>MONITOREO DE BAÑOS Y CASINOS</t>
        </is>
      </c>
      <c r="C2" s="4" t="inlineStr">
        <is>
          <t>CGP PUERTO COLLAHUASI</t>
        </is>
      </c>
      <c r="D2" s="4" t="inlineStr">
        <is>
          <t>2026-04-04</t>
        </is>
      </c>
      <c r="E2" s="4" t="inlineStr">
        <is>
          <t>2026-04-17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>
        <is>
          <t>TT</t>
        </is>
      </c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AP</t>
        </is>
      </c>
    </row>
    <row r="3">
      <c r="A3" s="4" t="inlineStr">
        <is>
          <t>03677147</t>
        </is>
      </c>
      <c r="B3" s="4" t="inlineStr">
        <is>
          <t>MONITOREO DE BAÑOS Y CASINOS</t>
        </is>
      </c>
      <c r="C3" s="4" t="inlineStr">
        <is>
          <t>CPPCHE PUERTO COLLAHUASI</t>
        </is>
      </c>
      <c r="D3" s="4" t="inlineStr">
        <is>
          <t>2026-04-04</t>
        </is>
      </c>
      <c r="E3" s="4" t="inlineStr">
        <is>
          <t>2026-04-17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>
        <is>
          <t>TT</t>
        </is>
      </c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03677148</t>
        </is>
      </c>
      <c r="B4" s="4" t="inlineStr">
        <is>
          <t>MM DE AGUAS SUPERFICIALES</t>
        </is>
      </c>
      <c r="C4" s="4" t="inlineStr">
        <is>
          <t>CGP PUERTO COLLAHUASI</t>
        </is>
      </c>
      <c r="D4" s="4" t="inlineStr">
        <is>
          <t>2026-04-04</t>
        </is>
      </c>
      <c r="E4" s="4" t="inlineStr">
        <is>
          <t>2026-04-17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>
        <is>
          <t>TT</t>
        </is>
      </c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ASUP</t>
        </is>
      </c>
    </row>
    <row r="5">
      <c r="A5" s="4" t="inlineStr">
        <is>
          <t>03677149</t>
        </is>
      </c>
      <c r="B5" s="4" t="inlineStr">
        <is>
          <t>MM DE AGUAS SUPERFICIALES</t>
        </is>
      </c>
      <c r="C5" s="4" t="inlineStr">
        <is>
          <t>CPPCHE PUERTO COLLAHUASI</t>
        </is>
      </c>
      <c r="D5" s="4" t="inlineStr">
        <is>
          <t>2026-04-04</t>
        </is>
      </c>
      <c r="E5" s="4" t="inlineStr">
        <is>
          <t>2026-04-17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>
        <is>
          <t>TT</t>
        </is>
      </c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ASUP</t>
        </is>
      </c>
    </row>
  </sheetData>
  <autoFilter ref="A1:L1"/>
  <conditionalFormatting sqref="I2:I5">
    <cfRule type="expression" priority="1" dxfId="0">
      <formula>AND(I2&lt;&gt;"", LEN(I2)&gt;50)</formula>
    </cfRule>
  </conditionalFormatting>
  <dataValidations count="1">
    <dataValidation sqref="I1:I5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03678603</t>
        </is>
      </c>
      <c r="B2" s="4" t="inlineStr">
        <is>
          <t>OP DE ESTACIONES CONTINUAS</t>
        </is>
      </c>
      <c r="C2" s="4" t="inlineStr">
        <is>
          <t>Estacion Calidad del aire Puerto</t>
        </is>
      </c>
      <c r="D2" s="4" t="inlineStr">
        <is>
          <t>2026-04-07</t>
        </is>
      </c>
      <c r="E2" s="4" t="inlineStr">
        <is>
          <t>2026-04-20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03670809</t>
        </is>
      </c>
      <c r="B3" s="4" t="inlineStr">
        <is>
          <t>OP DE ESTACIONES CONTINUAS</t>
        </is>
      </c>
      <c r="C3" s="4" t="inlineStr"/>
      <c r="D3" s="4" t="inlineStr">
        <is>
          <t>2026-04-14</t>
        </is>
      </c>
      <c r="E3" s="4" t="inlineStr">
        <is>
          <t>2026-04-20</t>
        </is>
      </c>
      <c r="F3" s="4" t="inlineStr">
        <is>
          <t>SIGAIR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/>
    </row>
    <row r="4">
      <c r="A4" s="4" t="inlineStr">
        <is>
          <t>03670810</t>
        </is>
      </c>
      <c r="B4" s="4" t="inlineStr">
        <is>
          <t>MANT DE ESTACIONES CONTINUAS</t>
        </is>
      </c>
      <c r="C4" s="4" t="inlineStr"/>
      <c r="D4" s="4" t="inlineStr">
        <is>
          <t>2026-04-14</t>
        </is>
      </c>
      <c r="E4" s="4" t="inlineStr">
        <is>
          <t>2026-04-20</t>
        </is>
      </c>
      <c r="F4" s="4" t="inlineStr">
        <is>
          <t>SIGAIR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/>
    </row>
  </sheetData>
  <autoFilter ref="A1:L1"/>
  <conditionalFormatting sqref="I2:I4">
    <cfRule type="expression" priority="1" dxfId="0">
      <formula>AND(I2&lt;&gt;"", LEN(I2)&gt;50)</formula>
    </cfRule>
  </conditionalFormatting>
  <dataValidations count="1">
    <dataValidation sqref="I1:I4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03675515</t>
        </is>
      </c>
      <c r="B2" s="4" t="inlineStr">
        <is>
          <t>Op Estaciones Meteorologicas</t>
        </is>
      </c>
      <c r="C2" s="4" t="inlineStr"/>
      <c r="D2" s="4" t="inlineStr">
        <is>
          <t>2026-04-06</t>
        </is>
      </c>
      <c r="E2" s="4" t="inlineStr">
        <is>
          <t>2026-04-21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03661667</t>
        </is>
      </c>
      <c r="B3" s="4" t="inlineStr">
        <is>
          <t>MEDICION DE NIVELES FREATICOS</t>
        </is>
      </c>
      <c r="C3" s="4" t="inlineStr">
        <is>
          <t>R-B-2 COPOSA NORTE</t>
        </is>
      </c>
      <c r="D3" s="4" t="inlineStr">
        <is>
          <t>2026-04-08</t>
        </is>
      </c>
      <c r="E3" s="4" t="inlineStr">
        <is>
          <t>2026-04-21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>
        <is>
          <t>TT</t>
        </is>
      </c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NF</t>
        </is>
      </c>
    </row>
    <row r="4">
      <c r="A4" s="4" t="inlineStr">
        <is>
          <t>03661668</t>
        </is>
      </c>
      <c r="B4" s="4" t="inlineStr">
        <is>
          <t>MED DE NIVELES FREATICOS</t>
        </is>
      </c>
      <c r="C4" s="4" t="inlineStr">
        <is>
          <t>R-C-1 COPOSA NORTE</t>
        </is>
      </c>
      <c r="D4" s="4" t="inlineStr">
        <is>
          <t>2026-04-08</t>
        </is>
      </c>
      <c r="E4" s="4" t="inlineStr">
        <is>
          <t>2026-04-21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>
        <is>
          <t>TT</t>
        </is>
      </c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NF</t>
        </is>
      </c>
    </row>
    <row r="5">
      <c r="A5" s="4" t="inlineStr">
        <is>
          <t>03661669</t>
        </is>
      </c>
      <c r="B5" s="4" t="inlineStr">
        <is>
          <t>MED DE NIVELES FREATICOS</t>
        </is>
      </c>
      <c r="C5" s="4" t="inlineStr">
        <is>
          <t>R-C-2 COPOSA NORTE</t>
        </is>
      </c>
      <c r="D5" s="4" t="inlineStr">
        <is>
          <t>2026-04-08</t>
        </is>
      </c>
      <c r="E5" s="4" t="inlineStr">
        <is>
          <t>2026-04-21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>
        <is>
          <t>TT</t>
        </is>
      </c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03661670</t>
        </is>
      </c>
      <c r="B6" s="4" t="inlineStr">
        <is>
          <t>MED DE NIVELES FREATICOS</t>
        </is>
      </c>
      <c r="C6" s="4" t="inlineStr">
        <is>
          <t>R-C-3B  COPOSA NORTE</t>
        </is>
      </c>
      <c r="D6" s="4" t="inlineStr">
        <is>
          <t>2026-04-08</t>
        </is>
      </c>
      <c r="E6" s="4" t="inlineStr">
        <is>
          <t>2026-04-21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>
        <is>
          <t>TT</t>
        </is>
      </c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NF</t>
        </is>
      </c>
    </row>
    <row r="7">
      <c r="A7" s="4" t="inlineStr">
        <is>
          <t>03661671</t>
        </is>
      </c>
      <c r="B7" s="4" t="inlineStr">
        <is>
          <t>MED DE NIVELES FREATICOS</t>
        </is>
      </c>
      <c r="C7" s="4" t="inlineStr">
        <is>
          <t>R-PORT-1 PORTEZUELO</t>
        </is>
      </c>
      <c r="D7" s="4" t="inlineStr">
        <is>
          <t>2026-04-08</t>
        </is>
      </c>
      <c r="E7" s="4" t="inlineStr">
        <is>
          <t>2026-04-21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>
        <is>
          <t>TT</t>
        </is>
      </c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03661672</t>
        </is>
      </c>
      <c r="B8" s="4" t="inlineStr">
        <is>
          <t>MM DE AGUAS SUBTERRÁNEAS</t>
        </is>
      </c>
      <c r="C8" s="4" t="inlineStr">
        <is>
          <t>PEP-04C PORTEZUELO</t>
        </is>
      </c>
      <c r="D8" s="4" t="inlineStr">
        <is>
          <t>2026-04-08</t>
        </is>
      </c>
      <c r="E8" s="4" t="inlineStr">
        <is>
          <t>2026-04-21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>
        <is>
          <t>MI</t>
        </is>
      </c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inlineStr">
        <is>
          <t>SE SUSPENDE, BOMBA FUERA DE SERVICIO</t>
        </is>
      </c>
      <c r="L8" s="4" t="inlineStr">
        <is>
          <t>ASUB</t>
        </is>
      </c>
    </row>
    <row r="9">
      <c r="A9" s="4" t="inlineStr">
        <is>
          <t>03661673</t>
        </is>
      </c>
      <c r="B9" s="4" t="inlineStr">
        <is>
          <t>MED DE NIVELES FREATICOS</t>
        </is>
      </c>
      <c r="C9" s="4" t="inlineStr">
        <is>
          <t>PEP-04C PORTEZUELO</t>
        </is>
      </c>
      <c r="D9" s="4" t="inlineStr">
        <is>
          <t>2026-04-08</t>
        </is>
      </c>
      <c r="E9" s="4" t="inlineStr">
        <is>
          <t>2026-04-21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>
        <is>
          <t>TT</t>
        </is>
      </c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inlineStr">
        <is>
          <t>Instrumentado</t>
        </is>
      </c>
      <c r="L9" s="4" t="inlineStr">
        <is>
          <t>NF</t>
        </is>
      </c>
    </row>
    <row r="10">
      <c r="A10" s="4" t="inlineStr">
        <is>
          <t>03661674</t>
        </is>
      </c>
      <c r="B10" s="4" t="inlineStr">
        <is>
          <t>MM DE AGUAS SUBTERRÁNEAS</t>
        </is>
      </c>
      <c r="C10" s="4" t="inlineStr">
        <is>
          <t>PEP-03 PORTEZUELO</t>
        </is>
      </c>
      <c r="D10" s="4" t="inlineStr">
        <is>
          <t>2026-04-08</t>
        </is>
      </c>
      <c r="E10" s="4" t="inlineStr">
        <is>
          <t>2026-04-21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>
        <is>
          <t>TT</t>
        </is>
      </c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ASUB</t>
        </is>
      </c>
    </row>
    <row r="11">
      <c r="A11" s="4" t="inlineStr">
        <is>
          <t>03661675</t>
        </is>
      </c>
      <c r="B11" s="4" t="inlineStr">
        <is>
          <t>MED DE NIVELES FREATICOS</t>
        </is>
      </c>
      <c r="C11" s="4" t="inlineStr">
        <is>
          <t>PEP-03 PORTEZUELO</t>
        </is>
      </c>
      <c r="D11" s="4" t="inlineStr">
        <is>
          <t>2026-04-08</t>
        </is>
      </c>
      <c r="E11" s="4" t="inlineStr">
        <is>
          <t>2026-04-21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>
        <is>
          <t>MI</t>
        </is>
      </c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inlineStr">
        <is>
          <t>SE SUSPENDE PUNTO OBSTRUIDO A LOS 27,088m</t>
        </is>
      </c>
      <c r="L11" s="4" t="inlineStr">
        <is>
          <t>NF</t>
        </is>
      </c>
    </row>
    <row r="12">
      <c r="A12" s="4" t="inlineStr">
        <is>
          <t>03661743</t>
        </is>
      </c>
      <c r="B12" s="4" t="inlineStr">
        <is>
          <t>MED DE NIVELES FREATICOS</t>
        </is>
      </c>
      <c r="C12" s="4" t="inlineStr">
        <is>
          <t>CWE-25 (2) COPOSA NORTE</t>
        </is>
      </c>
      <c r="D12" s="4" t="inlineStr">
        <is>
          <t>2026-04-08</t>
        </is>
      </c>
      <c r="E12" s="4" t="inlineStr">
        <is>
          <t>2026-04-21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>
        <is>
          <t>TT</t>
        </is>
      </c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03661744</t>
        </is>
      </c>
      <c r="B13" s="4" t="inlineStr">
        <is>
          <t>MED DE NIVELES FREATICOS</t>
        </is>
      </c>
      <c r="C13" s="4" t="inlineStr">
        <is>
          <t>CWE-25 (3) COPOSA NORTE</t>
        </is>
      </c>
      <c r="D13" s="4" t="inlineStr">
        <is>
          <t>2026-04-08</t>
        </is>
      </c>
      <c r="E13" s="4" t="inlineStr">
        <is>
          <t>2026-04-21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>
        <is>
          <t>TT</t>
        </is>
      </c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NF</t>
        </is>
      </c>
    </row>
    <row r="14">
      <c r="A14" s="4" t="inlineStr">
        <is>
          <t>03661754</t>
        </is>
      </c>
      <c r="B14" s="4" t="inlineStr">
        <is>
          <t>MED DE NIVELES FREATICOS</t>
        </is>
      </c>
      <c r="C14" s="4" t="inlineStr">
        <is>
          <t>CWE-07 COPOSA SUR</t>
        </is>
      </c>
      <c r="D14" s="4" t="inlineStr">
        <is>
          <t>2026-04-08</t>
        </is>
      </c>
      <c r="E14" s="4" t="inlineStr">
        <is>
          <t>2026-04-21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>
        <is>
          <t>TT</t>
        </is>
      </c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inlineStr">
        <is>
          <t>CALIDAD DE ENERO 2024 CON VIDEOINSPECCIÓN</t>
        </is>
      </c>
      <c r="L14" s="4" t="inlineStr">
        <is>
          <t>NF</t>
        </is>
      </c>
    </row>
    <row r="15">
      <c r="A15" s="4" t="inlineStr">
        <is>
          <t>03661779</t>
        </is>
      </c>
      <c r="B15" s="4" t="inlineStr">
        <is>
          <t>MED DE NIVELES FREATICOS</t>
        </is>
      </c>
      <c r="C15" s="4" t="inlineStr">
        <is>
          <t>PEC-02 PORTEZUELO</t>
        </is>
      </c>
      <c r="D15" s="4" t="inlineStr">
        <is>
          <t>2026-04-08</t>
        </is>
      </c>
      <c r="E15" s="4" t="inlineStr">
        <is>
          <t>2026-04-21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inlineStr">
        <is>
          <t>3 PERSONAS Y TRIPODE Y 2 YEGUA (POZ Y TRIPODE) PORTEZUELO
SE SUSPENDE, CINTA POZOMETRO SE PEGA CON PARED DEL TUBO</t>
        </is>
      </c>
      <c r="L15" s="4" t="inlineStr">
        <is>
          <t>NF</t>
        </is>
      </c>
    </row>
    <row r="16">
      <c r="A16" s="4" t="inlineStr">
        <is>
          <t>03661780</t>
        </is>
      </c>
      <c r="B16" s="4" t="inlineStr">
        <is>
          <t>MED DE NIVELES FREATICOS</t>
        </is>
      </c>
      <c r="C16" s="4" t="inlineStr">
        <is>
          <t>PEP-02  PORTEZUELO</t>
        </is>
      </c>
      <c r="D16" s="4" t="inlineStr">
        <is>
          <t>2026-04-08</t>
        </is>
      </c>
      <c r="E16" s="4" t="inlineStr">
        <is>
          <t>2026-04-21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>
        <is>
          <t>TT</t>
        </is>
      </c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03661783</t>
        </is>
      </c>
      <c r="B17" s="4" t="inlineStr">
        <is>
          <t>MED DE NIVELES FREATICOS</t>
        </is>
      </c>
      <c r="C17" s="4" t="inlineStr">
        <is>
          <t>PPC-01A COPOSA NORTE</t>
        </is>
      </c>
      <c r="D17" s="4" t="inlineStr">
        <is>
          <t>2026-04-08</t>
        </is>
      </c>
      <c r="E17" s="4" t="inlineStr">
        <is>
          <t>2026-04-21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>
        <is>
          <t>TT</t>
        </is>
      </c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03661784</t>
        </is>
      </c>
      <c r="B18" s="4" t="inlineStr">
        <is>
          <t>MED DE NIVELES FREATICOS</t>
        </is>
      </c>
      <c r="C18" s="4" t="inlineStr">
        <is>
          <t>PPC-02 COPOSA NORTE</t>
        </is>
      </c>
      <c r="D18" s="4" t="inlineStr">
        <is>
          <t>2026-04-08</t>
        </is>
      </c>
      <c r="E18" s="4" t="inlineStr">
        <is>
          <t>2026-04-21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>
        <is>
          <t>MI</t>
        </is>
      </c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inlineStr">
        <is>
          <t>TIEMPO LÍMITE PARA TRABAJOS FUERA DE FAENA</t>
        </is>
      </c>
      <c r="L18" s="4" t="inlineStr">
        <is>
          <t>NF</t>
        </is>
      </c>
    </row>
    <row r="19">
      <c r="A19" s="4" t="inlineStr">
        <is>
          <t>03661785</t>
        </is>
      </c>
      <c r="B19" s="4" t="inlineStr">
        <is>
          <t>MED DE NIVELES FREATICOS</t>
        </is>
      </c>
      <c r="C19" s="4" t="inlineStr">
        <is>
          <t>PPC-07 COPOSA NORTE</t>
        </is>
      </c>
      <c r="D19" s="4" t="inlineStr">
        <is>
          <t>2026-04-08</t>
        </is>
      </c>
      <c r="E19" s="4" t="inlineStr">
        <is>
          <t>2026-04-21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>
        <is>
          <t>TT</t>
        </is>
      </c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inlineStr">
        <is>
          <t>gtam instruimnentado
Hito 54 carabineros 
Calidad de aguas trimestral</t>
        </is>
      </c>
      <c r="L19" s="4" t="inlineStr">
        <is>
          <t>NF</t>
        </is>
      </c>
    </row>
    <row r="20">
      <c r="A20" s="4" t="inlineStr">
        <is>
          <t>03661786</t>
        </is>
      </c>
      <c r="B20" s="4" t="inlineStr">
        <is>
          <t>MED DE NIVELES FREATICOS</t>
        </is>
      </c>
      <c r="C20" s="4" t="inlineStr">
        <is>
          <t>PPC-09 COPOSA NORTE</t>
        </is>
      </c>
      <c r="D20" s="4" t="inlineStr">
        <is>
          <t>2026-04-08</t>
        </is>
      </c>
      <c r="E20" s="4" t="inlineStr">
        <is>
          <t>2026-04-21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>
        <is>
          <t>TT</t>
        </is>
      </c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inlineStr">
        <is>
          <t>Instrumentalizado</t>
        </is>
      </c>
      <c r="L20" s="4" t="inlineStr">
        <is>
          <t>NF</t>
        </is>
      </c>
    </row>
    <row r="21">
      <c r="A21" s="4" t="inlineStr">
        <is>
          <t>03661787</t>
        </is>
      </c>
      <c r="B21" s="4" t="inlineStr">
        <is>
          <t>MED DE NIVELES FREATICOS</t>
        </is>
      </c>
      <c r="C21" s="4" t="inlineStr">
        <is>
          <t>PPC-10 COPOSA NORTE</t>
        </is>
      </c>
      <c r="D21" s="4" t="inlineStr">
        <is>
          <t>2026-04-08</t>
        </is>
      </c>
      <c r="E21" s="4" t="inlineStr">
        <is>
          <t>2026-04-21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>
        <is>
          <t>TT</t>
        </is>
      </c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inlineStr">
        <is>
          <t>gtam instruimnentado
Hito 54 carabineros 
Calidad de aguas trimestral</t>
        </is>
      </c>
      <c r="L21" s="4" t="inlineStr">
        <is>
          <t>NF</t>
        </is>
      </c>
    </row>
    <row r="22">
      <c r="A22" s="4" t="inlineStr">
        <is>
          <t>03661788</t>
        </is>
      </c>
      <c r="B22" s="4" t="inlineStr">
        <is>
          <t>MED DE NIVELES FREATICOS</t>
        </is>
      </c>
      <c r="C22" s="4" t="inlineStr">
        <is>
          <t>PPC-14 COPOSA NORTE</t>
        </is>
      </c>
      <c r="D22" s="4" t="inlineStr">
        <is>
          <t>2026-04-08</t>
        </is>
      </c>
      <c r="E22" s="4" t="inlineStr">
        <is>
          <t>2026-04-21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>
        <is>
          <t>MI</t>
        </is>
      </c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inlineStr">
        <is>
          <t>TIEMPO LÍMITE PARA TRABAJOS FUERA DE FAENA</t>
        </is>
      </c>
      <c r="L22" s="4" t="inlineStr">
        <is>
          <t>NF</t>
        </is>
      </c>
    </row>
    <row r="23">
      <c r="A23" s="4" t="inlineStr">
        <is>
          <t>03661789</t>
        </is>
      </c>
      <c r="B23" s="4" t="inlineStr">
        <is>
          <t>MED DE NIVELES FREATICOS</t>
        </is>
      </c>
      <c r="C23" s="4" t="inlineStr">
        <is>
          <t>PPC-15 COPOSA NORTE</t>
        </is>
      </c>
      <c r="D23" s="4" t="inlineStr">
        <is>
          <t>2026-04-08</t>
        </is>
      </c>
      <c r="E23" s="4" t="inlineStr">
        <is>
          <t>2026-04-21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>
        <is>
          <t>MI</t>
        </is>
      </c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inlineStr">
        <is>
          <t>TIEMPO LÍMITE PARA TRABAJOS FUERA DE FAENA</t>
        </is>
      </c>
      <c r="L23" s="4" t="inlineStr">
        <is>
          <t>NF</t>
        </is>
      </c>
    </row>
    <row r="24">
      <c r="A24" s="4" t="inlineStr">
        <is>
          <t>03661790</t>
        </is>
      </c>
      <c r="B24" s="4" t="inlineStr">
        <is>
          <t>MED DE NIVELES FREATICOS</t>
        </is>
      </c>
      <c r="C24" s="4" t="inlineStr">
        <is>
          <t>PPC-20 COPOSA NORTE</t>
        </is>
      </c>
      <c r="D24" s="4" t="inlineStr">
        <is>
          <t>2026-04-08</t>
        </is>
      </c>
      <c r="E24" s="4" t="inlineStr">
        <is>
          <t>2026-04-21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>
        <is>
          <t>TT</t>
        </is>
      </c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inlineStr">
        <is>
          <t>hito 54 Carabineros</t>
        </is>
      </c>
      <c r="L24" s="4" t="inlineStr">
        <is>
          <t>NF</t>
        </is>
      </c>
    </row>
    <row r="25">
      <c r="A25" s="4" t="inlineStr">
        <is>
          <t>03661791</t>
        </is>
      </c>
      <c r="B25" s="4" t="inlineStr">
        <is>
          <t>MED DE NIVELES FREATICOS</t>
        </is>
      </c>
      <c r="C25" s="4" t="inlineStr">
        <is>
          <t>PPC-21 COPOSA NORTE</t>
        </is>
      </c>
      <c r="D25" s="4" t="inlineStr">
        <is>
          <t>2026-04-08</t>
        </is>
      </c>
      <c r="E25" s="4" t="inlineStr">
        <is>
          <t>2026-04-21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>
        <is>
          <t>TT</t>
        </is>
      </c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inlineStr">
        <is>
          <t>gtam instruimnentado
Hito 54 carabineros 
Calidad de aguas trimestral</t>
        </is>
      </c>
      <c r="L25" s="4" t="inlineStr">
        <is>
          <t>NF</t>
        </is>
      </c>
    </row>
    <row r="26">
      <c r="A26" s="4" t="inlineStr">
        <is>
          <t>03661792</t>
        </is>
      </c>
      <c r="B26" s="4" t="inlineStr">
        <is>
          <t>MED DE NIVELES FREATICOS</t>
        </is>
      </c>
      <c r="C26" s="4" t="inlineStr">
        <is>
          <t>PPC-29 COPOSA NORTE</t>
        </is>
      </c>
      <c r="D26" s="4" t="inlineStr">
        <is>
          <t>2026-04-08</t>
        </is>
      </c>
      <c r="E26" s="4" t="inlineStr">
        <is>
          <t>2026-04-21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>
        <is>
          <t>TT</t>
        </is>
      </c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NF</t>
        </is>
      </c>
    </row>
    <row r="27">
      <c r="A27" s="4" t="inlineStr">
        <is>
          <t>03661826</t>
        </is>
      </c>
      <c r="B27" s="4" t="inlineStr">
        <is>
          <t>MM DE AGUAS SUBTERRÁNEAS</t>
        </is>
      </c>
      <c r="C27" s="4" t="inlineStr">
        <is>
          <t>PEP-01 PORTEZUELO</t>
        </is>
      </c>
      <c r="D27" s="4" t="inlineStr">
        <is>
          <t>2026-04-08</t>
        </is>
      </c>
      <c r="E27" s="4" t="inlineStr">
        <is>
          <t>2026-04-21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>
        <is>
          <t>TT</t>
        </is>
      </c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ASUB</t>
        </is>
      </c>
    </row>
    <row r="28">
      <c r="A28" s="4" t="inlineStr">
        <is>
          <t>03661827</t>
        </is>
      </c>
      <c r="B28" s="4" t="inlineStr">
        <is>
          <t>MED DE NIVELES FREATICOS</t>
        </is>
      </c>
      <c r="C28" s="4" t="inlineStr">
        <is>
          <t>PEP-01 PORTEZUELO</t>
        </is>
      </c>
      <c r="D28" s="4" t="inlineStr">
        <is>
          <t>2026-04-08</t>
        </is>
      </c>
      <c r="E28" s="4" t="inlineStr">
        <is>
          <t>2026-04-21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>
        <is>
          <t>TT</t>
        </is>
      </c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inlineStr">
        <is>
          <t>Instrumentado</t>
        </is>
      </c>
      <c r="L28" s="4" t="inlineStr">
        <is>
          <t>NF</t>
        </is>
      </c>
    </row>
    <row r="29">
      <c r="A29" s="4" t="inlineStr">
        <is>
          <t>03661830</t>
        </is>
      </c>
      <c r="B29" s="4" t="inlineStr">
        <is>
          <t>MED DE NIVELES FREATICOS</t>
        </is>
      </c>
      <c r="C29" s="4" t="inlineStr">
        <is>
          <t>RF-3 HUINQUINTIPA</t>
        </is>
      </c>
      <c r="D29" s="4" t="inlineStr">
        <is>
          <t>2026-04-08</t>
        </is>
      </c>
      <c r="E29" s="4" t="inlineStr">
        <is>
          <t>2026-04-21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inlineStr">
        <is>
          <t>Se suspende muestreo manual de agua subterránea y medición de nivel freático, de punto RF-3, No se puede realizar monitoreo en jornada de trabajo, debido a tiempo requerido para realizar la actividad. (tiempo requerido para la actividad es de 03 Horas), lo cual excede el horario operativo disponible al finalizar el penúltimo punto a las 18:30 Hrs. Punto de monitoreo se reprograma durante el mes.</t>
        </is>
      </c>
      <c r="L29" s="4" t="inlineStr">
        <is>
          <t>NF</t>
        </is>
      </c>
    </row>
    <row r="30">
      <c r="A30" s="4" t="inlineStr">
        <is>
          <t>03661831</t>
        </is>
      </c>
      <c r="B30" s="4" t="inlineStr">
        <is>
          <t>MM DE AGUAS SUBTERRÁNEAS</t>
        </is>
      </c>
      <c r="C30" s="4" t="inlineStr">
        <is>
          <t>RF-3 HUINQUINTIPA</t>
        </is>
      </c>
      <c r="D30" s="4" t="inlineStr">
        <is>
          <t>2026-04-08</t>
        </is>
      </c>
      <c r="E30" s="4" t="inlineStr">
        <is>
          <t>2026-04-21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inlineStr">
        <is>
          <t>Se suspende muestreo manual de agua subterránea y medición de nivel freático, de punto RF-3, No se puede realizar monitoreo en jornada de trabajo, debido a tiempo requerido para realizar la actividad. (tiempo requerido para la actividad es de 03 Horas), lo cual excede el horario operativo disponible al finalizar el penúltimo punto a las 18:30 Hrs. Punto de monitoreo se reprograma durante el mes.</t>
        </is>
      </c>
      <c r="L30" s="4" t="inlineStr">
        <is>
          <t>ASUB</t>
        </is>
      </c>
    </row>
    <row r="31">
      <c r="A31" s="4" t="inlineStr">
        <is>
          <t>03661846</t>
        </is>
      </c>
      <c r="B31" s="4" t="inlineStr">
        <is>
          <t>MEDICION DE EVAPOTRANSPIRACION Y EVAPORA</t>
        </is>
      </c>
      <c r="C31" s="4" t="inlineStr">
        <is>
          <t>DE AGUA. Lisimetro/Evaporimetro</t>
        </is>
      </c>
      <c r="D31" s="4" t="inlineStr">
        <is>
          <t>2026-04-08</t>
        </is>
      </c>
      <c r="E31" s="4" t="inlineStr">
        <is>
          <t>2026-04-21</t>
        </is>
      </c>
      <c r="F31" s="4" t="inlineStr">
        <is>
          <t>SIGAIR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/>
    </row>
    <row r="32">
      <c r="A32" s="4" t="inlineStr">
        <is>
          <t>03661848</t>
        </is>
      </c>
      <c r="B32" s="4" t="inlineStr">
        <is>
          <t>MEDICION DE EVAPOTRANSPIRACION Y EVAPORA</t>
        </is>
      </c>
      <c r="C32" s="4" t="inlineStr">
        <is>
          <t>DE AGUA. Lisimetro/Evaporimetro</t>
        </is>
      </c>
      <c r="D32" s="4" t="inlineStr">
        <is>
          <t>2026-04-08</t>
        </is>
      </c>
      <c r="E32" s="4" t="inlineStr">
        <is>
          <t>2026-04-21</t>
        </is>
      </c>
      <c r="F32" s="4" t="inlineStr">
        <is>
          <t>SIGAIR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/>
    </row>
    <row r="33">
      <c r="A33" s="4" t="inlineStr">
        <is>
          <t>03668548</t>
        </is>
      </c>
      <c r="B33" s="4" t="inlineStr">
        <is>
          <t>MM DE AGUAS SUBTERRÁNEAS</t>
        </is>
      </c>
      <c r="C33" s="4" t="inlineStr">
        <is>
          <t>MITIGACION JACHUCOPOSA (CP-03M)</t>
        </is>
      </c>
      <c r="D33" s="4" t="inlineStr">
        <is>
          <t>2026-04-15</t>
        </is>
      </c>
      <c r="E33" s="4" t="inlineStr">
        <is>
          <t>2026-04-21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ASUB</t>
        </is>
      </c>
    </row>
    <row r="34">
      <c r="A34" s="4" t="inlineStr">
        <is>
          <t>03668549</t>
        </is>
      </c>
      <c r="B34" s="4" t="inlineStr">
        <is>
          <t>MEDICION DE NIVELES FREATICOS</t>
        </is>
      </c>
      <c r="C34" s="4" t="inlineStr">
        <is>
          <t>CP-01-I FALLA PABELLON</t>
        </is>
      </c>
      <c r="D34" s="4" t="inlineStr">
        <is>
          <t>2026-04-15</t>
        </is>
      </c>
      <c r="E34" s="4" t="inlineStr">
        <is>
          <t>2026-04-21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>
        <is>
          <t>TT</t>
        </is>
      </c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NF</t>
        </is>
      </c>
    </row>
    <row r="35">
      <c r="A35" s="4" t="inlineStr">
        <is>
          <t>03668550</t>
        </is>
      </c>
      <c r="B35" s="4" t="inlineStr">
        <is>
          <t>MEDICION DE NIVELES FREATICOS</t>
        </is>
      </c>
      <c r="C35" s="4" t="inlineStr">
        <is>
          <t>CP-02-C FALLA PABELLON</t>
        </is>
      </c>
      <c r="D35" s="4" t="inlineStr">
        <is>
          <t>2026-04-15</t>
        </is>
      </c>
      <c r="E35" s="4" t="inlineStr">
        <is>
          <t>2026-04-21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>
        <is>
          <t>TT</t>
        </is>
      </c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NF</t>
        </is>
      </c>
    </row>
    <row r="36">
      <c r="A36" s="4" t="inlineStr">
        <is>
          <t>03668551</t>
        </is>
      </c>
      <c r="B36" s="4" t="inlineStr">
        <is>
          <t>MEDICION DE NIVELES FREATICOS</t>
        </is>
      </c>
      <c r="C36" s="4" t="inlineStr">
        <is>
          <t>CP-03-M FALLA PABELLON</t>
        </is>
      </c>
      <c r="D36" s="4" t="inlineStr">
        <is>
          <t>2026-04-15</t>
        </is>
      </c>
      <c r="E36" s="4" t="inlineStr">
        <is>
          <t>2026-04-21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>
        <is>
          <t>TT</t>
        </is>
      </c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NF</t>
        </is>
      </c>
    </row>
    <row r="37">
      <c r="A37" s="4" t="inlineStr">
        <is>
          <t>03668552</t>
        </is>
      </c>
      <c r="B37" s="4" t="inlineStr">
        <is>
          <t>MEDICION DE NIVELES FREATICOS</t>
        </is>
      </c>
      <c r="C37" s="4" t="inlineStr">
        <is>
          <t>CP-04-L FALLA PABELLON</t>
        </is>
      </c>
      <c r="D37" s="4" t="inlineStr">
        <is>
          <t>2026-04-15</t>
        </is>
      </c>
      <c r="E37" s="4" t="inlineStr">
        <is>
          <t>2026-04-21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>
        <is>
          <t>TT</t>
        </is>
      </c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NF</t>
        </is>
      </c>
    </row>
    <row r="38">
      <c r="A38" s="4" t="inlineStr">
        <is>
          <t>03668553</t>
        </is>
      </c>
      <c r="B38" s="4" t="inlineStr">
        <is>
          <t>MEDICION DE NIVELES FREATICOS</t>
        </is>
      </c>
      <c r="C38" s="4" t="inlineStr">
        <is>
          <t>CP-05-H FALLA PABELLON</t>
        </is>
      </c>
      <c r="D38" s="4" t="inlineStr">
        <is>
          <t>2026-04-15</t>
        </is>
      </c>
      <c r="E38" s="4" t="inlineStr">
        <is>
          <t>2026-04-21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>
        <is>
          <t>TT</t>
        </is>
      </c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NF</t>
        </is>
      </c>
    </row>
    <row r="39">
      <c r="A39" s="4" t="inlineStr">
        <is>
          <t>03668554</t>
        </is>
      </c>
      <c r="B39" s="4" t="inlineStr">
        <is>
          <t>MEDICION DE NIVELES FREATICOS</t>
        </is>
      </c>
      <c r="C39" s="4" t="inlineStr">
        <is>
          <t>CP-06-J FALLA PABELLON</t>
        </is>
      </c>
      <c r="D39" s="4" t="inlineStr">
        <is>
          <t>2026-04-15</t>
        </is>
      </c>
      <c r="E39" s="4" t="inlineStr">
        <is>
          <t>2026-04-21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>
        <is>
          <t>TT</t>
        </is>
      </c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NF</t>
        </is>
      </c>
    </row>
    <row r="40">
      <c r="A40" s="4" t="inlineStr">
        <is>
          <t>03668555</t>
        </is>
      </c>
      <c r="B40" s="4" t="inlineStr">
        <is>
          <t>MEDICION DE NIVELES FREATICOS</t>
        </is>
      </c>
      <c r="C40" s="4" t="inlineStr">
        <is>
          <t>CP-07-F FALLA PABELLON</t>
        </is>
      </c>
      <c r="D40" s="4" t="inlineStr">
        <is>
          <t>2026-04-15</t>
        </is>
      </c>
      <c r="E40" s="4" t="inlineStr">
        <is>
          <t>2026-04-21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>
        <is>
          <t>TT</t>
        </is>
      </c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NF</t>
        </is>
      </c>
    </row>
    <row r="41">
      <c r="A41" s="4" t="inlineStr">
        <is>
          <t>03668556</t>
        </is>
      </c>
      <c r="B41" s="4" t="inlineStr">
        <is>
          <t>MEDICION DE NIVELES FREATICOS</t>
        </is>
      </c>
      <c r="C41" s="4" t="inlineStr">
        <is>
          <t>CP-08-D FALLA PABELLON</t>
        </is>
      </c>
      <c r="D41" s="4" t="inlineStr">
        <is>
          <t>2026-04-15</t>
        </is>
      </c>
      <c r="E41" s="4" t="inlineStr">
        <is>
          <t>2026-04-21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>
        <is>
          <t>TT</t>
        </is>
      </c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NF</t>
        </is>
      </c>
    </row>
    <row r="42">
      <c r="A42" s="4" t="inlineStr">
        <is>
          <t>03668557</t>
        </is>
      </c>
      <c r="B42" s="4" t="inlineStr">
        <is>
          <t>MEDICION DE NIVELES FREATICOS</t>
        </is>
      </c>
      <c r="C42" s="4" t="inlineStr">
        <is>
          <t>CP-09-G FALLA PABELLON</t>
        </is>
      </c>
      <c r="D42" s="4" t="inlineStr">
        <is>
          <t>2026-04-15</t>
        </is>
      </c>
      <c r="E42" s="4" t="inlineStr">
        <is>
          <t>2026-04-21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>
        <is>
          <t>TT</t>
        </is>
      </c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NF</t>
        </is>
      </c>
    </row>
    <row r="43">
      <c r="A43" s="4" t="inlineStr">
        <is>
          <t>03668558</t>
        </is>
      </c>
      <c r="B43" s="4" t="inlineStr">
        <is>
          <t>MEDICION DE NIVELES FREATICOS</t>
        </is>
      </c>
      <c r="C43" s="4" t="inlineStr">
        <is>
          <t>CP-10-B FALLA PABELLON</t>
        </is>
      </c>
      <c r="D43" s="4" t="inlineStr">
        <is>
          <t>2026-04-15</t>
        </is>
      </c>
      <c r="E43" s="4" t="inlineStr">
        <is>
          <t>2026-04-21</t>
        </is>
      </c>
      <c r="F43" s="4" t="inlineStr">
        <is>
          <t>SIGVA</t>
        </is>
      </c>
      <c r="G43" s="5">
        <f>IF(H43="TT","TRABAJO TERMINADO",IF(H43="MI","TRABAJO NO TERMINADO",""))</f>
        <v/>
      </c>
      <c r="H43" s="6" t="inlineStr">
        <is>
          <t>TT</t>
        </is>
      </c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>
        <is>
          <t>NF</t>
        </is>
      </c>
    </row>
    <row r="44">
      <c r="A44" s="4" t="inlineStr">
        <is>
          <t>03668559</t>
        </is>
      </c>
      <c r="B44" s="4" t="inlineStr">
        <is>
          <t>MEDICION DE NIVELES FREATICOS</t>
        </is>
      </c>
      <c r="C44" s="4" t="inlineStr">
        <is>
          <t>CP-11-E FALLA PABELLON</t>
        </is>
      </c>
      <c r="D44" s="4" t="inlineStr">
        <is>
          <t>2026-04-15</t>
        </is>
      </c>
      <c r="E44" s="4" t="inlineStr">
        <is>
          <t>2026-04-21</t>
        </is>
      </c>
      <c r="F44" s="4" t="inlineStr">
        <is>
          <t>SIGVA</t>
        </is>
      </c>
      <c r="G44" s="5">
        <f>IF(H44="TT","TRABAJO TERMINADO",IF(H44="MI","TRABAJO NO TERMINADO",""))</f>
        <v/>
      </c>
      <c r="H44" s="6" t="inlineStr">
        <is>
          <t>TT</t>
        </is>
      </c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>
        <is>
          <t>NF</t>
        </is>
      </c>
    </row>
    <row r="45">
      <c r="A45" s="4" t="inlineStr">
        <is>
          <t>03668560</t>
        </is>
      </c>
      <c r="B45" s="4" t="inlineStr">
        <is>
          <t>MEDICION DE NIVELES FREATICOS</t>
        </is>
      </c>
      <c r="C45" s="4" t="inlineStr">
        <is>
          <t>CP-12-K FALLA PABELLON</t>
        </is>
      </c>
      <c r="D45" s="4" t="inlineStr">
        <is>
          <t>2026-04-15</t>
        </is>
      </c>
      <c r="E45" s="4" t="inlineStr">
        <is>
          <t>2026-04-21</t>
        </is>
      </c>
      <c r="F45" s="4" t="inlineStr">
        <is>
          <t>SIGVA</t>
        </is>
      </c>
      <c r="G45" s="5">
        <f>IF(H45="TT","TRABAJO TERMINADO",IF(H45="MI","TRABAJO NO TERMINADO",""))</f>
        <v/>
      </c>
      <c r="H45" s="6" t="inlineStr">
        <is>
          <t>TT</t>
        </is>
      </c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>
        <is>
          <t>NF</t>
        </is>
      </c>
    </row>
    <row r="46">
      <c r="A46" s="4" t="inlineStr">
        <is>
          <t>03668561</t>
        </is>
      </c>
      <c r="B46" s="4" t="inlineStr">
        <is>
          <t>MEDICION DE NIVELES FREATICOS</t>
        </is>
      </c>
      <c r="C46" s="4" t="inlineStr">
        <is>
          <t>CP-13-A FALLA PABELLON</t>
        </is>
      </c>
      <c r="D46" s="4" t="inlineStr">
        <is>
          <t>2026-04-15</t>
        </is>
      </c>
      <c r="E46" s="4" t="inlineStr">
        <is>
          <t>2026-04-21</t>
        </is>
      </c>
      <c r="F46" s="4" t="inlineStr">
        <is>
          <t>SIGVA</t>
        </is>
      </c>
      <c r="G46" s="5">
        <f>IF(H46="TT","TRABAJO TERMINADO",IF(H46="MI","TRABAJO NO TERMINADO",""))</f>
        <v/>
      </c>
      <c r="H46" s="6" t="inlineStr">
        <is>
          <t>TT</t>
        </is>
      </c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>
        <is>
          <t>NF</t>
        </is>
      </c>
    </row>
    <row r="47">
      <c r="A47" s="4" t="inlineStr">
        <is>
          <t>03668562</t>
        </is>
      </c>
      <c r="B47" s="4" t="inlineStr">
        <is>
          <t>MEDICION DE NIVELES FREATICOS</t>
        </is>
      </c>
      <c r="C47" s="4" t="inlineStr">
        <is>
          <t>CPS-20 JACHUCOPOSA</t>
        </is>
      </c>
      <c r="D47" s="4" t="inlineStr">
        <is>
          <t>2026-04-15</t>
        </is>
      </c>
      <c r="E47" s="4" t="inlineStr">
        <is>
          <t>2026-04-21</t>
        </is>
      </c>
      <c r="F47" s="4" t="inlineStr">
        <is>
          <t>SIGVA</t>
        </is>
      </c>
      <c r="G47" s="5">
        <f>IF(H47="TT","TRABAJO TERMINADO",IF(H47="MI","TRABAJO NO TERMINADO",""))</f>
        <v/>
      </c>
      <c r="H47" s="6" t="inlineStr">
        <is>
          <t>TT</t>
        </is>
      </c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>
        <is>
          <t>NF</t>
        </is>
      </c>
    </row>
    <row r="48">
      <c r="A48" s="4" t="inlineStr">
        <is>
          <t>03668563</t>
        </is>
      </c>
      <c r="B48" s="4" t="inlineStr">
        <is>
          <t>MEDICION DE NIVELES FREATICOS</t>
        </is>
      </c>
      <c r="C48" s="4" t="inlineStr">
        <is>
          <t>CPS-23 JACHUCOPOSA</t>
        </is>
      </c>
      <c r="D48" s="4" t="inlineStr">
        <is>
          <t>2026-04-15</t>
        </is>
      </c>
      <c r="E48" s="4" t="inlineStr">
        <is>
          <t>2026-04-21</t>
        </is>
      </c>
      <c r="F48" s="4" t="inlineStr">
        <is>
          <t>SIGVA</t>
        </is>
      </c>
      <c r="G48" s="5">
        <f>IF(H48="TT","TRABAJO TERMINADO",IF(H48="MI","TRABAJO NO TERMINADO",""))</f>
        <v/>
      </c>
      <c r="H48" s="6" t="inlineStr">
        <is>
          <t>TT</t>
        </is>
      </c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>
        <is>
          <t>NF</t>
        </is>
      </c>
    </row>
    <row r="49">
      <c r="A49" s="4" t="inlineStr">
        <is>
          <t>03668564</t>
        </is>
      </c>
      <c r="B49" s="4" t="inlineStr">
        <is>
          <t>MEDICION DE NIVELES FREATICOS</t>
        </is>
      </c>
      <c r="C49" s="4" t="inlineStr">
        <is>
          <t>CPS-54 JACHUCOPOSA</t>
        </is>
      </c>
      <c r="D49" s="4" t="inlineStr">
        <is>
          <t>2026-04-15</t>
        </is>
      </c>
      <c r="E49" s="4" t="inlineStr">
        <is>
          <t>2026-04-21</t>
        </is>
      </c>
      <c r="F49" s="4" t="inlineStr">
        <is>
          <t>SIGVA</t>
        </is>
      </c>
      <c r="G49" s="5">
        <f>IF(H49="TT","TRABAJO TERMINADO",IF(H49="MI","TRABAJO NO TERMINADO",""))</f>
        <v/>
      </c>
      <c r="H49" s="6" t="inlineStr">
        <is>
          <t>TT</t>
        </is>
      </c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>
        <is>
          <t>NF</t>
        </is>
      </c>
    </row>
    <row r="50">
      <c r="A50" s="4" t="inlineStr">
        <is>
          <t>03668565</t>
        </is>
      </c>
      <c r="B50" s="4" t="inlineStr">
        <is>
          <t>MEDICION DE NIVELES FREATICOS</t>
        </is>
      </c>
      <c r="C50" s="4" t="inlineStr">
        <is>
          <t>CPS-55 JACHUCOPOSA</t>
        </is>
      </c>
      <c r="D50" s="4" t="inlineStr">
        <is>
          <t>2026-04-15</t>
        </is>
      </c>
      <c r="E50" s="4" t="inlineStr">
        <is>
          <t>2026-04-21</t>
        </is>
      </c>
      <c r="F50" s="4" t="inlineStr">
        <is>
          <t>SIGVA</t>
        </is>
      </c>
      <c r="G50" s="5">
        <f>IF(H50="TT","TRABAJO TERMINADO",IF(H50="MI","TRABAJO NO TERMINADO",""))</f>
        <v/>
      </c>
      <c r="H50" s="6" t="inlineStr">
        <is>
          <t>TT</t>
        </is>
      </c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>
        <is>
          <t>NF</t>
        </is>
      </c>
    </row>
    <row r="51">
      <c r="A51" s="4" t="inlineStr">
        <is>
          <t>03668566</t>
        </is>
      </c>
      <c r="B51" s="4" t="inlineStr">
        <is>
          <t>MEDICION DE NIVELES FREATICOS</t>
        </is>
      </c>
      <c r="C51" s="4" t="inlineStr">
        <is>
          <t>CPZ-08C JACHUCOPOSA</t>
        </is>
      </c>
      <c r="D51" s="4" t="inlineStr">
        <is>
          <t>2026-04-15</t>
        </is>
      </c>
      <c r="E51" s="4" t="inlineStr">
        <is>
          <t>2026-04-21</t>
        </is>
      </c>
      <c r="F51" s="4" t="inlineStr">
        <is>
          <t>SIGVA</t>
        </is>
      </c>
      <c r="G51" s="5">
        <f>IF(H51="TT","TRABAJO TERMINADO",IF(H51="MI","TRABAJO NO TERMINADO",""))</f>
        <v/>
      </c>
      <c r="H51" s="6" t="inlineStr">
        <is>
          <t>TT</t>
        </is>
      </c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>
        <is>
          <t>NF</t>
        </is>
      </c>
    </row>
    <row r="52">
      <c r="A52" s="4" t="inlineStr">
        <is>
          <t>03668574</t>
        </is>
      </c>
      <c r="B52" s="4" t="inlineStr">
        <is>
          <t>MEDICION DE NIVELES FREATICOS</t>
        </is>
      </c>
      <c r="C52" s="4" t="inlineStr">
        <is>
          <t>CPZ-07A JACHUCOPOSA</t>
        </is>
      </c>
      <c r="D52" s="4" t="inlineStr">
        <is>
          <t>2026-04-15</t>
        </is>
      </c>
      <c r="E52" s="4" t="inlineStr">
        <is>
          <t>2026-04-21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NF</t>
        </is>
      </c>
    </row>
    <row r="53">
      <c r="A53" s="4" t="inlineStr">
        <is>
          <t>03668575</t>
        </is>
      </c>
      <c r="B53" s="4" t="inlineStr">
        <is>
          <t>MEDICION DE NIVELES FREATICOS</t>
        </is>
      </c>
      <c r="C53" s="4" t="inlineStr">
        <is>
          <t>CWE-12 JACHUCOPOSA</t>
        </is>
      </c>
      <c r="D53" s="4" t="inlineStr">
        <is>
          <t>2026-04-15</t>
        </is>
      </c>
      <c r="E53" s="4" t="inlineStr">
        <is>
          <t>2026-04-21</t>
        </is>
      </c>
      <c r="F53" s="4" t="inlineStr">
        <is>
          <t>SIGVA</t>
        </is>
      </c>
      <c r="G53" s="5">
        <f>IF(H53="TT","TRABAJO TERMINADO",IF(H53="MI","TRABAJO NO TERMINADO",""))</f>
        <v/>
      </c>
      <c r="H53" s="6" t="inlineStr">
        <is>
          <t>TT</t>
        </is>
      </c>
      <c r="I53" s="7">
        <f>IF(B53="", G53, IF(G53="", LEFT(B53,45), IF(45-LEN(G53)-2&lt;=0, G53, LEFT(B53,45-LEN(G53)-2)&amp;", "&amp;G53)))</f>
        <v/>
      </c>
      <c r="J53" s="8">
        <f>IF(H53="MI","NO REALIZADO " &amp; B53 &amp; " EN " &amp; C53 &amp; IF(K53&lt;&gt;""," " &amp; K53,""),IF(H53="TT","SE REALIZA " &amp; B53 &amp; " EN " &amp; C53 &amp; IF(K53&lt;&gt;""," " &amp; K53,""),""))</f>
        <v/>
      </c>
      <c r="K53" s="4" t="n"/>
      <c r="L53" s="4" t="inlineStr">
        <is>
          <t>NF</t>
        </is>
      </c>
    </row>
    <row r="54">
      <c r="A54" s="4" t="inlineStr">
        <is>
          <t>03668579</t>
        </is>
      </c>
      <c r="B54" s="4" t="inlineStr">
        <is>
          <t>MM DE AGUAS SUBTERRÁNEAS</t>
        </is>
      </c>
      <c r="C54" s="4" t="inlineStr">
        <is>
          <t>CWE-01 FALLA PABELLON</t>
        </is>
      </c>
      <c r="D54" s="4" t="inlineStr">
        <is>
          <t>2026-04-15</t>
        </is>
      </c>
      <c r="E54" s="4" t="inlineStr">
        <is>
          <t>2026-04-21</t>
        </is>
      </c>
      <c r="F54" s="4" t="inlineStr">
        <is>
          <t>SIGVA</t>
        </is>
      </c>
      <c r="G54" s="5">
        <f>IF(H54="TT","TRABAJO TERMINADO",IF(H54="MI","TRABAJO NO TERMINADO",""))</f>
        <v/>
      </c>
      <c r="H54" s="6" t="inlineStr">
        <is>
          <t>TT</t>
        </is>
      </c>
      <c r="I54" s="7">
        <f>IF(B54="", G54, IF(G54="", LEFT(B54,45), IF(45-LEN(G54)-2&lt;=0, G54, LEFT(B54,45-LEN(G54)-2)&amp;", "&amp;G54)))</f>
        <v/>
      </c>
      <c r="J54" s="8">
        <f>IF(H54="MI","NO REALIZADO " &amp; B54 &amp; " EN " &amp; C54 &amp; IF(K54&lt;&gt;""," " &amp; K54,""),IF(H54="TT","SE REALIZA " &amp; B54 &amp; " EN " &amp; C54 &amp; IF(K54&lt;&gt;""," " &amp; K54,""),""))</f>
        <v/>
      </c>
      <c r="K54" s="4" t="n"/>
      <c r="L54" s="4" t="inlineStr">
        <is>
          <t>ASUB</t>
        </is>
      </c>
    </row>
    <row r="55">
      <c r="A55" s="4" t="inlineStr">
        <is>
          <t>03668581</t>
        </is>
      </c>
      <c r="B55" s="4" t="inlineStr">
        <is>
          <t>MM DE AGUAS SUBTERRÁNEAS</t>
        </is>
      </c>
      <c r="C55" s="4" t="inlineStr">
        <is>
          <t>CWE-06 FALLA PABELLON</t>
        </is>
      </c>
      <c r="D55" s="4" t="inlineStr">
        <is>
          <t>2026-04-15</t>
        </is>
      </c>
      <c r="E55" s="4" t="inlineStr">
        <is>
          <t>2026-04-21</t>
        </is>
      </c>
      <c r="F55" s="4" t="inlineStr">
        <is>
          <t>SIGVA</t>
        </is>
      </c>
      <c r="G55" s="5">
        <f>IF(H55="TT","TRABAJO TERMINADO",IF(H55="MI","TRABAJO NO TERMINADO",""))</f>
        <v/>
      </c>
      <c r="H55" s="6" t="inlineStr">
        <is>
          <t>TT</t>
        </is>
      </c>
      <c r="I55" s="7">
        <f>IF(B55="", G55, IF(G55="", LEFT(B55,45), IF(45-LEN(G55)-2&lt;=0, G55, LEFT(B55,45-LEN(G55)-2)&amp;", "&amp;G55)))</f>
        <v/>
      </c>
      <c r="J55" s="8">
        <f>IF(H55="MI","NO REALIZADO " &amp; B55 &amp; " EN " &amp; C55 &amp; IF(K55&lt;&gt;""," " &amp; K55,""),IF(H55="TT","SE REALIZA " &amp; B55 &amp; " EN " &amp; C55 &amp; IF(K55&lt;&gt;""," " &amp; K55,""),""))</f>
        <v/>
      </c>
      <c r="K55" s="4" t="n"/>
      <c r="L55" s="4" t="inlineStr">
        <is>
          <t>ASUB</t>
        </is>
      </c>
    </row>
    <row r="56">
      <c r="A56" s="4" t="inlineStr">
        <is>
          <t>03668584</t>
        </is>
      </c>
      <c r="B56" s="4" t="inlineStr">
        <is>
          <t>MM DE AGUAS SUBTERRÁNEAS</t>
        </is>
      </c>
      <c r="C56" s="4" t="inlineStr">
        <is>
          <t>CWE-12 JACHUCOPOSA</t>
        </is>
      </c>
      <c r="D56" s="4" t="inlineStr">
        <is>
          <t>2026-04-15</t>
        </is>
      </c>
      <c r="E56" s="4" t="inlineStr">
        <is>
          <t>2026-04-21</t>
        </is>
      </c>
      <c r="F56" s="4" t="inlineStr">
        <is>
          <t>SIGVA</t>
        </is>
      </c>
      <c r="G56" s="5">
        <f>IF(H56="TT","TRABAJO TERMINADO",IF(H56="MI","TRABAJO NO TERMINADO",""))</f>
        <v/>
      </c>
      <c r="H56" s="6" t="inlineStr">
        <is>
          <t>TT</t>
        </is>
      </c>
      <c r="I56" s="7">
        <f>IF(B56="", G56, IF(G56="", LEFT(B56,45), IF(45-LEN(G56)-2&lt;=0, G56, LEFT(B56,45-LEN(G56)-2)&amp;", "&amp;G56)))</f>
        <v/>
      </c>
      <c r="J56" s="8">
        <f>IF(H56="MI","NO REALIZADO " &amp; B56 &amp; " EN " &amp; C56 &amp; IF(K56&lt;&gt;""," " &amp; K56,""),IF(H56="TT","SE REALIZA " &amp; B56 &amp; " EN " &amp; C56 &amp; IF(K56&lt;&gt;""," " &amp; K56,""),""))</f>
        <v/>
      </c>
      <c r="K56" s="4" t="n"/>
      <c r="L56" s="4" t="inlineStr">
        <is>
          <t>ASUB</t>
        </is>
      </c>
    </row>
    <row r="57">
      <c r="A57" s="4" t="inlineStr">
        <is>
          <t>03668585</t>
        </is>
      </c>
      <c r="B57" s="4" t="inlineStr">
        <is>
          <t>MM DE AGUAS SUBTERRÁNEAS</t>
        </is>
      </c>
      <c r="C57" s="4" t="inlineStr">
        <is>
          <t>CWE-19 JACHUCOPOSA</t>
        </is>
      </c>
      <c r="D57" s="4" t="inlineStr">
        <is>
          <t>2026-04-15</t>
        </is>
      </c>
      <c r="E57" s="4" t="inlineStr">
        <is>
          <t>2026-04-21</t>
        </is>
      </c>
      <c r="F57" s="4" t="inlineStr">
        <is>
          <t>SIGVA</t>
        </is>
      </c>
      <c r="G57" s="5">
        <f>IF(H57="TT","TRABAJO TERMINADO",IF(H57="MI","TRABAJO NO TERMINADO",""))</f>
        <v/>
      </c>
      <c r="H57" s="6" t="inlineStr"/>
      <c r="I57" s="7">
        <f>IF(B57="", G57, IF(G57="", LEFT(B57,45), IF(45-LEN(G57)-2&lt;=0, G57, LEFT(B57,45-LEN(G57)-2)&amp;", "&amp;G57)))</f>
        <v/>
      </c>
      <c r="J57" s="8">
        <f>IF(H57="MI","NO REALIZADO " &amp; B57 &amp; " EN " &amp; C57 &amp; IF(K57&lt;&gt;""," " &amp; K57,""),IF(H57="TT","SE REALIZA " &amp; B57 &amp; " EN " &amp; C57 &amp; IF(K57&lt;&gt;""," " &amp; K57,""),""))</f>
        <v/>
      </c>
      <c r="K57" s="4" t="n"/>
      <c r="L57" s="4" t="inlineStr">
        <is>
          <t>ASUB</t>
        </is>
      </c>
    </row>
    <row r="58">
      <c r="A58" s="4" t="inlineStr">
        <is>
          <t>03668591</t>
        </is>
      </c>
      <c r="B58" s="4" t="inlineStr">
        <is>
          <t>MEDICION DE NIVELES FREATICOS</t>
        </is>
      </c>
      <c r="C58" s="4" t="inlineStr">
        <is>
          <t>CWE-01 FALLA PABELLON</t>
        </is>
      </c>
      <c r="D58" s="4" t="inlineStr">
        <is>
          <t>2026-04-15</t>
        </is>
      </c>
      <c r="E58" s="4" t="inlineStr">
        <is>
          <t>2026-04-21</t>
        </is>
      </c>
      <c r="F58" s="4" t="inlineStr">
        <is>
          <t>SIGVA</t>
        </is>
      </c>
      <c r="G58" s="5">
        <f>IF(H58="TT","TRABAJO TERMINADO",IF(H58="MI","TRABAJO NO TERMINADO",""))</f>
        <v/>
      </c>
      <c r="H58" s="6" t="inlineStr">
        <is>
          <t>TT</t>
        </is>
      </c>
      <c r="I58" s="7">
        <f>IF(B58="", G58, IF(G58="", LEFT(B58,45), IF(45-LEN(G58)-2&lt;=0, G58, LEFT(B58,45-LEN(G58)-2)&amp;", "&amp;G58)))</f>
        <v/>
      </c>
      <c r="J58" s="8">
        <f>IF(H58="MI","NO REALIZADO " &amp; B58 &amp; " EN " &amp; C58 &amp; IF(K58&lt;&gt;""," " &amp; K58,""),IF(H58="TT","SE REALIZA " &amp; B58 &amp; " EN " &amp; C58 &amp; IF(K58&lt;&gt;""," " &amp; K58,""),""))</f>
        <v/>
      </c>
      <c r="K58" s="4" t="n"/>
      <c r="L58" s="4" t="inlineStr">
        <is>
          <t>NF</t>
        </is>
      </c>
    </row>
    <row r="59">
      <c r="A59" s="4" t="inlineStr">
        <is>
          <t>03668592</t>
        </is>
      </c>
      <c r="B59" s="4" t="inlineStr">
        <is>
          <t>MEDICION DE NIVELES FREATICOS</t>
        </is>
      </c>
      <c r="C59" s="4" t="inlineStr">
        <is>
          <t>CWE-06 FALLA PABELLON</t>
        </is>
      </c>
      <c r="D59" s="4" t="inlineStr">
        <is>
          <t>2026-04-15</t>
        </is>
      </c>
      <c r="E59" s="4" t="inlineStr">
        <is>
          <t>2026-04-21</t>
        </is>
      </c>
      <c r="F59" s="4" t="inlineStr">
        <is>
          <t>SIGVA</t>
        </is>
      </c>
      <c r="G59" s="5">
        <f>IF(H59="TT","TRABAJO TERMINADO",IF(H59="MI","TRABAJO NO TERMINADO",""))</f>
        <v/>
      </c>
      <c r="H59" s="6" t="inlineStr">
        <is>
          <t>TT</t>
        </is>
      </c>
      <c r="I59" s="7">
        <f>IF(B59="", G59, IF(G59="", LEFT(B59,45), IF(45-LEN(G59)-2&lt;=0, G59, LEFT(B59,45-LEN(G59)-2)&amp;", "&amp;G59)))</f>
        <v/>
      </c>
      <c r="J59" s="8">
        <f>IF(H59="MI","NO REALIZADO " &amp; B59 &amp; " EN " &amp; C59 &amp; IF(K59&lt;&gt;""," " &amp; K59,""),IF(H59="TT","SE REALIZA " &amp; B59 &amp; " EN " &amp; C59 &amp; IF(K59&lt;&gt;""," " &amp; K59,""),""))</f>
        <v/>
      </c>
      <c r="K59" s="4" t="n"/>
      <c r="L59" s="4" t="inlineStr">
        <is>
          <t>NF</t>
        </is>
      </c>
    </row>
    <row r="60">
      <c r="A60" s="4" t="inlineStr">
        <is>
          <t>03668594</t>
        </is>
      </c>
      <c r="B60" s="4" t="inlineStr">
        <is>
          <t>MM DE AGUAS SUBTERRÁNEAS</t>
        </is>
      </c>
      <c r="C60" s="4" t="inlineStr">
        <is>
          <t>CWP-14 FALLA PABELLON</t>
        </is>
      </c>
      <c r="D60" s="4" t="inlineStr">
        <is>
          <t>2026-04-15</t>
        </is>
      </c>
      <c r="E60" s="4" t="inlineStr">
        <is>
          <t>2026-04-21</t>
        </is>
      </c>
      <c r="F60" s="4" t="inlineStr">
        <is>
          <t>SIGVA</t>
        </is>
      </c>
      <c r="G60" s="5">
        <f>IF(H60="TT","TRABAJO TERMINADO",IF(H60="MI","TRABAJO NO TERMINADO",""))</f>
        <v/>
      </c>
      <c r="H60" s="6" t="inlineStr">
        <is>
          <t>MI</t>
        </is>
      </c>
      <c r="I60" s="7">
        <f>IF(B60="", G60, IF(G60="", LEFT(B60,45), IF(45-LEN(G60)-2&lt;=0, G60, LEFT(B60,45-LEN(G60)-2)&amp;", "&amp;G60)))</f>
        <v/>
      </c>
      <c r="J60" s="8">
        <f>IF(H60="MI","NO REALIZADO " &amp; B60 &amp; " EN " &amp; C60 &amp; IF(K60&lt;&gt;""," " &amp; K60,""),IF(H60="TT","SE REALIZA " &amp; B60 &amp; " EN " &amp; C60 &amp; IF(K60&lt;&gt;""," " &amp; K60,""),""))</f>
        <v/>
      </c>
      <c r="K60" s="4" t="inlineStr">
        <is>
          <t>PUNTO DE MONITOREO FUERA DE SERVICIO</t>
        </is>
      </c>
      <c r="L60" s="4" t="inlineStr">
        <is>
          <t>ASUB</t>
        </is>
      </c>
    </row>
    <row r="61">
      <c r="A61" s="4" t="inlineStr">
        <is>
          <t>03668595</t>
        </is>
      </c>
      <c r="B61" s="4" t="inlineStr">
        <is>
          <t>MEDICION DE NIVELES FREATICOS</t>
        </is>
      </c>
      <c r="C61" s="4" t="inlineStr">
        <is>
          <t>CWP-14 FALLA PABELLON</t>
        </is>
      </c>
      <c r="D61" s="4" t="inlineStr">
        <is>
          <t>2026-04-15</t>
        </is>
      </c>
      <c r="E61" s="4" t="inlineStr">
        <is>
          <t>2026-04-21</t>
        </is>
      </c>
      <c r="F61" s="4" t="inlineStr">
        <is>
          <t>SIGVA</t>
        </is>
      </c>
      <c r="G61" s="5">
        <f>IF(H61="TT","TRABAJO TERMINADO",IF(H61="MI","TRABAJO NO TERMINADO",""))</f>
        <v/>
      </c>
      <c r="H61" s="6" t="inlineStr">
        <is>
          <t>TT</t>
        </is>
      </c>
      <c r="I61" s="7">
        <f>IF(B61="", G61, IF(G61="", LEFT(B61,45), IF(45-LEN(G61)-2&lt;=0, G61, LEFT(B61,45-LEN(G61)-2)&amp;", "&amp;G61)))</f>
        <v/>
      </c>
      <c r="J61" s="8">
        <f>IF(H61="MI","NO REALIZADO " &amp; B61 &amp; " EN " &amp; C61 &amp; IF(K61&lt;&gt;""," " &amp; K61,""),IF(H61="TT","SE REALIZA " &amp; B61 &amp; " EN " &amp; C61 &amp; IF(K61&lt;&gt;""," " &amp; K61,""),""))</f>
        <v/>
      </c>
      <c r="K61" s="4" t="inlineStr">
        <is>
          <t>Lo realiza la GTAM instrumentado
Calidad de aguas trimestral</t>
        </is>
      </c>
      <c r="L61" s="4" t="inlineStr">
        <is>
          <t>NF</t>
        </is>
      </c>
    </row>
    <row r="62">
      <c r="A62" s="4" t="inlineStr">
        <is>
          <t>03668596</t>
        </is>
      </c>
      <c r="B62" s="4" t="inlineStr">
        <is>
          <t>MEDICION DE NIVELES FREATICOS</t>
        </is>
      </c>
      <c r="C62" s="4" t="inlineStr">
        <is>
          <t>DEC-06B COPOSA SUR</t>
        </is>
      </c>
      <c r="D62" s="4" t="inlineStr">
        <is>
          <t>2026-04-15</t>
        </is>
      </c>
      <c r="E62" s="4" t="inlineStr">
        <is>
          <t>2026-04-21</t>
        </is>
      </c>
      <c r="F62" s="4" t="inlineStr">
        <is>
          <t>SIGVANC</t>
        </is>
      </c>
      <c r="G62" s="5">
        <f>IF(H62="TT","TRABAJO TERMINADO",IF(H62="MI","TRABAJO NO TERMINADO",""))</f>
        <v/>
      </c>
      <c r="H62" s="6" t="inlineStr">
        <is>
          <t>TT</t>
        </is>
      </c>
      <c r="I62" s="7">
        <f>IF(B62="", G62, IF(G62="", LEFT(B62,45), IF(45-LEN(G62)-2&lt;=0, G62, LEFT(B62,45-LEN(G62)-2)&amp;", "&amp;G62)))</f>
        <v/>
      </c>
      <c r="J62" s="8">
        <f>IF(H62="MI","NO REALIZADO " &amp; B62 &amp; " EN " &amp; C62 &amp; IF(K62&lt;&gt;""," " &amp; K62,""),IF(H62="TT","SE REALIZA " &amp; B62 &amp; " EN " &amp; C62 &amp; IF(K62&lt;&gt;""," " &amp; K62,""),""))</f>
        <v/>
      </c>
      <c r="K62" s="4" t="inlineStr">
        <is>
          <t>CAMBIO DE FRECUENCIA A PARTIR DE SEPTIEMBRE 2025 X CMDIC DE MENSUAL A TRIMESTRAL</t>
        </is>
      </c>
      <c r="L62" s="4" t="inlineStr">
        <is>
          <t>NF</t>
        </is>
      </c>
    </row>
    <row r="63">
      <c r="A63" s="4" t="inlineStr">
        <is>
          <t>03668599</t>
        </is>
      </c>
      <c r="B63" s="4" t="inlineStr">
        <is>
          <t>MM DE AGUAS SUPERFICIALES</t>
        </is>
      </c>
      <c r="C63" s="4" t="inlineStr">
        <is>
          <t>JCC-4 JACHUCOPOSA</t>
        </is>
      </c>
      <c r="D63" s="4" t="inlineStr">
        <is>
          <t>2026-04-15</t>
        </is>
      </c>
      <c r="E63" s="4" t="inlineStr">
        <is>
          <t>2026-04-21</t>
        </is>
      </c>
      <c r="F63" s="4" t="inlineStr">
        <is>
          <t>SIGVA</t>
        </is>
      </c>
      <c r="G63" s="5">
        <f>IF(H63="TT","TRABAJO TERMINADO",IF(H63="MI","TRABAJO NO TERMINADO",""))</f>
        <v/>
      </c>
      <c r="H63" s="6" t="inlineStr">
        <is>
          <t>TT</t>
        </is>
      </c>
      <c r="I63" s="7">
        <f>IF(B63="", G63, IF(G63="", LEFT(B63,45), IF(45-LEN(G63)-2&lt;=0, G63, LEFT(B63,45-LEN(G63)-2)&amp;", "&amp;G63)))</f>
        <v/>
      </c>
      <c r="J63" s="8">
        <f>IF(H63="MI","NO REALIZADO " &amp; B63 &amp; " EN " &amp; C63 &amp; IF(K63&lt;&gt;""," " &amp; K63,""),IF(H63="TT","SE REALIZA " &amp; B63 &amp; " EN " &amp; C63 &amp; IF(K63&lt;&gt;""," " &amp; K63,""),""))</f>
        <v/>
      </c>
      <c r="K63" s="4" t="n"/>
      <c r="L63" s="4" t="inlineStr">
        <is>
          <t>ASUP</t>
        </is>
      </c>
    </row>
    <row r="64">
      <c r="A64" s="4" t="inlineStr">
        <is>
          <t>03668600</t>
        </is>
      </c>
      <c r="B64" s="4" t="inlineStr">
        <is>
          <t>MM DE AGUAS SUPERFICIALES</t>
        </is>
      </c>
      <c r="C64" s="4" t="inlineStr">
        <is>
          <t>JCC-5 JACHUCOPOSA</t>
        </is>
      </c>
      <c r="D64" s="4" t="inlineStr">
        <is>
          <t>2026-04-15</t>
        </is>
      </c>
      <c r="E64" s="4" t="inlineStr">
        <is>
          <t>2026-04-21</t>
        </is>
      </c>
      <c r="F64" s="4" t="inlineStr">
        <is>
          <t>SIGVA</t>
        </is>
      </c>
      <c r="G64" s="5">
        <f>IF(H64="TT","TRABAJO TERMINADO",IF(H64="MI","TRABAJO NO TERMINADO",""))</f>
        <v/>
      </c>
      <c r="H64" s="6" t="inlineStr">
        <is>
          <t>TT</t>
        </is>
      </c>
      <c r="I64" s="7">
        <f>IF(B64="", G64, IF(G64="", LEFT(B64,45), IF(45-LEN(G64)-2&lt;=0, G64, LEFT(B64,45-LEN(G64)-2)&amp;", "&amp;G64)))</f>
        <v/>
      </c>
      <c r="J64" s="8">
        <f>IF(H64="MI","NO REALIZADO " &amp; B64 &amp; " EN " &amp; C64 &amp; IF(K64&lt;&gt;""," " &amp; K64,""),IF(H64="TT","SE REALIZA " &amp; B64 &amp; " EN " &amp; C64 &amp; IF(K64&lt;&gt;""," " &amp; K64,""),""))</f>
        <v/>
      </c>
      <c r="K64" s="4" t="n"/>
      <c r="L64" s="4" t="inlineStr">
        <is>
          <t>ASUP</t>
        </is>
      </c>
    </row>
    <row r="65">
      <c r="A65" s="4" t="inlineStr">
        <is>
          <t>03668601</t>
        </is>
      </c>
      <c r="B65" s="4" t="inlineStr">
        <is>
          <t>MM DE AGUAS SUBTERRÁNEAS</t>
        </is>
      </c>
      <c r="C65" s="4" t="inlineStr">
        <is>
          <t>M-12 LIXIVIACIÓN</t>
        </is>
      </c>
      <c r="D65" s="4" t="inlineStr">
        <is>
          <t>2026-04-15</t>
        </is>
      </c>
      <c r="E65" s="4" t="inlineStr">
        <is>
          <t>2026-04-21</t>
        </is>
      </c>
      <c r="F65" s="4" t="inlineStr">
        <is>
          <t>SIGVA</t>
        </is>
      </c>
      <c r="G65" s="5">
        <f>IF(H65="TT","TRABAJO TERMINADO",IF(H65="MI","TRABAJO NO TERMINADO",""))</f>
        <v/>
      </c>
      <c r="H65" s="6" t="inlineStr"/>
      <c r="I65" s="7">
        <f>IF(B65="", G65, IF(G65="", LEFT(B65,45), IF(45-LEN(G65)-2&lt;=0, G65, LEFT(B65,45-LEN(G65)-2)&amp;", "&amp;G65)))</f>
        <v/>
      </c>
      <c r="J65" s="8">
        <f>IF(H65="MI","NO REALIZADO " &amp; B65 &amp; " EN " &amp; C65 &amp; IF(K65&lt;&gt;""," " &amp; K65,""),IF(H65="TT","SE REALIZA " &amp; B65 &amp; " EN " &amp; C65 &amp; IF(K65&lt;&gt;""," " &amp; K65,""),""))</f>
        <v/>
      </c>
      <c r="K65" s="4" t="n"/>
      <c r="L65" s="4" t="inlineStr">
        <is>
          <t>ASUB</t>
        </is>
      </c>
    </row>
    <row r="66">
      <c r="A66" s="4" t="inlineStr">
        <is>
          <t>03668602</t>
        </is>
      </c>
      <c r="B66" s="4" t="inlineStr">
        <is>
          <t>MEDICION DE NIVELES FREATICOS</t>
        </is>
      </c>
      <c r="C66" s="4" t="inlineStr">
        <is>
          <t>M-12 LIXIVIACIÓN</t>
        </is>
      </c>
      <c r="D66" s="4" t="inlineStr">
        <is>
          <t>2026-04-15</t>
        </is>
      </c>
      <c r="E66" s="4" t="inlineStr">
        <is>
          <t>2026-04-21</t>
        </is>
      </c>
      <c r="F66" s="4" t="inlineStr">
        <is>
          <t>SIGVA</t>
        </is>
      </c>
      <c r="G66" s="5">
        <f>IF(H66="TT","TRABAJO TERMINADO",IF(H66="MI","TRABAJO NO TERMINADO",""))</f>
        <v/>
      </c>
      <c r="H66" s="6" t="inlineStr"/>
      <c r="I66" s="7">
        <f>IF(B66="", G66, IF(G66="", LEFT(B66,45), IF(45-LEN(G66)-2&lt;=0, G66, LEFT(B66,45-LEN(G66)-2)&amp;", "&amp;G66)))</f>
        <v/>
      </c>
      <c r="J66" s="8">
        <f>IF(H66="MI","NO REALIZADO " &amp; B66 &amp; " EN " &amp; C66 &amp; IF(K66&lt;&gt;""," " &amp; K66,""),IF(H66="TT","SE REALIZA " &amp; B66 &amp; " EN " &amp; C66 &amp; IF(K66&lt;&gt;""," " &amp; K66,""),""))</f>
        <v/>
      </c>
      <c r="K66" s="4" t="n"/>
      <c r="L66" s="4" t="inlineStr">
        <is>
          <t>NF</t>
        </is>
      </c>
    </row>
    <row r="67">
      <c r="A67" s="4" t="inlineStr">
        <is>
          <t>03668603</t>
        </is>
      </c>
      <c r="B67" s="4" t="inlineStr">
        <is>
          <t>MM DE AGUAS SUBTERRÁNEAS</t>
        </is>
      </c>
      <c r="C67" s="4" t="inlineStr">
        <is>
          <t>MA-08 FALLA PABELLON</t>
        </is>
      </c>
      <c r="D67" s="4" t="inlineStr">
        <is>
          <t>2026-04-15</t>
        </is>
      </c>
      <c r="E67" s="4" t="inlineStr">
        <is>
          <t>2026-04-21</t>
        </is>
      </c>
      <c r="F67" s="4" t="inlineStr">
        <is>
          <t>SIGVANC</t>
        </is>
      </c>
      <c r="G67" s="5">
        <f>IF(H67="TT","TRABAJO TERMINADO",IF(H67="MI","TRABAJO NO TERMINADO",""))</f>
        <v/>
      </c>
      <c r="H67" s="6" t="inlineStr">
        <is>
          <t>TT</t>
        </is>
      </c>
      <c r="I67" s="7">
        <f>IF(B67="", G67, IF(G67="", LEFT(B67,45), IF(45-LEN(G67)-2&lt;=0, G67, LEFT(B67,45-LEN(G67)-2)&amp;", "&amp;G67)))</f>
        <v/>
      </c>
      <c r="J67" s="8">
        <f>IF(H67="MI","NO REALIZADO " &amp; B67 &amp; " EN " &amp; C67 &amp; IF(K67&lt;&gt;""," " &amp; K67,""),IF(H67="TT","SE REALIZA " &amp; B67 &amp; " EN " &amp; C67 &amp; IF(K67&lt;&gt;""," " &amp; K67,""),""))</f>
        <v/>
      </c>
      <c r="K67" s="4" t="n"/>
      <c r="L67" s="4" t="inlineStr">
        <is>
          <t>ASUB</t>
        </is>
      </c>
    </row>
    <row r="68">
      <c r="A68" s="4" t="inlineStr">
        <is>
          <t>03668604</t>
        </is>
      </c>
      <c r="B68" s="4" t="inlineStr">
        <is>
          <t>MM DE AGUAS SUBTERRÁNEAS</t>
        </is>
      </c>
      <c r="C68" s="4" t="inlineStr">
        <is>
          <t>MAU-01B LIXIVIACIÓN</t>
        </is>
      </c>
      <c r="D68" s="4" t="inlineStr">
        <is>
          <t>2026-04-15</t>
        </is>
      </c>
      <c r="E68" s="4" t="inlineStr">
        <is>
          <t>2026-04-21</t>
        </is>
      </c>
      <c r="F68" s="4" t="inlineStr">
        <is>
          <t>SIGVA</t>
        </is>
      </c>
      <c r="G68" s="5">
        <f>IF(H68="TT","TRABAJO TERMINADO",IF(H68="MI","TRABAJO NO TERMINADO",""))</f>
        <v/>
      </c>
      <c r="H68" s="6" t="inlineStr"/>
      <c r="I68" s="7">
        <f>IF(B68="", G68, IF(G68="", LEFT(B68,45), IF(45-LEN(G68)-2&lt;=0, G68, LEFT(B68,45-LEN(G68)-2)&amp;", "&amp;G68)))</f>
        <v/>
      </c>
      <c r="J68" s="8">
        <f>IF(H68="MI","NO REALIZADO " &amp; B68 &amp; " EN " &amp; C68 &amp; IF(K68&lt;&gt;""," " &amp; K68,""),IF(H68="TT","SE REALIZA " &amp; B68 &amp; " EN " &amp; C68 &amp; IF(K68&lt;&gt;""," " &amp; K68,""),""))</f>
        <v/>
      </c>
      <c r="K68" s="4" t="n"/>
      <c r="L68" s="4" t="inlineStr">
        <is>
          <t>ASUB</t>
        </is>
      </c>
    </row>
    <row r="69">
      <c r="A69" s="4" t="inlineStr">
        <is>
          <t>03668605</t>
        </is>
      </c>
      <c r="B69" s="4" t="inlineStr">
        <is>
          <t>MM DE AGUAS SUBTERRÁNEAS</t>
        </is>
      </c>
      <c r="C69" s="4" t="inlineStr">
        <is>
          <t>MAU-12 LIXIVIACIÓN</t>
        </is>
      </c>
      <c r="D69" s="4" t="inlineStr">
        <is>
          <t>2026-04-15</t>
        </is>
      </c>
      <c r="E69" s="4" t="inlineStr">
        <is>
          <t>2026-04-21</t>
        </is>
      </c>
      <c r="F69" s="4" t="inlineStr">
        <is>
          <t>SIGVA</t>
        </is>
      </c>
      <c r="G69" s="5">
        <f>IF(H69="TT","TRABAJO TERMINADO",IF(H69="MI","TRABAJO NO TERMINADO",""))</f>
        <v/>
      </c>
      <c r="H69" s="6" t="inlineStr"/>
      <c r="I69" s="7">
        <f>IF(B69="", G69, IF(G69="", LEFT(B69,45), IF(45-LEN(G69)-2&lt;=0, G69, LEFT(B69,45-LEN(G69)-2)&amp;", "&amp;G69)))</f>
        <v/>
      </c>
      <c r="J69" s="8">
        <f>IF(H69="MI","NO REALIZADO " &amp; B69 &amp; " EN " &amp; C69 &amp; IF(K69&lt;&gt;""," " &amp; K69,""),IF(H69="TT","SE REALIZA " &amp; B69 &amp; " EN " &amp; C69 &amp; IF(K69&lt;&gt;""," " &amp; K69,""),""))</f>
        <v/>
      </c>
      <c r="K69" s="4" t="n"/>
      <c r="L69" s="4" t="inlineStr">
        <is>
          <t>ASUB</t>
        </is>
      </c>
    </row>
    <row r="70">
      <c r="A70" s="4" t="inlineStr">
        <is>
          <t>03668606</t>
        </is>
      </c>
      <c r="B70" s="4" t="inlineStr">
        <is>
          <t>MEDICION DE NIVELES FREATICOS</t>
        </is>
      </c>
      <c r="C70" s="4" t="inlineStr">
        <is>
          <t>MAU-01B LIXIVIACIÓN</t>
        </is>
      </c>
      <c r="D70" s="4" t="inlineStr">
        <is>
          <t>2026-04-15</t>
        </is>
      </c>
      <c r="E70" s="4" t="inlineStr">
        <is>
          <t>2026-04-21</t>
        </is>
      </c>
      <c r="F70" s="4" t="inlineStr">
        <is>
          <t>SIGVA</t>
        </is>
      </c>
      <c r="G70" s="5">
        <f>IF(H70="TT","TRABAJO TERMINADO",IF(H70="MI","TRABAJO NO TERMINADO",""))</f>
        <v/>
      </c>
      <c r="H70" s="6" t="inlineStr"/>
      <c r="I70" s="7">
        <f>IF(B70="", G70, IF(G70="", LEFT(B70,45), IF(45-LEN(G70)-2&lt;=0, G70, LEFT(B70,45-LEN(G70)-2)&amp;", "&amp;G70)))</f>
        <v/>
      </c>
      <c r="J70" s="8">
        <f>IF(H70="MI","NO REALIZADO " &amp; B70 &amp; " EN " &amp; C70 &amp; IF(K70&lt;&gt;""," " &amp; K70,""),IF(H70="TT","SE REALIZA " &amp; B70 &amp; " EN " &amp; C70 &amp; IF(K70&lt;&gt;""," " &amp; K70,""),""))</f>
        <v/>
      </c>
      <c r="K70" s="4" t="n"/>
      <c r="L70" s="4" t="inlineStr">
        <is>
          <t>NF</t>
        </is>
      </c>
    </row>
    <row r="71">
      <c r="A71" s="4" t="inlineStr">
        <is>
          <t>03668607</t>
        </is>
      </c>
      <c r="B71" s="4" t="inlineStr">
        <is>
          <t>MEDICION DE NIVELES FREATICOS</t>
        </is>
      </c>
      <c r="C71" s="4" t="inlineStr">
        <is>
          <t>MAU-12 LIXIVIACIÓN</t>
        </is>
      </c>
      <c r="D71" s="4" t="inlineStr">
        <is>
          <t>2026-04-15</t>
        </is>
      </c>
      <c r="E71" s="4" t="inlineStr">
        <is>
          <t>2026-04-21</t>
        </is>
      </c>
      <c r="F71" s="4" t="inlineStr">
        <is>
          <t>SIGVA</t>
        </is>
      </c>
      <c r="G71" s="5">
        <f>IF(H71="TT","TRABAJO TERMINADO",IF(H71="MI","TRABAJO NO TERMINADO",""))</f>
        <v/>
      </c>
      <c r="H71" s="6" t="inlineStr"/>
      <c r="I71" s="7">
        <f>IF(B71="", G71, IF(G71="", LEFT(B71,45), IF(45-LEN(G71)-2&lt;=0, G71, LEFT(B71,45-LEN(G71)-2)&amp;", "&amp;G71)))</f>
        <v/>
      </c>
      <c r="J71" s="8">
        <f>IF(H71="MI","NO REALIZADO " &amp; B71 &amp; " EN " &amp; C71 &amp; IF(K71&lt;&gt;""," " &amp; K71,""),IF(H71="TT","SE REALIZA " &amp; B71 &amp; " EN " &amp; C71 &amp; IF(K71&lt;&gt;""," " &amp; K71,""),""))</f>
        <v/>
      </c>
      <c r="K71" s="4" t="n"/>
      <c r="L71" s="4" t="inlineStr">
        <is>
          <t>NF</t>
        </is>
      </c>
    </row>
    <row r="72">
      <c r="A72" s="4" t="inlineStr">
        <is>
          <t>03668608</t>
        </is>
      </c>
      <c r="B72" s="4" t="inlineStr">
        <is>
          <t>MEDICION DE NIVELES FREATICOS</t>
        </is>
      </c>
      <c r="C72" s="4" t="inlineStr">
        <is>
          <t>MTP-11 LIXIVIACIÓN</t>
        </is>
      </c>
      <c r="D72" s="4" t="inlineStr">
        <is>
          <t>2026-04-15</t>
        </is>
      </c>
      <c r="E72" s="4" t="inlineStr">
        <is>
          <t>2026-04-21</t>
        </is>
      </c>
      <c r="F72" s="4" t="inlineStr">
        <is>
          <t>SIGVA</t>
        </is>
      </c>
      <c r="G72" s="5">
        <f>IF(H72="TT","TRABAJO TERMINADO",IF(H72="MI","TRABAJO NO TERMINADO",""))</f>
        <v/>
      </c>
      <c r="H72" s="6" t="inlineStr"/>
      <c r="I72" s="7">
        <f>IF(B72="", G72, IF(G72="", LEFT(B72,45), IF(45-LEN(G72)-2&lt;=0, G72, LEFT(B72,45-LEN(G72)-2)&amp;", "&amp;G72)))</f>
        <v/>
      </c>
      <c r="J72" s="8">
        <f>IF(H72="MI","NO REALIZADO " &amp; B72 &amp; " EN " &amp; C72 &amp; IF(K72&lt;&gt;""," " &amp; K72,""),IF(H72="TT","SE REALIZA " &amp; B72 &amp; " EN " &amp; C72 &amp; IF(K72&lt;&gt;""," " &amp; K72,""),""))</f>
        <v/>
      </c>
      <c r="K72" s="4" t="n"/>
      <c r="L72" s="4" t="inlineStr">
        <is>
          <t>NF</t>
        </is>
      </c>
    </row>
    <row r="73">
      <c r="A73" s="4" t="inlineStr">
        <is>
          <t>03668609</t>
        </is>
      </c>
      <c r="B73" s="4" t="inlineStr">
        <is>
          <t>MM DE AGUAS SUBTERRÁNEAS</t>
        </is>
      </c>
      <c r="C73" s="4" t="inlineStr">
        <is>
          <t>MTP-11 LIXIVIACIÓN</t>
        </is>
      </c>
      <c r="D73" s="4" t="inlineStr">
        <is>
          <t>2026-04-15</t>
        </is>
      </c>
      <c r="E73" s="4" t="inlineStr">
        <is>
          <t>2026-04-21</t>
        </is>
      </c>
      <c r="F73" s="4" t="inlineStr">
        <is>
          <t>SIGVA</t>
        </is>
      </c>
      <c r="G73" s="5">
        <f>IF(H73="TT","TRABAJO TERMINADO",IF(H73="MI","TRABAJO NO TERMINADO",""))</f>
        <v/>
      </c>
      <c r="H73" s="6" t="inlineStr"/>
      <c r="I73" s="7">
        <f>IF(B73="", G73, IF(G73="", LEFT(B73,45), IF(45-LEN(G73)-2&lt;=0, G73, LEFT(B73,45-LEN(G73)-2)&amp;", "&amp;G73)))</f>
        <v/>
      </c>
      <c r="J73" s="8">
        <f>IF(H73="MI","NO REALIZADO " &amp; B73 &amp; " EN " &amp; C73 &amp; IF(K73&lt;&gt;""," " &amp; K73,""),IF(H73="TT","SE REALIZA " &amp; B73 &amp; " EN " &amp; C73 &amp; IF(K73&lt;&gt;""," " &amp; K73,""),""))</f>
        <v/>
      </c>
      <c r="K73" s="4" t="n"/>
      <c r="L73" s="4" t="inlineStr">
        <is>
          <t>ASUB</t>
        </is>
      </c>
    </row>
    <row r="74">
      <c r="A74" s="4" t="inlineStr">
        <is>
          <t>03668610</t>
        </is>
      </c>
      <c r="B74" s="4" t="inlineStr">
        <is>
          <t>MEDICION DE NIVELES FREATICOS</t>
        </is>
      </c>
      <c r="C74" s="4" t="inlineStr">
        <is>
          <t>MTP-15 TRANQUE</t>
        </is>
      </c>
      <c r="D74" s="4" t="inlineStr">
        <is>
          <t>2026-04-15</t>
        </is>
      </c>
      <c r="E74" s="4" t="inlineStr">
        <is>
          <t>2026-04-21</t>
        </is>
      </c>
      <c r="F74" s="4" t="inlineStr">
        <is>
          <t>SIGVA</t>
        </is>
      </c>
      <c r="G74" s="5">
        <f>IF(H74="TT","TRABAJO TERMINADO",IF(H74="MI","TRABAJO NO TERMINADO",""))</f>
        <v/>
      </c>
      <c r="H74" s="6" t="inlineStr">
        <is>
          <t>TT</t>
        </is>
      </c>
      <c r="I74" s="7">
        <f>IF(B74="", G74, IF(G74="", LEFT(B74,45), IF(45-LEN(G74)-2&lt;=0, G74, LEFT(B74,45-LEN(G74)-2)&amp;", "&amp;G74)))</f>
        <v/>
      </c>
      <c r="J74" s="8">
        <f>IF(H74="MI","NO REALIZADO " &amp; B74 &amp; " EN " &amp; C74 &amp; IF(K74&lt;&gt;""," " &amp; K74,""),IF(H74="TT","SE REALIZA " &amp; B74 &amp; " EN " &amp; C74 &amp; IF(K74&lt;&gt;""," " &amp; K74,""),""))</f>
        <v/>
      </c>
      <c r="K74" s="4" t="n"/>
      <c r="L74" s="4" t="inlineStr">
        <is>
          <t>NF</t>
        </is>
      </c>
    </row>
    <row r="75">
      <c r="A75" s="4" t="inlineStr">
        <is>
          <t>03668611</t>
        </is>
      </c>
      <c r="B75" s="4" t="inlineStr">
        <is>
          <t>MM DE AGUAS SUBTERRÁNEAS</t>
        </is>
      </c>
      <c r="C75" s="4" t="inlineStr">
        <is>
          <t>MTP-16 TRANQUE</t>
        </is>
      </c>
      <c r="D75" s="4" t="inlineStr">
        <is>
          <t>2026-04-15</t>
        </is>
      </c>
      <c r="E75" s="4" t="inlineStr">
        <is>
          <t>2026-04-21</t>
        </is>
      </c>
      <c r="F75" s="4" t="inlineStr">
        <is>
          <t>SIGVA</t>
        </is>
      </c>
      <c r="G75" s="5">
        <f>IF(H75="TT","TRABAJO TERMINADO",IF(H75="MI","TRABAJO NO TERMINADO",""))</f>
        <v/>
      </c>
      <c r="H75" s="6" t="inlineStr"/>
      <c r="I75" s="7">
        <f>IF(B75="", G75, IF(G75="", LEFT(B75,45), IF(45-LEN(G75)-2&lt;=0, G75, LEFT(B75,45-LEN(G75)-2)&amp;", "&amp;G75)))</f>
        <v/>
      </c>
      <c r="J75" s="8">
        <f>IF(H75="MI","NO REALIZADO " &amp; B75 &amp; " EN " &amp; C75 &amp; IF(K75&lt;&gt;""," " &amp; K75,""),IF(H75="TT","SE REALIZA " &amp; B75 &amp; " EN " &amp; C75 &amp; IF(K75&lt;&gt;""," " &amp; K75,""),""))</f>
        <v/>
      </c>
      <c r="K75" s="4" t="inlineStr">
        <is>
          <t>REPROGRAMADO POR PRIORIDAD ENVÍO DE MUESTRAS</t>
        </is>
      </c>
      <c r="L75" s="4" t="inlineStr">
        <is>
          <t>ASUB</t>
        </is>
      </c>
    </row>
    <row r="76">
      <c r="A76" s="4" t="inlineStr">
        <is>
          <t>03668612</t>
        </is>
      </c>
      <c r="B76" s="4" t="inlineStr">
        <is>
          <t>MEDICION DE NIVELES FREATICOS</t>
        </is>
      </c>
      <c r="C76" s="4" t="inlineStr">
        <is>
          <t>MTP-20 TRANQUE</t>
        </is>
      </c>
      <c r="D76" s="4" t="inlineStr">
        <is>
          <t>2026-04-15</t>
        </is>
      </c>
      <c r="E76" s="4" t="inlineStr">
        <is>
          <t>2026-04-21</t>
        </is>
      </c>
      <c r="F76" s="4" t="inlineStr">
        <is>
          <t>SIGVA</t>
        </is>
      </c>
      <c r="G76" s="5">
        <f>IF(H76="TT","TRABAJO TERMINADO",IF(H76="MI","TRABAJO NO TERMINADO",""))</f>
        <v/>
      </c>
      <c r="H76" s="6" t="inlineStr">
        <is>
          <t>TT</t>
        </is>
      </c>
      <c r="I76" s="7">
        <f>IF(B76="", G76, IF(G76="", LEFT(B76,45), IF(45-LEN(G76)-2&lt;=0, G76, LEFT(B76,45-LEN(G76)-2)&amp;", "&amp;G76)))</f>
        <v/>
      </c>
      <c r="J76" s="8">
        <f>IF(H76="MI","NO REALIZADO " &amp; B76 &amp; " EN " &amp; C76 &amp; IF(K76&lt;&gt;""," " &amp; K76,""),IF(H76="TT","SE REALIZA " &amp; B76 &amp; " EN " &amp; C76 &amp; IF(K76&lt;&gt;""," " &amp; K76,""),""))</f>
        <v/>
      </c>
      <c r="K76" s="4" t="n"/>
      <c r="L76" s="4" t="inlineStr">
        <is>
          <t>NF</t>
        </is>
      </c>
    </row>
    <row r="77">
      <c r="A77" s="4" t="inlineStr">
        <is>
          <t>03668613</t>
        </is>
      </c>
      <c r="B77" s="4" t="inlineStr">
        <is>
          <t>MEDICION DE NIVELES FREATICOS</t>
        </is>
      </c>
      <c r="C77" s="4" t="inlineStr">
        <is>
          <t>MTP-16 TRANQUE</t>
        </is>
      </c>
      <c r="D77" s="4" t="inlineStr">
        <is>
          <t>2026-04-15</t>
        </is>
      </c>
      <c r="E77" s="4" t="inlineStr">
        <is>
          <t>2026-04-21</t>
        </is>
      </c>
      <c r="F77" s="4" t="inlineStr">
        <is>
          <t>SIGVA</t>
        </is>
      </c>
      <c r="G77" s="5">
        <f>IF(H77="TT","TRABAJO TERMINADO",IF(H77="MI","TRABAJO NO TERMINADO",""))</f>
        <v/>
      </c>
      <c r="H77" s="6" t="inlineStr"/>
      <c r="I77" s="7">
        <f>IF(B77="", G77, IF(G77="", LEFT(B77,45), IF(45-LEN(G77)-2&lt;=0, G77, LEFT(B77,45-LEN(G77)-2)&amp;", "&amp;G77)))</f>
        <v/>
      </c>
      <c r="J77" s="8">
        <f>IF(H77="MI","NO REALIZADO " &amp; B77 &amp; " EN " &amp; C77 &amp; IF(K77&lt;&gt;""," " &amp; K77,""),IF(H77="TT","SE REALIZA " &amp; B77 &amp; " EN " &amp; C77 &amp; IF(K77&lt;&gt;""," " &amp; K77,""),""))</f>
        <v/>
      </c>
      <c r="K77" s="4" t="inlineStr">
        <is>
          <t>REPROGRAMADO POR PRIORIDAD ENVÍO DE MUESTRAS</t>
        </is>
      </c>
      <c r="L77" s="4" t="inlineStr">
        <is>
          <t>NF</t>
        </is>
      </c>
    </row>
    <row r="78">
      <c r="A78" s="4" t="inlineStr">
        <is>
          <t>03668620</t>
        </is>
      </c>
      <c r="B78" s="4" t="inlineStr">
        <is>
          <t>MEDICION DE NIVELES FREATICOS</t>
        </is>
      </c>
      <c r="C78" s="4" t="inlineStr">
        <is>
          <t>PMA-03 UJINA</t>
        </is>
      </c>
      <c r="D78" s="4" t="inlineStr">
        <is>
          <t>2026-04-15</t>
        </is>
      </c>
      <c r="E78" s="4" t="inlineStr">
        <is>
          <t>2026-04-21</t>
        </is>
      </c>
      <c r="F78" s="4" t="inlineStr">
        <is>
          <t>SIGVA</t>
        </is>
      </c>
      <c r="G78" s="5">
        <f>IF(H78="TT","TRABAJO TERMINADO",IF(H78="MI","TRABAJO NO TERMINADO",""))</f>
        <v/>
      </c>
      <c r="H78" s="6" t="inlineStr"/>
      <c r="I78" s="7">
        <f>IF(B78="", G78, IF(G78="", LEFT(B78,45), IF(45-LEN(G78)-2&lt;=0, G78, LEFT(B78,45-LEN(G78)-2)&amp;", "&amp;G78)))</f>
        <v/>
      </c>
      <c r="J78" s="8">
        <f>IF(H78="MI","NO REALIZADO " &amp; B78 &amp; " EN " &amp; C78 &amp; IF(K78&lt;&gt;""," " &amp; K78,""),IF(H78="TT","SE REALIZA " &amp; B78 &amp; " EN " &amp; C78 &amp; IF(K78&lt;&gt;""," " &amp; K78,""),""))</f>
        <v/>
      </c>
      <c r="K78" s="4" t="n"/>
      <c r="L78" s="4" t="inlineStr">
        <is>
          <t>NF</t>
        </is>
      </c>
    </row>
    <row r="79">
      <c r="A79" s="4" t="inlineStr">
        <is>
          <t>03668625</t>
        </is>
      </c>
      <c r="B79" s="4" t="inlineStr">
        <is>
          <t>MEDICION DE NIVELES FREATICOS</t>
        </is>
      </c>
      <c r="C79" s="4" t="inlineStr">
        <is>
          <t>PQY-02 YABRICOYITA</t>
        </is>
      </c>
      <c r="D79" s="4" t="inlineStr">
        <is>
          <t>2026-04-15</t>
        </is>
      </c>
      <c r="E79" s="4" t="inlineStr">
        <is>
          <t>2026-04-21</t>
        </is>
      </c>
      <c r="F79" s="4" t="inlineStr">
        <is>
          <t>SIGVA</t>
        </is>
      </c>
      <c r="G79" s="5">
        <f>IF(H79="TT","TRABAJO TERMINADO",IF(H79="MI","TRABAJO NO TERMINADO",""))</f>
        <v/>
      </c>
      <c r="H79" s="6" t="inlineStr">
        <is>
          <t>TT</t>
        </is>
      </c>
      <c r="I79" s="7">
        <f>IF(B79="", G79, IF(G79="", LEFT(B79,45), IF(45-LEN(G79)-2&lt;=0, G79, LEFT(B79,45-LEN(G79)-2)&amp;", "&amp;G79)))</f>
        <v/>
      </c>
      <c r="J79" s="8">
        <f>IF(H79="MI","NO REALIZADO " &amp; B79 &amp; " EN " &amp; C79 &amp; IF(K79&lt;&gt;""," " &amp; K79,""),IF(H79="TT","SE REALIZA " &amp; B79 &amp; " EN " &amp; C79 &amp; IF(K79&lt;&gt;""," " &amp; K79,""),""))</f>
        <v/>
      </c>
      <c r="K79" s="4" t="n"/>
      <c r="L79" s="4" t="inlineStr">
        <is>
          <t>NF</t>
        </is>
      </c>
    </row>
    <row r="80">
      <c r="A80" s="4" t="inlineStr">
        <is>
          <t>03668626</t>
        </is>
      </c>
      <c r="B80" s="4" t="inlineStr">
        <is>
          <t>MEDICION DE NIVELES FREATICOS</t>
        </is>
      </c>
      <c r="C80" s="4" t="inlineStr">
        <is>
          <t>PQY-03 YABRICOYITA</t>
        </is>
      </c>
      <c r="D80" s="4" t="inlineStr">
        <is>
          <t>2026-04-15</t>
        </is>
      </c>
      <c r="E80" s="4" t="inlineStr">
        <is>
          <t>2026-04-21</t>
        </is>
      </c>
      <c r="F80" s="4" t="inlineStr">
        <is>
          <t>SIGVA</t>
        </is>
      </c>
      <c r="G80" s="5">
        <f>IF(H80="TT","TRABAJO TERMINADO",IF(H80="MI","TRABAJO NO TERMINADO",""))</f>
        <v/>
      </c>
      <c r="H80" s="6" t="inlineStr">
        <is>
          <t>TT</t>
        </is>
      </c>
      <c r="I80" s="7">
        <f>IF(B80="", G80, IF(G80="", LEFT(B80,45), IF(45-LEN(G80)-2&lt;=0, G80, LEFT(B80,45-LEN(G80)-2)&amp;", "&amp;G80)))</f>
        <v/>
      </c>
      <c r="J80" s="8">
        <f>IF(H80="MI","NO REALIZADO " &amp; B80 &amp; " EN " &amp; C80 &amp; IF(K80&lt;&gt;""," " &amp; K80,""),IF(H80="TT","SE REALIZA " &amp; B80 &amp; " EN " &amp; C80 &amp; IF(K80&lt;&gt;""," " &amp; K80,""),""))</f>
        <v/>
      </c>
      <c r="K80" s="4" t="n"/>
      <c r="L80" s="4" t="inlineStr">
        <is>
          <t>NF</t>
        </is>
      </c>
    </row>
    <row r="81">
      <c r="A81" s="4" t="inlineStr">
        <is>
          <t>03668627</t>
        </is>
      </c>
      <c r="B81" s="4" t="inlineStr">
        <is>
          <t>MEDICIÓN DE CAUDALES</t>
        </is>
      </c>
      <c r="C81" s="4" t="inlineStr">
        <is>
          <t>QDH-1E PISC. HUINQUIN. (INT. RAJO ROSA )</t>
        </is>
      </c>
      <c r="D81" s="4" t="inlineStr">
        <is>
          <t>2026-04-15</t>
        </is>
      </c>
      <c r="E81" s="4" t="inlineStr">
        <is>
          <t>2026-04-21</t>
        </is>
      </c>
      <c r="F81" s="4" t="inlineStr">
        <is>
          <t>SIGVA</t>
        </is>
      </c>
      <c r="G81" s="5">
        <f>IF(H81="TT","TRABAJO TERMINADO",IF(H81="MI","TRABAJO NO TERMINADO",""))</f>
        <v/>
      </c>
      <c r="H81" s="6" t="inlineStr">
        <is>
          <t>TT</t>
        </is>
      </c>
      <c r="I81" s="7">
        <f>IF(B81="", G81, IF(G81="", LEFT(B81,45), IF(45-LEN(G81)-2&lt;=0, G81, LEFT(B81,45-LEN(G81)-2)&amp;", "&amp;G81)))</f>
        <v/>
      </c>
      <c r="J81" s="8">
        <f>IF(H81="MI","NO REALIZADO " &amp; B81 &amp; " EN " &amp; C81 &amp; IF(K81&lt;&gt;""," " &amp; K81,""),IF(H81="TT","SE REALIZA " &amp; B81 &amp; " EN " &amp; C81 &amp; IF(K81&lt;&gt;""," " &amp; K81,""),""))</f>
        <v/>
      </c>
      <c r="K81" s="4" t="n"/>
      <c r="L81" s="4" t="inlineStr">
        <is>
          <t>CAUDAL</t>
        </is>
      </c>
    </row>
    <row r="82">
      <c r="A82" s="4" t="inlineStr">
        <is>
          <t>03668628</t>
        </is>
      </c>
      <c r="B82" s="4" t="inlineStr">
        <is>
          <t>MEDICIÓN DE CAUDALES</t>
        </is>
      </c>
      <c r="C82" s="4" t="inlineStr">
        <is>
          <t>QSD-1 PISC. HUINQUIN. (INT. RAJO ROSA )</t>
        </is>
      </c>
      <c r="D82" s="4" t="inlineStr">
        <is>
          <t>2026-04-15</t>
        </is>
      </c>
      <c r="E82" s="4" t="inlineStr">
        <is>
          <t>2026-04-21</t>
        </is>
      </c>
      <c r="F82" s="4" t="inlineStr">
        <is>
          <t>SIGVA</t>
        </is>
      </c>
      <c r="G82" s="5">
        <f>IF(H82="TT","TRABAJO TERMINADO",IF(H82="MI","TRABAJO NO TERMINADO",""))</f>
        <v/>
      </c>
      <c r="H82" s="6" t="inlineStr"/>
      <c r="I82" s="7">
        <f>IF(B82="", G82, IF(G82="", LEFT(B82,45), IF(45-LEN(G82)-2&lt;=0, G82, LEFT(B82,45-LEN(G82)-2)&amp;", "&amp;G82)))</f>
        <v/>
      </c>
      <c r="J82" s="8">
        <f>IF(H82="MI","NO REALIZADO " &amp; B82 &amp; " EN " &amp; C82 &amp; IF(K82&lt;&gt;""," " &amp; K82,""),IF(H82="TT","SE REALIZA " &amp; B82 &amp; " EN " &amp; C82 &amp; IF(K82&lt;&gt;""," " &amp; K82,""),""))</f>
        <v/>
      </c>
      <c r="K82" s="4" t="inlineStr">
        <is>
          <t>SE SUSPENDE POR PRESENCIA DE RODADOS</t>
        </is>
      </c>
      <c r="L82" s="4" t="inlineStr">
        <is>
          <t>CAUDAL</t>
        </is>
      </c>
    </row>
    <row r="83">
      <c r="A83" s="4" t="inlineStr">
        <is>
          <t>03668633</t>
        </is>
      </c>
      <c r="B83" s="4" t="inlineStr">
        <is>
          <t>MM DE AGUAS SUBTERRÁNEAS</t>
        </is>
      </c>
      <c r="C83" s="4" t="inlineStr">
        <is>
          <t>SH-19 PUERTO COLLAHUASI</t>
        </is>
      </c>
      <c r="D83" s="4" t="inlineStr">
        <is>
          <t>2026-04-15</t>
        </is>
      </c>
      <c r="E83" s="4" t="inlineStr">
        <is>
          <t>2026-04-21</t>
        </is>
      </c>
      <c r="F83" s="4" t="inlineStr">
        <is>
          <t>SIGVA</t>
        </is>
      </c>
      <c r="G83" s="5">
        <f>IF(H83="TT","TRABAJO TERMINADO",IF(H83="MI","TRABAJO NO TERMINADO",""))</f>
        <v/>
      </c>
      <c r="H83" s="6" t="inlineStr">
        <is>
          <t>TT</t>
        </is>
      </c>
      <c r="I83" s="7">
        <f>IF(B83="", G83, IF(G83="", LEFT(B83,45), IF(45-LEN(G83)-2&lt;=0, G83, LEFT(B83,45-LEN(G83)-2)&amp;", "&amp;G83)))</f>
        <v/>
      </c>
      <c r="J83" s="8">
        <f>IF(H83="MI","NO REALIZADO " &amp; B83 &amp; " EN " &amp; C83 &amp; IF(K83&lt;&gt;""," " &amp; K83,""),IF(H83="TT","SE REALIZA " &amp; B83 &amp; " EN " &amp; C83 &amp; IF(K83&lt;&gt;""," " &amp; K83,""),""))</f>
        <v/>
      </c>
      <c r="K83" s="4" t="n"/>
      <c r="L83" s="4" t="inlineStr">
        <is>
          <t>ASUB</t>
        </is>
      </c>
    </row>
    <row r="84">
      <c r="A84" s="4" t="inlineStr">
        <is>
          <t>03668634</t>
        </is>
      </c>
      <c r="B84" s="4" t="inlineStr">
        <is>
          <t>MM DE AGUAS SUBTERRÁNEAS</t>
        </is>
      </c>
      <c r="C84" s="4" t="inlineStr">
        <is>
          <t>SH-20 PUERTO COLLAHUASI</t>
        </is>
      </c>
      <c r="D84" s="4" t="inlineStr">
        <is>
          <t>2026-04-15</t>
        </is>
      </c>
      <c r="E84" s="4" t="inlineStr">
        <is>
          <t>2026-04-21</t>
        </is>
      </c>
      <c r="F84" s="4" t="inlineStr">
        <is>
          <t>SIGVA</t>
        </is>
      </c>
      <c r="G84" s="5">
        <f>IF(H84="TT","TRABAJO TERMINADO",IF(H84="MI","TRABAJO NO TERMINADO",""))</f>
        <v/>
      </c>
      <c r="H84" s="6" t="inlineStr">
        <is>
          <t>TT</t>
        </is>
      </c>
      <c r="I84" s="7">
        <f>IF(B84="", G84, IF(G84="", LEFT(B84,45), IF(45-LEN(G84)-2&lt;=0, G84, LEFT(B84,45-LEN(G84)-2)&amp;", "&amp;G84)))</f>
        <v/>
      </c>
      <c r="J84" s="8">
        <f>IF(H84="MI","NO REALIZADO " &amp; B84 &amp; " EN " &amp; C84 &amp; IF(K84&lt;&gt;""," " &amp; K84,""),IF(H84="TT","SE REALIZA " &amp; B84 &amp; " EN " &amp; C84 &amp; IF(K84&lt;&gt;""," " &amp; K84,""),""))</f>
        <v/>
      </c>
      <c r="K84" s="4" t="n"/>
      <c r="L84" s="4" t="inlineStr">
        <is>
          <t>ASUB</t>
        </is>
      </c>
    </row>
    <row r="85">
      <c r="A85" s="4" t="inlineStr">
        <is>
          <t>03668635</t>
        </is>
      </c>
      <c r="B85" s="4" t="inlineStr">
        <is>
          <t>MM DE AGUAS SUBTERRÁNEAS</t>
        </is>
      </c>
      <c r="C85" s="4" t="inlineStr">
        <is>
          <t>SH-22 PUERTO COLLAHUASI</t>
        </is>
      </c>
      <c r="D85" s="4" t="inlineStr">
        <is>
          <t>2026-04-15</t>
        </is>
      </c>
      <c r="E85" s="4" t="inlineStr">
        <is>
          <t>2026-04-21</t>
        </is>
      </c>
      <c r="F85" s="4" t="inlineStr">
        <is>
          <t>SIGVA</t>
        </is>
      </c>
      <c r="G85" s="5">
        <f>IF(H85="TT","TRABAJO TERMINADO",IF(H85="MI","TRABAJO NO TERMINADO",""))</f>
        <v/>
      </c>
      <c r="H85" s="6" t="inlineStr">
        <is>
          <t>TT</t>
        </is>
      </c>
      <c r="I85" s="7">
        <f>IF(B85="", G85, IF(G85="", LEFT(B85,45), IF(45-LEN(G85)-2&lt;=0, G85, LEFT(B85,45-LEN(G85)-2)&amp;", "&amp;G85)))</f>
        <v/>
      </c>
      <c r="J85" s="8">
        <f>IF(H85="MI","NO REALIZADO " &amp; B85 &amp; " EN " &amp; C85 &amp; IF(K85&lt;&gt;""," " &amp; K85,""),IF(H85="TT","SE REALIZA " &amp; B85 &amp; " EN " &amp; C85 &amp; IF(K85&lt;&gt;""," " &amp; K85,""),""))</f>
        <v/>
      </c>
      <c r="K85" s="4" t="n"/>
      <c r="L85" s="4" t="inlineStr">
        <is>
          <t>ASUB</t>
        </is>
      </c>
    </row>
    <row r="86">
      <c r="A86" s="4" t="inlineStr">
        <is>
          <t>03668636</t>
        </is>
      </c>
      <c r="B86" s="4" t="inlineStr">
        <is>
          <t>MM DE AGUAS SUBTERRÁNEAS</t>
        </is>
      </c>
      <c r="C86" s="4" t="inlineStr">
        <is>
          <t>SH-23 PUERTO COLLAHUASI</t>
        </is>
      </c>
      <c r="D86" s="4" t="inlineStr">
        <is>
          <t>2026-04-15</t>
        </is>
      </c>
      <c r="E86" s="4" t="inlineStr">
        <is>
          <t>2026-04-21</t>
        </is>
      </c>
      <c r="F86" s="4" t="inlineStr">
        <is>
          <t>SIGVA</t>
        </is>
      </c>
      <c r="G86" s="5">
        <f>IF(H86="TT","TRABAJO TERMINADO",IF(H86="MI","TRABAJO NO TERMINADO",""))</f>
        <v/>
      </c>
      <c r="H86" s="6" t="inlineStr">
        <is>
          <t>TT</t>
        </is>
      </c>
      <c r="I86" s="7">
        <f>IF(B86="", G86, IF(G86="", LEFT(B86,45), IF(45-LEN(G86)-2&lt;=0, G86, LEFT(B86,45-LEN(G86)-2)&amp;", "&amp;G86)))</f>
        <v/>
      </c>
      <c r="J86" s="8">
        <f>IF(H86="MI","NO REALIZADO " &amp; B86 &amp; " EN " &amp; C86 &amp; IF(K86&lt;&gt;""," " &amp; K86,""),IF(H86="TT","SE REALIZA " &amp; B86 &amp; " EN " &amp; C86 &amp; IF(K86&lt;&gt;""," " &amp; K86,""),""))</f>
        <v/>
      </c>
      <c r="K86" s="4" t="n"/>
      <c r="L86" s="4" t="inlineStr">
        <is>
          <t>ASUB</t>
        </is>
      </c>
    </row>
    <row r="87">
      <c r="A87" s="4" t="inlineStr">
        <is>
          <t>03668637</t>
        </is>
      </c>
      <c r="B87" s="4" t="inlineStr">
        <is>
          <t>MEDICION DE NIVELES FREATICOS</t>
        </is>
      </c>
      <c r="C87" s="4" t="inlineStr">
        <is>
          <t>SH-20 PUERTO COLLAHUASI</t>
        </is>
      </c>
      <c r="D87" s="4" t="inlineStr">
        <is>
          <t>2026-04-15</t>
        </is>
      </c>
      <c r="E87" s="4" t="inlineStr">
        <is>
          <t>2026-04-21</t>
        </is>
      </c>
      <c r="F87" s="4" t="inlineStr">
        <is>
          <t>SIGVA</t>
        </is>
      </c>
      <c r="G87" s="5">
        <f>IF(H87="TT","TRABAJO TERMINADO",IF(H87="MI","TRABAJO NO TERMINADO",""))</f>
        <v/>
      </c>
      <c r="H87" s="6" t="inlineStr">
        <is>
          <t>TT</t>
        </is>
      </c>
      <c r="I87" s="7">
        <f>IF(B87="", G87, IF(G87="", LEFT(B87,45), IF(45-LEN(G87)-2&lt;=0, G87, LEFT(B87,45-LEN(G87)-2)&amp;", "&amp;G87)))</f>
        <v/>
      </c>
      <c r="J87" s="8">
        <f>IF(H87="MI","NO REALIZADO " &amp; B87 &amp; " EN " &amp; C87 &amp; IF(K87&lt;&gt;""," " &amp; K87,""),IF(H87="TT","SE REALIZA " &amp; B87 &amp; " EN " &amp; C87 &amp; IF(K87&lt;&gt;""," " &amp; K87,""),""))</f>
        <v/>
      </c>
      <c r="K87" s="4" t="n"/>
      <c r="L87" s="4" t="inlineStr">
        <is>
          <t>NF</t>
        </is>
      </c>
    </row>
    <row r="88">
      <c r="A88" s="4" t="inlineStr">
        <is>
          <t>03668638</t>
        </is>
      </c>
      <c r="B88" s="4" t="inlineStr">
        <is>
          <t>MEDICION DE NIVELES FREATICOS</t>
        </is>
      </c>
      <c r="C88" s="4" t="inlineStr">
        <is>
          <t>SH-22 PUERTO COLLAHUASI</t>
        </is>
      </c>
      <c r="D88" s="4" t="inlineStr">
        <is>
          <t>2026-04-15</t>
        </is>
      </c>
      <c r="E88" s="4" t="inlineStr">
        <is>
          <t>2026-04-21</t>
        </is>
      </c>
      <c r="F88" s="4" t="inlineStr">
        <is>
          <t>SIGVA</t>
        </is>
      </c>
      <c r="G88" s="5">
        <f>IF(H88="TT","TRABAJO TERMINADO",IF(H88="MI","TRABAJO NO TERMINADO",""))</f>
        <v/>
      </c>
      <c r="H88" s="6" t="inlineStr">
        <is>
          <t>TT</t>
        </is>
      </c>
      <c r="I88" s="7">
        <f>IF(B88="", G88, IF(G88="", LEFT(B88,45), IF(45-LEN(G88)-2&lt;=0, G88, LEFT(B88,45-LEN(G88)-2)&amp;", "&amp;G88)))</f>
        <v/>
      </c>
      <c r="J88" s="8">
        <f>IF(H88="MI","NO REALIZADO " &amp; B88 &amp; " EN " &amp; C88 &amp; IF(K88&lt;&gt;""," " &amp; K88,""),IF(H88="TT","SE REALIZA " &amp; B88 &amp; " EN " &amp; C88 &amp; IF(K88&lt;&gt;""," " &amp; K88,""),""))</f>
        <v/>
      </c>
      <c r="K88" s="4" t="n"/>
      <c r="L88" s="4" t="inlineStr">
        <is>
          <t>NF</t>
        </is>
      </c>
    </row>
    <row r="89">
      <c r="A89" s="4" t="inlineStr">
        <is>
          <t>03668639</t>
        </is>
      </c>
      <c r="B89" s="4" t="inlineStr">
        <is>
          <t>MEDICION DE NIVELES FREATICOS</t>
        </is>
      </c>
      <c r="C89" s="4" t="inlineStr">
        <is>
          <t>SH-23 PUERTO COLLAHUASI</t>
        </is>
      </c>
      <c r="D89" s="4" t="inlineStr">
        <is>
          <t>2026-04-15</t>
        </is>
      </c>
      <c r="E89" s="4" t="inlineStr">
        <is>
          <t>2026-04-21</t>
        </is>
      </c>
      <c r="F89" s="4" t="inlineStr">
        <is>
          <t>SIGVA</t>
        </is>
      </c>
      <c r="G89" s="5">
        <f>IF(H89="TT","TRABAJO TERMINADO",IF(H89="MI","TRABAJO NO TERMINADO",""))</f>
        <v/>
      </c>
      <c r="H89" s="6" t="inlineStr">
        <is>
          <t>TT</t>
        </is>
      </c>
      <c r="I89" s="7">
        <f>IF(B89="", G89, IF(G89="", LEFT(B89,45), IF(45-LEN(G89)-2&lt;=0, G89, LEFT(B89,45-LEN(G89)-2)&amp;", "&amp;G89)))</f>
        <v/>
      </c>
      <c r="J89" s="8">
        <f>IF(H89="MI","NO REALIZADO " &amp; B89 &amp; " EN " &amp; C89 &amp; IF(K89&lt;&gt;""," " &amp; K89,""),IF(H89="TT","SE REALIZA " &amp; B89 &amp; " EN " &amp; C89 &amp; IF(K89&lt;&gt;""," " &amp; K89,""),""))</f>
        <v/>
      </c>
      <c r="K89" s="4" t="n"/>
      <c r="L89" s="4" t="inlineStr">
        <is>
          <t>NF</t>
        </is>
      </c>
    </row>
    <row r="90">
      <c r="A90" s="4" t="inlineStr">
        <is>
          <t>03668640</t>
        </is>
      </c>
      <c r="B90" s="4" t="inlineStr">
        <is>
          <t>MM DE AGUAS SUPERFICIALES</t>
        </is>
      </c>
      <c r="C90" s="4" t="inlineStr">
        <is>
          <t>Piscina P2 ROSARIO</t>
        </is>
      </c>
      <c r="D90" s="4" t="inlineStr">
        <is>
          <t>2026-04-15</t>
        </is>
      </c>
      <c r="E90" s="4" t="inlineStr">
        <is>
          <t>2026-04-21</t>
        </is>
      </c>
      <c r="F90" s="4" t="inlineStr">
        <is>
          <t>SIGVA</t>
        </is>
      </c>
      <c r="G90" s="5">
        <f>IF(H90="TT","TRABAJO TERMINADO",IF(H90="MI","TRABAJO NO TERMINADO",""))</f>
        <v/>
      </c>
      <c r="H90" s="6" t="inlineStr">
        <is>
          <t>TT</t>
        </is>
      </c>
      <c r="I90" s="7">
        <f>IF(B90="", G90, IF(G90="", LEFT(B90,45), IF(45-LEN(G90)-2&lt;=0, G90, LEFT(B90,45-LEN(G90)-2)&amp;", "&amp;G90)))</f>
        <v/>
      </c>
      <c r="J90" s="8">
        <f>IF(H90="MI","NO REALIZADO " &amp; B90 &amp; " EN " &amp; C90 &amp; IF(K90&lt;&gt;""," " &amp; K90,""),IF(H90="TT","SE REALIZA " &amp; B90 &amp; " EN " &amp; C90 &amp; IF(K90&lt;&gt;""," " &amp; K90,""),""))</f>
        <v/>
      </c>
      <c r="K90" s="4" t="inlineStr">
        <is>
          <t>pedir carry all</t>
        </is>
      </c>
      <c r="L90" s="4" t="inlineStr">
        <is>
          <t>ASUP</t>
        </is>
      </c>
    </row>
    <row r="91">
      <c r="A91" s="4" t="inlineStr">
        <is>
          <t>03668641</t>
        </is>
      </c>
      <c r="B91" s="4" t="inlineStr">
        <is>
          <t>MM DE AGUAS SUPERFICIALES</t>
        </is>
      </c>
      <c r="C91" s="4" t="inlineStr">
        <is>
          <t>ARR- 1 (Piscina P2)</t>
        </is>
      </c>
      <c r="D91" s="4" t="inlineStr">
        <is>
          <t>2026-04-15</t>
        </is>
      </c>
      <c r="E91" s="4" t="inlineStr">
        <is>
          <t>2026-04-21</t>
        </is>
      </c>
      <c r="F91" s="4" t="inlineStr">
        <is>
          <t>SIGVA</t>
        </is>
      </c>
      <c r="G91" s="5">
        <f>IF(H91="TT","TRABAJO TERMINADO",IF(H91="MI","TRABAJO NO TERMINADO",""))</f>
        <v/>
      </c>
      <c r="H91" s="6" t="inlineStr">
        <is>
          <t>TT</t>
        </is>
      </c>
      <c r="I91" s="7">
        <f>IF(B91="", G91, IF(G91="", LEFT(B91,45), IF(45-LEN(G91)-2&lt;=0, G91, LEFT(B91,45-LEN(G91)-2)&amp;", "&amp;G91)))</f>
        <v/>
      </c>
      <c r="J91" s="8">
        <f>IF(H91="MI","NO REALIZADO " &amp; B91 &amp; " EN " &amp; C91 &amp; IF(K91&lt;&gt;""," " &amp; K91,""),IF(H91="TT","SE REALIZA " &amp; B91 &amp; " EN " &amp; C91 &amp; IF(K91&lt;&gt;""," " &amp; K91,""),""))</f>
        <v/>
      </c>
      <c r="K91" s="4" t="n"/>
      <c r="L91" s="4" t="inlineStr">
        <is>
          <t>ASUP</t>
        </is>
      </c>
    </row>
    <row r="92">
      <c r="A92" s="4" t="inlineStr">
        <is>
          <t>03668645</t>
        </is>
      </c>
      <c r="B92" s="4" t="inlineStr">
        <is>
          <t>MM DE AGUAS SUPERFICIALES</t>
        </is>
      </c>
      <c r="C92" s="4" t="inlineStr">
        <is>
          <t>Piscina P3 ROSARIO</t>
        </is>
      </c>
      <c r="D92" s="4" t="inlineStr">
        <is>
          <t>2026-04-15</t>
        </is>
      </c>
      <c r="E92" s="4" t="inlineStr">
        <is>
          <t>2026-04-21</t>
        </is>
      </c>
      <c r="F92" s="4" t="inlineStr">
        <is>
          <t>SIGVA</t>
        </is>
      </c>
      <c r="G92" s="5">
        <f>IF(H92="TT","TRABAJO TERMINADO",IF(H92="MI","TRABAJO NO TERMINADO",""))</f>
        <v/>
      </c>
      <c r="H92" s="6" t="inlineStr">
        <is>
          <t>TT</t>
        </is>
      </c>
      <c r="I92" s="7">
        <f>IF(B92="", G92, IF(G92="", LEFT(B92,45), IF(45-LEN(G92)-2&lt;=0, G92, LEFT(B92,45-LEN(G92)-2)&amp;", "&amp;G92)))</f>
        <v/>
      </c>
      <c r="J92" s="8">
        <f>IF(H92="MI","NO REALIZADO " &amp; B92 &amp; " EN " &amp; C92 &amp; IF(K92&lt;&gt;""," " &amp; K92,""),IF(H92="TT","SE REALIZA " &amp; B92 &amp; " EN " &amp; C92 &amp; IF(K92&lt;&gt;""," " &amp; K92,""),""))</f>
        <v/>
      </c>
      <c r="K92" s="4" t="inlineStr">
        <is>
          <t>(dias lunespor solicitud CMDIC/ECOS)</t>
        </is>
      </c>
      <c r="L92" s="4" t="inlineStr">
        <is>
          <t>ASUP</t>
        </is>
      </c>
    </row>
    <row r="93">
      <c r="A93" s="4" t="inlineStr">
        <is>
          <t>03670812</t>
        </is>
      </c>
      <c r="B93" s="4" t="inlineStr">
        <is>
          <t>MANT DE ESTACIONES CONTINUAS</t>
        </is>
      </c>
      <c r="C93" s="4" t="inlineStr">
        <is>
          <t>Casino 460</t>
        </is>
      </c>
      <c r="D93" s="4" t="inlineStr">
        <is>
          <t>2026-04-15</t>
        </is>
      </c>
      <c r="E93" s="4" t="inlineStr">
        <is>
          <t>2026-04-21</t>
        </is>
      </c>
      <c r="F93" s="4" t="inlineStr">
        <is>
          <t>SIGAIR</t>
        </is>
      </c>
      <c r="G93" s="5">
        <f>IF(H93="TT","TRABAJO TERMINADO",IF(H93="MI","TRABAJO NO TERMINADO",""))</f>
        <v/>
      </c>
      <c r="H93" s="6" t="inlineStr"/>
      <c r="I93" s="7">
        <f>IF(B93="", G93, IF(G93="", LEFT(B93,45), IF(45-LEN(G93)-2&lt;=0, G93, LEFT(B93,45-LEN(G93)-2)&amp;", "&amp;G93)))</f>
        <v/>
      </c>
      <c r="J93" s="8">
        <f>IF(H93="MI","NO REALIZADO " &amp; B93 &amp; " EN " &amp; C93 &amp; IF(K93&lt;&gt;""," " &amp; K93,""),IF(H93="TT","SE REALIZA " &amp; B93 &amp; " EN " &amp; C93 &amp; IF(K93&lt;&gt;""," " &amp; K93,""),""))</f>
        <v/>
      </c>
      <c r="K93" s="4" t="n"/>
      <c r="L93" s="4" t="inlineStr"/>
    </row>
    <row r="94">
      <c r="A94" s="4" t="inlineStr">
        <is>
          <t>03686123</t>
        </is>
      </c>
      <c r="B94" s="4" t="inlineStr">
        <is>
          <t>MEDICION DE NIVELES FREATICOS</t>
        </is>
      </c>
      <c r="C94" s="4" t="inlineStr"/>
      <c r="D94" s="4" t="inlineStr">
        <is>
          <t>2026-04-15</t>
        </is>
      </c>
      <c r="E94" s="4" t="inlineStr">
        <is>
          <t>2026-04-21</t>
        </is>
      </c>
      <c r="F94" s="4" t="inlineStr">
        <is>
          <t>SIGVA</t>
        </is>
      </c>
      <c r="G94" s="5">
        <f>IF(H94="TT","TRABAJO TERMINADO",IF(H94="MI","TRABAJO NO TERMINADO",""))</f>
        <v/>
      </c>
      <c r="H94" s="6" t="inlineStr"/>
      <c r="I94" s="7">
        <f>IF(B94="", G94, IF(G94="", LEFT(B94,45), IF(45-LEN(G94)-2&lt;=0, G94, LEFT(B94,45-LEN(G94)-2)&amp;", "&amp;G94)))</f>
        <v/>
      </c>
      <c r="J94" s="8">
        <f>IF(H94="MI","NO REALIZADO " &amp; B94 &amp; " EN " &amp; C94 &amp; IF(K94&lt;&gt;""," " &amp; K94,""),IF(H94="TT","SE REALIZA " &amp; B94 &amp; " EN " &amp; C94 &amp; IF(K94&lt;&gt;""," " &amp; K94,""),""))</f>
        <v/>
      </c>
      <c r="K94" s="4" t="n"/>
      <c r="L94" s="4" t="inlineStr">
        <is>
          <t>NF</t>
        </is>
      </c>
    </row>
    <row r="95">
      <c r="A95" s="4" t="inlineStr">
        <is>
          <t>03686126</t>
        </is>
      </c>
      <c r="B95" s="4" t="inlineStr">
        <is>
          <t>MEDICION DE NIVELES FREATICOS</t>
        </is>
      </c>
      <c r="C95" s="4" t="inlineStr"/>
      <c r="D95" s="4" t="inlineStr">
        <is>
          <t>2026-04-15</t>
        </is>
      </c>
      <c r="E95" s="4" t="inlineStr">
        <is>
          <t>2026-04-21</t>
        </is>
      </c>
      <c r="F95" s="4" t="inlineStr">
        <is>
          <t>SIGVA</t>
        </is>
      </c>
      <c r="G95" s="5">
        <f>IF(H95="TT","TRABAJO TERMINADO",IF(H95="MI","TRABAJO NO TERMINADO",""))</f>
        <v/>
      </c>
      <c r="H95" s="6" t="inlineStr"/>
      <c r="I95" s="7">
        <f>IF(B95="", G95, IF(G95="", LEFT(B95,45), IF(45-LEN(G95)-2&lt;=0, G95, LEFT(B95,45-LEN(G95)-2)&amp;", "&amp;G95)))</f>
        <v/>
      </c>
      <c r="J95" s="8">
        <f>IF(H95="MI","NO REALIZADO " &amp; B95 &amp; " EN " &amp; C95 &amp; IF(K95&lt;&gt;""," " &amp; K95,""),IF(H95="TT","SE REALIZA " &amp; B95 &amp; " EN " &amp; C95 &amp; IF(K95&lt;&gt;""," " &amp; K95,""),""))</f>
        <v/>
      </c>
      <c r="K95" s="4" t="n"/>
      <c r="L95" s="4" t="inlineStr">
        <is>
          <t>NF</t>
        </is>
      </c>
    </row>
    <row r="96">
      <c r="A96" s="4" t="inlineStr">
        <is>
          <t>03686127</t>
        </is>
      </c>
      <c r="B96" s="4" t="inlineStr">
        <is>
          <t>MEDICION DE NIVELES FREATICOS</t>
        </is>
      </c>
      <c r="C96" s="4" t="inlineStr"/>
      <c r="D96" s="4" t="inlineStr">
        <is>
          <t>2026-04-15</t>
        </is>
      </c>
      <c r="E96" s="4" t="inlineStr">
        <is>
          <t>2026-04-21</t>
        </is>
      </c>
      <c r="F96" s="4" t="inlineStr">
        <is>
          <t>SIGVA</t>
        </is>
      </c>
      <c r="G96" s="5">
        <f>IF(H96="TT","TRABAJO TERMINADO",IF(H96="MI","TRABAJO NO TERMINADO",""))</f>
        <v/>
      </c>
      <c r="H96" s="6" t="inlineStr"/>
      <c r="I96" s="7">
        <f>IF(B96="", G96, IF(G96="", LEFT(B96,45), IF(45-LEN(G96)-2&lt;=0, G96, LEFT(B96,45-LEN(G96)-2)&amp;", "&amp;G96)))</f>
        <v/>
      </c>
      <c r="J96" s="8">
        <f>IF(H96="MI","NO REALIZADO " &amp; B96 &amp; " EN " &amp; C96 &amp; IF(K96&lt;&gt;""," " &amp; K96,""),IF(H96="TT","SE REALIZA " &amp; B96 &amp; " EN " &amp; C96 &amp; IF(K96&lt;&gt;""," " &amp; K96,""),""))</f>
        <v/>
      </c>
      <c r="K96" s="4" t="n"/>
      <c r="L96" s="4" t="inlineStr">
        <is>
          <t>NF</t>
        </is>
      </c>
    </row>
    <row r="97">
      <c r="A97" s="4" t="inlineStr">
        <is>
          <t>03686128</t>
        </is>
      </c>
      <c r="B97" s="4" t="inlineStr">
        <is>
          <t>MEDICION DE NIVELES FREATICOS</t>
        </is>
      </c>
      <c r="C97" s="4" t="inlineStr"/>
      <c r="D97" s="4" t="inlineStr">
        <is>
          <t>2026-04-15</t>
        </is>
      </c>
      <c r="E97" s="4" t="inlineStr">
        <is>
          <t>2026-04-21</t>
        </is>
      </c>
      <c r="F97" s="4" t="inlineStr">
        <is>
          <t>SIGVA</t>
        </is>
      </c>
      <c r="G97" s="5">
        <f>IF(H97="TT","TRABAJO TERMINADO",IF(H97="MI","TRABAJO NO TERMINADO",""))</f>
        <v/>
      </c>
      <c r="H97" s="6" t="inlineStr"/>
      <c r="I97" s="7">
        <f>IF(B97="", G97, IF(G97="", LEFT(B97,45), IF(45-LEN(G97)-2&lt;=0, G97, LEFT(B97,45-LEN(G97)-2)&amp;", "&amp;G97)))</f>
        <v/>
      </c>
      <c r="J97" s="8">
        <f>IF(H97="MI","NO REALIZADO " &amp; B97 &amp; " EN " &amp; C97 &amp; IF(K97&lt;&gt;""," " &amp; K97,""),IF(H97="TT","SE REALIZA " &amp; B97 &amp; " EN " &amp; C97 &amp; IF(K97&lt;&gt;""," " &amp; K97,""),""))</f>
        <v/>
      </c>
      <c r="K97" s="4" t="n"/>
      <c r="L97" s="4" t="inlineStr">
        <is>
          <t>NF</t>
        </is>
      </c>
    </row>
    <row r="98">
      <c r="A98" s="4" t="inlineStr">
        <is>
          <t>03686137</t>
        </is>
      </c>
      <c r="B98" s="4" t="inlineStr">
        <is>
          <t>MEDICION DE NIVELES FREATICOS</t>
        </is>
      </c>
      <c r="C98" s="4" t="inlineStr"/>
      <c r="D98" s="4" t="inlineStr">
        <is>
          <t>2026-04-15</t>
        </is>
      </c>
      <c r="E98" s="4" t="inlineStr">
        <is>
          <t>2026-04-21</t>
        </is>
      </c>
      <c r="F98" s="4" t="inlineStr">
        <is>
          <t>SIGVA</t>
        </is>
      </c>
      <c r="G98" s="5">
        <f>IF(H98="TT","TRABAJO TERMINADO",IF(H98="MI","TRABAJO NO TERMINADO",""))</f>
        <v/>
      </c>
      <c r="H98" s="6" t="inlineStr"/>
      <c r="I98" s="7">
        <f>IF(B98="", G98, IF(G98="", LEFT(B98,45), IF(45-LEN(G98)-2&lt;=0, G98, LEFT(B98,45-LEN(G98)-2)&amp;", "&amp;G98)))</f>
        <v/>
      </c>
      <c r="J98" s="8">
        <f>IF(H98="MI","NO REALIZADO " &amp; B98 &amp; " EN " &amp; C98 &amp; IF(K98&lt;&gt;""," " &amp; K98,""),IF(H98="TT","SE REALIZA " &amp; B98 &amp; " EN " &amp; C98 &amp; IF(K98&lt;&gt;""," " &amp; K98,""),""))</f>
        <v/>
      </c>
      <c r="K98" s="4" t="n"/>
      <c r="L98" s="4" t="inlineStr">
        <is>
          <t>NF</t>
        </is>
      </c>
    </row>
  </sheetData>
  <autoFilter ref="A1:L1"/>
  <conditionalFormatting sqref="I2:I98">
    <cfRule type="expression" priority="1" dxfId="0">
      <formula>AND(I2&lt;&gt;"", LEN(I2)&gt;50)</formula>
    </cfRule>
  </conditionalFormatting>
  <dataValidations count="1">
    <dataValidation sqref="I1:I98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03676987</t>
        </is>
      </c>
      <c r="B2" s="4" t="inlineStr">
        <is>
          <t>HOUSEKEEPING</t>
        </is>
      </c>
      <c r="C2" s="4" t="inlineStr">
        <is>
          <t>OFICINAS  SI ENERGIA</t>
        </is>
      </c>
      <c r="D2" s="4" t="inlineStr">
        <is>
          <t>2026-04-16</t>
        </is>
      </c>
      <c r="E2" s="4" t="inlineStr">
        <is>
          <t>2026-04-22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HK</t>
        </is>
      </c>
    </row>
    <row r="3">
      <c r="A3" s="4" t="inlineStr">
        <is>
          <t>03676988</t>
        </is>
      </c>
      <c r="B3" s="4" t="inlineStr">
        <is>
          <t>MONITOREO DE BAÑOS Y CASINOS</t>
        </is>
      </c>
      <c r="C3" s="4" t="inlineStr">
        <is>
          <t>BCON UJINA</t>
        </is>
      </c>
      <c r="D3" s="4" t="inlineStr">
        <is>
          <t>2026-04-16</t>
        </is>
      </c>
      <c r="E3" s="4" t="inlineStr">
        <is>
          <t>2026-04-22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03676989</t>
        </is>
      </c>
      <c r="B4" s="4" t="inlineStr">
        <is>
          <t>MONITOREO DE BAÑOS Y CASINOS</t>
        </is>
      </c>
      <c r="C4" s="4" t="inlineStr">
        <is>
          <t>BGSO UJINA</t>
        </is>
      </c>
      <c r="D4" s="4" t="inlineStr">
        <is>
          <t>2026-04-16</t>
        </is>
      </c>
      <c r="E4" s="4" t="inlineStr">
        <is>
          <t>2026-04-22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AP</t>
        </is>
      </c>
    </row>
    <row r="5">
      <c r="A5" s="4" t="inlineStr">
        <is>
          <t>03676990</t>
        </is>
      </c>
      <c r="B5" s="4" t="inlineStr">
        <is>
          <t>MEDICIÓN NIVELES FREÁTICOS</t>
        </is>
      </c>
      <c r="C5" s="4" t="inlineStr">
        <is>
          <t>ZANJA NORTE 2 PUERTO COLLAHUASI</t>
        </is>
      </c>
      <c r="D5" s="4" t="inlineStr">
        <is>
          <t>2026-04-16</t>
        </is>
      </c>
      <c r="E5" s="4" t="inlineStr">
        <is>
          <t>2026-04-22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03676991</t>
        </is>
      </c>
      <c r="B6" s="4" t="inlineStr">
        <is>
          <t>MONITOREO AGUAS SERVIDAS</t>
        </is>
      </c>
      <c r="C6" s="4" t="inlineStr">
        <is>
          <t>PTAS PUERTO COLLAHUASI PUERTO COLLAHUASI</t>
        </is>
      </c>
      <c r="D6" s="4" t="inlineStr">
        <is>
          <t>2026-04-16</t>
        </is>
      </c>
      <c r="E6" s="4" t="inlineStr">
        <is>
          <t>2026-04-22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AR</t>
        </is>
      </c>
    </row>
    <row r="7">
      <c r="A7" s="4" t="inlineStr">
        <is>
          <t>03676992</t>
        </is>
      </c>
      <c r="B7" s="4" t="inlineStr">
        <is>
          <t>MEDICIÓN NIVELES FREÁTICOS</t>
        </is>
      </c>
      <c r="C7" s="4" t="inlineStr">
        <is>
          <t>ZANJA NORTE 1 PUERTO COLLAHUASI</t>
        </is>
      </c>
      <c r="D7" s="4" t="inlineStr">
        <is>
          <t>2026-04-16</t>
        </is>
      </c>
      <c r="E7" s="4" t="inlineStr">
        <is>
          <t>2026-04-22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03676993</t>
        </is>
      </c>
      <c r="B8" s="4" t="inlineStr">
        <is>
          <t>MUESTREO PUNTUAL DE RIL AS</t>
        </is>
      </c>
      <c r="C8" s="4" t="inlineStr">
        <is>
          <t>PTAS-C FALLA PABELLON</t>
        </is>
      </c>
      <c r="D8" s="4" t="inlineStr">
        <is>
          <t>2026-04-16</t>
        </is>
      </c>
      <c r="E8" s="4" t="inlineStr">
        <is>
          <t>2026-04-22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>
        <is>
          <t>TT</t>
        </is>
      </c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inlineStr">
        <is>
          <t>HoldingTime 20 hrs</t>
        </is>
      </c>
      <c r="L8" s="4" t="inlineStr">
        <is>
          <t>AR</t>
        </is>
      </c>
    </row>
    <row r="9">
      <c r="A9" s="4" t="inlineStr">
        <is>
          <t>03676994</t>
        </is>
      </c>
      <c r="B9" s="4" t="inlineStr">
        <is>
          <t>MONIT EN SALAS DE ESTACION Y TK</t>
        </is>
      </c>
      <c r="C9" s="4" t="inlineStr">
        <is>
          <t>TK-505 FALLA PABELLON</t>
        </is>
      </c>
      <c r="D9" s="4" t="inlineStr">
        <is>
          <t>2026-04-16</t>
        </is>
      </c>
      <c r="E9" s="4" t="inlineStr">
        <is>
          <t>2026-04-22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AP</t>
        </is>
      </c>
    </row>
    <row r="10">
      <c r="A10" s="4" t="inlineStr">
        <is>
          <t>03676995</t>
        </is>
      </c>
      <c r="B10" s="4" t="inlineStr">
        <is>
          <t>MEDICIÓN CAUDALES</t>
        </is>
      </c>
      <c r="C10" s="4" t="inlineStr">
        <is>
          <t>CSW-02 JACHUCOPOSA</t>
        </is>
      </c>
      <c r="D10" s="4" t="inlineStr">
        <is>
          <t>2026-04-16</t>
        </is>
      </c>
      <c r="E10" s="4" t="inlineStr">
        <is>
          <t>2026-04-22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CAUDAL</t>
        </is>
      </c>
    </row>
    <row r="11">
      <c r="A11" s="4" t="inlineStr">
        <is>
          <t>03676996</t>
        </is>
      </c>
      <c r="B11" s="4" t="inlineStr">
        <is>
          <t>MONITOREO DE BAÑOS Y CASINOS</t>
        </is>
      </c>
      <c r="C11" s="4" t="inlineStr">
        <is>
          <t>BPCR ROSARIO</t>
        </is>
      </c>
      <c r="D11" s="4" t="inlineStr">
        <is>
          <t>2026-04-16</t>
        </is>
      </c>
      <c r="E11" s="4" t="inlineStr">
        <is>
          <t>2026-04-22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AP</t>
        </is>
      </c>
    </row>
    <row r="12">
      <c r="A12" s="4" t="inlineStr">
        <is>
          <t>03676997</t>
        </is>
      </c>
      <c r="B12" s="4" t="inlineStr">
        <is>
          <t>MUESTREO M. AGUAS SUPERF (FOTOMETRO)</t>
        </is>
      </c>
      <c r="C12" s="4" t="inlineStr">
        <is>
          <t>QDH-1E PISC. HUINQUIN. (INT. RAJO ROSA )</t>
        </is>
      </c>
      <c r="D12" s="4" t="inlineStr">
        <is>
          <t>2026-04-16</t>
        </is>
      </c>
      <c r="E12" s="4" t="inlineStr">
        <is>
          <t>2026-04-22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>
        <is>
          <t>TT</t>
        </is>
      </c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FOTOMETRO</t>
        </is>
      </c>
    </row>
    <row r="13">
      <c r="A13" s="4" t="inlineStr">
        <is>
          <t>03676998</t>
        </is>
      </c>
      <c r="B13" s="4" t="inlineStr">
        <is>
          <t>MEDICIÓN CAUDALES</t>
        </is>
      </c>
      <c r="C13" s="4" t="inlineStr">
        <is>
          <t>QDH-2 HUINQUINTIPA</t>
        </is>
      </c>
      <c r="D13" s="4" t="inlineStr">
        <is>
          <t>2026-04-16</t>
        </is>
      </c>
      <c r="E13" s="4" t="inlineStr">
        <is>
          <t>2026-04-22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CAUDAL</t>
        </is>
      </c>
    </row>
    <row r="14">
      <c r="A14" s="4" t="inlineStr">
        <is>
          <t>03676999</t>
        </is>
      </c>
      <c r="B14" s="4" t="inlineStr">
        <is>
          <t>MM. AGUAS  SUPERF. (FOTOMETRO)</t>
        </is>
      </c>
      <c r="C14" s="4" t="inlineStr">
        <is>
          <t>QSD-1 PISC. HUINQUIN. (INT. RAJO ROSA )</t>
        </is>
      </c>
      <c r="D14" s="4" t="inlineStr">
        <is>
          <t>2026-04-16</t>
        </is>
      </c>
      <c r="E14" s="4" t="inlineStr">
        <is>
          <t>2026-04-22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inlineStr">
        <is>
          <t>SE SUSPENDE POR PRESENCIA DE RODADOS</t>
        </is>
      </c>
      <c r="L14" s="4" t="inlineStr">
        <is>
          <t>FOTOMETRO</t>
        </is>
      </c>
    </row>
    <row r="15">
      <c r="A15" s="4" t="inlineStr">
        <is>
          <t>03677000</t>
        </is>
      </c>
      <c r="B15" s="4" t="inlineStr">
        <is>
          <t>MEDICIÓN CAUDALES</t>
        </is>
      </c>
      <c r="C15" s="4" t="inlineStr">
        <is>
          <t>QSN-1 SAN NICOLAS</t>
        </is>
      </c>
      <c r="D15" s="4" t="inlineStr">
        <is>
          <t>2026-04-16</t>
        </is>
      </c>
      <c r="E15" s="4" t="inlineStr">
        <is>
          <t>2026-04-22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CAUDAL</t>
        </is>
      </c>
    </row>
    <row r="16">
      <c r="A16" s="4" t="inlineStr">
        <is>
          <t>03677001</t>
        </is>
      </c>
      <c r="B16" s="4" t="inlineStr">
        <is>
          <t>MEDICIÓN NIVELES FREÁTICOS</t>
        </is>
      </c>
      <c r="C16" s="4" t="inlineStr">
        <is>
          <t>SH-02B PUERTO COLLAHUASI</t>
        </is>
      </c>
      <c r="D16" s="4" t="inlineStr">
        <is>
          <t>2026-04-16</t>
        </is>
      </c>
      <c r="E16" s="4" t="inlineStr">
        <is>
          <t>2026-04-22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03677002</t>
        </is>
      </c>
      <c r="B17" s="4" t="inlineStr">
        <is>
          <t>MEDICIÓN NIVELES FREÁTICOS</t>
        </is>
      </c>
      <c r="C17" s="4" t="inlineStr">
        <is>
          <t>SH-06 PUERTO COLLAHUASI</t>
        </is>
      </c>
      <c r="D17" s="4" t="inlineStr">
        <is>
          <t>2026-04-16</t>
        </is>
      </c>
      <c r="E17" s="4" t="inlineStr">
        <is>
          <t>2026-04-22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03677003</t>
        </is>
      </c>
      <c r="B18" s="4" t="inlineStr">
        <is>
          <t>MEDICIÓN NIVELES FREÁTICOS</t>
        </is>
      </c>
      <c r="C18" s="4" t="inlineStr">
        <is>
          <t>SH-07 PUERTO COLLAHUASI</t>
        </is>
      </c>
      <c r="D18" s="4" t="inlineStr">
        <is>
          <t>2026-04-16</t>
        </is>
      </c>
      <c r="E18" s="4" t="inlineStr">
        <is>
          <t>2026-04-22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03677004</t>
        </is>
      </c>
      <c r="B19" s="4" t="inlineStr">
        <is>
          <t>MEDICIÓN NIVELES FREÁTICOS</t>
        </is>
      </c>
      <c r="C19" s="4" t="inlineStr">
        <is>
          <t>SH-08 PUERTO COLLAHUASI</t>
        </is>
      </c>
      <c r="D19" s="4" t="inlineStr">
        <is>
          <t>2026-04-16</t>
        </is>
      </c>
      <c r="E19" s="4" t="inlineStr">
        <is>
          <t>2026-04-22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03677005</t>
        </is>
      </c>
      <c r="B20" s="4" t="inlineStr">
        <is>
          <t>MEDICIÓN NIVELES FREÁTICOS</t>
        </is>
      </c>
      <c r="C20" s="4" t="inlineStr">
        <is>
          <t>SH-19 PUERTO COLLAHUASI</t>
        </is>
      </c>
      <c r="D20" s="4" t="inlineStr">
        <is>
          <t>2026-04-16</t>
        </is>
      </c>
      <c r="E20" s="4" t="inlineStr">
        <is>
          <t>2026-04-22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03677006</t>
        </is>
      </c>
      <c r="B21" s="4" t="inlineStr">
        <is>
          <t>MONITOREO DE BAÑOS Y CASINOS</t>
        </is>
      </c>
      <c r="C21" s="4" t="inlineStr">
        <is>
          <t>CPC FALLA PABELLON</t>
        </is>
      </c>
      <c r="D21" s="4" t="inlineStr">
        <is>
          <t>2026-04-16</t>
        </is>
      </c>
      <c r="E21" s="4" t="inlineStr">
        <is>
          <t>2026-04-22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AP</t>
        </is>
      </c>
    </row>
    <row r="22">
      <c r="A22" s="4" t="inlineStr">
        <is>
          <t>03677007</t>
        </is>
      </c>
      <c r="B22" s="4" t="inlineStr">
        <is>
          <t>MONITOREO DE BAÑOS Y CASINOS</t>
        </is>
      </c>
      <c r="C22" s="4" t="inlineStr">
        <is>
          <t>C-1000 UJINA</t>
        </is>
      </c>
      <c r="D22" s="4" t="inlineStr">
        <is>
          <t>2026-04-16</t>
        </is>
      </c>
      <c r="E22" s="4" t="inlineStr">
        <is>
          <t>2026-04-22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AP</t>
        </is>
      </c>
    </row>
    <row r="23">
      <c r="A23" s="4" t="inlineStr">
        <is>
          <t>03677008</t>
        </is>
      </c>
      <c r="B23" s="4" t="inlineStr">
        <is>
          <t>MONITOREO DE BAÑOS Y CASINOS</t>
        </is>
      </c>
      <c r="C23" s="4" t="inlineStr">
        <is>
          <t>MONITOREO DE BAÑOS Y CASINOS BCC</t>
        </is>
      </c>
      <c r="D23" s="4" t="inlineStr">
        <is>
          <t>2026-04-16</t>
        </is>
      </c>
      <c r="E23" s="4" t="inlineStr">
        <is>
          <t>2026-04-22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AP</t>
        </is>
      </c>
    </row>
    <row r="24">
      <c r="A24" s="4" t="inlineStr">
        <is>
          <t>03677009</t>
        </is>
      </c>
      <c r="B24" s="4" t="inlineStr">
        <is>
          <t>MONITOREO DE BAÑOS Y CASINOS</t>
        </is>
      </c>
      <c r="C24" s="4" t="inlineStr">
        <is>
          <t>C-460 ROSARIO</t>
        </is>
      </c>
      <c r="D24" s="4" t="inlineStr">
        <is>
          <t>2026-04-16</t>
        </is>
      </c>
      <c r="E24" s="4" t="inlineStr">
        <is>
          <t>2026-04-22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AP</t>
        </is>
      </c>
    </row>
    <row r="25">
      <c r="A25" s="4" t="inlineStr">
        <is>
          <t>03677010</t>
        </is>
      </c>
      <c r="B25" s="4" t="inlineStr">
        <is>
          <t>MONITOREO DE BAÑOS Y CASINOS</t>
        </is>
      </c>
      <c r="C25" s="4" t="inlineStr">
        <is>
          <t>CCD</t>
        </is>
      </c>
      <c r="D25" s="4" t="inlineStr">
        <is>
          <t>2026-04-16</t>
        </is>
      </c>
      <c r="E25" s="4" t="inlineStr">
        <is>
          <t>2026-04-22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AP</t>
        </is>
      </c>
    </row>
    <row r="26">
      <c r="A26" s="4" t="inlineStr">
        <is>
          <t>03677011</t>
        </is>
      </c>
      <c r="B26" s="4" t="inlineStr">
        <is>
          <t>MONIT EN SALAS DE ESTACION Y TK</t>
        </is>
      </c>
      <c r="C26" s="4" t="inlineStr">
        <is>
          <t>TK-1004 ROSARIO</t>
        </is>
      </c>
      <c r="D26" s="4" t="inlineStr">
        <is>
          <t>2026-04-16</t>
        </is>
      </c>
      <c r="E26" s="4" t="inlineStr">
        <is>
          <t>2026-04-22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AP</t>
        </is>
      </c>
    </row>
    <row r="27">
      <c r="A27" s="4" t="inlineStr">
        <is>
          <t>03677012</t>
        </is>
      </c>
      <c r="B27" s="4" t="inlineStr">
        <is>
          <t>MONIT EN SALAS DE ESTACION Y TK</t>
        </is>
      </c>
      <c r="C27" s="4" t="inlineStr">
        <is>
          <t>TK-517 UJINA</t>
        </is>
      </c>
      <c r="D27" s="4" t="inlineStr">
        <is>
          <t>2026-04-16</t>
        </is>
      </c>
      <c r="E27" s="4" t="inlineStr">
        <is>
          <t>2026-04-22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AP</t>
        </is>
      </c>
    </row>
    <row r="28">
      <c r="A28" s="4" t="inlineStr">
        <is>
          <t>03677013</t>
        </is>
      </c>
      <c r="B28" s="4" t="inlineStr">
        <is>
          <t>MUESTREO PUNTUAL DE RIL-AS</t>
        </is>
      </c>
      <c r="C28" s="4" t="inlineStr">
        <is>
          <t>PTAS-M ROSARIO</t>
        </is>
      </c>
      <c r="D28" s="4" t="inlineStr">
        <is>
          <t>2026-04-16</t>
        </is>
      </c>
      <c r="E28" s="4" t="inlineStr">
        <is>
          <t>2026-04-22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>
        <is>
          <t>TT</t>
        </is>
      </c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inlineStr">
        <is>
          <t>HoldingTime 20 hrs</t>
        </is>
      </c>
      <c r="L28" s="4" t="inlineStr">
        <is>
          <t>AR</t>
        </is>
      </c>
    </row>
    <row r="29">
      <c r="A29" s="4" t="inlineStr">
        <is>
          <t>03677014</t>
        </is>
      </c>
      <c r="B29" s="4" t="inlineStr">
        <is>
          <t>MONITOREO DE BAÑOS Y CASINOS</t>
        </is>
      </c>
      <c r="C29" s="4" t="inlineStr">
        <is>
          <t>BOR ROSARIO</t>
        </is>
      </c>
      <c r="D29" s="4" t="inlineStr">
        <is>
          <t>2026-04-16</t>
        </is>
      </c>
      <c r="E29" s="4" t="inlineStr">
        <is>
          <t>2026-04-22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AP</t>
        </is>
      </c>
    </row>
    <row r="30">
      <c r="A30" s="4" t="inlineStr">
        <is>
          <t>03677015</t>
        </is>
      </c>
      <c r="B30" s="4" t="inlineStr">
        <is>
          <t>MUESTREO M. AGUAS SUPERF (FOTOMETRO)</t>
        </is>
      </c>
      <c r="C30" s="4" t="inlineStr">
        <is>
          <t>PISCINA  DIQUE HUINQUINTIPA</t>
        </is>
      </c>
      <c r="D30" s="4" t="inlineStr">
        <is>
          <t>2026-04-16</t>
        </is>
      </c>
      <c r="E30" s="4" t="inlineStr">
        <is>
          <t>2026-04-22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>
        <is>
          <t>TT</t>
        </is>
      </c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FOTOMETRO</t>
        </is>
      </c>
    </row>
    <row r="31">
      <c r="A31" s="4" t="inlineStr">
        <is>
          <t>03679194</t>
        </is>
      </c>
      <c r="B31" s="4" t="inlineStr">
        <is>
          <t>OP DE ESTACIONES CONTINUAS</t>
        </is>
      </c>
      <c r="C31" s="4" t="inlineStr">
        <is>
          <t>Ujina</t>
        </is>
      </c>
      <c r="D31" s="4" t="inlineStr">
        <is>
          <t>2026-04-16</t>
        </is>
      </c>
      <c r="E31" s="4" t="inlineStr">
        <is>
          <t>2026-04-22</t>
        </is>
      </c>
      <c r="F31" s="4" t="inlineStr">
        <is>
          <t>SIGAIR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/>
    </row>
    <row r="32">
      <c r="A32" s="4" t="inlineStr">
        <is>
          <t>03679195</t>
        </is>
      </c>
      <c r="B32" s="4" t="inlineStr">
        <is>
          <t>OPERACIÓN DE ESTACIONES DISCRETAS</t>
        </is>
      </c>
      <c r="C32" s="4" t="inlineStr">
        <is>
          <t>Ujina</t>
        </is>
      </c>
      <c r="D32" s="4" t="inlineStr">
        <is>
          <t>2026-04-16</t>
        </is>
      </c>
      <c r="E32" s="4" t="inlineStr">
        <is>
          <t>2026-04-22</t>
        </is>
      </c>
      <c r="F32" s="4" t="inlineStr">
        <is>
          <t>SIGAIR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/>
    </row>
    <row r="33">
      <c r="A33" s="4" t="inlineStr">
        <is>
          <t>03679196</t>
        </is>
      </c>
      <c r="B33" s="4" t="inlineStr">
        <is>
          <t>OP DE ESTACIONES CONTINUAS</t>
        </is>
      </c>
      <c r="C33" s="4" t="inlineStr">
        <is>
          <t>Coposa Continuo</t>
        </is>
      </c>
      <c r="D33" s="4" t="inlineStr">
        <is>
          <t>2026-04-16</t>
        </is>
      </c>
      <c r="E33" s="4" t="inlineStr">
        <is>
          <t>2026-04-22</t>
        </is>
      </c>
      <c r="F33" s="4" t="inlineStr">
        <is>
          <t>SIGAIR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/>
    </row>
    <row r="34">
      <c r="A34" s="4" t="inlineStr">
        <is>
          <t>03679197</t>
        </is>
      </c>
      <c r="B34" s="4" t="inlineStr">
        <is>
          <t>OPERACIÓN DE ESTACIONES DISCRETAS</t>
        </is>
      </c>
      <c r="C34" s="4" t="inlineStr">
        <is>
          <t>Coposa EMRP Discreto</t>
        </is>
      </c>
      <c r="D34" s="4" t="inlineStr">
        <is>
          <t>2026-04-16</t>
        </is>
      </c>
      <c r="E34" s="4" t="inlineStr">
        <is>
          <t>2026-04-22</t>
        </is>
      </c>
      <c r="F34" s="4" t="inlineStr">
        <is>
          <t>SIGAIR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/>
    </row>
    <row r="35">
      <c r="A35" s="4" t="inlineStr">
        <is>
          <t>03679236</t>
        </is>
      </c>
      <c r="B35" s="4" t="inlineStr">
        <is>
          <t>OP DE ESTACIONES CONTINUAS</t>
        </is>
      </c>
      <c r="C35" s="4" t="inlineStr">
        <is>
          <t>Casino 460</t>
        </is>
      </c>
      <c r="D35" s="4" t="inlineStr">
        <is>
          <t>2026-04-16</t>
        </is>
      </c>
      <c r="E35" s="4" t="inlineStr">
        <is>
          <t>2026-04-22</t>
        </is>
      </c>
      <c r="F35" s="4" t="inlineStr">
        <is>
          <t>SIGAIR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/>
    </row>
    <row r="36">
      <c r="A36" s="4" t="inlineStr">
        <is>
          <t>03679237</t>
        </is>
      </c>
      <c r="B36" s="4" t="inlineStr">
        <is>
          <t>TRAS PERS. Y CAM. TURNO CONTRAT</t>
        </is>
      </c>
      <c r="C36" s="4" t="inlineStr">
        <is>
          <t>IQUIQUE - CMDIC Y VICE VERSA</t>
        </is>
      </c>
      <c r="D36" s="4" t="inlineStr">
        <is>
          <t>2026-04-16</t>
        </is>
      </c>
      <c r="E36" s="4" t="inlineStr">
        <is>
          <t>2026-04-22</t>
        </is>
      </c>
      <c r="F36" s="4" t="inlineStr">
        <is>
          <t>SIGADM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/>
    </row>
    <row r="37">
      <c r="A37" s="4" t="inlineStr">
        <is>
          <t>03679238</t>
        </is>
      </c>
      <c r="B37" s="4" t="inlineStr">
        <is>
          <t>TRAS MUESTRAS Y MATERIAL MUEST</t>
        </is>
      </c>
      <c r="C37" s="4" t="inlineStr">
        <is>
          <t>IQUIQUE - CMDIC Y VICE VERSA</t>
        </is>
      </c>
      <c r="D37" s="4" t="inlineStr">
        <is>
          <t>2026-04-16</t>
        </is>
      </c>
      <c r="E37" s="4" t="inlineStr">
        <is>
          <t>2026-04-22</t>
        </is>
      </c>
      <c r="F37" s="4" t="inlineStr">
        <is>
          <t>SIGADM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/>
    </row>
    <row r="38">
      <c r="A38" s="4" t="inlineStr">
        <is>
          <t>03687291</t>
        </is>
      </c>
      <c r="B38" s="4" t="inlineStr">
        <is>
          <t>GESTION DE RESIDUOS</t>
        </is>
      </c>
      <c r="C38" s="4" t="inlineStr">
        <is>
          <t>BODEGA SIGA-B02</t>
        </is>
      </c>
      <c r="D38" s="4" t="inlineStr">
        <is>
          <t>2026-04-16</t>
        </is>
      </c>
      <c r="E38" s="4" t="inlineStr">
        <is>
          <t>2026-04-22</t>
        </is>
      </c>
      <c r="F38" s="4" t="inlineStr">
        <is>
          <t>SIGAIR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/>
    </row>
    <row r="39">
      <c r="A39" s="4" t="inlineStr">
        <is>
          <t>03687292</t>
        </is>
      </c>
      <c r="B39" s="4" t="inlineStr">
        <is>
          <t>HOUSEKEEPING</t>
        </is>
      </c>
      <c r="C39" s="4" t="inlineStr"/>
      <c r="D39" s="4" t="inlineStr">
        <is>
          <t>2026-04-16</t>
        </is>
      </c>
      <c r="E39" s="4" t="inlineStr">
        <is>
          <t>2026-04-22</t>
        </is>
      </c>
      <c r="F39" s="4" t="inlineStr">
        <is>
          <t>SIGADM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/>
    </row>
    <row r="40">
      <c r="A40" s="4" t="inlineStr">
        <is>
          <t>03687293</t>
        </is>
      </c>
      <c r="B40" s="4" t="inlineStr">
        <is>
          <t>MM. AGUAS  SUPERF. (FOTOMETRO)</t>
        </is>
      </c>
      <c r="C40" s="4" t="inlineStr">
        <is>
          <t>PISCINA DIQUE SAN DANIEL</t>
        </is>
      </c>
      <c r="D40" s="4" t="inlineStr">
        <is>
          <t>2026-04-16</t>
        </is>
      </c>
      <c r="E40" s="4" t="inlineStr">
        <is>
          <t>2026-04-22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>
        <is>
          <t>TT</t>
        </is>
      </c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FOTOMETRO</t>
        </is>
      </c>
    </row>
  </sheetData>
  <autoFilter ref="A1:L1"/>
  <conditionalFormatting sqref="I2:I40">
    <cfRule type="expression" priority="1" dxfId="0">
      <formula>AND(I2&lt;&gt;"", LEN(I2)&gt;50)</formula>
    </cfRule>
  </conditionalFormatting>
  <dataValidations count="1">
    <dataValidation sqref="I1:I40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16" customWidth="1" min="4" max="4"/>
    <col width="20" customWidth="1" min="5" max="5"/>
    <col width="14" customWidth="1" min="6" max="6"/>
    <col width="14" customWidth="1" min="7" max="7"/>
    <col width="35" customWidth="1" min="8" max="8"/>
    <col width="60" customWidth="1" min="9" max="9"/>
    <col width="28" customWidth="1" min="10" max="10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CODIGO DE CIERRE</t>
        </is>
      </c>
      <c r="H1" s="2" t="inlineStr">
        <is>
          <t>Descripción, obs</t>
        </is>
      </c>
      <c r="I1" s="1" t="inlineStr">
        <is>
          <t>Descripción Descripción de tarea programada 2</t>
        </is>
      </c>
      <c r="J1" s="3" t="inlineStr">
        <is>
          <t>Comentario adiciona</t>
        </is>
      </c>
    </row>
    <row r="2">
      <c r="A2" s="9" t="inlineStr">
        <is>
          <t>03671634</t>
        </is>
      </c>
      <c r="B2" s="9" t="inlineStr">
        <is>
          <t>REPORTE BBDD MP</t>
        </is>
      </c>
      <c r="C2" s="9" t="inlineStr"/>
      <c r="D2" s="9" t="inlineStr">
        <is>
          <t>2026-04-15</t>
        </is>
      </c>
      <c r="E2" s="9" t="inlineStr">
        <is>
          <t>2026-04-16</t>
        </is>
      </c>
      <c r="F2" s="9" t="inlineStr">
        <is>
          <t>SIGRPMO</t>
        </is>
      </c>
      <c r="G2" s="5" t="inlineStr"/>
      <c r="H2" s="10">
        <f>IF(G2="TT", B2 &amp; " EMITIDO", IF(G2="MI", B2 &amp; " NO EMITIDO", ""))</f>
        <v/>
      </c>
      <c r="I2" s="7">
        <f>IF(G2="TT", B2 &amp;" EMITIDO dentro de plazo, según planificación ", IF(G2="MI", B2 &amp; "NO SE RECIBE REPORTE EN LA FECHA SOLICITADA", ""))</f>
        <v/>
      </c>
      <c r="J2" s="5" t="n"/>
    </row>
    <row r="3">
      <c r="A3" s="9" t="inlineStr">
        <is>
          <t>03671635</t>
        </is>
      </c>
      <c r="B3" s="9" t="inlineStr">
        <is>
          <t>REPORTE CALIDAD CWS-02 Y MITIGACIÓN JACH</t>
        </is>
      </c>
      <c r="C3" s="9" t="inlineStr"/>
      <c r="D3" s="9" t="inlineStr">
        <is>
          <t>2026-04-15</t>
        </is>
      </c>
      <c r="E3" s="9" t="inlineStr">
        <is>
          <t>2026-04-16</t>
        </is>
      </c>
      <c r="F3" s="9" t="inlineStr">
        <is>
          <t>SIGRPMO</t>
        </is>
      </c>
      <c r="G3" s="5" t="inlineStr"/>
      <c r="H3" s="10">
        <f>IF(G3="TT", B3 &amp; " EMITIDO", IF(G3="MI", B3 &amp; " NO EMITIDO", ""))</f>
        <v/>
      </c>
      <c r="I3" s="7">
        <f>IF(G3="TT", B3 &amp;" EMITIDO dentro de plazo, según planificación ", IF(G3="MI", B3 &amp; "NO SE RECIBE REPORTE EN LA FECHA SOLICITADA", ""))</f>
        <v/>
      </c>
      <c r="J3" s="5" t="n"/>
    </row>
    <row r="4">
      <c r="A4" s="9" t="inlineStr">
        <is>
          <t>03671636</t>
        </is>
      </c>
      <c r="B4" s="9" t="inlineStr">
        <is>
          <t>REPORTE PAT FRONTERA (Dashboard nivel y</t>
        </is>
      </c>
      <c r="C4" s="9" t="inlineStr">
        <is>
          <t>REPORTE PAT FRONTERA (Dashboard nivel y cauda</t>
        </is>
      </c>
      <c r="D4" s="9" t="inlineStr">
        <is>
          <t>2026-04-15</t>
        </is>
      </c>
      <c r="E4" s="9" t="inlineStr">
        <is>
          <t>2026-04-16</t>
        </is>
      </c>
      <c r="F4" s="9" t="inlineStr">
        <is>
          <t>SIGRPMO</t>
        </is>
      </c>
      <c r="G4" s="5" t="inlineStr"/>
      <c r="H4" s="10">
        <f>IF(G4="TT", B4 &amp; " EMITIDO", IF(G4="MI", B4 &amp; " NO EMITIDO", ""))</f>
        <v/>
      </c>
      <c r="I4" s="7">
        <f>IF(G4="TT", B4 &amp;" EMITIDO dentro de plazo, según planificación ", IF(G4="MI", B4 &amp; "NO SE RECIBE REPORTE EN LA FECHA SOLICITADA", ""))</f>
        <v/>
      </c>
      <c r="J4" s="5" t="n"/>
    </row>
    <row r="5">
      <c r="A5" s="9" t="inlineStr">
        <is>
          <t>03671637</t>
        </is>
      </c>
      <c r="B5" s="9" t="inlineStr">
        <is>
          <t>REPORTE BBDD QDH-02</t>
        </is>
      </c>
      <c r="C5" s="9" t="inlineStr"/>
      <c r="D5" s="9" t="inlineStr">
        <is>
          <t>2026-04-15</t>
        </is>
      </c>
      <c r="E5" s="9" t="inlineStr">
        <is>
          <t>2026-04-16</t>
        </is>
      </c>
      <c r="F5" s="9" t="inlineStr">
        <is>
          <t>SIGRPMO</t>
        </is>
      </c>
      <c r="G5" s="5" t="inlineStr"/>
      <c r="H5" s="10">
        <f>IF(G5="TT", B5 &amp; " EMITIDO", IF(G5="MI", B5 &amp; " NO EMITIDO", ""))</f>
        <v/>
      </c>
      <c r="I5" s="7">
        <f>IF(G5="TT", B5 &amp;" EMITIDO dentro de plazo, según planificación ", IF(G5="MI", B5 &amp; "NO SE RECIBE REPORTE EN LA FECHA SOLICITADA", ""))</f>
        <v/>
      </c>
      <c r="J5" s="5" t="n"/>
    </row>
    <row r="6">
      <c r="A6" s="9" t="inlineStr">
        <is>
          <t>03671638</t>
        </is>
      </c>
      <c r="B6" s="9" t="inlineStr">
        <is>
          <t>REPORTE CALIDAD DE AIRE (TODAS ESTACIONE</t>
        </is>
      </c>
      <c r="C6" s="9" t="inlineStr"/>
      <c r="D6" s="9" t="inlineStr">
        <is>
          <t>2026-04-15</t>
        </is>
      </c>
      <c r="E6" s="9" t="inlineStr">
        <is>
          <t>2026-04-16</t>
        </is>
      </c>
      <c r="F6" s="9" t="inlineStr">
        <is>
          <t>SIGRPMO</t>
        </is>
      </c>
      <c r="G6" s="5" t="inlineStr"/>
      <c r="H6" s="10">
        <f>IF(G6="TT", B6 &amp; " EMITIDO", IF(G6="MI", B6 &amp; " NO EMITIDO", ""))</f>
        <v/>
      </c>
      <c r="I6" s="7">
        <f>IF(G6="TT", B6 &amp;" EMITIDO dentro de plazo, según planificación ", IF(G6="MI", B6 &amp; "NO SE RECIBE REPORTE EN LA FECHA SOLICITADA", ""))</f>
        <v/>
      </c>
      <c r="J6" s="5" t="n"/>
    </row>
    <row r="7">
      <c r="A7" s="9" t="inlineStr">
        <is>
          <t>03671639</t>
        </is>
      </c>
      <c r="B7" s="9" t="inlineStr">
        <is>
          <t>PPT RED CALIDAD DE AIRE</t>
        </is>
      </c>
      <c r="C7" s="9" t="inlineStr"/>
      <c r="D7" s="9" t="inlineStr">
        <is>
          <t>2026-04-15</t>
        </is>
      </c>
      <c r="E7" s="9" t="inlineStr">
        <is>
          <t>2026-04-16</t>
        </is>
      </c>
      <c r="F7" s="9" t="inlineStr">
        <is>
          <t>SIGRPMO</t>
        </is>
      </c>
      <c r="G7" s="5" t="inlineStr"/>
      <c r="H7" s="10">
        <f>IF(G7="TT", B7 &amp; " EMITIDO", IF(G7="MI", B7 &amp; " NO EMITIDO", ""))</f>
        <v/>
      </c>
      <c r="I7" s="7">
        <f>IF(G7="TT", B7 &amp;" EMITIDO dentro de plazo, según planificación ", IF(G7="MI", B7 &amp; "NO SE RECIBE REPORTE EN LA FECHA SOLICITADA", ""))</f>
        <v/>
      </c>
      <c r="J7" s="5" t="n"/>
    </row>
    <row r="8">
      <c r="A8" s="9" t="inlineStr">
        <is>
          <t>03679277</t>
        </is>
      </c>
      <c r="B8" s="9" t="inlineStr">
        <is>
          <t>REPORTE INFORMES PDR</t>
        </is>
      </c>
      <c r="C8" s="9" t="inlineStr"/>
      <c r="D8" s="9" t="inlineStr">
        <is>
          <t>2026-04-16</t>
        </is>
      </c>
      <c r="E8" s="9" t="inlineStr">
        <is>
          <t>2026-04-17</t>
        </is>
      </c>
      <c r="F8" s="9" t="inlineStr">
        <is>
          <t>SIGRPMO</t>
        </is>
      </c>
      <c r="G8" s="5" t="inlineStr"/>
      <c r="H8" s="10">
        <f>IF(G8="TT", B8 &amp; " EMITIDO", IF(G8="MI", B8 &amp; " NO EMITIDO", ""))</f>
        <v/>
      </c>
      <c r="I8" s="7">
        <f>IF(G8="TT", B8 &amp;" EMITIDO dentro de plazo, según planificación ", IF(G8="MI", B8 &amp; "NO SE RECIBE REPORTE EN LA FECHA SOLICITADA", ""))</f>
        <v/>
      </c>
      <c r="J8" s="5" t="n"/>
    </row>
    <row r="9">
      <c r="A9" s="9" t="inlineStr">
        <is>
          <t>03679278</t>
        </is>
      </c>
      <c r="B9" s="9" t="inlineStr">
        <is>
          <t>REPORTE PLANILLA NIVELES</t>
        </is>
      </c>
      <c r="C9" s="9" t="inlineStr"/>
      <c r="D9" s="9" t="inlineStr">
        <is>
          <t>2026-04-16</t>
        </is>
      </c>
      <c r="E9" s="9" t="inlineStr">
        <is>
          <t>2026-04-17</t>
        </is>
      </c>
      <c r="F9" s="9" t="inlineStr">
        <is>
          <t>SIGRPMO</t>
        </is>
      </c>
      <c r="G9" s="5" t="inlineStr"/>
      <c r="H9" s="10">
        <f>IF(G9="TT", B9 &amp; " EMITIDO", IF(G9="MI", B9 &amp; " NO EMITIDO", ""))</f>
        <v/>
      </c>
      <c r="I9" s="7">
        <f>IF(G9="TT", B9 &amp;" EMITIDO dentro de plazo, según planificación ", IF(G9="MI", B9 &amp; "NO SE RECIBE REPORTE EN LA FECHA SOLICITADA", ""))</f>
        <v/>
      </c>
      <c r="J9" s="5" t="n"/>
    </row>
    <row r="10">
      <c r="A10" s="9" t="inlineStr">
        <is>
          <t>03679279</t>
        </is>
      </c>
      <c r="B10" s="9" t="inlineStr">
        <is>
          <t>REPORTE PLANILLA CAUDALES</t>
        </is>
      </c>
      <c r="C10" s="9" t="inlineStr"/>
      <c r="D10" s="9" t="inlineStr">
        <is>
          <t>2026-04-16</t>
        </is>
      </c>
      <c r="E10" s="9" t="inlineStr">
        <is>
          <t>2026-04-17</t>
        </is>
      </c>
      <c r="F10" s="9" t="inlineStr">
        <is>
          <t>SIGRPMO</t>
        </is>
      </c>
      <c r="G10" s="5" t="inlineStr"/>
      <c r="H10" s="10">
        <f>IF(G10="TT", B10 &amp; " EMITIDO", IF(G10="MI", B10 &amp; " NO EMITIDO", ""))</f>
        <v/>
      </c>
      <c r="I10" s="7">
        <f>IF(G10="TT", B10 &amp;" EMITIDO dentro de plazo, según planificación ", IF(G10="MI", B10 &amp; "NO SE RECIBE REPORTE EN LA FECHA SOLICITADA", ""))</f>
        <v/>
      </c>
      <c r="J10" s="5" t="n"/>
    </row>
    <row r="11">
      <c r="A11" s="9" t="inlineStr">
        <is>
          <t>03679280</t>
        </is>
      </c>
      <c r="B11" s="9" t="inlineStr">
        <is>
          <t>INFORME NARICES ELECTRÓNICAS</t>
        </is>
      </c>
      <c r="C11" s="9" t="inlineStr"/>
      <c r="D11" s="9" t="inlineStr">
        <is>
          <t>2026-04-17</t>
        </is>
      </c>
      <c r="E11" s="9" t="inlineStr">
        <is>
          <t>2026-04-18</t>
        </is>
      </c>
      <c r="F11" s="9" t="inlineStr">
        <is>
          <t>SIGRPMO</t>
        </is>
      </c>
      <c r="G11" s="5" t="inlineStr"/>
      <c r="H11" s="10">
        <f>IF(G11="TT", B11 &amp; " EMITIDO", IF(G11="MI", B11 &amp; " NO EMITIDO", ""))</f>
        <v/>
      </c>
      <c r="I11" s="7">
        <f>IF(G11="TT", B11 &amp;" EMITIDO dentro de plazo, según planificación ", IF(G11="MI", B11 &amp; "NO SE RECIBE REPORTE EN LA FECHA SOLICITADA", ""))</f>
        <v/>
      </c>
      <c r="J11" s="5" t="n"/>
    </row>
    <row r="12">
      <c r="A12" s="9" t="inlineStr">
        <is>
          <t>03679281</t>
        </is>
      </c>
      <c r="B12" s="9" t="inlineStr">
        <is>
          <t>REPORTE PLANILLA NIVELES MENSUAL (PMA)</t>
        </is>
      </c>
      <c r="C12" s="9" t="inlineStr"/>
      <c r="D12" s="9" t="inlineStr">
        <is>
          <t>2026-04-20</t>
        </is>
      </c>
      <c r="E12" s="9" t="inlineStr">
        <is>
          <t>2026-04-21</t>
        </is>
      </c>
      <c r="F12" s="9" t="inlineStr">
        <is>
          <t>SIGRPMO</t>
        </is>
      </c>
      <c r="G12" s="5" t="inlineStr"/>
      <c r="H12" s="10">
        <f>IF(G12="TT", B12 &amp; " EMITIDO", IF(G12="MI", B12 &amp; " NO EMITIDO", ""))</f>
        <v/>
      </c>
      <c r="I12" s="7">
        <f>IF(G12="TT", B12 &amp;" EMITIDO dentro de plazo, según planificación ", IF(G12="MI", B12 &amp; "NO SE RECIBE REPORTE EN LA FECHA SOLICITADA", ""))</f>
        <v/>
      </c>
      <c r="J12" s="5" t="n"/>
    </row>
    <row r="13">
      <c r="A13" s="9" t="inlineStr">
        <is>
          <t>03679282</t>
        </is>
      </c>
      <c r="B13" s="9" t="inlineStr">
        <is>
          <t>REPORTE PLANILLA Q HORARIO (PMA)</t>
        </is>
      </c>
      <c r="C13" s="9" t="inlineStr"/>
      <c r="D13" s="9" t="inlineStr">
        <is>
          <t>2026-04-20</t>
        </is>
      </c>
      <c r="E13" s="9" t="inlineStr">
        <is>
          <t>2026-04-21</t>
        </is>
      </c>
      <c r="F13" s="9" t="inlineStr">
        <is>
          <t>SIGRPMO</t>
        </is>
      </c>
      <c r="G13" s="5" t="inlineStr"/>
      <c r="H13" s="10">
        <f>IF(G13="TT", B13 &amp; " EMITIDO", IF(G13="MI", B13 &amp; " NO EMITIDO", ""))</f>
        <v/>
      </c>
      <c r="I13" s="7">
        <f>IF(G13="TT", B13 &amp;" EMITIDO dentro de plazo, según planificación ", IF(G13="MI", B13 &amp; "NO SE RECIBE REPORTE EN LA FECHA SOLICITADA", ""))</f>
        <v/>
      </c>
      <c r="J13" s="5" t="n"/>
    </row>
    <row r="14">
      <c r="A14" s="9" t="inlineStr">
        <is>
          <t>03679283</t>
        </is>
      </c>
      <c r="B14" s="9" t="inlineStr">
        <is>
          <t>REPORTE PLANILLA Q DIARIO (PMA)</t>
        </is>
      </c>
      <c r="C14" s="9" t="inlineStr"/>
      <c r="D14" s="9" t="inlineStr">
        <is>
          <t>2026-04-20</t>
        </is>
      </c>
      <c r="E14" s="9" t="inlineStr">
        <is>
          <t>2026-04-21</t>
        </is>
      </c>
      <c r="F14" s="9" t="inlineStr">
        <is>
          <t>SIGRPMO</t>
        </is>
      </c>
      <c r="G14" s="5" t="inlineStr"/>
      <c r="H14" s="10">
        <f>IF(G14="TT", B14 &amp; " EMITIDO", IF(G14="MI", B14 &amp; " NO EMITIDO", ""))</f>
        <v/>
      </c>
      <c r="I14" s="7">
        <f>IF(G14="TT", B14 &amp;" EMITIDO dentro de plazo, según planificación ", IF(G14="MI", B14 &amp; "NO SE RECIBE REPORTE EN LA FECHA SOLICITADA", ""))</f>
        <v/>
      </c>
      <c r="J14" s="5" t="n"/>
    </row>
    <row r="15">
      <c r="A15" s="9" t="inlineStr">
        <is>
          <t>03679284</t>
        </is>
      </c>
      <c r="B15" s="9" t="inlineStr">
        <is>
          <t>REPORTE PLANILLA Q MENSUAL (PMA)</t>
        </is>
      </c>
      <c r="C15" s="9" t="inlineStr"/>
      <c r="D15" s="9" t="inlineStr">
        <is>
          <t>2026-04-20</t>
        </is>
      </c>
      <c r="E15" s="9" t="inlineStr">
        <is>
          <t>2026-04-21</t>
        </is>
      </c>
      <c r="F15" s="9" t="inlineStr">
        <is>
          <t>SIGRPMO</t>
        </is>
      </c>
      <c r="G15" s="5" t="inlineStr"/>
      <c r="H15" s="10">
        <f>IF(G15="TT", B15 &amp; " EMITIDO", IF(G15="MI", B15 &amp; " NO EMITIDO", ""))</f>
        <v/>
      </c>
      <c r="I15" s="7">
        <f>IF(G15="TT", B15 &amp;" EMITIDO dentro de plazo, según planificación ", IF(G15="MI", B15 &amp; "NO SE RECIBE REPORTE EN LA FECHA SOLICITADA", ""))</f>
        <v/>
      </c>
      <c r="J15" s="5" t="n"/>
    </row>
    <row r="16">
      <c r="A16" s="9" t="inlineStr">
        <is>
          <t>03679285</t>
        </is>
      </c>
      <c r="B16" s="9" t="inlineStr">
        <is>
          <t>REPORTE RES 31</t>
        </is>
      </c>
      <c r="C16" s="9" t="inlineStr"/>
      <c r="D16" s="9" t="inlineStr">
        <is>
          <t>2026-04-20</t>
        </is>
      </c>
      <c r="E16" s="9" t="inlineStr">
        <is>
          <t>2026-04-21</t>
        </is>
      </c>
      <c r="F16" s="9" t="inlineStr">
        <is>
          <t>SIGRPMO</t>
        </is>
      </c>
      <c r="G16" s="5" t="inlineStr"/>
      <c r="H16" s="10">
        <f>IF(G16="TT", B16 &amp; " EMITIDO", IF(G16="MI", B16 &amp; " NO EMITIDO", ""))</f>
        <v/>
      </c>
      <c r="I16" s="7">
        <f>IF(G16="TT", B16 &amp;" EMITIDO dentro de plazo, según planificación ", IF(G16="MI", B16 &amp; "NO SE RECIBE REPORTE EN LA FECHA SOLICITADA", ""))</f>
        <v/>
      </c>
      <c r="J16" s="5" t="n"/>
    </row>
    <row r="17">
      <c r="A17" s="9" t="inlineStr">
        <is>
          <t>03679286</t>
        </is>
      </c>
      <c r="B17" s="9" t="inlineStr">
        <is>
          <t>REPORTE POZOS  MICHINCHA</t>
        </is>
      </c>
      <c r="C17" s="9" t="inlineStr">
        <is>
          <t>REPORTE POZOS  MICHINCHA</t>
        </is>
      </c>
      <c r="D17" s="9" t="inlineStr">
        <is>
          <t>2026-04-20</t>
        </is>
      </c>
      <c r="E17" s="9" t="inlineStr">
        <is>
          <t>2026-04-21</t>
        </is>
      </c>
      <c r="F17" s="9" t="inlineStr">
        <is>
          <t>SIGRPMO</t>
        </is>
      </c>
      <c r="G17" s="5" t="inlineStr"/>
      <c r="H17" s="10">
        <f>IF(G17="TT", B17 &amp; " EMITIDO", IF(G17="MI", B17 &amp; " NO EMITIDO", ""))</f>
        <v/>
      </c>
      <c r="I17" s="7">
        <f>IF(G17="TT", B17 &amp;" EMITIDO dentro de plazo, según planificación ", IF(G17="MI", B17 &amp; "NO SE RECIBE REPORTE EN LA FECHA SOLICITADA", ""))</f>
        <v/>
      </c>
      <c r="J17" s="5" t="n"/>
    </row>
    <row r="18">
      <c r="A18" s="9" t="inlineStr">
        <is>
          <t>03679287</t>
        </is>
      </c>
      <c r="B18" s="9" t="inlineStr">
        <is>
          <t>MM1: Anexo CAUDAL SUPERFICIAL</t>
        </is>
      </c>
      <c r="C18" s="9" t="inlineStr"/>
      <c r="D18" s="9" t="inlineStr">
        <is>
          <t>2026-04-20</t>
        </is>
      </c>
      <c r="E18" s="9" t="inlineStr">
        <is>
          <t>2026-04-21</t>
        </is>
      </c>
      <c r="F18" s="9" t="inlineStr">
        <is>
          <t>SIGRPMO</t>
        </is>
      </c>
      <c r="G18" s="5" t="inlineStr"/>
      <c r="H18" s="10">
        <f>IF(G18="TT", B18 &amp; " EMITIDO", IF(G18="MI", B18 &amp; " NO EMITIDO", ""))</f>
        <v/>
      </c>
      <c r="I18" s="7">
        <f>IF(G18="TT", B18 &amp;" EMITIDO dentro de plazo, según planificación ", IF(G18="MI", B18 &amp; "NO SE RECIBE REPORTE EN LA FECHA SOLICITADA", ""))</f>
        <v/>
      </c>
      <c r="J18" s="5" t="n"/>
    </row>
    <row r="19">
      <c r="A19" s="9" t="inlineStr">
        <is>
          <t>03679288</t>
        </is>
      </c>
      <c r="B19" s="9" t="inlineStr">
        <is>
          <t>MM1: Dashboard niveles</t>
        </is>
      </c>
      <c r="C19" s="9" t="inlineStr">
        <is>
          <t>MM1: Dashboard niveles</t>
        </is>
      </c>
      <c r="D19" s="9" t="inlineStr">
        <is>
          <t>2026-04-20</t>
        </is>
      </c>
      <c r="E19" s="9" t="inlineStr">
        <is>
          <t>2026-04-21</t>
        </is>
      </c>
      <c r="F19" s="9" t="inlineStr">
        <is>
          <t>SIGRPMO</t>
        </is>
      </c>
      <c r="G19" s="5" t="inlineStr"/>
      <c r="H19" s="10">
        <f>IF(G19="TT", B19 &amp; " EMITIDO", IF(G19="MI", B19 &amp; " NO EMITIDO", ""))</f>
        <v/>
      </c>
      <c r="I19" s="7">
        <f>IF(G19="TT", B19 &amp;" EMITIDO dentro de plazo, según planificación ", IF(G19="MI", B19 &amp; "NO SE RECIBE REPORTE EN LA FECHA SOLICITADA", ""))</f>
        <v/>
      </c>
      <c r="J19" s="5" t="n"/>
    </row>
    <row r="20">
      <c r="A20" s="9" t="inlineStr">
        <is>
          <t>03679289</t>
        </is>
      </c>
      <c r="B20" s="9" t="inlineStr">
        <is>
          <t>REPORTE POZOS PUERTO</t>
        </is>
      </c>
      <c r="C20" s="9" t="inlineStr">
        <is>
          <t>REPORTE POZOS PUERTO</t>
        </is>
      </c>
      <c r="D20" s="9" t="inlineStr">
        <is>
          <t>2026-04-20</t>
        </is>
      </c>
      <c r="E20" s="9" t="inlineStr">
        <is>
          <t>2026-04-21</t>
        </is>
      </c>
      <c r="F20" s="9" t="inlineStr">
        <is>
          <t>SIGRPMO</t>
        </is>
      </c>
      <c r="G20" s="5" t="inlineStr"/>
      <c r="H20" s="10">
        <f>IF(G20="TT", B20 &amp; " EMITIDO", IF(G20="MI", B20 &amp; " NO EMITIDO", ""))</f>
        <v/>
      </c>
      <c r="I20" s="7">
        <f>IF(G20="TT", B20 &amp;" EMITIDO dentro de plazo, según planificación ", IF(G20="MI", B20 &amp; "NO SE RECIBE REPORTE EN LA FECHA SOLICITADA", ""))</f>
        <v/>
      </c>
      <c r="J20" s="5" t="n"/>
    </row>
    <row r="21">
      <c r="A21" s="9" t="inlineStr">
        <is>
          <t>03679290</t>
        </is>
      </c>
      <c r="B21" s="9" t="inlineStr">
        <is>
          <t>REPORTE PLANILLA NIVELES</t>
        </is>
      </c>
      <c r="C21" s="9" t="inlineStr"/>
      <c r="D21" s="9" t="inlineStr">
        <is>
          <t>2026-04-20</t>
        </is>
      </c>
      <c r="E21" s="9" t="inlineStr">
        <is>
          <t>2026-04-21</t>
        </is>
      </c>
      <c r="F21" s="9" t="inlineStr">
        <is>
          <t>SIGRPMO</t>
        </is>
      </c>
      <c r="G21" s="5" t="inlineStr"/>
      <c r="H21" s="10">
        <f>IF(G21="TT", B21 &amp; " EMITIDO", IF(G21="MI", B21 &amp; " NO EMITIDO", ""))</f>
        <v/>
      </c>
      <c r="I21" s="7">
        <f>IF(G21="TT", B21 &amp;" EMITIDO dentro de plazo, según planificación ", IF(G21="MI", B21 &amp; "NO SE RECIBE REPORTE EN LA FECHA SOLICITADA", ""))</f>
        <v/>
      </c>
      <c r="J21" s="5" t="n"/>
    </row>
    <row r="22">
      <c r="A22" s="9" t="inlineStr">
        <is>
          <t>03679291</t>
        </is>
      </c>
      <c r="B22" s="9" t="inlineStr">
        <is>
          <t>REPORTE PLANILLA CAUDALES</t>
        </is>
      </c>
      <c r="C22" s="9" t="inlineStr"/>
      <c r="D22" s="9" t="inlineStr">
        <is>
          <t>2026-04-20</t>
        </is>
      </c>
      <c r="E22" s="9" t="inlineStr">
        <is>
          <t>2026-04-21</t>
        </is>
      </c>
      <c r="F22" s="9" t="inlineStr">
        <is>
          <t>SIGRPMO</t>
        </is>
      </c>
      <c r="G22" s="5" t="inlineStr"/>
      <c r="H22" s="10">
        <f>IF(G22="TT", B22 &amp; " EMITIDO", IF(G22="MI", B22 &amp; " NO EMITIDO", ""))</f>
        <v/>
      </c>
      <c r="I22" s="7">
        <f>IF(G22="TT", B22 &amp;" EMITIDO dentro de plazo, según planificación ", IF(G22="MI", B22 &amp; "NO SE RECIBE REPORTE EN LA FECHA SOLICITADA", ""))</f>
        <v/>
      </c>
      <c r="J22" s="5" t="n"/>
    </row>
    <row r="23">
      <c r="A23" s="9" t="inlineStr">
        <is>
          <t>03679292</t>
        </is>
      </c>
      <c r="B23" s="9" t="inlineStr">
        <is>
          <t>REPORTE PISCINAS P3-P2</t>
        </is>
      </c>
      <c r="C23" s="9" t="inlineStr">
        <is>
          <t>REPORTE PISCINAS P3-P2</t>
        </is>
      </c>
      <c r="D23" s="9" t="inlineStr">
        <is>
          <t>2026-04-20</t>
        </is>
      </c>
      <c r="E23" s="9" t="inlineStr">
        <is>
          <t>2026-04-21</t>
        </is>
      </c>
      <c r="F23" s="9" t="inlineStr">
        <is>
          <t>SIGRPMO</t>
        </is>
      </c>
      <c r="G23" s="5" t="inlineStr"/>
      <c r="H23" s="10">
        <f>IF(G23="TT", B23 &amp; " EMITIDO", IF(G23="MI", B23 &amp; " NO EMITIDO", ""))</f>
        <v/>
      </c>
      <c r="I23" s="7">
        <f>IF(G23="TT", B23 &amp;" EMITIDO dentro de plazo, según planificación ", IF(G23="MI", B23 &amp; "NO SE RECIBE REPORTE EN LA FECHA SOLICITADA", ""))</f>
        <v/>
      </c>
      <c r="J23" s="5" t="n"/>
    </row>
    <row r="24">
      <c r="A24" s="9" t="inlineStr">
        <is>
          <t>03679293</t>
        </is>
      </c>
      <c r="B24" s="9" t="inlineStr">
        <is>
          <t>INFORME DE RUIDO</t>
        </is>
      </c>
      <c r="C24" s="9" t="inlineStr"/>
      <c r="D24" s="9" t="inlineStr">
        <is>
          <t>2026-04-20</t>
        </is>
      </c>
      <c r="E24" s="9" t="inlineStr">
        <is>
          <t>2026-04-21</t>
        </is>
      </c>
      <c r="F24" s="9" t="inlineStr">
        <is>
          <t>SIGRPMO</t>
        </is>
      </c>
      <c r="G24" s="5" t="inlineStr"/>
      <c r="H24" s="10">
        <f>IF(G24="TT", B24 &amp; " EMITIDO", IF(G24="MI", B24 &amp; " NO EMITIDO", ""))</f>
        <v/>
      </c>
      <c r="I24" s="7">
        <f>IF(G24="TT", B24 &amp;" EMITIDO dentro de plazo, según planificación ", IF(G24="MI", B24 &amp; "NO SE RECIBE REPORTE EN LA FECHA SOLICITADA", ""))</f>
        <v/>
      </c>
      <c r="J24" s="5" t="n"/>
    </row>
    <row r="25">
      <c r="A25" s="9" t="inlineStr">
        <is>
          <t>03679294</t>
        </is>
      </c>
      <c r="B25" s="9" t="inlineStr">
        <is>
          <t>REPORTE PAT BARRERA HIDRÁULICA</t>
        </is>
      </c>
      <c r="C25" s="9" t="inlineStr"/>
      <c r="D25" s="9" t="inlineStr">
        <is>
          <t>2026-04-21</t>
        </is>
      </c>
      <c r="E25" s="9" t="inlineStr">
        <is>
          <t>2026-04-22</t>
        </is>
      </c>
      <c r="F25" s="9" t="inlineStr">
        <is>
          <t>SIGRPMO</t>
        </is>
      </c>
      <c r="G25" s="5" t="inlineStr"/>
      <c r="H25" s="10">
        <f>IF(G25="TT", B25 &amp; " EMITIDO", IF(G25="MI", B25 &amp; " NO EMITIDO", ""))</f>
        <v/>
      </c>
      <c r="I25" s="7">
        <f>IF(G25="TT", B25 &amp;" EMITIDO dentro de plazo, según planificación ", IF(G25="MI", B25 &amp; "NO SE RECIBE REPORTE EN LA FECHA SOLICITADA", ""))</f>
        <v/>
      </c>
      <c r="J25" s="5" t="n"/>
    </row>
    <row r="26">
      <c r="A26" s="9" t="inlineStr">
        <is>
          <t>03679295</t>
        </is>
      </c>
      <c r="B26" s="9" t="inlineStr">
        <is>
          <t>REPORTE PAT JACHUCOPOSA-COPOSITO</t>
        </is>
      </c>
      <c r="C26" s="9" t="inlineStr">
        <is>
          <t>REPORTE PAT JACHUCOPOSA-COPOSITO</t>
        </is>
      </c>
      <c r="D26" s="9" t="inlineStr">
        <is>
          <t>2026-04-21</t>
        </is>
      </c>
      <c r="E26" s="9" t="inlineStr">
        <is>
          <t>2026-04-22</t>
        </is>
      </c>
      <c r="F26" s="9" t="inlineStr">
        <is>
          <t>SIGRPMO</t>
        </is>
      </c>
      <c r="G26" s="5" t="inlineStr"/>
      <c r="H26" s="10">
        <f>IF(G26="TT", B26 &amp; " EMITIDO", IF(G26="MI", B26 &amp; " NO EMITIDO", ""))</f>
        <v/>
      </c>
      <c r="I26" s="7">
        <f>IF(G26="TT", B26 &amp;" EMITIDO dentro de plazo, según planificación ", IF(G26="MI", B26 &amp; "NO SE RECIBE REPORTE EN LA FECHA SOLICITADA", ""))</f>
        <v/>
      </c>
      <c r="J26" s="5" t="n"/>
    </row>
    <row r="27">
      <c r="A27" s="9" t="inlineStr">
        <is>
          <t>03679296</t>
        </is>
      </c>
      <c r="B27" s="9" t="inlineStr">
        <is>
          <t>REPORTE PAT TRANQUE</t>
        </is>
      </c>
      <c r="C27" s="9" t="inlineStr">
        <is>
          <t>REPORTE PAT TRANQUE</t>
        </is>
      </c>
      <c r="D27" s="9" t="inlineStr">
        <is>
          <t>2026-04-21</t>
        </is>
      </c>
      <c r="E27" s="9" t="inlineStr">
        <is>
          <t>2026-04-22</t>
        </is>
      </c>
      <c r="F27" s="9" t="inlineStr">
        <is>
          <t>SIGRPMO</t>
        </is>
      </c>
      <c r="G27" s="5" t="inlineStr"/>
      <c r="H27" s="10">
        <f>IF(G27="TT", B27 &amp; " EMITIDO", IF(G27="MI", B27 &amp; " NO EMITIDO", ""))</f>
        <v/>
      </c>
      <c r="I27" s="7">
        <f>IF(G27="TT", B27 &amp;" EMITIDO dentro de plazo, según planificación ", IF(G27="MI", B27 &amp; "NO SE RECIBE REPORTE EN LA FECHA SOLICITADA", ""))</f>
        <v/>
      </c>
      <c r="J27" s="5" t="n"/>
    </row>
    <row r="28">
      <c r="A28" s="9" t="inlineStr">
        <is>
          <t>ES532MACWE          0001</t>
        </is>
      </c>
      <c r="B28" s="9" t="inlineStr">
        <is>
          <t>REPORTE BALANCE IONICO</t>
        </is>
      </c>
      <c r="C28" s="9" t="inlineStr">
        <is>
          <t>REPORTE BALANCE IONICO</t>
        </is>
      </c>
      <c r="D28" s="9" t="inlineStr">
        <is>
          <t>2026-04-21</t>
        </is>
      </c>
      <c r="E28" s="9" t="inlineStr">
        <is>
          <t>2026-04-22</t>
        </is>
      </c>
      <c r="F28" s="9" t="inlineStr">
        <is>
          <t>SIGRPMO</t>
        </is>
      </c>
      <c r="G28" s="5" t="inlineStr"/>
      <c r="H28" s="10">
        <f>IF(G28="TT", B28 &amp; " EMITIDO", IF(G28="MI", B28 &amp; " NO EMITIDO", ""))</f>
        <v/>
      </c>
      <c r="I28" s="7">
        <f>IF(G28="TT", B28 &amp;" EMITIDO dentro de plazo, según planificación ", IF(G28="MI", B28 &amp; "NO SE RECIBE REPORTE EN LA FECHA SOLICITADA", ""))</f>
        <v/>
      </c>
      <c r="J28" s="5" t="n"/>
    </row>
  </sheetData>
  <autoFilter ref="A1:J1"/>
  <conditionalFormatting sqref="I2:I28">
    <cfRule type="expression" priority="1" dxfId="0">
      <formula>AND(I2&lt;&gt;"", LEN(I2)&gt;50)</formula>
    </cfRule>
  </conditionalFormatting>
  <dataValidations count="1">
    <dataValidation sqref="I1:I28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2026-04-16T22:10:01Z</dcterms:created>
  <dcterms:modified xsi:type="dcterms:W3CDTF">2026-04-21T13:32:48Z</dcterms:modified>
</cp:coreProperties>
</file>