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" sheetId="1" state="visible" r:id="rId1"/>
    <sheet name="8" sheetId="2" state="visible" r:id="rId2"/>
  </sheets>
  <definedNames>
    <definedName name="_xlnm._FilterDatabase" localSheetId="0" hidden="1">'7'!$A$1:$L$1</definedName>
    <definedName name="_xlnm._FilterDatabase" localSheetId="1" hidden="1">'8'!$A$1:$L$1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97A76"/>
      </patternFill>
    </fill>
    <fill>
      <patternFill patternType="solid">
        <fgColor rgb="FF00B0AA"/>
      </patternFill>
    </fill>
    <fill>
      <patternFill patternType="solid">
        <fgColor rgb="FF666666"/>
      </patternFill>
    </fill>
    <fill>
      <patternFill patternType="solid">
        <fgColor rgb="FF9CE2DD"/>
      </patternFill>
    </fill>
    <fill>
      <patternFill patternType="solid">
        <fgColor rgb="FFB8B8B8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3" fillId="5" borderId="1" applyAlignment="1" pivotButton="0" quotePrefix="0" xfId="0">
      <alignment vertical="top" wrapText="1"/>
    </xf>
    <xf numFmtId="0" fontId="3" fillId="3" borderId="1" pivotButton="0" quotePrefix="0" xfId="0"/>
    <xf numFmtId="0" fontId="3" fillId="6" borderId="1" pivotButton="0" quotePrefix="0" xfId="0"/>
  </cellXfs>
  <cellStyles count="1">
    <cellStyle name="Normal" xfId="0" builtinId="0" hidden="0"/>
  </cellStyles>
  <dxfs count="1">
    <dxf>
      <font>
        <b val="1"/>
        <i val="1"/>
        <strike val="1"/>
      </font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03648750</t>
        </is>
      </c>
      <c r="B2" s="4" t="inlineStr">
        <is>
          <t>Op Estaciones Meteorologicas</t>
        </is>
      </c>
      <c r="C2" s="4" t="inlineStr">
        <is>
          <t>Rosario</t>
        </is>
      </c>
      <c r="D2" s="4" t="inlineStr">
        <is>
          <t>2026-04-01</t>
        </is>
      </c>
      <c r="E2" s="4" t="inlineStr">
        <is>
          <t>2026-04-07</t>
        </is>
      </c>
      <c r="F2" s="4" t="inlineStr">
        <is>
          <t>SIGAIR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03648877</t>
        </is>
      </c>
      <c r="B3" s="4" t="inlineStr">
        <is>
          <t>MM DE AGUAS SUBTERRÁNEAS</t>
        </is>
      </c>
      <c r="C3" s="4" t="inlineStr">
        <is>
          <t>ADTR LIXIVIACIÓN</t>
        </is>
      </c>
      <c r="D3" s="4" t="inlineStr">
        <is>
          <t>2026-04-01</t>
        </is>
      </c>
      <c r="E3" s="4" t="inlineStr">
        <is>
          <t>2026-04-07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ASUB</t>
        </is>
      </c>
    </row>
    <row r="4">
      <c r="A4" s="4" t="inlineStr">
        <is>
          <t>03648878</t>
        </is>
      </c>
      <c r="B4" s="4" t="inlineStr">
        <is>
          <t>MM DE AGUAS SUBTERRÁNEAS</t>
        </is>
      </c>
      <c r="C4" s="4" t="inlineStr">
        <is>
          <t>MTP-17 TRANQUE</t>
        </is>
      </c>
      <c r="D4" s="4" t="inlineStr">
        <is>
          <t>2026-04-01</t>
        </is>
      </c>
      <c r="E4" s="4" t="inlineStr">
        <is>
          <t>2026-04-07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ASUB</t>
        </is>
      </c>
    </row>
    <row r="5">
      <c r="A5" s="4" t="inlineStr">
        <is>
          <t>03648879</t>
        </is>
      </c>
      <c r="B5" s="4" t="inlineStr">
        <is>
          <t>MED DE NIVELES FREATICOS</t>
        </is>
      </c>
      <c r="C5" s="4" t="inlineStr">
        <is>
          <t>MTP-17</t>
        </is>
      </c>
      <c r="D5" s="4" t="inlineStr">
        <is>
          <t>2026-04-01</t>
        </is>
      </c>
      <c r="E5" s="4" t="inlineStr">
        <is>
          <t>2026-04-07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NF</t>
        </is>
      </c>
    </row>
    <row r="6">
      <c r="A6" s="4" t="inlineStr">
        <is>
          <t>03648880</t>
        </is>
      </c>
      <c r="B6" s="4" t="inlineStr">
        <is>
          <t>MUESTREO EN PLANTA FAD</t>
        </is>
      </c>
      <c r="C6" s="4" t="inlineStr">
        <is>
          <t>FAD PUERTO COLLAHUASI</t>
        </is>
      </c>
      <c r="D6" s="4" t="inlineStr">
        <is>
          <t>2026-04-01</t>
        </is>
      </c>
      <c r="E6" s="4" t="inlineStr">
        <is>
          <t>2026-04-07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/>
    </row>
    <row r="7">
      <c r="A7" s="4" t="inlineStr">
        <is>
          <t>03648881</t>
        </is>
      </c>
      <c r="B7" s="4" t="inlineStr">
        <is>
          <t>MM DE AGUAS SUBTERRÁNEAS</t>
        </is>
      </c>
      <c r="C7" s="4" t="inlineStr">
        <is>
          <t>LPDC-01 LIXIVIACIÓN</t>
        </is>
      </c>
      <c r="D7" s="4" t="inlineStr">
        <is>
          <t>2026-04-01</t>
        </is>
      </c>
      <c r="E7" s="4" t="inlineStr">
        <is>
          <t>2026-04-07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ASUB</t>
        </is>
      </c>
    </row>
    <row r="8">
      <c r="A8" s="4" t="inlineStr">
        <is>
          <t>03648882</t>
        </is>
      </c>
      <c r="B8" s="4" t="inlineStr">
        <is>
          <t>MEDICION DE NIVELES FREATICOS</t>
        </is>
      </c>
      <c r="C8" s="4" t="inlineStr">
        <is>
          <t>LPDC-01 LIXIVIACIÓN</t>
        </is>
      </c>
      <c r="D8" s="4" t="inlineStr">
        <is>
          <t>2026-04-01</t>
        </is>
      </c>
      <c r="E8" s="4" t="inlineStr">
        <is>
          <t>2026-04-07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NF</t>
        </is>
      </c>
    </row>
    <row r="9">
      <c r="A9" s="4" t="inlineStr">
        <is>
          <t>03648883</t>
        </is>
      </c>
      <c r="B9" s="4" t="inlineStr">
        <is>
          <t>MM DE AGUAS SUBTERRÁNEAS</t>
        </is>
      </c>
      <c r="C9" s="4" t="inlineStr">
        <is>
          <t>LPDC-02 LIXIVIACIÓN</t>
        </is>
      </c>
      <c r="D9" s="4" t="inlineStr">
        <is>
          <t>2026-04-01</t>
        </is>
      </c>
      <c r="E9" s="4" t="inlineStr">
        <is>
          <t>2026-04-07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ASUB</t>
        </is>
      </c>
    </row>
    <row r="10">
      <c r="A10" s="4" t="inlineStr">
        <is>
          <t>03648884</t>
        </is>
      </c>
      <c r="B10" s="4" t="inlineStr">
        <is>
          <t>MEDICION DE NIVELES FREATICOS</t>
        </is>
      </c>
      <c r="C10" s="4" t="inlineStr">
        <is>
          <t>LPDC-02 LIXIVIACIÓN</t>
        </is>
      </c>
      <c r="D10" s="4" t="inlineStr">
        <is>
          <t>2026-04-01</t>
        </is>
      </c>
      <c r="E10" s="4" t="inlineStr">
        <is>
          <t>2026-04-07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NF</t>
        </is>
      </c>
    </row>
    <row r="11">
      <c r="A11" s="4" t="inlineStr">
        <is>
          <t>03648885</t>
        </is>
      </c>
      <c r="B11" s="4" t="inlineStr">
        <is>
          <t>MM DE AGUAS SUBTERRÁNEAS</t>
        </is>
      </c>
      <c r="C11" s="4" t="inlineStr">
        <is>
          <t>LPDC-03 LIXIVIACIÓN</t>
        </is>
      </c>
      <c r="D11" s="4" t="inlineStr">
        <is>
          <t>2026-04-01</t>
        </is>
      </c>
      <c r="E11" s="4" t="inlineStr">
        <is>
          <t>2026-04-07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ASUB</t>
        </is>
      </c>
    </row>
    <row r="12">
      <c r="A12" s="4" t="inlineStr">
        <is>
          <t>03648886</t>
        </is>
      </c>
      <c r="B12" s="4" t="inlineStr">
        <is>
          <t>MEDICION DE NIVELES FREATICOS</t>
        </is>
      </c>
      <c r="C12" s="4" t="inlineStr">
        <is>
          <t>LPDC-03 LIXIVIACIÓN</t>
        </is>
      </c>
      <c r="D12" s="4" t="inlineStr">
        <is>
          <t>2026-04-01</t>
        </is>
      </c>
      <c r="E12" s="4" t="inlineStr">
        <is>
          <t>2026-04-07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NF</t>
        </is>
      </c>
    </row>
    <row r="13">
      <c r="A13" s="4" t="inlineStr">
        <is>
          <t>03648887</t>
        </is>
      </c>
      <c r="B13" s="4" t="inlineStr">
        <is>
          <t>MM DE AGUAS SUBTERRÁNEAS</t>
        </is>
      </c>
      <c r="C13" s="4" t="inlineStr">
        <is>
          <t>LPDC-04 LIXIVIACIÓN</t>
        </is>
      </c>
      <c r="D13" s="4" t="inlineStr">
        <is>
          <t>2026-04-01</t>
        </is>
      </c>
      <c r="E13" s="4" t="inlineStr">
        <is>
          <t>2026-04-07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ASUB</t>
        </is>
      </c>
    </row>
    <row r="14">
      <c r="A14" s="4" t="inlineStr">
        <is>
          <t>03648888</t>
        </is>
      </c>
      <c r="B14" s="4" t="inlineStr">
        <is>
          <t>MEDICION DE NIVELES FREATICOS</t>
        </is>
      </c>
      <c r="C14" s="4" t="inlineStr">
        <is>
          <t>LPDC-04 LIXIVIACIÓN</t>
        </is>
      </c>
      <c r="D14" s="4" t="inlineStr">
        <is>
          <t>2026-04-01</t>
        </is>
      </c>
      <c r="E14" s="4" t="inlineStr">
        <is>
          <t>2026-04-07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NF</t>
        </is>
      </c>
    </row>
    <row r="15">
      <c r="A15" s="4" t="inlineStr">
        <is>
          <t>03648889</t>
        </is>
      </c>
      <c r="B15" s="4" t="inlineStr">
        <is>
          <t>MM DE AGUAS SUBTERRÁNEAS</t>
        </is>
      </c>
      <c r="C15" s="4" t="inlineStr">
        <is>
          <t>LPDC-05 LIXIVIACIÓN</t>
        </is>
      </c>
      <c r="D15" s="4" t="inlineStr">
        <is>
          <t>2026-04-01</t>
        </is>
      </c>
      <c r="E15" s="4" t="inlineStr">
        <is>
          <t>2026-04-07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ASUB</t>
        </is>
      </c>
    </row>
    <row r="16">
      <c r="A16" s="4" t="inlineStr">
        <is>
          <t>03648890</t>
        </is>
      </c>
      <c r="B16" s="4" t="inlineStr">
        <is>
          <t>MEDICION DE NIVELES FREATICOS</t>
        </is>
      </c>
      <c r="C16" s="4" t="inlineStr">
        <is>
          <t>LPDC-05 LIXIVIACIÓN</t>
        </is>
      </c>
      <c r="D16" s="4" t="inlineStr">
        <is>
          <t>2026-04-01</t>
        </is>
      </c>
      <c r="E16" s="4" t="inlineStr">
        <is>
          <t>2026-04-07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03648891</t>
        </is>
      </c>
      <c r="B17" s="4" t="inlineStr">
        <is>
          <t>MM DE AGUAS SUBTERRÁNEAS</t>
        </is>
      </c>
      <c r="C17" s="4" t="inlineStr">
        <is>
          <t>LPDC-06 LIXIVIACIÓN</t>
        </is>
      </c>
      <c r="D17" s="4" t="inlineStr">
        <is>
          <t>2026-04-01</t>
        </is>
      </c>
      <c r="E17" s="4" t="inlineStr">
        <is>
          <t>2026-04-07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ASUB</t>
        </is>
      </c>
    </row>
    <row r="18">
      <c r="A18" s="4" t="inlineStr">
        <is>
          <t>03648892</t>
        </is>
      </c>
      <c r="B18" s="4" t="inlineStr">
        <is>
          <t>MEDICION DE NIVELES FREATICOS</t>
        </is>
      </c>
      <c r="C18" s="4" t="inlineStr">
        <is>
          <t>LPDC-06 LIXIVIACIÓN</t>
        </is>
      </c>
      <c r="D18" s="4" t="inlineStr">
        <is>
          <t>2026-04-01</t>
        </is>
      </c>
      <c r="E18" s="4" t="inlineStr">
        <is>
          <t>2026-04-07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03648893</t>
        </is>
      </c>
      <c r="B19" s="4" t="inlineStr">
        <is>
          <t>MM DE AGUAS SUBTERRÁNEAS</t>
        </is>
      </c>
      <c r="C19" s="4" t="inlineStr">
        <is>
          <t>LPDC-07 LIXIVIACIÓN</t>
        </is>
      </c>
      <c r="D19" s="4" t="inlineStr">
        <is>
          <t>2026-04-01</t>
        </is>
      </c>
      <c r="E19" s="4" t="inlineStr">
        <is>
          <t>2026-04-07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ASUB</t>
        </is>
      </c>
    </row>
    <row r="20">
      <c r="A20" s="4" t="inlineStr">
        <is>
          <t>03648894</t>
        </is>
      </c>
      <c r="B20" s="4" t="inlineStr">
        <is>
          <t>MEDICION DE NIVELES FREATICOS</t>
        </is>
      </c>
      <c r="C20" s="4" t="inlineStr">
        <is>
          <t>LPDC-07 LIXIVIACIÓN</t>
        </is>
      </c>
      <c r="D20" s="4" t="inlineStr">
        <is>
          <t>2026-04-01</t>
        </is>
      </c>
      <c r="E20" s="4" t="inlineStr">
        <is>
          <t>2026-04-07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03648895</t>
        </is>
      </c>
      <c r="B21" s="4" t="inlineStr">
        <is>
          <t>MM DE AGUAS SUBTERRÁNEAS</t>
        </is>
      </c>
      <c r="C21" s="4" t="inlineStr">
        <is>
          <t>LPDC-08 LIXIVIACIÓN</t>
        </is>
      </c>
      <c r="D21" s="4" t="inlineStr">
        <is>
          <t>2026-04-01</t>
        </is>
      </c>
      <c r="E21" s="4" t="inlineStr">
        <is>
          <t>2026-04-07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ASUB</t>
        </is>
      </c>
    </row>
    <row r="22">
      <c r="A22" s="4" t="inlineStr">
        <is>
          <t>03648896</t>
        </is>
      </c>
      <c r="B22" s="4" t="inlineStr">
        <is>
          <t>MEDICION DE NIVELES FREATICOS</t>
        </is>
      </c>
      <c r="C22" s="4" t="inlineStr">
        <is>
          <t>LPDC-08 LIXIVIACIÓN</t>
        </is>
      </c>
      <c r="D22" s="4" t="inlineStr">
        <is>
          <t>2026-04-01</t>
        </is>
      </c>
      <c r="E22" s="4" t="inlineStr">
        <is>
          <t>2026-04-07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NF</t>
        </is>
      </c>
    </row>
    <row r="23">
      <c r="A23" s="4" t="inlineStr">
        <is>
          <t>03649005</t>
        </is>
      </c>
      <c r="B23" s="4" t="inlineStr">
        <is>
          <t>MM DE AGUAS SUBTERRÁNEAS</t>
        </is>
      </c>
      <c r="C23" s="4" t="inlineStr">
        <is>
          <t>P-4B MICHINCHA</t>
        </is>
      </c>
      <c r="D23" s="4" t="inlineStr">
        <is>
          <t>2026-04-01</t>
        </is>
      </c>
      <c r="E23" s="4" t="inlineStr">
        <is>
          <t>2026-04-07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ASUB</t>
        </is>
      </c>
    </row>
    <row r="24">
      <c r="A24" s="4" t="inlineStr">
        <is>
          <t>03649006</t>
        </is>
      </c>
      <c r="B24" s="4" t="inlineStr">
        <is>
          <t>MED DE NIVELES FREATICOS</t>
        </is>
      </c>
      <c r="C24" s="4" t="inlineStr">
        <is>
          <t>P-4B MICHINCHA</t>
        </is>
      </c>
      <c r="D24" s="4" t="inlineStr">
        <is>
          <t>2026-04-01</t>
        </is>
      </c>
      <c r="E24" s="4" t="inlineStr">
        <is>
          <t>2026-04-07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NF</t>
        </is>
      </c>
    </row>
    <row r="25">
      <c r="A25" s="4" t="inlineStr">
        <is>
          <t>03649007</t>
        </is>
      </c>
      <c r="B25" s="4" t="inlineStr">
        <is>
          <t>MM DE AGUAS SUBTERRÁNEAS</t>
        </is>
      </c>
      <c r="C25" s="4" t="inlineStr">
        <is>
          <t>RPW-3 LIXIVIACIÓN</t>
        </is>
      </c>
      <c r="D25" s="4" t="inlineStr">
        <is>
          <t>2026-04-01</t>
        </is>
      </c>
      <c r="E25" s="4" t="inlineStr">
        <is>
          <t>2026-04-07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ASUB</t>
        </is>
      </c>
    </row>
    <row r="26">
      <c r="A26" s="4" t="inlineStr">
        <is>
          <t>03649008</t>
        </is>
      </c>
      <c r="B26" s="4" t="inlineStr">
        <is>
          <t>MED DE NIVELES FREATICOS</t>
        </is>
      </c>
      <c r="C26" s="4" t="inlineStr">
        <is>
          <t>RPW-3 LIXIVIACIÓN</t>
        </is>
      </c>
      <c r="D26" s="4" t="inlineStr">
        <is>
          <t>2026-04-01</t>
        </is>
      </c>
      <c r="E26" s="4" t="inlineStr">
        <is>
          <t>2026-04-07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NF</t>
        </is>
      </c>
    </row>
    <row r="27">
      <c r="A27" s="4" t="inlineStr">
        <is>
          <t>03649009</t>
        </is>
      </c>
      <c r="B27" s="4" t="inlineStr">
        <is>
          <t>MM DE AGUAS SUBTERRÁNEAS</t>
        </is>
      </c>
      <c r="C27" s="4" t="inlineStr">
        <is>
          <t>RPW-4 LIXIVIACIÓN</t>
        </is>
      </c>
      <c r="D27" s="4" t="inlineStr">
        <is>
          <t>2026-04-01</t>
        </is>
      </c>
      <c r="E27" s="4" t="inlineStr">
        <is>
          <t>2026-04-07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ASUB</t>
        </is>
      </c>
    </row>
    <row r="28">
      <c r="A28" s="4" t="inlineStr">
        <is>
          <t>03649010</t>
        </is>
      </c>
      <c r="B28" s="4" t="inlineStr">
        <is>
          <t>MED DE NIVELES FREATICOS</t>
        </is>
      </c>
      <c r="C28" s="4" t="inlineStr">
        <is>
          <t>RPW-4 LIXIVIACIÓN</t>
        </is>
      </c>
      <c r="D28" s="4" t="inlineStr">
        <is>
          <t>2026-04-01</t>
        </is>
      </c>
      <c r="E28" s="4" t="inlineStr">
        <is>
          <t>2026-04-07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NF</t>
        </is>
      </c>
    </row>
    <row r="29">
      <c r="A29" s="4" t="inlineStr">
        <is>
          <t>03649011</t>
        </is>
      </c>
      <c r="B29" s="4" t="inlineStr">
        <is>
          <t>MM DE AGUAS SUBTERRÁNEAS</t>
        </is>
      </c>
      <c r="C29" s="4" t="inlineStr">
        <is>
          <t>RPW-1 LIXIVIACIÓN</t>
        </is>
      </c>
      <c r="D29" s="4" t="inlineStr">
        <is>
          <t>2026-04-01</t>
        </is>
      </c>
      <c r="E29" s="4" t="inlineStr">
        <is>
          <t>2026-04-07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ASUB</t>
        </is>
      </c>
    </row>
    <row r="30">
      <c r="A30" s="4" t="inlineStr">
        <is>
          <t>03649012</t>
        </is>
      </c>
      <c r="B30" s="4" t="inlineStr">
        <is>
          <t>MED DE NIVELES FREATICOS</t>
        </is>
      </c>
      <c r="C30" s="4" t="inlineStr">
        <is>
          <t>RPW-1 LIXIVIACIÓN</t>
        </is>
      </c>
      <c r="D30" s="4" t="inlineStr">
        <is>
          <t>2026-04-01</t>
        </is>
      </c>
      <c r="E30" s="4" t="inlineStr">
        <is>
          <t>2026-04-07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NF</t>
        </is>
      </c>
    </row>
    <row r="31">
      <c r="A31" s="4" t="inlineStr">
        <is>
          <t>03649013</t>
        </is>
      </c>
      <c r="B31" s="4" t="inlineStr">
        <is>
          <t>MM DE AGUAS SUBTERRÁNEAS</t>
        </is>
      </c>
      <c r="C31" s="4" t="inlineStr">
        <is>
          <t>P-6 MICHINCHA</t>
        </is>
      </c>
      <c r="D31" s="4" t="inlineStr">
        <is>
          <t>2026-04-01</t>
        </is>
      </c>
      <c r="E31" s="4" t="inlineStr">
        <is>
          <t>2026-04-07</t>
        </is>
      </c>
      <c r="F31" s="4" t="inlineStr">
        <is>
          <t>SIGVA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>
        <is>
          <t>ASUB</t>
        </is>
      </c>
    </row>
    <row r="32">
      <c r="A32" s="4" t="inlineStr">
        <is>
          <t>03649014</t>
        </is>
      </c>
      <c r="B32" s="4" t="inlineStr">
        <is>
          <t>MEDICION DE NIVELES FREATICOS</t>
        </is>
      </c>
      <c r="C32" s="4" t="inlineStr">
        <is>
          <t>P-6 MICHINCHA</t>
        </is>
      </c>
      <c r="D32" s="4" t="inlineStr">
        <is>
          <t>2026-04-01</t>
        </is>
      </c>
      <c r="E32" s="4" t="inlineStr">
        <is>
          <t>2026-04-07</t>
        </is>
      </c>
      <c r="F32" s="4" t="inlineStr">
        <is>
          <t>SIGVA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>
        <is>
          <t>NF</t>
        </is>
      </c>
    </row>
    <row r="33">
      <c r="A33" s="4" t="inlineStr">
        <is>
          <t>03649015</t>
        </is>
      </c>
      <c r="B33" s="4" t="inlineStr">
        <is>
          <t>MEDICION DE NIVELES FREATICOS</t>
        </is>
      </c>
      <c r="C33" s="4" t="inlineStr">
        <is>
          <t>RPW-2  TRANQUE</t>
        </is>
      </c>
      <c r="D33" s="4" t="inlineStr">
        <is>
          <t>2026-04-01</t>
        </is>
      </c>
      <c r="E33" s="4" t="inlineStr">
        <is>
          <t>2026-04-07</t>
        </is>
      </c>
      <c r="F33" s="4" t="inlineStr">
        <is>
          <t>SIGVA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>
        <is>
          <t>NF</t>
        </is>
      </c>
    </row>
    <row r="34">
      <c r="A34" s="4" t="inlineStr">
        <is>
          <t>03649016</t>
        </is>
      </c>
      <c r="B34" s="4" t="inlineStr">
        <is>
          <t>MM DE AGUAS SUBTERRÁNEAS</t>
        </is>
      </c>
      <c r="C34" s="4" t="inlineStr">
        <is>
          <t>RPW-2  TRANQUE</t>
        </is>
      </c>
      <c r="D34" s="4" t="inlineStr">
        <is>
          <t>2026-04-01</t>
        </is>
      </c>
      <c r="E34" s="4" t="inlineStr">
        <is>
          <t>2026-04-07</t>
        </is>
      </c>
      <c r="F34" s="4" t="inlineStr">
        <is>
          <t>SIGVA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>
        <is>
          <t>ASUB</t>
        </is>
      </c>
    </row>
    <row r="35">
      <c r="A35" s="4" t="inlineStr">
        <is>
          <t>03649017</t>
        </is>
      </c>
      <c r="B35" s="4" t="inlineStr">
        <is>
          <t>MM DE AGUAS SUPERFICIALES</t>
        </is>
      </c>
      <c r="C35" s="4" t="inlineStr">
        <is>
          <t>CSW-02 JACHUCOPOSA</t>
        </is>
      </c>
      <c r="D35" s="4" t="inlineStr">
        <is>
          <t>2026-04-01</t>
        </is>
      </c>
      <c r="E35" s="4" t="inlineStr">
        <is>
          <t>2026-04-07</t>
        </is>
      </c>
      <c r="F35" s="4" t="inlineStr">
        <is>
          <t>SIGVA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>
        <is>
          <t>ASUP</t>
        </is>
      </c>
    </row>
    <row r="36">
      <c r="A36" s="4" t="inlineStr">
        <is>
          <t>03649024</t>
        </is>
      </c>
      <c r="B36" s="4" t="inlineStr">
        <is>
          <t>MEDICION DE NIVELES FREATICOS</t>
        </is>
      </c>
      <c r="C36" s="4" t="inlineStr">
        <is>
          <t>CPMA-01 JACHUCOPOSA</t>
        </is>
      </c>
      <c r="D36" s="4" t="inlineStr">
        <is>
          <t>2026-04-01</t>
        </is>
      </c>
      <c r="E36" s="4" t="inlineStr">
        <is>
          <t>2026-04-07</t>
        </is>
      </c>
      <c r="F36" s="4" t="inlineStr">
        <is>
          <t>SIGVA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>
        <is>
          <t>NF</t>
        </is>
      </c>
    </row>
    <row r="37">
      <c r="A37" s="4" t="inlineStr">
        <is>
          <t>03649040</t>
        </is>
      </c>
      <c r="B37" s="4" t="inlineStr">
        <is>
          <t>MEDICION DE NIVELES FREATICOS</t>
        </is>
      </c>
      <c r="C37" s="4" t="inlineStr">
        <is>
          <t>M-13 MICHINCHA</t>
        </is>
      </c>
      <c r="D37" s="4" t="inlineStr">
        <is>
          <t>2026-04-01</t>
        </is>
      </c>
      <c r="E37" s="4" t="inlineStr">
        <is>
          <t>2026-04-07</t>
        </is>
      </c>
      <c r="F37" s="4" t="inlineStr">
        <is>
          <t>SIGVA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>
        <is>
          <t>NF</t>
        </is>
      </c>
    </row>
    <row r="38">
      <c r="A38" s="4" t="inlineStr">
        <is>
          <t>03649041</t>
        </is>
      </c>
      <c r="B38" s="4" t="inlineStr">
        <is>
          <t>MM DE AGUAS SUBTERRÁNEAS</t>
        </is>
      </c>
      <c r="C38" s="4" t="inlineStr">
        <is>
          <t>M-13 MICHINCHA</t>
        </is>
      </c>
      <c r="D38" s="4" t="inlineStr">
        <is>
          <t>2026-04-01</t>
        </is>
      </c>
      <c r="E38" s="4" t="inlineStr">
        <is>
          <t>2026-04-07</t>
        </is>
      </c>
      <c r="F38" s="4" t="inlineStr">
        <is>
          <t>SIGVA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>
        <is>
          <t>ASUB</t>
        </is>
      </c>
    </row>
    <row r="39">
      <c r="A39" s="4" t="inlineStr">
        <is>
          <t>03649042</t>
        </is>
      </c>
      <c r="B39" s="4" t="inlineStr">
        <is>
          <t>MEDICION DE NIVELES FREATICOS</t>
        </is>
      </c>
      <c r="C39" s="4" t="inlineStr">
        <is>
          <t>M-16 MICHINCHA</t>
        </is>
      </c>
      <c r="D39" s="4" t="inlineStr">
        <is>
          <t>2026-04-01</t>
        </is>
      </c>
      <c r="E39" s="4" t="inlineStr">
        <is>
          <t>2026-04-07</t>
        </is>
      </c>
      <c r="F39" s="4" t="inlineStr">
        <is>
          <t>SIGVA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>
        <is>
          <t>NF</t>
        </is>
      </c>
    </row>
    <row r="40">
      <c r="A40" s="4" t="inlineStr">
        <is>
          <t>03649043</t>
        </is>
      </c>
      <c r="B40" s="4" t="inlineStr">
        <is>
          <t>MM DE AGUAS SUBTERRÁNEAS</t>
        </is>
      </c>
      <c r="C40" s="4" t="inlineStr">
        <is>
          <t>M-16 MICHINCHA</t>
        </is>
      </c>
      <c r="D40" s="4" t="inlineStr">
        <is>
          <t>2026-04-01</t>
        </is>
      </c>
      <c r="E40" s="4" t="inlineStr">
        <is>
          <t>2026-04-07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ASUB</t>
        </is>
      </c>
    </row>
    <row r="41">
      <c r="A41" s="4" t="inlineStr">
        <is>
          <t>03649044</t>
        </is>
      </c>
      <c r="B41" s="4" t="inlineStr">
        <is>
          <t>MEDICION DE NIVELES FREATICOS</t>
        </is>
      </c>
      <c r="C41" s="4" t="inlineStr">
        <is>
          <t>M-17 MICHINCHA</t>
        </is>
      </c>
      <c r="D41" s="4" t="inlineStr">
        <is>
          <t>2026-04-01</t>
        </is>
      </c>
      <c r="E41" s="4" t="inlineStr">
        <is>
          <t>2026-04-07</t>
        </is>
      </c>
      <c r="F41" s="4" t="inlineStr">
        <is>
          <t>SIGVA</t>
        </is>
      </c>
      <c r="G41" s="5">
        <f>IF(H41="TT","TRABAJO TERMINADO",IF(H41="MI","TRABAJO NO TERMINADO",""))</f>
        <v/>
      </c>
      <c r="H41" s="6" t="inlineStr"/>
      <c r="I41" s="7">
        <f>IF(B41="", G41, IF(G41="", LEFT(B41,45), IF(45-LEN(G41)-2&lt;=0, G41, LEFT(B41,45-LEN(G41)-2)&amp;", "&amp;G41)))</f>
        <v/>
      </c>
      <c r="J41" s="8">
        <f>IF(H41="MI","NO REALIZADO " &amp; B41 &amp; " EN " &amp; C41 &amp; IF(K41&lt;&gt;""," " &amp; K41,""),IF(H41="TT","SE REALIZA " &amp; B41 &amp; " EN " &amp; C41 &amp; IF(K41&lt;&gt;""," " &amp; K41,""),""))</f>
        <v/>
      </c>
      <c r="K41" s="4" t="n"/>
      <c r="L41" s="4" t="inlineStr">
        <is>
          <t>NF</t>
        </is>
      </c>
    </row>
    <row r="42">
      <c r="A42" s="4" t="inlineStr">
        <is>
          <t>03649045</t>
        </is>
      </c>
      <c r="B42" s="4" t="inlineStr">
        <is>
          <t>MM DE AGUAS SUBTERRÁNEAS</t>
        </is>
      </c>
      <c r="C42" s="4" t="inlineStr">
        <is>
          <t>M-17 MICHINCHA</t>
        </is>
      </c>
      <c r="D42" s="4" t="inlineStr">
        <is>
          <t>2026-04-01</t>
        </is>
      </c>
      <c r="E42" s="4" t="inlineStr">
        <is>
          <t>2026-04-07</t>
        </is>
      </c>
      <c r="F42" s="4" t="inlineStr">
        <is>
          <t>SIGVA</t>
        </is>
      </c>
      <c r="G42" s="5">
        <f>IF(H42="TT","TRABAJO TERMINADO",IF(H42="MI","TRABAJO NO TERMINADO",""))</f>
        <v/>
      </c>
      <c r="H42" s="6" t="inlineStr"/>
      <c r="I42" s="7">
        <f>IF(B42="", G42, IF(G42="", LEFT(B42,45), IF(45-LEN(G42)-2&lt;=0, G42, LEFT(B42,45-LEN(G42)-2)&amp;", "&amp;G42)))</f>
        <v/>
      </c>
      <c r="J42" s="8">
        <f>IF(H42="MI","NO REALIZADO " &amp; B42 &amp; " EN " &amp; C42 &amp; IF(K42&lt;&gt;""," " &amp; K42,""),IF(H42="TT","SE REALIZA " &amp; B42 &amp; " EN " &amp; C42 &amp; IF(K42&lt;&gt;""," " &amp; K42,""),""))</f>
        <v/>
      </c>
      <c r="K42" s="4" t="n"/>
      <c r="L42" s="4" t="inlineStr">
        <is>
          <t>ASUB</t>
        </is>
      </c>
    </row>
    <row r="43">
      <c r="A43" s="4" t="inlineStr">
        <is>
          <t>03649046</t>
        </is>
      </c>
      <c r="B43" s="4" t="inlineStr">
        <is>
          <t>MEDICION DE NIVELES FREATICOS</t>
        </is>
      </c>
      <c r="C43" s="4" t="inlineStr">
        <is>
          <t>M-18 MICHINCHA</t>
        </is>
      </c>
      <c r="D43" s="4" t="inlineStr">
        <is>
          <t>2026-04-01</t>
        </is>
      </c>
      <c r="E43" s="4" t="inlineStr">
        <is>
          <t>2026-04-07</t>
        </is>
      </c>
      <c r="F43" s="4" t="inlineStr">
        <is>
          <t>SIGVA</t>
        </is>
      </c>
      <c r="G43" s="5">
        <f>IF(H43="TT","TRABAJO TERMINADO",IF(H43="MI","TRABAJO NO TERMINADO",""))</f>
        <v/>
      </c>
      <c r="H43" s="6" t="inlineStr"/>
      <c r="I43" s="7">
        <f>IF(B43="", G43, IF(G43="", LEFT(B43,45), IF(45-LEN(G43)-2&lt;=0, G43, LEFT(B43,45-LEN(G43)-2)&amp;", "&amp;G43)))</f>
        <v/>
      </c>
      <c r="J43" s="8">
        <f>IF(H43="MI","NO REALIZADO " &amp; B43 &amp; " EN " &amp; C43 &amp; IF(K43&lt;&gt;""," " &amp; K43,""),IF(H43="TT","SE REALIZA " &amp; B43 &amp; " EN " &amp; C43 &amp; IF(K43&lt;&gt;""," " &amp; K43,""),""))</f>
        <v/>
      </c>
      <c r="K43" s="4" t="n"/>
      <c r="L43" s="4" t="inlineStr">
        <is>
          <t>NF</t>
        </is>
      </c>
    </row>
    <row r="44">
      <c r="A44" s="4" t="inlineStr">
        <is>
          <t>03649047</t>
        </is>
      </c>
      <c r="B44" s="4" t="inlineStr">
        <is>
          <t>MM DE AGUAS SUBTERRÁNEAS</t>
        </is>
      </c>
      <c r="C44" s="4" t="inlineStr">
        <is>
          <t>M-18 MICHINCHA</t>
        </is>
      </c>
      <c r="D44" s="4" t="inlineStr">
        <is>
          <t>2026-04-01</t>
        </is>
      </c>
      <c r="E44" s="4" t="inlineStr">
        <is>
          <t>2026-04-07</t>
        </is>
      </c>
      <c r="F44" s="4" t="inlineStr">
        <is>
          <t>SIGVA</t>
        </is>
      </c>
      <c r="G44" s="5">
        <f>IF(H44="TT","TRABAJO TERMINADO",IF(H44="MI","TRABAJO NO TERMINADO",""))</f>
        <v/>
      </c>
      <c r="H44" s="6" t="inlineStr"/>
      <c r="I44" s="7">
        <f>IF(B44="", G44, IF(G44="", LEFT(B44,45), IF(45-LEN(G44)-2&lt;=0, G44, LEFT(B44,45-LEN(G44)-2)&amp;", "&amp;G44)))</f>
        <v/>
      </c>
      <c r="J44" s="8">
        <f>IF(H44="MI","NO REALIZADO " &amp; B44 &amp; " EN " &amp; C44 &amp; IF(K44&lt;&gt;""," " &amp; K44,""),IF(H44="TT","SE REALIZA " &amp; B44 &amp; " EN " &amp; C44 &amp; IF(K44&lt;&gt;""," " &amp; K44,""),""))</f>
        <v/>
      </c>
      <c r="K44" s="4" t="n"/>
      <c r="L44" s="4" t="inlineStr">
        <is>
          <t>ASUB</t>
        </is>
      </c>
    </row>
    <row r="45">
      <c r="A45" s="4" t="inlineStr">
        <is>
          <t>03649048</t>
        </is>
      </c>
      <c r="B45" s="4" t="inlineStr">
        <is>
          <t>MEDICION DE NIVELES FREATICOS</t>
        </is>
      </c>
      <c r="C45" s="4" t="inlineStr">
        <is>
          <t>M-19 MICHINCHA</t>
        </is>
      </c>
      <c r="D45" s="4" t="inlineStr">
        <is>
          <t>2026-04-01</t>
        </is>
      </c>
      <c r="E45" s="4" t="inlineStr">
        <is>
          <t>2026-04-07</t>
        </is>
      </c>
      <c r="F45" s="4" t="inlineStr">
        <is>
          <t>SIGVA</t>
        </is>
      </c>
      <c r="G45" s="5">
        <f>IF(H45="TT","TRABAJO TERMINADO",IF(H45="MI","TRABAJO NO TERMINADO",""))</f>
        <v/>
      </c>
      <c r="H45" s="6" t="inlineStr"/>
      <c r="I45" s="7">
        <f>IF(B45="", G45, IF(G45="", LEFT(B45,45), IF(45-LEN(G45)-2&lt;=0, G45, LEFT(B45,45-LEN(G45)-2)&amp;", "&amp;G45)))</f>
        <v/>
      </c>
      <c r="J45" s="8">
        <f>IF(H45="MI","NO REALIZADO " &amp; B45 &amp; " EN " &amp; C45 &amp; IF(K45&lt;&gt;""," " &amp; K45,""),IF(H45="TT","SE REALIZA " &amp; B45 &amp; " EN " &amp; C45 &amp; IF(K45&lt;&gt;""," " &amp; K45,""),""))</f>
        <v/>
      </c>
      <c r="K45" s="4" t="n"/>
      <c r="L45" s="4" t="inlineStr">
        <is>
          <t>NF</t>
        </is>
      </c>
    </row>
    <row r="46">
      <c r="A46" s="4" t="inlineStr">
        <is>
          <t>03649062</t>
        </is>
      </c>
      <c r="B46" s="4" t="inlineStr">
        <is>
          <t>MM DE AGUAS SUBTERRÁNEAS</t>
        </is>
      </c>
      <c r="C46" s="4" t="inlineStr">
        <is>
          <t>MAU-13 LIXIVIACIÓN</t>
        </is>
      </c>
      <c r="D46" s="4" t="inlineStr">
        <is>
          <t>2026-04-01</t>
        </is>
      </c>
      <c r="E46" s="4" t="inlineStr">
        <is>
          <t>2026-04-07</t>
        </is>
      </c>
      <c r="F46" s="4" t="inlineStr">
        <is>
          <t>SIGVA</t>
        </is>
      </c>
      <c r="G46" s="5">
        <f>IF(H46="TT","TRABAJO TERMINADO",IF(H46="MI","TRABAJO NO TERMINADO",""))</f>
        <v/>
      </c>
      <c r="H46" s="6" t="inlineStr"/>
      <c r="I46" s="7">
        <f>IF(B46="", G46, IF(G46="", LEFT(B46,45), IF(45-LEN(G46)-2&lt;=0, G46, LEFT(B46,45-LEN(G46)-2)&amp;", "&amp;G46)))</f>
        <v/>
      </c>
      <c r="J46" s="8">
        <f>IF(H46="MI","NO REALIZADO " &amp; B46 &amp; " EN " &amp; C46 &amp; IF(K46&lt;&gt;""," " &amp; K46,""),IF(H46="TT","SE REALIZA " &amp; B46 &amp; " EN " &amp; C46 &amp; IF(K46&lt;&gt;""," " &amp; K46,""),""))</f>
        <v/>
      </c>
      <c r="K46" s="4" t="n"/>
      <c r="L46" s="4" t="inlineStr">
        <is>
          <t>ASUB</t>
        </is>
      </c>
    </row>
    <row r="47">
      <c r="A47" s="4" t="inlineStr">
        <is>
          <t>03649063</t>
        </is>
      </c>
      <c r="B47" s="4" t="inlineStr">
        <is>
          <t>MM DE AGUAS SUBTERRÁNEAS</t>
        </is>
      </c>
      <c r="C47" s="4" t="inlineStr">
        <is>
          <t>MAU-02 MICHINCHA</t>
        </is>
      </c>
      <c r="D47" s="4" t="inlineStr">
        <is>
          <t>2026-04-01</t>
        </is>
      </c>
      <c r="E47" s="4" t="inlineStr">
        <is>
          <t>2026-04-07</t>
        </is>
      </c>
      <c r="F47" s="4" t="inlineStr">
        <is>
          <t>SIGVA</t>
        </is>
      </c>
      <c r="G47" s="5">
        <f>IF(H47="TT","TRABAJO TERMINADO",IF(H47="MI","TRABAJO NO TERMINADO",""))</f>
        <v/>
      </c>
      <c r="H47" s="6" t="inlineStr"/>
      <c r="I47" s="7">
        <f>IF(B47="", G47, IF(G47="", LEFT(B47,45), IF(45-LEN(G47)-2&lt;=0, G47, LEFT(B47,45-LEN(G47)-2)&amp;", "&amp;G47)))</f>
        <v/>
      </c>
      <c r="J47" s="8">
        <f>IF(H47="MI","NO REALIZADO " &amp; B47 &amp; " EN " &amp; C47 &amp; IF(K47&lt;&gt;""," " &amp; K47,""),IF(H47="TT","SE REALIZA " &amp; B47 &amp; " EN " &amp; C47 &amp; IF(K47&lt;&gt;""," " &amp; K47,""),""))</f>
        <v/>
      </c>
      <c r="K47" s="4" t="n"/>
      <c r="L47" s="4" t="inlineStr">
        <is>
          <t>ASUB</t>
        </is>
      </c>
    </row>
    <row r="48">
      <c r="A48" s="4" t="inlineStr">
        <is>
          <t>03649064</t>
        </is>
      </c>
      <c r="B48" s="4" t="inlineStr">
        <is>
          <t>MEDICION DE NIVELES FREATICOS</t>
        </is>
      </c>
      <c r="C48" s="4" t="inlineStr">
        <is>
          <t>MAU-02 MICHINCHA</t>
        </is>
      </c>
      <c r="D48" s="4" t="inlineStr">
        <is>
          <t>2026-04-01</t>
        </is>
      </c>
      <c r="E48" s="4" t="inlineStr">
        <is>
          <t>2026-04-07</t>
        </is>
      </c>
      <c r="F48" s="4" t="inlineStr">
        <is>
          <t>SIGVA</t>
        </is>
      </c>
      <c r="G48" s="5">
        <f>IF(H48="TT","TRABAJO TERMINADO",IF(H48="MI","TRABAJO NO TERMINADO",""))</f>
        <v/>
      </c>
      <c r="H48" s="6" t="inlineStr"/>
      <c r="I48" s="7">
        <f>IF(B48="", G48, IF(G48="", LEFT(B48,45), IF(45-LEN(G48)-2&lt;=0, G48, LEFT(B48,45-LEN(G48)-2)&amp;", "&amp;G48)))</f>
        <v/>
      </c>
      <c r="J48" s="8">
        <f>IF(H48="MI","NO REALIZADO " &amp; B48 &amp; " EN " &amp; C48 &amp; IF(K48&lt;&gt;""," " &amp; K48,""),IF(H48="TT","SE REALIZA " &amp; B48 &amp; " EN " &amp; C48 &amp; IF(K48&lt;&gt;""," " &amp; K48,""),""))</f>
        <v/>
      </c>
      <c r="K48" s="4" t="n"/>
      <c r="L48" s="4" t="inlineStr">
        <is>
          <t>NF</t>
        </is>
      </c>
    </row>
    <row r="49">
      <c r="A49" s="4" t="inlineStr">
        <is>
          <t>03649067</t>
        </is>
      </c>
      <c r="B49" s="4" t="inlineStr">
        <is>
          <t>MEDICION DE NIVELES FREATICOS</t>
        </is>
      </c>
      <c r="C49" s="4" t="inlineStr">
        <is>
          <t>MAU-13 LIXIVIACIÓN</t>
        </is>
      </c>
      <c r="D49" s="4" t="inlineStr">
        <is>
          <t>2026-04-01</t>
        </is>
      </c>
      <c r="E49" s="4" t="inlineStr">
        <is>
          <t>2026-04-07</t>
        </is>
      </c>
      <c r="F49" s="4" t="inlineStr">
        <is>
          <t>SIGVA</t>
        </is>
      </c>
      <c r="G49" s="5">
        <f>IF(H49="TT","TRABAJO TERMINADO",IF(H49="MI","TRABAJO NO TERMINADO",""))</f>
        <v/>
      </c>
      <c r="H49" s="6" t="inlineStr"/>
      <c r="I49" s="7">
        <f>IF(B49="", G49, IF(G49="", LEFT(B49,45), IF(45-LEN(G49)-2&lt;=0, G49, LEFT(B49,45-LEN(G49)-2)&amp;", "&amp;G49)))</f>
        <v/>
      </c>
      <c r="J49" s="8">
        <f>IF(H49="MI","NO REALIZADO " &amp; B49 &amp; " EN " &amp; C49 &amp; IF(K49&lt;&gt;""," " &amp; K49,""),IF(H49="TT","SE REALIZA " &amp; B49 &amp; " EN " &amp; C49 &amp; IF(K49&lt;&gt;""," " &amp; K49,""),""))</f>
        <v/>
      </c>
      <c r="K49" s="4" t="n"/>
      <c r="L49" s="4" t="inlineStr">
        <is>
          <t>NF</t>
        </is>
      </c>
    </row>
    <row r="50">
      <c r="A50" s="4" t="inlineStr">
        <is>
          <t>03649069</t>
        </is>
      </c>
      <c r="B50" s="4" t="inlineStr">
        <is>
          <t>MM DE AGUAS SUBTERRÁNEAS</t>
        </is>
      </c>
      <c r="C50" s="4" t="inlineStr">
        <is>
          <t>MIT-01B LIXIVIACIÓN</t>
        </is>
      </c>
      <c r="D50" s="4" t="inlineStr">
        <is>
          <t>2026-04-01</t>
        </is>
      </c>
      <c r="E50" s="4" t="inlineStr">
        <is>
          <t>2026-04-07</t>
        </is>
      </c>
      <c r="F50" s="4" t="inlineStr">
        <is>
          <t>SIGVA</t>
        </is>
      </c>
      <c r="G50" s="5">
        <f>IF(H50="TT","TRABAJO TERMINADO",IF(H50="MI","TRABAJO NO TERMINADO",""))</f>
        <v/>
      </c>
      <c r="H50" s="6" t="inlineStr"/>
      <c r="I50" s="7">
        <f>IF(B50="", G50, IF(G50="", LEFT(B50,45), IF(45-LEN(G50)-2&lt;=0, G50, LEFT(B50,45-LEN(G50)-2)&amp;", "&amp;G50)))</f>
        <v/>
      </c>
      <c r="J50" s="8">
        <f>IF(H50="MI","NO REALIZADO " &amp; B50 &amp; " EN " &amp; C50 &amp; IF(K50&lt;&gt;""," " &amp; K50,""),IF(H50="TT","SE REALIZA " &amp; B50 &amp; " EN " &amp; C50 &amp; IF(K50&lt;&gt;""," " &amp; K50,""),""))</f>
        <v/>
      </c>
      <c r="K50" s="4" t="n"/>
      <c r="L50" s="4" t="inlineStr">
        <is>
          <t>ASUB</t>
        </is>
      </c>
    </row>
    <row r="51">
      <c r="A51" s="4" t="inlineStr">
        <is>
          <t>03649070</t>
        </is>
      </c>
      <c r="B51" s="4" t="inlineStr">
        <is>
          <t>MM DE AGUAS SUBTERRÁNEAS</t>
        </is>
      </c>
      <c r="C51" s="4" t="inlineStr">
        <is>
          <t>MIT-02B LIXIVIACIÓN</t>
        </is>
      </c>
      <c r="D51" s="4" t="inlineStr">
        <is>
          <t>2026-04-01</t>
        </is>
      </c>
      <c r="E51" s="4" t="inlineStr">
        <is>
          <t>2026-04-07</t>
        </is>
      </c>
      <c r="F51" s="4" t="inlineStr">
        <is>
          <t>SIGVA</t>
        </is>
      </c>
      <c r="G51" s="5">
        <f>IF(H51="TT","TRABAJO TERMINADO",IF(H51="MI","TRABAJO NO TERMINADO",""))</f>
        <v/>
      </c>
      <c r="H51" s="6" t="inlineStr"/>
      <c r="I51" s="7">
        <f>IF(B51="", G51, IF(G51="", LEFT(B51,45), IF(45-LEN(G51)-2&lt;=0, G51, LEFT(B51,45-LEN(G51)-2)&amp;", "&amp;G51)))</f>
        <v/>
      </c>
      <c r="J51" s="8">
        <f>IF(H51="MI","NO REALIZADO " &amp; B51 &amp; " EN " &amp; C51 &amp; IF(K51&lt;&gt;""," " &amp; K51,""),IF(H51="TT","SE REALIZA " &amp; B51 &amp; " EN " &amp; C51 &amp; IF(K51&lt;&gt;""," " &amp; K51,""),""))</f>
        <v/>
      </c>
      <c r="K51" s="4" t="n"/>
      <c r="L51" s="4" t="inlineStr">
        <is>
          <t>ASUB</t>
        </is>
      </c>
    </row>
    <row r="52">
      <c r="A52" s="4" t="inlineStr">
        <is>
          <t>03649071</t>
        </is>
      </c>
      <c r="B52" s="4" t="inlineStr">
        <is>
          <t>MM DE AGUAS SUBTERRÁNEAS</t>
        </is>
      </c>
      <c r="C52" s="4" t="inlineStr">
        <is>
          <t>MIT-03 LIXIVIACIÓN</t>
        </is>
      </c>
      <c r="D52" s="4" t="inlineStr">
        <is>
          <t>2026-04-01</t>
        </is>
      </c>
      <c r="E52" s="4" t="inlineStr">
        <is>
          <t>2026-04-07</t>
        </is>
      </c>
      <c r="F52" s="4" t="inlineStr">
        <is>
          <t>SIGVA</t>
        </is>
      </c>
      <c r="G52" s="5">
        <f>IF(H52="TT","TRABAJO TERMINADO",IF(H52="MI","TRABAJO NO TERMINADO",""))</f>
        <v/>
      </c>
      <c r="H52" s="6" t="inlineStr"/>
      <c r="I52" s="7">
        <f>IF(B52="", G52, IF(G52="", LEFT(B52,45), IF(45-LEN(G52)-2&lt;=0, G52, LEFT(B52,45-LEN(G52)-2)&amp;", "&amp;G52)))</f>
        <v/>
      </c>
      <c r="J52" s="8">
        <f>IF(H52="MI","NO REALIZADO " &amp; B52 &amp; " EN " &amp; C52 &amp; IF(K52&lt;&gt;""," " &amp; K52,""),IF(H52="TT","SE REALIZA " &amp; B52 &amp; " EN " &amp; C52 &amp; IF(K52&lt;&gt;""," " &amp; K52,""),""))</f>
        <v/>
      </c>
      <c r="K52" s="4" t="n"/>
      <c r="L52" s="4" t="inlineStr">
        <is>
          <t>ASUB</t>
        </is>
      </c>
    </row>
    <row r="53">
      <c r="A53" s="4" t="inlineStr">
        <is>
          <t>03649072</t>
        </is>
      </c>
      <c r="B53" s="4" t="inlineStr">
        <is>
          <t>MEDICION DE NIVELES FREATICOS</t>
        </is>
      </c>
      <c r="C53" s="4" t="inlineStr">
        <is>
          <t>MIT-01B LIXIVIACIÓN</t>
        </is>
      </c>
      <c r="D53" s="4" t="inlineStr">
        <is>
          <t>2026-04-01</t>
        </is>
      </c>
      <c r="E53" s="4" t="inlineStr">
        <is>
          <t>2026-04-07</t>
        </is>
      </c>
      <c r="F53" s="4" t="inlineStr">
        <is>
          <t>SIGVA</t>
        </is>
      </c>
      <c r="G53" s="5">
        <f>IF(H53="TT","TRABAJO TERMINADO",IF(H53="MI","TRABAJO NO TERMINADO",""))</f>
        <v/>
      </c>
      <c r="H53" s="6" t="inlineStr"/>
      <c r="I53" s="7">
        <f>IF(B53="", G53, IF(G53="", LEFT(B53,45), IF(45-LEN(G53)-2&lt;=0, G53, LEFT(B53,45-LEN(G53)-2)&amp;", "&amp;G53)))</f>
        <v/>
      </c>
      <c r="J53" s="8">
        <f>IF(H53="MI","NO REALIZADO " &amp; B53 &amp; " EN " &amp; C53 &amp; IF(K53&lt;&gt;""," " &amp; K53,""),IF(H53="TT","SE REALIZA " &amp; B53 &amp; " EN " &amp; C53 &amp; IF(K53&lt;&gt;""," " &amp; K53,""),""))</f>
        <v/>
      </c>
      <c r="K53" s="4" t="n"/>
      <c r="L53" s="4" t="inlineStr">
        <is>
          <t>NF</t>
        </is>
      </c>
    </row>
    <row r="54">
      <c r="A54" s="4" t="inlineStr">
        <is>
          <t>03649073</t>
        </is>
      </c>
      <c r="B54" s="4" t="inlineStr">
        <is>
          <t>MEDICION DE NIVELES FREATICOS</t>
        </is>
      </c>
      <c r="C54" s="4" t="inlineStr">
        <is>
          <t>MIT-02B LIXIVIACIÓN</t>
        </is>
      </c>
      <c r="D54" s="4" t="inlineStr">
        <is>
          <t>2026-04-01</t>
        </is>
      </c>
      <c r="E54" s="4" t="inlineStr">
        <is>
          <t>2026-04-07</t>
        </is>
      </c>
      <c r="F54" s="4" t="inlineStr">
        <is>
          <t>SIGVA</t>
        </is>
      </c>
      <c r="G54" s="5">
        <f>IF(H54="TT","TRABAJO TERMINADO",IF(H54="MI","TRABAJO NO TERMINADO",""))</f>
        <v/>
      </c>
      <c r="H54" s="6" t="inlineStr"/>
      <c r="I54" s="7">
        <f>IF(B54="", G54, IF(G54="", LEFT(B54,45), IF(45-LEN(G54)-2&lt;=0, G54, LEFT(B54,45-LEN(G54)-2)&amp;", "&amp;G54)))</f>
        <v/>
      </c>
      <c r="J54" s="8">
        <f>IF(H54="MI","NO REALIZADO " &amp; B54 &amp; " EN " &amp; C54 &amp; IF(K54&lt;&gt;""," " &amp; K54,""),IF(H54="TT","SE REALIZA " &amp; B54 &amp; " EN " &amp; C54 &amp; IF(K54&lt;&gt;""," " &amp; K54,""),""))</f>
        <v/>
      </c>
      <c r="K54" s="4" t="n"/>
      <c r="L54" s="4" t="inlineStr">
        <is>
          <t>NF</t>
        </is>
      </c>
    </row>
    <row r="55">
      <c r="A55" s="4" t="inlineStr">
        <is>
          <t>03649074</t>
        </is>
      </c>
      <c r="B55" s="4" t="inlineStr">
        <is>
          <t>MEDICION DE NIVELES FREATICOS</t>
        </is>
      </c>
      <c r="C55" s="4" t="inlineStr">
        <is>
          <t>MIT-03 LIXIVIACIÓN</t>
        </is>
      </c>
      <c r="D55" s="4" t="inlineStr">
        <is>
          <t>2026-04-01</t>
        </is>
      </c>
      <c r="E55" s="4" t="inlineStr">
        <is>
          <t>2026-04-07</t>
        </is>
      </c>
      <c r="F55" s="4" t="inlineStr">
        <is>
          <t>SIGVA</t>
        </is>
      </c>
      <c r="G55" s="5">
        <f>IF(H55="TT","TRABAJO TERMINADO",IF(H55="MI","TRABAJO NO TERMINADO",""))</f>
        <v/>
      </c>
      <c r="H55" s="6" t="inlineStr"/>
      <c r="I55" s="7">
        <f>IF(B55="", G55, IF(G55="", LEFT(B55,45), IF(45-LEN(G55)-2&lt;=0, G55, LEFT(B55,45-LEN(G55)-2)&amp;", "&amp;G55)))</f>
        <v/>
      </c>
      <c r="J55" s="8">
        <f>IF(H55="MI","NO REALIZADO " &amp; B55 &amp; " EN " &amp; C55 &amp; IF(K55&lt;&gt;""," " &amp; K55,""),IF(H55="TT","SE REALIZA " &amp; B55 &amp; " EN " &amp; C55 &amp; IF(K55&lt;&gt;""," " &amp; K55,""),""))</f>
        <v/>
      </c>
      <c r="K55" s="4" t="n"/>
      <c r="L55" s="4" t="inlineStr">
        <is>
          <t>NF</t>
        </is>
      </c>
    </row>
    <row r="56">
      <c r="A56" s="4" t="inlineStr">
        <is>
          <t>03649075</t>
        </is>
      </c>
      <c r="B56" s="4" t="inlineStr">
        <is>
          <t>MM DE AGUAS SUBTERRÁNEAS</t>
        </is>
      </c>
      <c r="C56" s="4" t="inlineStr">
        <is>
          <t>MMA-01 MICHINCHA</t>
        </is>
      </c>
      <c r="D56" s="4" t="inlineStr">
        <is>
          <t>2026-04-01</t>
        </is>
      </c>
      <c r="E56" s="4" t="inlineStr">
        <is>
          <t>2026-04-07</t>
        </is>
      </c>
      <c r="F56" s="4" t="inlineStr">
        <is>
          <t>SIGVA</t>
        </is>
      </c>
      <c r="G56" s="5">
        <f>IF(H56="TT","TRABAJO TERMINADO",IF(H56="MI","TRABAJO NO TERMINADO",""))</f>
        <v/>
      </c>
      <c r="H56" s="6" t="inlineStr"/>
      <c r="I56" s="7">
        <f>IF(B56="", G56, IF(G56="", LEFT(B56,45), IF(45-LEN(G56)-2&lt;=0, G56, LEFT(B56,45-LEN(G56)-2)&amp;", "&amp;G56)))</f>
        <v/>
      </c>
      <c r="J56" s="8">
        <f>IF(H56="MI","NO REALIZADO " &amp; B56 &amp; " EN " &amp; C56 &amp; IF(K56&lt;&gt;""," " &amp; K56,""),IF(H56="TT","SE REALIZA " &amp; B56 &amp; " EN " &amp; C56 &amp; IF(K56&lt;&gt;""," " &amp; K56,""),""))</f>
        <v/>
      </c>
      <c r="K56" s="4" t="n"/>
      <c r="L56" s="4" t="inlineStr">
        <is>
          <t>ASUB</t>
        </is>
      </c>
    </row>
    <row r="57">
      <c r="A57" s="4" t="inlineStr">
        <is>
          <t>03649076</t>
        </is>
      </c>
      <c r="B57" s="4" t="inlineStr">
        <is>
          <t>MM DE AGUAS SUBTERRÁNEAS</t>
        </is>
      </c>
      <c r="C57" s="4" t="inlineStr">
        <is>
          <t>MMA-02 MICHINCHA</t>
        </is>
      </c>
      <c r="D57" s="4" t="inlineStr">
        <is>
          <t>2026-04-01</t>
        </is>
      </c>
      <c r="E57" s="4" t="inlineStr">
        <is>
          <t>2026-04-07</t>
        </is>
      </c>
      <c r="F57" s="4" t="inlineStr">
        <is>
          <t>SIGVA</t>
        </is>
      </c>
      <c r="G57" s="5">
        <f>IF(H57="TT","TRABAJO TERMINADO",IF(H57="MI","TRABAJO NO TERMINADO",""))</f>
        <v/>
      </c>
      <c r="H57" s="6" t="inlineStr"/>
      <c r="I57" s="7">
        <f>IF(B57="", G57, IF(G57="", LEFT(B57,45), IF(45-LEN(G57)-2&lt;=0, G57, LEFT(B57,45-LEN(G57)-2)&amp;", "&amp;G57)))</f>
        <v/>
      </c>
      <c r="J57" s="8">
        <f>IF(H57="MI","NO REALIZADO " &amp; B57 &amp; " EN " &amp; C57 &amp; IF(K57&lt;&gt;""," " &amp; K57,""),IF(H57="TT","SE REALIZA " &amp; B57 &amp; " EN " &amp; C57 &amp; IF(K57&lt;&gt;""," " &amp; K57,""),""))</f>
        <v/>
      </c>
      <c r="K57" s="4" t="n"/>
      <c r="L57" s="4" t="inlineStr">
        <is>
          <t>ASUB</t>
        </is>
      </c>
    </row>
    <row r="58">
      <c r="A58" s="4" t="inlineStr">
        <is>
          <t>03649077</t>
        </is>
      </c>
      <c r="B58" s="4" t="inlineStr">
        <is>
          <t>MM DE AGUAS SUBTERRÁNEAS</t>
        </is>
      </c>
      <c r="C58" s="4" t="inlineStr">
        <is>
          <t>MMA-03 MICHINCHA</t>
        </is>
      </c>
      <c r="D58" s="4" t="inlineStr">
        <is>
          <t>2026-04-01</t>
        </is>
      </c>
      <c r="E58" s="4" t="inlineStr">
        <is>
          <t>2026-04-07</t>
        </is>
      </c>
      <c r="F58" s="4" t="inlineStr">
        <is>
          <t>SIGVA</t>
        </is>
      </c>
      <c r="G58" s="5">
        <f>IF(H58="TT","TRABAJO TERMINADO",IF(H58="MI","TRABAJO NO TERMINADO",""))</f>
        <v/>
      </c>
      <c r="H58" s="6" t="inlineStr"/>
      <c r="I58" s="7">
        <f>IF(B58="", G58, IF(G58="", LEFT(B58,45), IF(45-LEN(G58)-2&lt;=0, G58, LEFT(B58,45-LEN(G58)-2)&amp;", "&amp;G58)))</f>
        <v/>
      </c>
      <c r="J58" s="8">
        <f>IF(H58="MI","NO REALIZADO " &amp; B58 &amp; " EN " &amp; C58 &amp; IF(K58&lt;&gt;""," " &amp; K58,""),IF(H58="TT","SE REALIZA " &amp; B58 &amp; " EN " &amp; C58 &amp; IF(K58&lt;&gt;""," " &amp; K58,""),""))</f>
        <v/>
      </c>
      <c r="K58" s="4" t="n"/>
      <c r="L58" s="4" t="inlineStr">
        <is>
          <t>ASUB</t>
        </is>
      </c>
    </row>
    <row r="59">
      <c r="A59" s="4" t="inlineStr">
        <is>
          <t>03649078</t>
        </is>
      </c>
      <c r="B59" s="4" t="inlineStr">
        <is>
          <t>MM DE AGUAS SUBTERRÁNEAS</t>
        </is>
      </c>
      <c r="C59" s="4" t="inlineStr">
        <is>
          <t>MMA-04 MICHINCHA</t>
        </is>
      </c>
      <c r="D59" s="4" t="inlineStr">
        <is>
          <t>2026-04-01</t>
        </is>
      </c>
      <c r="E59" s="4" t="inlineStr">
        <is>
          <t>2026-04-07</t>
        </is>
      </c>
      <c r="F59" s="4" t="inlineStr">
        <is>
          <t>SIGVA</t>
        </is>
      </c>
      <c r="G59" s="5">
        <f>IF(H59="TT","TRABAJO TERMINADO",IF(H59="MI","TRABAJO NO TERMINADO",""))</f>
        <v/>
      </c>
      <c r="H59" s="6" t="inlineStr"/>
      <c r="I59" s="7">
        <f>IF(B59="", G59, IF(G59="", LEFT(B59,45), IF(45-LEN(G59)-2&lt;=0, G59, LEFT(B59,45-LEN(G59)-2)&amp;", "&amp;G59)))</f>
        <v/>
      </c>
      <c r="J59" s="8">
        <f>IF(H59="MI","NO REALIZADO " &amp; B59 &amp; " EN " &amp; C59 &amp; IF(K59&lt;&gt;""," " &amp; K59,""),IF(H59="TT","SE REALIZA " &amp; B59 &amp; " EN " &amp; C59 &amp; IF(K59&lt;&gt;""," " &amp; K59,""),""))</f>
        <v/>
      </c>
      <c r="K59" s="4" t="n"/>
      <c r="L59" s="4" t="inlineStr">
        <is>
          <t>ASUB</t>
        </is>
      </c>
    </row>
    <row r="60">
      <c r="A60" s="4" t="inlineStr">
        <is>
          <t>03649079</t>
        </is>
      </c>
      <c r="B60" s="4" t="inlineStr">
        <is>
          <t>MM DE AGUAS SUBTERRÁNEAS</t>
        </is>
      </c>
      <c r="C60" s="4" t="inlineStr">
        <is>
          <t>MMA-05 MICHINCHA</t>
        </is>
      </c>
      <c r="D60" s="4" t="inlineStr">
        <is>
          <t>2026-04-01</t>
        </is>
      </c>
      <c r="E60" s="4" t="inlineStr">
        <is>
          <t>2026-04-07</t>
        </is>
      </c>
      <c r="F60" s="4" t="inlineStr">
        <is>
          <t>SIGVA</t>
        </is>
      </c>
      <c r="G60" s="5">
        <f>IF(H60="TT","TRABAJO TERMINADO",IF(H60="MI","TRABAJO NO TERMINADO",""))</f>
        <v/>
      </c>
      <c r="H60" s="6" t="inlineStr"/>
      <c r="I60" s="7">
        <f>IF(B60="", G60, IF(G60="", LEFT(B60,45), IF(45-LEN(G60)-2&lt;=0, G60, LEFT(B60,45-LEN(G60)-2)&amp;", "&amp;G60)))</f>
        <v/>
      </c>
      <c r="J60" s="8">
        <f>IF(H60="MI","NO REALIZADO " &amp; B60 &amp; " EN " &amp; C60 &amp; IF(K60&lt;&gt;""," " &amp; K60,""),IF(H60="TT","SE REALIZA " &amp; B60 &amp; " EN " &amp; C60 &amp; IF(K60&lt;&gt;""," " &amp; K60,""),""))</f>
        <v/>
      </c>
      <c r="K60" s="4" t="n"/>
      <c r="L60" s="4" t="inlineStr">
        <is>
          <t>ASUB</t>
        </is>
      </c>
    </row>
    <row r="61">
      <c r="A61" s="4" t="inlineStr">
        <is>
          <t>03649080</t>
        </is>
      </c>
      <c r="B61" s="4" t="inlineStr">
        <is>
          <t>MM DE AGUAS SUBTERRÁNEAS</t>
        </is>
      </c>
      <c r="C61" s="4" t="inlineStr">
        <is>
          <t>MMA-06 MICHINCHA</t>
        </is>
      </c>
      <c r="D61" s="4" t="inlineStr">
        <is>
          <t>2026-04-01</t>
        </is>
      </c>
      <c r="E61" s="4" t="inlineStr">
        <is>
          <t>2026-04-07</t>
        </is>
      </c>
      <c r="F61" s="4" t="inlineStr">
        <is>
          <t>SIGVA</t>
        </is>
      </c>
      <c r="G61" s="5">
        <f>IF(H61="TT","TRABAJO TERMINADO",IF(H61="MI","TRABAJO NO TERMINADO",""))</f>
        <v/>
      </c>
      <c r="H61" s="6" t="inlineStr"/>
      <c r="I61" s="7">
        <f>IF(B61="", G61, IF(G61="", LEFT(B61,45), IF(45-LEN(G61)-2&lt;=0, G61, LEFT(B61,45-LEN(G61)-2)&amp;", "&amp;G61)))</f>
        <v/>
      </c>
      <c r="J61" s="8">
        <f>IF(H61="MI","NO REALIZADO " &amp; B61 &amp; " EN " &amp; C61 &amp; IF(K61&lt;&gt;""," " &amp; K61,""),IF(H61="TT","SE REALIZA " &amp; B61 &amp; " EN " &amp; C61 &amp; IF(K61&lt;&gt;""," " &amp; K61,""),""))</f>
        <v/>
      </c>
      <c r="K61" s="4" t="n"/>
      <c r="L61" s="4" t="inlineStr">
        <is>
          <t>ASUB</t>
        </is>
      </c>
    </row>
    <row r="62">
      <c r="A62" s="4" t="inlineStr">
        <is>
          <t>03649081</t>
        </is>
      </c>
      <c r="B62" s="4" t="inlineStr">
        <is>
          <t>MM DE AGUAS SUBTERRÁNEAS</t>
        </is>
      </c>
      <c r="C62" s="4" t="inlineStr">
        <is>
          <t>MMA-07 MICHINCHA</t>
        </is>
      </c>
      <c r="D62" s="4" t="inlineStr">
        <is>
          <t>2026-04-01</t>
        </is>
      </c>
      <c r="E62" s="4" t="inlineStr">
        <is>
          <t>2026-04-07</t>
        </is>
      </c>
      <c r="F62" s="4" t="inlineStr">
        <is>
          <t>SIGVA</t>
        </is>
      </c>
      <c r="G62" s="5">
        <f>IF(H62="TT","TRABAJO TERMINADO",IF(H62="MI","TRABAJO NO TERMINADO",""))</f>
        <v/>
      </c>
      <c r="H62" s="6" t="inlineStr"/>
      <c r="I62" s="7">
        <f>IF(B62="", G62, IF(G62="", LEFT(B62,45), IF(45-LEN(G62)-2&lt;=0, G62, LEFT(B62,45-LEN(G62)-2)&amp;", "&amp;G62)))</f>
        <v/>
      </c>
      <c r="J62" s="8">
        <f>IF(H62="MI","NO REALIZADO " &amp; B62 &amp; " EN " &amp; C62 &amp; IF(K62&lt;&gt;""," " &amp; K62,""),IF(H62="TT","SE REALIZA " &amp; B62 &amp; " EN " &amp; C62 &amp; IF(K62&lt;&gt;""," " &amp; K62,""),""))</f>
        <v/>
      </c>
      <c r="K62" s="4" t="n"/>
      <c r="L62" s="4" t="inlineStr">
        <is>
          <t>ASUB</t>
        </is>
      </c>
    </row>
    <row r="63">
      <c r="A63" s="4" t="inlineStr">
        <is>
          <t>03649082</t>
        </is>
      </c>
      <c r="B63" s="4" t="inlineStr">
        <is>
          <t>MM DE AGUAS SUBTERRÁNEAS</t>
        </is>
      </c>
      <c r="C63" s="4" t="inlineStr">
        <is>
          <t>MMA-08 MICHINCHA</t>
        </is>
      </c>
      <c r="D63" s="4" t="inlineStr">
        <is>
          <t>2026-04-01</t>
        </is>
      </c>
      <c r="E63" s="4" t="inlineStr">
        <is>
          <t>2026-04-07</t>
        </is>
      </c>
      <c r="F63" s="4" t="inlineStr">
        <is>
          <t>SIGVA</t>
        </is>
      </c>
      <c r="G63" s="5">
        <f>IF(H63="TT","TRABAJO TERMINADO",IF(H63="MI","TRABAJO NO TERMINADO",""))</f>
        <v/>
      </c>
      <c r="H63" s="6" t="inlineStr"/>
      <c r="I63" s="7">
        <f>IF(B63="", G63, IF(G63="", LEFT(B63,45), IF(45-LEN(G63)-2&lt;=0, G63, LEFT(B63,45-LEN(G63)-2)&amp;", "&amp;G63)))</f>
        <v/>
      </c>
      <c r="J63" s="8">
        <f>IF(H63="MI","NO REALIZADO " &amp; B63 &amp; " EN " &amp; C63 &amp; IF(K63&lt;&gt;""," " &amp; K63,""),IF(H63="TT","SE REALIZA " &amp; B63 &amp; " EN " &amp; C63 &amp; IF(K63&lt;&gt;""," " &amp; K63,""),""))</f>
        <v/>
      </c>
      <c r="K63" s="4" t="n"/>
      <c r="L63" s="4" t="inlineStr">
        <is>
          <t>ASUB</t>
        </is>
      </c>
    </row>
    <row r="64">
      <c r="A64" s="4" t="inlineStr">
        <is>
          <t>03649083</t>
        </is>
      </c>
      <c r="B64" s="4" t="inlineStr">
        <is>
          <t>MM DE AGUAS SUBTERRÁNEAS</t>
        </is>
      </c>
      <c r="C64" s="4" t="inlineStr">
        <is>
          <t>MMA-09 MICHINCHA</t>
        </is>
      </c>
      <c r="D64" s="4" t="inlineStr">
        <is>
          <t>2026-04-01</t>
        </is>
      </c>
      <c r="E64" s="4" t="inlineStr">
        <is>
          <t>2026-04-07</t>
        </is>
      </c>
      <c r="F64" s="4" t="inlineStr">
        <is>
          <t>SIGVA</t>
        </is>
      </c>
      <c r="G64" s="5">
        <f>IF(H64="TT","TRABAJO TERMINADO",IF(H64="MI","TRABAJO NO TERMINADO",""))</f>
        <v/>
      </c>
      <c r="H64" s="6" t="inlineStr"/>
      <c r="I64" s="7">
        <f>IF(B64="", G64, IF(G64="", LEFT(B64,45), IF(45-LEN(G64)-2&lt;=0, G64, LEFT(B64,45-LEN(G64)-2)&amp;", "&amp;G64)))</f>
        <v/>
      </c>
      <c r="J64" s="8">
        <f>IF(H64="MI","NO REALIZADO " &amp; B64 &amp; " EN " &amp; C64 &amp; IF(K64&lt;&gt;""," " &amp; K64,""),IF(H64="TT","SE REALIZA " &amp; B64 &amp; " EN " &amp; C64 &amp; IF(K64&lt;&gt;""," " &amp; K64,""),""))</f>
        <v/>
      </c>
      <c r="K64" s="4" t="n"/>
      <c r="L64" s="4" t="inlineStr">
        <is>
          <t>ASUB</t>
        </is>
      </c>
    </row>
    <row r="65">
      <c r="A65" s="4" t="inlineStr">
        <is>
          <t>03649084</t>
        </is>
      </c>
      <c r="B65" s="4" t="inlineStr">
        <is>
          <t>MM DE AGUAS SUBTERRÁNEAS</t>
        </is>
      </c>
      <c r="C65" s="4" t="inlineStr">
        <is>
          <t>MMA-10 MICHINCHA</t>
        </is>
      </c>
      <c r="D65" s="4" t="inlineStr">
        <is>
          <t>2026-04-01</t>
        </is>
      </c>
      <c r="E65" s="4" t="inlineStr">
        <is>
          <t>2026-04-07</t>
        </is>
      </c>
      <c r="F65" s="4" t="inlineStr">
        <is>
          <t>SIGVA</t>
        </is>
      </c>
      <c r="G65" s="5">
        <f>IF(H65="TT","TRABAJO TERMINADO",IF(H65="MI","TRABAJO NO TERMINADO",""))</f>
        <v/>
      </c>
      <c r="H65" s="6" t="inlineStr"/>
      <c r="I65" s="7">
        <f>IF(B65="", G65, IF(G65="", LEFT(B65,45), IF(45-LEN(G65)-2&lt;=0, G65, LEFT(B65,45-LEN(G65)-2)&amp;", "&amp;G65)))</f>
        <v/>
      </c>
      <c r="J65" s="8">
        <f>IF(H65="MI","NO REALIZADO " &amp; B65 &amp; " EN " &amp; C65 &amp; IF(K65&lt;&gt;""," " &amp; K65,""),IF(H65="TT","SE REALIZA " &amp; B65 &amp; " EN " &amp; C65 &amp; IF(K65&lt;&gt;""," " &amp; K65,""),""))</f>
        <v/>
      </c>
      <c r="K65" s="4" t="n"/>
      <c r="L65" s="4" t="inlineStr">
        <is>
          <t>ASUB</t>
        </is>
      </c>
    </row>
    <row r="66">
      <c r="A66" s="4" t="inlineStr">
        <is>
          <t>03649085</t>
        </is>
      </c>
      <c r="B66" s="4" t="inlineStr">
        <is>
          <t>MM DE AGUAS SUBTERRÁNEAS</t>
        </is>
      </c>
      <c r="C66" s="4" t="inlineStr">
        <is>
          <t>MMA-11 MICHINCHA</t>
        </is>
      </c>
      <c r="D66" s="4" t="inlineStr">
        <is>
          <t>2026-04-01</t>
        </is>
      </c>
      <c r="E66" s="4" t="inlineStr">
        <is>
          <t>2026-04-07</t>
        </is>
      </c>
      <c r="F66" s="4" t="inlineStr">
        <is>
          <t>SIGVA</t>
        </is>
      </c>
      <c r="G66" s="5">
        <f>IF(H66="TT","TRABAJO TERMINADO",IF(H66="MI","TRABAJO NO TERMINADO",""))</f>
        <v/>
      </c>
      <c r="H66" s="6" t="inlineStr"/>
      <c r="I66" s="7">
        <f>IF(B66="", G66, IF(G66="", LEFT(B66,45), IF(45-LEN(G66)-2&lt;=0, G66, LEFT(B66,45-LEN(G66)-2)&amp;", "&amp;G66)))</f>
        <v/>
      </c>
      <c r="J66" s="8">
        <f>IF(H66="MI","NO REALIZADO " &amp; B66 &amp; " EN " &amp; C66 &amp; IF(K66&lt;&gt;""," " &amp; K66,""),IF(H66="TT","SE REALIZA " &amp; B66 &amp; " EN " &amp; C66 &amp; IF(K66&lt;&gt;""," " &amp; K66,""),""))</f>
        <v/>
      </c>
      <c r="K66" s="4" t="n"/>
      <c r="L66" s="4" t="inlineStr">
        <is>
          <t>ASUB</t>
        </is>
      </c>
    </row>
    <row r="67">
      <c r="A67" s="4" t="inlineStr">
        <is>
          <t>03649086</t>
        </is>
      </c>
      <c r="B67" s="4" t="inlineStr">
        <is>
          <t>MM DE AGUAS SUBTERRÁNEAS</t>
        </is>
      </c>
      <c r="C67" s="4" t="inlineStr">
        <is>
          <t>MMA-12 MICHINCHA</t>
        </is>
      </c>
      <c r="D67" s="4" t="inlineStr">
        <is>
          <t>2026-04-01</t>
        </is>
      </c>
      <c r="E67" s="4" t="inlineStr">
        <is>
          <t>2026-04-07</t>
        </is>
      </c>
      <c r="F67" s="4" t="inlineStr">
        <is>
          <t>SIGVA</t>
        </is>
      </c>
      <c r="G67" s="5">
        <f>IF(H67="TT","TRABAJO TERMINADO",IF(H67="MI","TRABAJO NO TERMINADO",""))</f>
        <v/>
      </c>
      <c r="H67" s="6" t="inlineStr"/>
      <c r="I67" s="7">
        <f>IF(B67="", G67, IF(G67="", LEFT(B67,45), IF(45-LEN(G67)-2&lt;=0, G67, LEFT(B67,45-LEN(G67)-2)&amp;", "&amp;G67)))</f>
        <v/>
      </c>
      <c r="J67" s="8">
        <f>IF(H67="MI","NO REALIZADO " &amp; B67 &amp; " EN " &amp; C67 &amp; IF(K67&lt;&gt;""," " &amp; K67,""),IF(H67="TT","SE REALIZA " &amp; B67 &amp; " EN " &amp; C67 &amp; IF(K67&lt;&gt;""," " &amp; K67,""),""))</f>
        <v/>
      </c>
      <c r="K67" s="4" t="n"/>
      <c r="L67" s="4" t="inlineStr">
        <is>
          <t>ASUB</t>
        </is>
      </c>
    </row>
    <row r="68">
      <c r="A68" s="4" t="inlineStr">
        <is>
          <t>03649087</t>
        </is>
      </c>
      <c r="B68" s="4" t="inlineStr">
        <is>
          <t>MM DE AGUAS SUBTERRÁNEAS</t>
        </is>
      </c>
      <c r="C68" s="4" t="inlineStr">
        <is>
          <t>MMA-13 MICHINCHA</t>
        </is>
      </c>
      <c r="D68" s="4" t="inlineStr">
        <is>
          <t>2026-04-01</t>
        </is>
      </c>
      <c r="E68" s="4" t="inlineStr">
        <is>
          <t>2026-04-07</t>
        </is>
      </c>
      <c r="F68" s="4" t="inlineStr">
        <is>
          <t>SIGVA</t>
        </is>
      </c>
      <c r="G68" s="5">
        <f>IF(H68="TT","TRABAJO TERMINADO",IF(H68="MI","TRABAJO NO TERMINADO",""))</f>
        <v/>
      </c>
      <c r="H68" s="6" t="inlineStr"/>
      <c r="I68" s="7">
        <f>IF(B68="", G68, IF(G68="", LEFT(B68,45), IF(45-LEN(G68)-2&lt;=0, G68, LEFT(B68,45-LEN(G68)-2)&amp;", "&amp;G68)))</f>
        <v/>
      </c>
      <c r="J68" s="8">
        <f>IF(H68="MI","NO REALIZADO " &amp; B68 &amp; " EN " &amp; C68 &amp; IF(K68&lt;&gt;""," " &amp; K68,""),IF(H68="TT","SE REALIZA " &amp; B68 &amp; " EN " &amp; C68 &amp; IF(K68&lt;&gt;""," " &amp; K68,""),""))</f>
        <v/>
      </c>
      <c r="K68" s="4" t="n"/>
      <c r="L68" s="4" t="inlineStr">
        <is>
          <t>ASUB</t>
        </is>
      </c>
    </row>
    <row r="69">
      <c r="A69" s="4" t="inlineStr">
        <is>
          <t>03649088</t>
        </is>
      </c>
      <c r="B69" s="4" t="inlineStr">
        <is>
          <t>MM DE AGUAS SUBTERRÁNEAS</t>
        </is>
      </c>
      <c r="C69" s="4" t="inlineStr">
        <is>
          <t>MMA-14 MICHINCHA</t>
        </is>
      </c>
      <c r="D69" s="4" t="inlineStr">
        <is>
          <t>2026-04-01</t>
        </is>
      </c>
      <c r="E69" s="4" t="inlineStr">
        <is>
          <t>2026-04-07</t>
        </is>
      </c>
      <c r="F69" s="4" t="inlineStr">
        <is>
          <t>SIGVA</t>
        </is>
      </c>
      <c r="G69" s="5">
        <f>IF(H69="TT","TRABAJO TERMINADO",IF(H69="MI","TRABAJO NO TERMINADO",""))</f>
        <v/>
      </c>
      <c r="H69" s="6" t="inlineStr"/>
      <c r="I69" s="7">
        <f>IF(B69="", G69, IF(G69="", LEFT(B69,45), IF(45-LEN(G69)-2&lt;=0, G69, LEFT(B69,45-LEN(G69)-2)&amp;", "&amp;G69)))</f>
        <v/>
      </c>
      <c r="J69" s="8">
        <f>IF(H69="MI","NO REALIZADO " &amp; B69 &amp; " EN " &amp; C69 &amp; IF(K69&lt;&gt;""," " &amp; K69,""),IF(H69="TT","SE REALIZA " &amp; B69 &amp; " EN " &amp; C69 &amp; IF(K69&lt;&gt;""," " &amp; K69,""),""))</f>
        <v/>
      </c>
      <c r="K69" s="4" t="n"/>
      <c r="L69" s="4" t="inlineStr">
        <is>
          <t>ASUB</t>
        </is>
      </c>
    </row>
    <row r="70">
      <c r="A70" s="4" t="inlineStr">
        <is>
          <t>03649089</t>
        </is>
      </c>
      <c r="B70" s="4" t="inlineStr">
        <is>
          <t>MEDICION DE NIVELES FREATICOS</t>
        </is>
      </c>
      <c r="C70" s="4" t="inlineStr">
        <is>
          <t>MMA-01 MICHINCHA</t>
        </is>
      </c>
      <c r="D70" s="4" t="inlineStr">
        <is>
          <t>2026-04-01</t>
        </is>
      </c>
      <c r="E70" s="4" t="inlineStr">
        <is>
          <t>2026-04-07</t>
        </is>
      </c>
      <c r="F70" s="4" t="inlineStr">
        <is>
          <t>SIGVA</t>
        </is>
      </c>
      <c r="G70" s="5">
        <f>IF(H70="TT","TRABAJO TERMINADO",IF(H70="MI","TRABAJO NO TERMINADO",""))</f>
        <v/>
      </c>
      <c r="H70" s="6" t="inlineStr"/>
      <c r="I70" s="7">
        <f>IF(B70="", G70, IF(G70="", LEFT(B70,45), IF(45-LEN(G70)-2&lt;=0, G70, LEFT(B70,45-LEN(G70)-2)&amp;", "&amp;G70)))</f>
        <v/>
      </c>
      <c r="J70" s="8">
        <f>IF(H70="MI","NO REALIZADO " &amp; B70 &amp; " EN " &amp; C70 &amp; IF(K70&lt;&gt;""," " &amp; K70,""),IF(H70="TT","SE REALIZA " &amp; B70 &amp; " EN " &amp; C70 &amp; IF(K70&lt;&gt;""," " &amp; K70,""),""))</f>
        <v/>
      </c>
      <c r="K70" s="4" t="n"/>
      <c r="L70" s="4" t="inlineStr">
        <is>
          <t>NF</t>
        </is>
      </c>
    </row>
    <row r="71">
      <c r="A71" s="4" t="inlineStr">
        <is>
          <t>03649090</t>
        </is>
      </c>
      <c r="B71" s="4" t="inlineStr">
        <is>
          <t>MEDICION DE NIVELES FREATICOS</t>
        </is>
      </c>
      <c r="C71" s="4" t="inlineStr">
        <is>
          <t>MMA-02 MICHINCHA</t>
        </is>
      </c>
      <c r="D71" s="4" t="inlineStr">
        <is>
          <t>2026-04-01</t>
        </is>
      </c>
      <c r="E71" s="4" t="inlineStr">
        <is>
          <t>2026-04-07</t>
        </is>
      </c>
      <c r="F71" s="4" t="inlineStr">
        <is>
          <t>SIGVA</t>
        </is>
      </c>
      <c r="G71" s="5">
        <f>IF(H71="TT","TRABAJO TERMINADO",IF(H71="MI","TRABAJO NO TERMINADO",""))</f>
        <v/>
      </c>
      <c r="H71" s="6" t="inlineStr"/>
      <c r="I71" s="7">
        <f>IF(B71="", G71, IF(G71="", LEFT(B71,45), IF(45-LEN(G71)-2&lt;=0, G71, LEFT(B71,45-LEN(G71)-2)&amp;", "&amp;G71)))</f>
        <v/>
      </c>
      <c r="J71" s="8">
        <f>IF(H71="MI","NO REALIZADO " &amp; B71 &amp; " EN " &amp; C71 &amp; IF(K71&lt;&gt;""," " &amp; K71,""),IF(H71="TT","SE REALIZA " &amp; B71 &amp; " EN " &amp; C71 &amp; IF(K71&lt;&gt;""," " &amp; K71,""),""))</f>
        <v/>
      </c>
      <c r="K71" s="4" t="n"/>
      <c r="L71" s="4" t="inlineStr">
        <is>
          <t>NF</t>
        </is>
      </c>
    </row>
    <row r="72">
      <c r="A72" s="4" t="inlineStr">
        <is>
          <t>03649091</t>
        </is>
      </c>
      <c r="B72" s="4" t="inlineStr">
        <is>
          <t>MEDICION DE NIVELES FREATICOS</t>
        </is>
      </c>
      <c r="C72" s="4" t="inlineStr">
        <is>
          <t>MMA-03 MICHINCHA</t>
        </is>
      </c>
      <c r="D72" s="4" t="inlineStr">
        <is>
          <t>2026-04-01</t>
        </is>
      </c>
      <c r="E72" s="4" t="inlineStr">
        <is>
          <t>2026-04-07</t>
        </is>
      </c>
      <c r="F72" s="4" t="inlineStr">
        <is>
          <t>SIGVA</t>
        </is>
      </c>
      <c r="G72" s="5">
        <f>IF(H72="TT","TRABAJO TERMINADO",IF(H72="MI","TRABAJO NO TERMINADO",""))</f>
        <v/>
      </c>
      <c r="H72" s="6" t="inlineStr"/>
      <c r="I72" s="7">
        <f>IF(B72="", G72, IF(G72="", LEFT(B72,45), IF(45-LEN(G72)-2&lt;=0, G72, LEFT(B72,45-LEN(G72)-2)&amp;", "&amp;G72)))</f>
        <v/>
      </c>
      <c r="J72" s="8">
        <f>IF(H72="MI","NO REALIZADO " &amp; B72 &amp; " EN " &amp; C72 &amp; IF(K72&lt;&gt;""," " &amp; K72,""),IF(H72="TT","SE REALIZA " &amp; B72 &amp; " EN " &amp; C72 &amp; IF(K72&lt;&gt;""," " &amp; K72,""),""))</f>
        <v/>
      </c>
      <c r="K72" s="4" t="n"/>
      <c r="L72" s="4" t="inlineStr">
        <is>
          <t>NF</t>
        </is>
      </c>
    </row>
    <row r="73">
      <c r="A73" s="4" t="inlineStr">
        <is>
          <t>03649092</t>
        </is>
      </c>
      <c r="B73" s="4" t="inlineStr">
        <is>
          <t>MEDICION DE NIVELES FREATICOS</t>
        </is>
      </c>
      <c r="C73" s="4" t="inlineStr">
        <is>
          <t>MMA-04 MICHINCHA</t>
        </is>
      </c>
      <c r="D73" s="4" t="inlineStr">
        <is>
          <t>2026-04-01</t>
        </is>
      </c>
      <c r="E73" s="4" t="inlineStr">
        <is>
          <t>2026-04-07</t>
        </is>
      </c>
      <c r="F73" s="4" t="inlineStr">
        <is>
          <t>SIGVA</t>
        </is>
      </c>
      <c r="G73" s="5">
        <f>IF(H73="TT","TRABAJO TERMINADO",IF(H73="MI","TRABAJO NO TERMINADO",""))</f>
        <v/>
      </c>
      <c r="H73" s="6" t="inlineStr"/>
      <c r="I73" s="7">
        <f>IF(B73="", G73, IF(G73="", LEFT(B73,45), IF(45-LEN(G73)-2&lt;=0, G73, LEFT(B73,45-LEN(G73)-2)&amp;", "&amp;G73)))</f>
        <v/>
      </c>
      <c r="J73" s="8">
        <f>IF(H73="MI","NO REALIZADO " &amp; B73 &amp; " EN " &amp; C73 &amp; IF(K73&lt;&gt;""," " &amp; K73,""),IF(H73="TT","SE REALIZA " &amp; B73 &amp; " EN " &amp; C73 &amp; IF(K73&lt;&gt;""," " &amp; K73,""),""))</f>
        <v/>
      </c>
      <c r="K73" s="4" t="n"/>
      <c r="L73" s="4" t="inlineStr">
        <is>
          <t>NF</t>
        </is>
      </c>
    </row>
    <row r="74">
      <c r="A74" s="4" t="inlineStr">
        <is>
          <t>03649093</t>
        </is>
      </c>
      <c r="B74" s="4" t="inlineStr">
        <is>
          <t>MEDICION DE NIVELES FREATICOS</t>
        </is>
      </c>
      <c r="C74" s="4" t="inlineStr">
        <is>
          <t>MMA-05 MICHINCHA</t>
        </is>
      </c>
      <c r="D74" s="4" t="inlineStr">
        <is>
          <t>2026-04-01</t>
        </is>
      </c>
      <c r="E74" s="4" t="inlineStr">
        <is>
          <t>2026-04-07</t>
        </is>
      </c>
      <c r="F74" s="4" t="inlineStr">
        <is>
          <t>SIGVA</t>
        </is>
      </c>
      <c r="G74" s="5">
        <f>IF(H74="TT","TRABAJO TERMINADO",IF(H74="MI","TRABAJO NO TERMINADO",""))</f>
        <v/>
      </c>
      <c r="H74" s="6" t="inlineStr"/>
      <c r="I74" s="7">
        <f>IF(B74="", G74, IF(G74="", LEFT(B74,45), IF(45-LEN(G74)-2&lt;=0, G74, LEFT(B74,45-LEN(G74)-2)&amp;", "&amp;G74)))</f>
        <v/>
      </c>
      <c r="J74" s="8">
        <f>IF(H74="MI","NO REALIZADO " &amp; B74 &amp; " EN " &amp; C74 &amp; IF(K74&lt;&gt;""," " &amp; K74,""),IF(H74="TT","SE REALIZA " &amp; B74 &amp; " EN " &amp; C74 &amp; IF(K74&lt;&gt;""," " &amp; K74,""),""))</f>
        <v/>
      </c>
      <c r="K74" s="4" t="n"/>
      <c r="L74" s="4" t="inlineStr">
        <is>
          <t>NF</t>
        </is>
      </c>
    </row>
    <row r="75">
      <c r="A75" s="4" t="inlineStr">
        <is>
          <t>03649094</t>
        </is>
      </c>
      <c r="B75" s="4" t="inlineStr">
        <is>
          <t>MEDICION DE NIVELES FREATICOS</t>
        </is>
      </c>
      <c r="C75" s="4" t="inlineStr">
        <is>
          <t>MMA-06 MICHINCHA</t>
        </is>
      </c>
      <c r="D75" s="4" t="inlineStr">
        <is>
          <t>2026-04-01</t>
        </is>
      </c>
      <c r="E75" s="4" t="inlineStr">
        <is>
          <t>2026-04-07</t>
        </is>
      </c>
      <c r="F75" s="4" t="inlineStr">
        <is>
          <t>SIGVA</t>
        </is>
      </c>
      <c r="G75" s="5">
        <f>IF(H75="TT","TRABAJO TERMINADO",IF(H75="MI","TRABAJO NO TERMINADO",""))</f>
        <v/>
      </c>
      <c r="H75" s="6" t="inlineStr"/>
      <c r="I75" s="7">
        <f>IF(B75="", G75, IF(G75="", LEFT(B75,45), IF(45-LEN(G75)-2&lt;=0, G75, LEFT(B75,45-LEN(G75)-2)&amp;", "&amp;G75)))</f>
        <v/>
      </c>
      <c r="J75" s="8">
        <f>IF(H75="MI","NO REALIZADO " &amp; B75 &amp; " EN " &amp; C75 &amp; IF(K75&lt;&gt;""," " &amp; K75,""),IF(H75="TT","SE REALIZA " &amp; B75 &amp; " EN " &amp; C75 &amp; IF(K75&lt;&gt;""," " &amp; K75,""),""))</f>
        <v/>
      </c>
      <c r="K75" s="4" t="n"/>
      <c r="L75" s="4" t="inlineStr">
        <is>
          <t>NF</t>
        </is>
      </c>
    </row>
    <row r="76">
      <c r="A76" s="4" t="inlineStr">
        <is>
          <t>03649095</t>
        </is>
      </c>
      <c r="B76" s="4" t="inlineStr">
        <is>
          <t>MEDICION DE NIVELES FREATICOS</t>
        </is>
      </c>
      <c r="C76" s="4" t="inlineStr">
        <is>
          <t>MMA-07 MICHINCHA</t>
        </is>
      </c>
      <c r="D76" s="4" t="inlineStr">
        <is>
          <t>2026-04-01</t>
        </is>
      </c>
      <c r="E76" s="4" t="inlineStr">
        <is>
          <t>2026-04-07</t>
        </is>
      </c>
      <c r="F76" s="4" t="inlineStr">
        <is>
          <t>SIGVA</t>
        </is>
      </c>
      <c r="G76" s="5">
        <f>IF(H76="TT","TRABAJO TERMINADO",IF(H76="MI","TRABAJO NO TERMINADO",""))</f>
        <v/>
      </c>
      <c r="H76" s="6" t="inlineStr"/>
      <c r="I76" s="7">
        <f>IF(B76="", G76, IF(G76="", LEFT(B76,45), IF(45-LEN(G76)-2&lt;=0, G76, LEFT(B76,45-LEN(G76)-2)&amp;", "&amp;G76)))</f>
        <v/>
      </c>
      <c r="J76" s="8">
        <f>IF(H76="MI","NO REALIZADO " &amp; B76 &amp; " EN " &amp; C76 &amp; IF(K76&lt;&gt;""," " &amp; K76,""),IF(H76="TT","SE REALIZA " &amp; B76 &amp; " EN " &amp; C76 &amp; IF(K76&lt;&gt;""," " &amp; K76,""),""))</f>
        <v/>
      </c>
      <c r="K76" s="4" t="n"/>
      <c r="L76" s="4" t="inlineStr">
        <is>
          <t>NF</t>
        </is>
      </c>
    </row>
    <row r="77">
      <c r="A77" s="4" t="inlineStr">
        <is>
          <t>03649096</t>
        </is>
      </c>
      <c r="B77" s="4" t="inlineStr">
        <is>
          <t>MEDICION DE NIVELES FREATICOS</t>
        </is>
      </c>
      <c r="C77" s="4" t="inlineStr">
        <is>
          <t>MMA-08 MICHINCHA</t>
        </is>
      </c>
      <c r="D77" s="4" t="inlineStr">
        <is>
          <t>2026-04-01</t>
        </is>
      </c>
      <c r="E77" s="4" t="inlineStr">
        <is>
          <t>2026-04-07</t>
        </is>
      </c>
      <c r="F77" s="4" t="inlineStr">
        <is>
          <t>SIGVA</t>
        </is>
      </c>
      <c r="G77" s="5">
        <f>IF(H77="TT","TRABAJO TERMINADO",IF(H77="MI","TRABAJO NO TERMINADO",""))</f>
        <v/>
      </c>
      <c r="H77" s="6" t="inlineStr"/>
      <c r="I77" s="7">
        <f>IF(B77="", G77, IF(G77="", LEFT(B77,45), IF(45-LEN(G77)-2&lt;=0, G77, LEFT(B77,45-LEN(G77)-2)&amp;", "&amp;G77)))</f>
        <v/>
      </c>
      <c r="J77" s="8">
        <f>IF(H77="MI","NO REALIZADO " &amp; B77 &amp; " EN " &amp; C77 &amp; IF(K77&lt;&gt;""," " &amp; K77,""),IF(H77="TT","SE REALIZA " &amp; B77 &amp; " EN " &amp; C77 &amp; IF(K77&lt;&gt;""," " &amp; K77,""),""))</f>
        <v/>
      </c>
      <c r="K77" s="4" t="n"/>
      <c r="L77" s="4" t="inlineStr">
        <is>
          <t>NF</t>
        </is>
      </c>
    </row>
    <row r="78">
      <c r="A78" s="4" t="inlineStr">
        <is>
          <t>03649097</t>
        </is>
      </c>
      <c r="B78" s="4" t="inlineStr">
        <is>
          <t>MEDICION DE NIVELES FREATICOS</t>
        </is>
      </c>
      <c r="C78" s="4" t="inlineStr">
        <is>
          <t>MMA-09 MICHINCHA</t>
        </is>
      </c>
      <c r="D78" s="4" t="inlineStr">
        <is>
          <t>2026-04-01</t>
        </is>
      </c>
      <c r="E78" s="4" t="inlineStr">
        <is>
          <t>2026-04-07</t>
        </is>
      </c>
      <c r="F78" s="4" t="inlineStr">
        <is>
          <t>SIGVA</t>
        </is>
      </c>
      <c r="G78" s="5">
        <f>IF(H78="TT","TRABAJO TERMINADO",IF(H78="MI","TRABAJO NO TERMINADO",""))</f>
        <v/>
      </c>
      <c r="H78" s="6" t="inlineStr"/>
      <c r="I78" s="7">
        <f>IF(B78="", G78, IF(G78="", LEFT(B78,45), IF(45-LEN(G78)-2&lt;=0, G78, LEFT(B78,45-LEN(G78)-2)&amp;", "&amp;G78)))</f>
        <v/>
      </c>
      <c r="J78" s="8">
        <f>IF(H78="MI","NO REALIZADO " &amp; B78 &amp; " EN " &amp; C78 &amp; IF(K78&lt;&gt;""," " &amp; K78,""),IF(H78="TT","SE REALIZA " &amp; B78 &amp; " EN " &amp; C78 &amp; IF(K78&lt;&gt;""," " &amp; K78,""),""))</f>
        <v/>
      </c>
      <c r="K78" s="4" t="n"/>
      <c r="L78" s="4" t="inlineStr">
        <is>
          <t>NF</t>
        </is>
      </c>
    </row>
    <row r="79">
      <c r="A79" s="4" t="inlineStr">
        <is>
          <t>03649098</t>
        </is>
      </c>
      <c r="B79" s="4" t="inlineStr">
        <is>
          <t>MEDICION DE NIVELES FREATICOS</t>
        </is>
      </c>
      <c r="C79" s="4" t="inlineStr">
        <is>
          <t>MMA-10 MICHINCHA</t>
        </is>
      </c>
      <c r="D79" s="4" t="inlineStr">
        <is>
          <t>2026-04-01</t>
        </is>
      </c>
      <c r="E79" s="4" t="inlineStr">
        <is>
          <t>2026-04-07</t>
        </is>
      </c>
      <c r="F79" s="4" t="inlineStr">
        <is>
          <t>SIGVA</t>
        </is>
      </c>
      <c r="G79" s="5">
        <f>IF(H79="TT","TRABAJO TERMINADO",IF(H79="MI","TRABAJO NO TERMINADO",""))</f>
        <v/>
      </c>
      <c r="H79" s="6" t="inlineStr"/>
      <c r="I79" s="7">
        <f>IF(B79="", G79, IF(G79="", LEFT(B79,45), IF(45-LEN(G79)-2&lt;=0, G79, LEFT(B79,45-LEN(G79)-2)&amp;", "&amp;G79)))</f>
        <v/>
      </c>
      <c r="J79" s="8">
        <f>IF(H79="MI","NO REALIZADO " &amp; B79 &amp; " EN " &amp; C79 &amp; IF(K79&lt;&gt;""," " &amp; K79,""),IF(H79="TT","SE REALIZA " &amp; B79 &amp; " EN " &amp; C79 &amp; IF(K79&lt;&gt;""," " &amp; K79,""),""))</f>
        <v/>
      </c>
      <c r="K79" s="4" t="n"/>
      <c r="L79" s="4" t="inlineStr">
        <is>
          <t>NF</t>
        </is>
      </c>
    </row>
    <row r="80">
      <c r="A80" s="4" t="inlineStr">
        <is>
          <t>03649099</t>
        </is>
      </c>
      <c r="B80" s="4" t="inlineStr">
        <is>
          <t>MEDICION DE NIVELES FREATICOS</t>
        </is>
      </c>
      <c r="C80" s="4" t="inlineStr">
        <is>
          <t>MMA-11 MICHINCHA</t>
        </is>
      </c>
      <c r="D80" s="4" t="inlineStr">
        <is>
          <t>2026-04-01</t>
        </is>
      </c>
      <c r="E80" s="4" t="inlineStr">
        <is>
          <t>2026-04-07</t>
        </is>
      </c>
      <c r="F80" s="4" t="inlineStr">
        <is>
          <t>SIGVA</t>
        </is>
      </c>
      <c r="G80" s="5">
        <f>IF(H80="TT","TRABAJO TERMINADO",IF(H80="MI","TRABAJO NO TERMINADO",""))</f>
        <v/>
      </c>
      <c r="H80" s="6" t="inlineStr"/>
      <c r="I80" s="7">
        <f>IF(B80="", G80, IF(G80="", LEFT(B80,45), IF(45-LEN(G80)-2&lt;=0, G80, LEFT(B80,45-LEN(G80)-2)&amp;", "&amp;G80)))</f>
        <v/>
      </c>
      <c r="J80" s="8">
        <f>IF(H80="MI","NO REALIZADO " &amp; B80 &amp; " EN " &amp; C80 &amp; IF(K80&lt;&gt;""," " &amp; K80,""),IF(H80="TT","SE REALIZA " &amp; B80 &amp; " EN " &amp; C80 &amp; IF(K80&lt;&gt;""," " &amp; K80,""),""))</f>
        <v/>
      </c>
      <c r="K80" s="4" t="n"/>
      <c r="L80" s="4" t="inlineStr">
        <is>
          <t>NF</t>
        </is>
      </c>
    </row>
    <row r="81">
      <c r="A81" s="4" t="inlineStr">
        <is>
          <t>03649100</t>
        </is>
      </c>
      <c r="B81" s="4" t="inlineStr">
        <is>
          <t>MEDICION DE NIVELES FREATICOS</t>
        </is>
      </c>
      <c r="C81" s="4" t="inlineStr">
        <is>
          <t>MMA-12 MICHINCHA</t>
        </is>
      </c>
      <c r="D81" s="4" t="inlineStr">
        <is>
          <t>2026-04-01</t>
        </is>
      </c>
      <c r="E81" s="4" t="inlineStr">
        <is>
          <t>2026-04-07</t>
        </is>
      </c>
      <c r="F81" s="4" t="inlineStr">
        <is>
          <t>SIGVA</t>
        </is>
      </c>
      <c r="G81" s="5">
        <f>IF(H81="TT","TRABAJO TERMINADO",IF(H81="MI","TRABAJO NO TERMINADO",""))</f>
        <v/>
      </c>
      <c r="H81" s="6" t="inlineStr"/>
      <c r="I81" s="7">
        <f>IF(B81="", G81, IF(G81="", LEFT(B81,45), IF(45-LEN(G81)-2&lt;=0, G81, LEFT(B81,45-LEN(G81)-2)&amp;", "&amp;G81)))</f>
        <v/>
      </c>
      <c r="J81" s="8">
        <f>IF(H81="MI","NO REALIZADO " &amp; B81 &amp; " EN " &amp; C81 &amp; IF(K81&lt;&gt;""," " &amp; K81,""),IF(H81="TT","SE REALIZA " &amp; B81 &amp; " EN " &amp; C81 &amp; IF(K81&lt;&gt;""," " &amp; K81,""),""))</f>
        <v/>
      </c>
      <c r="K81" s="4" t="n"/>
      <c r="L81" s="4" t="inlineStr">
        <is>
          <t>NF</t>
        </is>
      </c>
    </row>
    <row r="82">
      <c r="A82" s="4" t="inlineStr">
        <is>
          <t>03649101</t>
        </is>
      </c>
      <c r="B82" s="4" t="inlineStr">
        <is>
          <t>MEDICION DE NIVELES FREATICOS</t>
        </is>
      </c>
      <c r="C82" s="4" t="inlineStr">
        <is>
          <t>MMA-13 MICHINCHA</t>
        </is>
      </c>
      <c r="D82" s="4" t="inlineStr">
        <is>
          <t>2026-04-01</t>
        </is>
      </c>
      <c r="E82" s="4" t="inlineStr">
        <is>
          <t>2026-04-07</t>
        </is>
      </c>
      <c r="F82" s="4" t="inlineStr">
        <is>
          <t>SIGVA</t>
        </is>
      </c>
      <c r="G82" s="5">
        <f>IF(H82="TT","TRABAJO TERMINADO",IF(H82="MI","TRABAJO NO TERMINADO",""))</f>
        <v/>
      </c>
      <c r="H82" s="6" t="inlineStr"/>
      <c r="I82" s="7">
        <f>IF(B82="", G82, IF(G82="", LEFT(B82,45), IF(45-LEN(G82)-2&lt;=0, G82, LEFT(B82,45-LEN(G82)-2)&amp;", "&amp;G82)))</f>
        <v/>
      </c>
      <c r="J82" s="8">
        <f>IF(H82="MI","NO REALIZADO " &amp; B82 &amp; " EN " &amp; C82 &amp; IF(K82&lt;&gt;""," " &amp; K82,""),IF(H82="TT","SE REALIZA " &amp; B82 &amp; " EN " &amp; C82 &amp; IF(K82&lt;&gt;""," " &amp; K82,""),""))</f>
        <v/>
      </c>
      <c r="K82" s="4" t="n"/>
      <c r="L82" s="4" t="inlineStr">
        <is>
          <t>NF</t>
        </is>
      </c>
    </row>
    <row r="83">
      <c r="A83" s="4" t="inlineStr">
        <is>
          <t>03649102</t>
        </is>
      </c>
      <c r="B83" s="4" t="inlineStr">
        <is>
          <t>MEDICION DE NIVELES FREATICOS</t>
        </is>
      </c>
      <c r="C83" s="4" t="inlineStr">
        <is>
          <t>MMA-14 MICHINCHA</t>
        </is>
      </c>
      <c r="D83" s="4" t="inlineStr">
        <is>
          <t>2026-04-01</t>
        </is>
      </c>
      <c r="E83" s="4" t="inlineStr">
        <is>
          <t>2026-04-07</t>
        </is>
      </c>
      <c r="F83" s="4" t="inlineStr">
        <is>
          <t>SIGVA</t>
        </is>
      </c>
      <c r="G83" s="5">
        <f>IF(H83="TT","TRABAJO TERMINADO",IF(H83="MI","TRABAJO NO TERMINADO",""))</f>
        <v/>
      </c>
      <c r="H83" s="6" t="inlineStr"/>
      <c r="I83" s="7">
        <f>IF(B83="", G83, IF(G83="", LEFT(B83,45), IF(45-LEN(G83)-2&lt;=0, G83, LEFT(B83,45-LEN(G83)-2)&amp;", "&amp;G83)))</f>
        <v/>
      </c>
      <c r="J83" s="8">
        <f>IF(H83="MI","NO REALIZADO " &amp; B83 &amp; " EN " &amp; C83 &amp; IF(K83&lt;&gt;""," " &amp; K83,""),IF(H83="TT","SE REALIZA " &amp; B83 &amp; " EN " &amp; C83 &amp; IF(K83&lt;&gt;""," " &amp; K83,""),""))</f>
        <v/>
      </c>
      <c r="K83" s="4" t="n"/>
      <c r="L83" s="4" t="inlineStr">
        <is>
          <t>NF</t>
        </is>
      </c>
    </row>
    <row r="84">
      <c r="A84" s="4" t="inlineStr">
        <is>
          <t>03649103</t>
        </is>
      </c>
      <c r="B84" s="4" t="inlineStr">
        <is>
          <t>MM DE AGUAS SUBTERRÁNEAS</t>
        </is>
      </c>
      <c r="C84" s="4" t="inlineStr">
        <is>
          <t>MPZ-10A LIXIVIACIÓN</t>
        </is>
      </c>
      <c r="D84" s="4" t="inlineStr">
        <is>
          <t>2026-04-01</t>
        </is>
      </c>
      <c r="E84" s="4" t="inlineStr">
        <is>
          <t>2026-04-07</t>
        </is>
      </c>
      <c r="F84" s="4" t="inlineStr">
        <is>
          <t>SIGVA</t>
        </is>
      </c>
      <c r="G84" s="5">
        <f>IF(H84="TT","TRABAJO TERMINADO",IF(H84="MI","TRABAJO NO TERMINADO",""))</f>
        <v/>
      </c>
      <c r="H84" s="6" t="inlineStr"/>
      <c r="I84" s="7">
        <f>IF(B84="", G84, IF(G84="", LEFT(B84,45), IF(45-LEN(G84)-2&lt;=0, G84, LEFT(B84,45-LEN(G84)-2)&amp;", "&amp;G84)))</f>
        <v/>
      </c>
      <c r="J84" s="8">
        <f>IF(H84="MI","NO REALIZADO " &amp; B84 &amp; " EN " &amp; C84 &amp; IF(K84&lt;&gt;""," " &amp; K84,""),IF(H84="TT","SE REALIZA " &amp; B84 &amp; " EN " &amp; C84 &amp; IF(K84&lt;&gt;""," " &amp; K84,""),""))</f>
        <v/>
      </c>
      <c r="K84" s="4" t="n"/>
      <c r="L84" s="4" t="inlineStr">
        <is>
          <t>ASUB</t>
        </is>
      </c>
    </row>
    <row r="85">
      <c r="A85" s="4" t="inlineStr">
        <is>
          <t>03649104</t>
        </is>
      </c>
      <c r="B85" s="4" t="inlineStr">
        <is>
          <t>MM DE AGUAS SUBTERRÁNEAS</t>
        </is>
      </c>
      <c r="C85" s="4" t="inlineStr">
        <is>
          <t>MPZ-10B LIXIVIACIÓN</t>
        </is>
      </c>
      <c r="D85" s="4" t="inlineStr">
        <is>
          <t>2026-04-01</t>
        </is>
      </c>
      <c r="E85" s="4" t="inlineStr">
        <is>
          <t>2026-04-07</t>
        </is>
      </c>
      <c r="F85" s="4" t="inlineStr">
        <is>
          <t>SIGVA</t>
        </is>
      </c>
      <c r="G85" s="5">
        <f>IF(H85="TT","TRABAJO TERMINADO",IF(H85="MI","TRABAJO NO TERMINADO",""))</f>
        <v/>
      </c>
      <c r="H85" s="6" t="inlineStr"/>
      <c r="I85" s="7">
        <f>IF(B85="", G85, IF(G85="", LEFT(B85,45), IF(45-LEN(G85)-2&lt;=0, G85, LEFT(B85,45-LEN(G85)-2)&amp;", "&amp;G85)))</f>
        <v/>
      </c>
      <c r="J85" s="8">
        <f>IF(H85="MI","NO REALIZADO " &amp; B85 &amp; " EN " &amp; C85 &amp; IF(K85&lt;&gt;""," " &amp; K85,""),IF(H85="TT","SE REALIZA " &amp; B85 &amp; " EN " &amp; C85 &amp; IF(K85&lt;&gt;""," " &amp; K85,""),""))</f>
        <v/>
      </c>
      <c r="K85" s="4" t="n"/>
      <c r="L85" s="4" t="inlineStr">
        <is>
          <t>ASUB</t>
        </is>
      </c>
    </row>
    <row r="86">
      <c r="A86" s="4" t="inlineStr">
        <is>
          <t>03649105</t>
        </is>
      </c>
      <c r="B86" s="4" t="inlineStr">
        <is>
          <t>MM DE AGUAS SUBTERRÁNEAS</t>
        </is>
      </c>
      <c r="C86" s="4" t="inlineStr">
        <is>
          <t>MPZ-11B MICHINCHA</t>
        </is>
      </c>
      <c r="D86" s="4" t="inlineStr">
        <is>
          <t>2026-04-01</t>
        </is>
      </c>
      <c r="E86" s="4" t="inlineStr">
        <is>
          <t>2026-04-07</t>
        </is>
      </c>
      <c r="F86" s="4" t="inlineStr">
        <is>
          <t>SIGVA</t>
        </is>
      </c>
      <c r="G86" s="5">
        <f>IF(H86="TT","TRABAJO TERMINADO",IF(H86="MI","TRABAJO NO TERMINADO",""))</f>
        <v/>
      </c>
      <c r="H86" s="6" t="inlineStr"/>
      <c r="I86" s="7">
        <f>IF(B86="", G86, IF(G86="", LEFT(B86,45), IF(45-LEN(G86)-2&lt;=0, G86, LEFT(B86,45-LEN(G86)-2)&amp;", "&amp;G86)))</f>
        <v/>
      </c>
      <c r="J86" s="8">
        <f>IF(H86="MI","NO REALIZADO " &amp; B86 &amp; " EN " &amp; C86 &amp; IF(K86&lt;&gt;""," " &amp; K86,""),IF(H86="TT","SE REALIZA " &amp; B86 &amp; " EN " &amp; C86 &amp; IF(K86&lt;&gt;""," " &amp; K86,""),""))</f>
        <v/>
      </c>
      <c r="K86" s="4" t="n"/>
      <c r="L86" s="4" t="inlineStr">
        <is>
          <t>ASUB</t>
        </is>
      </c>
    </row>
    <row r="87">
      <c r="A87" s="4" t="inlineStr">
        <is>
          <t>03649106</t>
        </is>
      </c>
      <c r="B87" s="4" t="inlineStr">
        <is>
          <t>MEDICION DE NIVELES FREATICOS</t>
        </is>
      </c>
      <c r="C87" s="4" t="inlineStr">
        <is>
          <t>MPZ-11B MICHINCHA</t>
        </is>
      </c>
      <c r="D87" s="4" t="inlineStr">
        <is>
          <t>2026-04-01</t>
        </is>
      </c>
      <c r="E87" s="4" t="inlineStr">
        <is>
          <t>2026-04-07</t>
        </is>
      </c>
      <c r="F87" s="4" t="inlineStr">
        <is>
          <t>SIGVA</t>
        </is>
      </c>
      <c r="G87" s="5">
        <f>IF(H87="TT","TRABAJO TERMINADO",IF(H87="MI","TRABAJO NO TERMINADO",""))</f>
        <v/>
      </c>
      <c r="H87" s="6" t="inlineStr"/>
      <c r="I87" s="7">
        <f>IF(B87="", G87, IF(G87="", LEFT(B87,45), IF(45-LEN(G87)-2&lt;=0, G87, LEFT(B87,45-LEN(G87)-2)&amp;", "&amp;G87)))</f>
        <v/>
      </c>
      <c r="J87" s="8">
        <f>IF(H87="MI","NO REALIZADO " &amp; B87 &amp; " EN " &amp; C87 &amp; IF(K87&lt;&gt;""," " &amp; K87,""),IF(H87="TT","SE REALIZA " &amp; B87 &amp; " EN " &amp; C87 &amp; IF(K87&lt;&gt;""," " &amp; K87,""),""))</f>
        <v/>
      </c>
      <c r="K87" s="4" t="n"/>
      <c r="L87" s="4" t="inlineStr">
        <is>
          <t>NF</t>
        </is>
      </c>
    </row>
    <row r="88">
      <c r="A88" s="4" t="inlineStr">
        <is>
          <t>03649109</t>
        </is>
      </c>
      <c r="B88" s="4" t="inlineStr">
        <is>
          <t>MEDICION DE NIVELES FREATICOS</t>
        </is>
      </c>
      <c r="C88" s="4" t="inlineStr">
        <is>
          <t>MPZ-10A LIXIVIACIÓN</t>
        </is>
      </c>
      <c r="D88" s="4" t="inlineStr">
        <is>
          <t>2026-04-01</t>
        </is>
      </c>
      <c r="E88" s="4" t="inlineStr">
        <is>
          <t>2026-04-07</t>
        </is>
      </c>
      <c r="F88" s="4" t="inlineStr">
        <is>
          <t>SIGVA</t>
        </is>
      </c>
      <c r="G88" s="5">
        <f>IF(H88="TT","TRABAJO TERMINADO",IF(H88="MI","TRABAJO NO TERMINADO",""))</f>
        <v/>
      </c>
      <c r="H88" s="6" t="inlineStr"/>
      <c r="I88" s="7">
        <f>IF(B88="", G88, IF(G88="", LEFT(B88,45), IF(45-LEN(G88)-2&lt;=0, G88, LEFT(B88,45-LEN(G88)-2)&amp;", "&amp;G88)))</f>
        <v/>
      </c>
      <c r="J88" s="8">
        <f>IF(H88="MI","NO REALIZADO " &amp; B88 &amp; " EN " &amp; C88 &amp; IF(K88&lt;&gt;""," " &amp; K88,""),IF(H88="TT","SE REALIZA " &amp; B88 &amp; " EN " &amp; C88 &amp; IF(K88&lt;&gt;""," " &amp; K88,""),""))</f>
        <v/>
      </c>
      <c r="K88" s="4" t="n"/>
      <c r="L88" s="4" t="inlineStr">
        <is>
          <t>NF</t>
        </is>
      </c>
    </row>
    <row r="89">
      <c r="A89" s="4" t="inlineStr">
        <is>
          <t>03649110</t>
        </is>
      </c>
      <c r="B89" s="4" t="inlineStr">
        <is>
          <t>MEDICION DE NIVELES FREATICOS</t>
        </is>
      </c>
      <c r="C89" s="4" t="inlineStr">
        <is>
          <t>MPZ-10B LIXIVIACIÓN</t>
        </is>
      </c>
      <c r="D89" s="4" t="inlineStr">
        <is>
          <t>2026-04-01</t>
        </is>
      </c>
      <c r="E89" s="4" t="inlineStr">
        <is>
          <t>2026-04-07</t>
        </is>
      </c>
      <c r="F89" s="4" t="inlineStr">
        <is>
          <t>SIGVA</t>
        </is>
      </c>
      <c r="G89" s="5">
        <f>IF(H89="TT","TRABAJO TERMINADO",IF(H89="MI","TRABAJO NO TERMINADO",""))</f>
        <v/>
      </c>
      <c r="H89" s="6" t="inlineStr"/>
      <c r="I89" s="7">
        <f>IF(B89="", G89, IF(G89="", LEFT(B89,45), IF(45-LEN(G89)-2&lt;=0, G89, LEFT(B89,45-LEN(G89)-2)&amp;", "&amp;G89)))</f>
        <v/>
      </c>
      <c r="J89" s="8">
        <f>IF(H89="MI","NO REALIZADO " &amp; B89 &amp; " EN " &amp; C89 &amp; IF(K89&lt;&gt;""," " &amp; K89,""),IF(H89="TT","SE REALIZA " &amp; B89 &amp; " EN " &amp; C89 &amp; IF(K89&lt;&gt;""," " &amp; K89,""),""))</f>
        <v/>
      </c>
      <c r="K89" s="4" t="n"/>
      <c r="L89" s="4" t="inlineStr">
        <is>
          <t>NF</t>
        </is>
      </c>
    </row>
    <row r="90">
      <c r="A90" s="4" t="inlineStr">
        <is>
          <t>03649111</t>
        </is>
      </c>
      <c r="B90" s="4" t="inlineStr">
        <is>
          <t>MM DE AGUAS SUPERFICIALES</t>
        </is>
      </c>
      <c r="C90" s="4" t="inlineStr">
        <is>
          <t>MSW-1A MICHINCHA</t>
        </is>
      </c>
      <c r="D90" s="4" t="inlineStr">
        <is>
          <t>2026-04-01</t>
        </is>
      </c>
      <c r="E90" s="4" t="inlineStr">
        <is>
          <t>2026-04-07</t>
        </is>
      </c>
      <c r="F90" s="4" t="inlineStr">
        <is>
          <t>SIGVA</t>
        </is>
      </c>
      <c r="G90" s="5">
        <f>IF(H90="TT","TRABAJO TERMINADO",IF(H90="MI","TRABAJO NO TERMINADO",""))</f>
        <v/>
      </c>
      <c r="H90" s="6" t="inlineStr"/>
      <c r="I90" s="7">
        <f>IF(B90="", G90, IF(G90="", LEFT(B90,45), IF(45-LEN(G90)-2&lt;=0, G90, LEFT(B90,45-LEN(G90)-2)&amp;", "&amp;G90)))</f>
        <v/>
      </c>
      <c r="J90" s="8">
        <f>IF(H90="MI","NO REALIZADO " &amp; B90 &amp; " EN " &amp; C90 &amp; IF(K90&lt;&gt;""," " &amp; K90,""),IF(H90="TT","SE REALIZA " &amp; B90 &amp; " EN " &amp; C90 &amp; IF(K90&lt;&gt;""," " &amp; K90,""),""))</f>
        <v/>
      </c>
      <c r="K90" s="4" t="n"/>
      <c r="L90" s="4" t="inlineStr">
        <is>
          <t>ASUP</t>
        </is>
      </c>
    </row>
    <row r="91">
      <c r="A91" s="4" t="inlineStr">
        <is>
          <t>03649112</t>
        </is>
      </c>
      <c r="B91" s="4" t="inlineStr">
        <is>
          <t>MM DE AGUAS SUPERFICIALES</t>
        </is>
      </c>
      <c r="C91" s="4" t="inlineStr">
        <is>
          <t>MSW-2 MICHINCHA</t>
        </is>
      </c>
      <c r="D91" s="4" t="inlineStr">
        <is>
          <t>2026-04-01</t>
        </is>
      </c>
      <c r="E91" s="4" t="inlineStr">
        <is>
          <t>2026-04-07</t>
        </is>
      </c>
      <c r="F91" s="4" t="inlineStr">
        <is>
          <t>SIGVA</t>
        </is>
      </c>
      <c r="G91" s="5">
        <f>IF(H91="TT","TRABAJO TERMINADO",IF(H91="MI","TRABAJO NO TERMINADO",""))</f>
        <v/>
      </c>
      <c r="H91" s="6" t="inlineStr"/>
      <c r="I91" s="7">
        <f>IF(B91="", G91, IF(G91="", LEFT(B91,45), IF(45-LEN(G91)-2&lt;=0, G91, LEFT(B91,45-LEN(G91)-2)&amp;", "&amp;G91)))</f>
        <v/>
      </c>
      <c r="J91" s="8">
        <f>IF(H91="MI","NO REALIZADO " &amp; B91 &amp; " EN " &amp; C91 &amp; IF(K91&lt;&gt;""," " &amp; K91,""),IF(H91="TT","SE REALIZA " &amp; B91 &amp; " EN " &amp; C91 &amp; IF(K91&lt;&gt;""," " &amp; K91,""),""))</f>
        <v/>
      </c>
      <c r="K91" s="4" t="n"/>
      <c r="L91" s="4" t="inlineStr">
        <is>
          <t>ASUP</t>
        </is>
      </c>
    </row>
    <row r="92">
      <c r="A92" s="4" t="inlineStr">
        <is>
          <t>03649113</t>
        </is>
      </c>
      <c r="B92" s="4" t="inlineStr">
        <is>
          <t>MEDICIÓN DE CAUDALES</t>
        </is>
      </c>
      <c r="C92" s="4" t="inlineStr">
        <is>
          <t>MSW-2 MICHINCHA</t>
        </is>
      </c>
      <c r="D92" s="4" t="inlineStr">
        <is>
          <t>2026-04-01</t>
        </is>
      </c>
      <c r="E92" s="4" t="inlineStr">
        <is>
          <t>2026-04-07</t>
        </is>
      </c>
      <c r="F92" s="4" t="inlineStr">
        <is>
          <t>SIGVA</t>
        </is>
      </c>
      <c r="G92" s="5">
        <f>IF(H92="TT","TRABAJO TERMINADO",IF(H92="MI","TRABAJO NO TERMINADO",""))</f>
        <v/>
      </c>
      <c r="H92" s="6" t="inlineStr"/>
      <c r="I92" s="7">
        <f>IF(B92="", G92, IF(G92="", LEFT(B92,45), IF(45-LEN(G92)-2&lt;=0, G92, LEFT(B92,45-LEN(G92)-2)&amp;", "&amp;G92)))</f>
        <v/>
      </c>
      <c r="J92" s="8">
        <f>IF(H92="MI","NO REALIZADO " &amp; B92 &amp; " EN " &amp; C92 &amp; IF(K92&lt;&gt;""," " &amp; K92,""),IF(H92="TT","SE REALIZA " &amp; B92 &amp; " EN " &amp; C92 &amp; IF(K92&lt;&gt;""," " &amp; K92,""),""))</f>
        <v/>
      </c>
      <c r="K92" s="4" t="n"/>
      <c r="L92" s="4" t="inlineStr">
        <is>
          <t>CAUDAL</t>
        </is>
      </c>
    </row>
    <row r="93">
      <c r="A93" s="4" t="inlineStr">
        <is>
          <t>03649114</t>
        </is>
      </c>
      <c r="B93" s="4" t="inlineStr">
        <is>
          <t>MED DE NIVELES FREATICOS</t>
        </is>
      </c>
      <c r="C93" s="4" t="inlineStr">
        <is>
          <t>MTP-13 MICHINCHA</t>
        </is>
      </c>
      <c r="D93" s="4" t="inlineStr">
        <is>
          <t>2026-04-01</t>
        </is>
      </c>
      <c r="E93" s="4" t="inlineStr">
        <is>
          <t>2026-04-07</t>
        </is>
      </c>
      <c r="F93" s="4" t="inlineStr">
        <is>
          <t>SIGVA</t>
        </is>
      </c>
      <c r="G93" s="5">
        <f>IF(H93="TT","TRABAJO TERMINADO",IF(H93="MI","TRABAJO NO TERMINADO",""))</f>
        <v/>
      </c>
      <c r="H93" s="6" t="inlineStr"/>
      <c r="I93" s="7">
        <f>IF(B93="", G93, IF(G93="", LEFT(B93,45), IF(45-LEN(G93)-2&lt;=0, G93, LEFT(B93,45-LEN(G93)-2)&amp;", "&amp;G93)))</f>
        <v/>
      </c>
      <c r="J93" s="8">
        <f>IF(H93="MI","NO REALIZADO " &amp; B93 &amp; " EN " &amp; C93 &amp; IF(K93&lt;&gt;""," " &amp; K93,""),IF(H93="TT","SE REALIZA " &amp; B93 &amp; " EN " &amp; C93 &amp; IF(K93&lt;&gt;""," " &amp; K93,""),""))</f>
        <v/>
      </c>
      <c r="K93" s="4" t="n"/>
      <c r="L93" s="4" t="inlineStr">
        <is>
          <t>NF</t>
        </is>
      </c>
    </row>
    <row r="94">
      <c r="A94" s="4" t="inlineStr">
        <is>
          <t>03649115</t>
        </is>
      </c>
      <c r="B94" s="4" t="inlineStr">
        <is>
          <t>MM DE AGUAS SUBTERRÁNEAS</t>
        </is>
      </c>
      <c r="C94" s="4" t="inlineStr">
        <is>
          <t>MTP-13 MICHINCHA</t>
        </is>
      </c>
      <c r="D94" s="4" t="inlineStr">
        <is>
          <t>2026-04-01</t>
        </is>
      </c>
      <c r="E94" s="4" t="inlineStr">
        <is>
          <t>2026-04-07</t>
        </is>
      </c>
      <c r="F94" s="4" t="inlineStr">
        <is>
          <t>SIGVA</t>
        </is>
      </c>
      <c r="G94" s="5">
        <f>IF(H94="TT","TRABAJO TERMINADO",IF(H94="MI","TRABAJO NO TERMINADO",""))</f>
        <v/>
      </c>
      <c r="H94" s="6" t="inlineStr"/>
      <c r="I94" s="7">
        <f>IF(B94="", G94, IF(G94="", LEFT(B94,45), IF(45-LEN(G94)-2&lt;=0, G94, LEFT(B94,45-LEN(G94)-2)&amp;", "&amp;G94)))</f>
        <v/>
      </c>
      <c r="J94" s="8">
        <f>IF(H94="MI","NO REALIZADO " &amp; B94 &amp; " EN " &amp; C94 &amp; IF(K94&lt;&gt;""," " &amp; K94,""),IF(H94="TT","SE REALIZA " &amp; B94 &amp; " EN " &amp; C94 &amp; IF(K94&lt;&gt;""," " &amp; K94,""),""))</f>
        <v/>
      </c>
      <c r="K94" s="4" t="n"/>
      <c r="L94" s="4" t="inlineStr">
        <is>
          <t>ASUB</t>
        </is>
      </c>
    </row>
    <row r="95">
      <c r="A95" s="4" t="inlineStr">
        <is>
          <t>03649116</t>
        </is>
      </c>
      <c r="B95" s="4" t="inlineStr">
        <is>
          <t>MED DE NIVELES FREATICOS</t>
        </is>
      </c>
      <c r="C95" s="4" t="inlineStr">
        <is>
          <t>MTP-09 TRANQUE</t>
        </is>
      </c>
      <c r="D95" s="4" t="inlineStr">
        <is>
          <t>2026-04-01</t>
        </is>
      </c>
      <c r="E95" s="4" t="inlineStr">
        <is>
          <t>2026-04-07</t>
        </is>
      </c>
      <c r="F95" s="4" t="inlineStr">
        <is>
          <t>SIGVA</t>
        </is>
      </c>
      <c r="G95" s="5">
        <f>IF(H95="TT","TRABAJO TERMINADO",IF(H95="MI","TRABAJO NO TERMINADO",""))</f>
        <v/>
      </c>
      <c r="H95" s="6" t="inlineStr"/>
      <c r="I95" s="7">
        <f>IF(B95="", G95, IF(G95="", LEFT(B95,45), IF(45-LEN(G95)-2&lt;=0, G95, LEFT(B95,45-LEN(G95)-2)&amp;", "&amp;G95)))</f>
        <v/>
      </c>
      <c r="J95" s="8">
        <f>IF(H95="MI","NO REALIZADO " &amp; B95 &amp; " EN " &amp; C95 &amp; IF(K95&lt;&gt;""," " &amp; K95,""),IF(H95="TT","SE REALIZA " &amp; B95 &amp; " EN " &amp; C95 &amp; IF(K95&lt;&gt;""," " &amp; K95,""),""))</f>
        <v/>
      </c>
      <c r="K95" s="4" t="n"/>
      <c r="L95" s="4" t="inlineStr">
        <is>
          <t>NF</t>
        </is>
      </c>
    </row>
    <row r="96">
      <c r="A96" s="4" t="inlineStr">
        <is>
          <t>03649117</t>
        </is>
      </c>
      <c r="B96" s="4" t="inlineStr">
        <is>
          <t>MM DE AGUAS SUBTERRÁNEAS</t>
        </is>
      </c>
      <c r="C96" s="4" t="inlineStr">
        <is>
          <t>MTP-09 TRANQUE</t>
        </is>
      </c>
      <c r="D96" s="4" t="inlineStr">
        <is>
          <t>2026-04-01</t>
        </is>
      </c>
      <c r="E96" s="4" t="inlineStr">
        <is>
          <t>2026-04-07</t>
        </is>
      </c>
      <c r="F96" s="4" t="inlineStr">
        <is>
          <t>SIGVA</t>
        </is>
      </c>
      <c r="G96" s="5">
        <f>IF(H96="TT","TRABAJO TERMINADO",IF(H96="MI","TRABAJO NO TERMINADO",""))</f>
        <v/>
      </c>
      <c r="H96" s="6" t="inlineStr"/>
      <c r="I96" s="7">
        <f>IF(B96="", G96, IF(G96="", LEFT(B96,45), IF(45-LEN(G96)-2&lt;=0, G96, LEFT(B96,45-LEN(G96)-2)&amp;", "&amp;G96)))</f>
        <v/>
      </c>
      <c r="J96" s="8">
        <f>IF(H96="MI","NO REALIZADO " &amp; B96 &amp; " EN " &amp; C96 &amp; IF(K96&lt;&gt;""," " &amp; K96,""),IF(H96="TT","SE REALIZA " &amp; B96 &amp; " EN " &amp; C96 &amp; IF(K96&lt;&gt;""," " &amp; K96,""),""))</f>
        <v/>
      </c>
      <c r="K96" s="4" t="n"/>
      <c r="L96" s="4" t="inlineStr">
        <is>
          <t>ASUB</t>
        </is>
      </c>
    </row>
    <row r="97">
      <c r="A97" s="4" t="inlineStr">
        <is>
          <t>03649118</t>
        </is>
      </c>
      <c r="B97" s="4" t="inlineStr">
        <is>
          <t>MED DE NIVELES FREATICOS</t>
        </is>
      </c>
      <c r="C97" s="4" t="inlineStr">
        <is>
          <t>MTP-14 TRANQUE</t>
        </is>
      </c>
      <c r="D97" s="4" t="inlineStr">
        <is>
          <t>2026-04-01</t>
        </is>
      </c>
      <c r="E97" s="4" t="inlineStr">
        <is>
          <t>2026-04-07</t>
        </is>
      </c>
      <c r="F97" s="4" t="inlineStr">
        <is>
          <t>SIGVA</t>
        </is>
      </c>
      <c r="G97" s="5">
        <f>IF(H97="TT","TRABAJO TERMINADO",IF(H97="MI","TRABAJO NO TERMINADO",""))</f>
        <v/>
      </c>
      <c r="H97" s="6" t="inlineStr"/>
      <c r="I97" s="7">
        <f>IF(B97="", G97, IF(G97="", LEFT(B97,45), IF(45-LEN(G97)-2&lt;=0, G97, LEFT(B97,45-LEN(G97)-2)&amp;", "&amp;G97)))</f>
        <v/>
      </c>
      <c r="J97" s="8">
        <f>IF(H97="MI","NO REALIZADO " &amp; B97 &amp; " EN " &amp; C97 &amp; IF(K97&lt;&gt;""," " &amp; K97,""),IF(H97="TT","SE REALIZA " &amp; B97 &amp; " EN " &amp; C97 &amp; IF(K97&lt;&gt;""," " &amp; K97,""),""))</f>
        <v/>
      </c>
      <c r="K97" s="4" t="n"/>
      <c r="L97" s="4" t="inlineStr">
        <is>
          <t>NF</t>
        </is>
      </c>
    </row>
    <row r="98">
      <c r="A98" s="4" t="inlineStr">
        <is>
          <t>03649119</t>
        </is>
      </c>
      <c r="B98" s="4" t="inlineStr">
        <is>
          <t>MM DE AGUAS SUBTERRÁNEAS</t>
        </is>
      </c>
      <c r="C98" s="4" t="inlineStr">
        <is>
          <t>MTP-14 TRANQUE</t>
        </is>
      </c>
      <c r="D98" s="4" t="inlineStr">
        <is>
          <t>2026-04-01</t>
        </is>
      </c>
      <c r="E98" s="4" t="inlineStr">
        <is>
          <t>2026-04-07</t>
        </is>
      </c>
      <c r="F98" s="4" t="inlineStr">
        <is>
          <t>SIGVA</t>
        </is>
      </c>
      <c r="G98" s="5">
        <f>IF(H98="TT","TRABAJO TERMINADO",IF(H98="MI","TRABAJO NO TERMINADO",""))</f>
        <v/>
      </c>
      <c r="H98" s="6" t="inlineStr"/>
      <c r="I98" s="7">
        <f>IF(B98="", G98, IF(G98="", LEFT(B98,45), IF(45-LEN(G98)-2&lt;=0, G98, LEFT(B98,45-LEN(G98)-2)&amp;", "&amp;G98)))</f>
        <v/>
      </c>
      <c r="J98" s="8">
        <f>IF(H98="MI","NO REALIZADO " &amp; B98 &amp; " EN " &amp; C98 &amp; IF(K98&lt;&gt;""," " &amp; K98,""),IF(H98="TT","SE REALIZA " &amp; B98 &amp; " EN " &amp; C98 &amp; IF(K98&lt;&gt;""," " &amp; K98,""),""))</f>
        <v/>
      </c>
      <c r="K98" s="4" t="n"/>
      <c r="L98" s="4" t="inlineStr">
        <is>
          <t>ASUB</t>
        </is>
      </c>
    </row>
    <row r="99">
      <c r="A99" s="4" t="inlineStr">
        <is>
          <t>03649127</t>
        </is>
      </c>
      <c r="B99" s="4" t="inlineStr">
        <is>
          <t>MM DE AGUAS SUBTERRÁNEAS</t>
        </is>
      </c>
      <c r="C99" s="4" t="inlineStr">
        <is>
          <t>PLIX-01A LIXIVIACIÓN</t>
        </is>
      </c>
      <c r="D99" s="4" t="inlineStr">
        <is>
          <t>2026-04-01</t>
        </is>
      </c>
      <c r="E99" s="4" t="inlineStr">
        <is>
          <t>2026-04-07</t>
        </is>
      </c>
      <c r="F99" s="4" t="inlineStr">
        <is>
          <t>SIGVA</t>
        </is>
      </c>
      <c r="G99" s="5">
        <f>IF(H99="TT","TRABAJO TERMINADO",IF(H99="MI","TRABAJO NO TERMINADO",""))</f>
        <v/>
      </c>
      <c r="H99" s="6" t="inlineStr"/>
      <c r="I99" s="7">
        <f>IF(B99="", G99, IF(G99="", LEFT(B99,45), IF(45-LEN(G99)-2&lt;=0, G99, LEFT(B99,45-LEN(G99)-2)&amp;", "&amp;G99)))</f>
        <v/>
      </c>
      <c r="J99" s="8">
        <f>IF(H99="MI","NO REALIZADO " &amp; B99 &amp; " EN " &amp; C99 &amp; IF(K99&lt;&gt;""," " &amp; K99,""),IF(H99="TT","SE REALIZA " &amp; B99 &amp; " EN " &amp; C99 &amp; IF(K99&lt;&gt;""," " &amp; K99,""),""))</f>
        <v/>
      </c>
      <c r="K99" s="4" t="n"/>
      <c r="L99" s="4" t="inlineStr">
        <is>
          <t>ASUB</t>
        </is>
      </c>
    </row>
    <row r="100">
      <c r="A100" s="4" t="inlineStr">
        <is>
          <t>03649128</t>
        </is>
      </c>
      <c r="B100" s="4" t="inlineStr">
        <is>
          <t>MM DE AGUAS SUBTERRÁNEAS</t>
        </is>
      </c>
      <c r="C100" s="4" t="inlineStr">
        <is>
          <t>PLIX-01B LIXIVIACIÓN</t>
        </is>
      </c>
      <c r="D100" s="4" t="inlineStr">
        <is>
          <t>2026-04-01</t>
        </is>
      </c>
      <c r="E100" s="4" t="inlineStr">
        <is>
          <t>2026-04-07</t>
        </is>
      </c>
      <c r="F100" s="4" t="inlineStr">
        <is>
          <t>SIGVA</t>
        </is>
      </c>
      <c r="G100" s="5">
        <f>IF(H100="TT","TRABAJO TERMINADO",IF(H100="MI","TRABAJO NO TERMINADO",""))</f>
        <v/>
      </c>
      <c r="H100" s="6" t="inlineStr"/>
      <c r="I100" s="7">
        <f>IF(B100="", G100, IF(G100="", LEFT(B100,45), IF(45-LEN(G100)-2&lt;=0, G100, LEFT(B100,45-LEN(G100)-2)&amp;", "&amp;G100)))</f>
        <v/>
      </c>
      <c r="J100" s="8">
        <f>IF(H100="MI","NO REALIZADO " &amp; B100 &amp; " EN " &amp; C100 &amp; IF(K100&lt;&gt;""," " &amp; K100,""),IF(H100="TT","SE REALIZA " &amp; B100 &amp; " EN " &amp; C100 &amp; IF(K100&lt;&gt;""," " &amp; K100,""),""))</f>
        <v/>
      </c>
      <c r="K100" s="4" t="n"/>
      <c r="L100" s="4" t="inlineStr">
        <is>
          <t>ASUB</t>
        </is>
      </c>
    </row>
    <row r="101">
      <c r="A101" s="4" t="inlineStr">
        <is>
          <t>03649129</t>
        </is>
      </c>
      <c r="B101" s="4" t="inlineStr">
        <is>
          <t>MM DE AGUAS SUBTERRÁNEAS</t>
        </is>
      </c>
      <c r="C101" s="4" t="inlineStr">
        <is>
          <t>PLIX-02A LIXIVIACIÓN</t>
        </is>
      </c>
      <c r="D101" s="4" t="inlineStr">
        <is>
          <t>2026-04-01</t>
        </is>
      </c>
      <c r="E101" s="4" t="inlineStr">
        <is>
          <t>2026-04-07</t>
        </is>
      </c>
      <c r="F101" s="4" t="inlineStr">
        <is>
          <t>SIGVA</t>
        </is>
      </c>
      <c r="G101" s="5">
        <f>IF(H101="TT","TRABAJO TERMINADO",IF(H101="MI","TRABAJO NO TERMINADO",""))</f>
        <v/>
      </c>
      <c r="H101" s="6" t="inlineStr"/>
      <c r="I101" s="7">
        <f>IF(B101="", G101, IF(G101="", LEFT(B101,45), IF(45-LEN(G101)-2&lt;=0, G101, LEFT(B101,45-LEN(G101)-2)&amp;", "&amp;G101)))</f>
        <v/>
      </c>
      <c r="J101" s="8">
        <f>IF(H101="MI","NO REALIZADO " &amp; B101 &amp; " EN " &amp; C101 &amp; IF(K101&lt;&gt;""," " &amp; K101,""),IF(H101="TT","SE REALIZA " &amp; B101 &amp; " EN " &amp; C101 &amp; IF(K101&lt;&gt;""," " &amp; K101,""),""))</f>
        <v/>
      </c>
      <c r="K101" s="4" t="n"/>
      <c r="L101" s="4" t="inlineStr">
        <is>
          <t>ASUB</t>
        </is>
      </c>
    </row>
    <row r="102">
      <c r="A102" s="4" t="inlineStr">
        <is>
          <t>03649130</t>
        </is>
      </c>
      <c r="B102" s="4" t="inlineStr">
        <is>
          <t>MM DE AGUAS SUBTERRÁNEAS</t>
        </is>
      </c>
      <c r="C102" s="4" t="inlineStr">
        <is>
          <t>PLIX-02B LIXIVIACIÓN</t>
        </is>
      </c>
      <c r="D102" s="4" t="inlineStr">
        <is>
          <t>2026-04-01</t>
        </is>
      </c>
      <c r="E102" s="4" t="inlineStr">
        <is>
          <t>2026-04-07</t>
        </is>
      </c>
      <c r="F102" s="4" t="inlineStr">
        <is>
          <t>SIGVA</t>
        </is>
      </c>
      <c r="G102" s="5">
        <f>IF(H102="TT","TRABAJO TERMINADO",IF(H102="MI","TRABAJO NO TERMINADO",""))</f>
        <v/>
      </c>
      <c r="H102" s="6" t="inlineStr"/>
      <c r="I102" s="7">
        <f>IF(B102="", G102, IF(G102="", LEFT(B102,45), IF(45-LEN(G102)-2&lt;=0, G102, LEFT(B102,45-LEN(G102)-2)&amp;", "&amp;G102)))</f>
        <v/>
      </c>
      <c r="J102" s="8">
        <f>IF(H102="MI","NO REALIZADO " &amp; B102 &amp; " EN " &amp; C102 &amp; IF(K102&lt;&gt;""," " &amp; K102,""),IF(H102="TT","SE REALIZA " &amp; B102 &amp; " EN " &amp; C102 &amp; IF(K102&lt;&gt;""," " &amp; K102,""),""))</f>
        <v/>
      </c>
      <c r="K102" s="4" t="n"/>
      <c r="L102" s="4" t="inlineStr">
        <is>
          <t>ASUB</t>
        </is>
      </c>
    </row>
    <row r="103">
      <c r="A103" s="4" t="inlineStr">
        <is>
          <t>03649131</t>
        </is>
      </c>
      <c r="B103" s="4" t="inlineStr">
        <is>
          <t>MM DE AGUAS SUBTERRÁNEAS</t>
        </is>
      </c>
      <c r="C103" s="4" t="inlineStr">
        <is>
          <t>PLIX-03A LIXIVIACIÓN</t>
        </is>
      </c>
      <c r="D103" s="4" t="inlineStr">
        <is>
          <t>2026-04-01</t>
        </is>
      </c>
      <c r="E103" s="4" t="inlineStr">
        <is>
          <t>2026-04-07</t>
        </is>
      </c>
      <c r="F103" s="4" t="inlineStr">
        <is>
          <t>SIGVA</t>
        </is>
      </c>
      <c r="G103" s="5">
        <f>IF(H103="TT","TRABAJO TERMINADO",IF(H103="MI","TRABAJO NO TERMINADO",""))</f>
        <v/>
      </c>
      <c r="H103" s="6" t="inlineStr"/>
      <c r="I103" s="7">
        <f>IF(B103="", G103, IF(G103="", LEFT(B103,45), IF(45-LEN(G103)-2&lt;=0, G103, LEFT(B103,45-LEN(G103)-2)&amp;", "&amp;G103)))</f>
        <v/>
      </c>
      <c r="J103" s="8">
        <f>IF(H103="MI","NO REALIZADO " &amp; B103 &amp; " EN " &amp; C103 &amp; IF(K103&lt;&gt;""," " &amp; K103,""),IF(H103="TT","SE REALIZA " &amp; B103 &amp; " EN " &amp; C103 &amp; IF(K103&lt;&gt;""," " &amp; K103,""),""))</f>
        <v/>
      </c>
      <c r="K103" s="4" t="n"/>
      <c r="L103" s="4" t="inlineStr">
        <is>
          <t>ASUB</t>
        </is>
      </c>
    </row>
    <row r="104">
      <c r="A104" s="4" t="inlineStr">
        <is>
          <t>03649132</t>
        </is>
      </c>
      <c r="B104" s="4" t="inlineStr">
        <is>
          <t>MM DE AGUAS SUBTERRÁNEAS</t>
        </is>
      </c>
      <c r="C104" s="4" t="inlineStr">
        <is>
          <t>PLIX-03B LIXIVIACIÓN</t>
        </is>
      </c>
      <c r="D104" s="4" t="inlineStr">
        <is>
          <t>2026-04-01</t>
        </is>
      </c>
      <c r="E104" s="4" t="inlineStr">
        <is>
          <t>2026-04-07</t>
        </is>
      </c>
      <c r="F104" s="4" t="inlineStr">
        <is>
          <t>SIGVA</t>
        </is>
      </c>
      <c r="G104" s="5">
        <f>IF(H104="TT","TRABAJO TERMINADO",IF(H104="MI","TRABAJO NO TERMINADO",""))</f>
        <v/>
      </c>
      <c r="H104" s="6" t="inlineStr"/>
      <c r="I104" s="7">
        <f>IF(B104="", G104, IF(G104="", LEFT(B104,45), IF(45-LEN(G104)-2&lt;=0, G104, LEFT(B104,45-LEN(G104)-2)&amp;", "&amp;G104)))</f>
        <v/>
      </c>
      <c r="J104" s="8">
        <f>IF(H104="MI","NO REALIZADO " &amp; B104 &amp; " EN " &amp; C104 &amp; IF(K104&lt;&gt;""," " &amp; K104,""),IF(H104="TT","SE REALIZA " &amp; B104 &amp; " EN " &amp; C104 &amp; IF(K104&lt;&gt;""," " &amp; K104,""),""))</f>
        <v/>
      </c>
      <c r="K104" s="4" t="n"/>
      <c r="L104" s="4" t="inlineStr">
        <is>
          <t>ASUB</t>
        </is>
      </c>
    </row>
    <row r="105">
      <c r="A105" s="4" t="inlineStr">
        <is>
          <t>03649133</t>
        </is>
      </c>
      <c r="B105" s="4" t="inlineStr">
        <is>
          <t>MM DE AGUAS SUBTERRÁNEAS</t>
        </is>
      </c>
      <c r="C105" s="4" t="inlineStr">
        <is>
          <t>PLIX-04 LIXIVIACIÓN</t>
        </is>
      </c>
      <c r="D105" s="4" t="inlineStr">
        <is>
          <t>2026-04-01</t>
        </is>
      </c>
      <c r="E105" s="4" t="inlineStr">
        <is>
          <t>2026-04-07</t>
        </is>
      </c>
      <c r="F105" s="4" t="inlineStr">
        <is>
          <t>SIGVA</t>
        </is>
      </c>
      <c r="G105" s="5">
        <f>IF(H105="TT","TRABAJO TERMINADO",IF(H105="MI","TRABAJO NO TERMINADO",""))</f>
        <v/>
      </c>
      <c r="H105" s="6" t="inlineStr"/>
      <c r="I105" s="7">
        <f>IF(B105="", G105, IF(G105="", LEFT(B105,45), IF(45-LEN(G105)-2&lt;=0, G105, LEFT(B105,45-LEN(G105)-2)&amp;", "&amp;G105)))</f>
        <v/>
      </c>
      <c r="J105" s="8">
        <f>IF(H105="MI","NO REALIZADO " &amp; B105 &amp; " EN " &amp; C105 &amp; IF(K105&lt;&gt;""," " &amp; K105,""),IF(H105="TT","SE REALIZA " &amp; B105 &amp; " EN " &amp; C105 &amp; IF(K105&lt;&gt;""," " &amp; K105,""),""))</f>
        <v/>
      </c>
      <c r="K105" s="4" t="n"/>
      <c r="L105" s="4" t="inlineStr">
        <is>
          <t>ASUB</t>
        </is>
      </c>
    </row>
    <row r="106">
      <c r="A106" s="4" t="inlineStr">
        <is>
          <t>03649134</t>
        </is>
      </c>
      <c r="B106" s="4" t="inlineStr">
        <is>
          <t>MM DE AGUAS SUBTERRÁNEAS</t>
        </is>
      </c>
      <c r="C106" s="4" t="inlineStr">
        <is>
          <t>PLIX-05A LIXIVIACIÓN</t>
        </is>
      </c>
      <c r="D106" s="4" t="inlineStr">
        <is>
          <t>2026-04-01</t>
        </is>
      </c>
      <c r="E106" s="4" t="inlineStr">
        <is>
          <t>2026-04-07</t>
        </is>
      </c>
      <c r="F106" s="4" t="inlineStr">
        <is>
          <t>SIGVA</t>
        </is>
      </c>
      <c r="G106" s="5">
        <f>IF(H106="TT","TRABAJO TERMINADO",IF(H106="MI","TRABAJO NO TERMINADO",""))</f>
        <v/>
      </c>
      <c r="H106" s="6" t="inlineStr"/>
      <c r="I106" s="7">
        <f>IF(B106="", G106, IF(G106="", LEFT(B106,45), IF(45-LEN(G106)-2&lt;=0, G106, LEFT(B106,45-LEN(G106)-2)&amp;", "&amp;G106)))</f>
        <v/>
      </c>
      <c r="J106" s="8">
        <f>IF(H106="MI","NO REALIZADO " &amp; B106 &amp; " EN " &amp; C106 &amp; IF(K106&lt;&gt;""," " &amp; K106,""),IF(H106="TT","SE REALIZA " &amp; B106 &amp; " EN " &amp; C106 &amp; IF(K106&lt;&gt;""," " &amp; K106,""),""))</f>
        <v/>
      </c>
      <c r="K106" s="4" t="n"/>
      <c r="L106" s="4" t="inlineStr">
        <is>
          <t>ASUB</t>
        </is>
      </c>
    </row>
    <row r="107">
      <c r="A107" s="4" t="inlineStr">
        <is>
          <t>03649135</t>
        </is>
      </c>
      <c r="B107" s="4" t="inlineStr">
        <is>
          <t>MM DE AGUAS SUBTERRÁNEAS</t>
        </is>
      </c>
      <c r="C107" s="4" t="inlineStr">
        <is>
          <t>PLIX-05B LIXIVIACIÓN</t>
        </is>
      </c>
      <c r="D107" s="4" t="inlineStr">
        <is>
          <t>2026-04-01</t>
        </is>
      </c>
      <c r="E107" s="4" t="inlineStr">
        <is>
          <t>2026-04-07</t>
        </is>
      </c>
      <c r="F107" s="4" t="inlineStr">
        <is>
          <t>SIGVA</t>
        </is>
      </c>
      <c r="G107" s="5">
        <f>IF(H107="TT","TRABAJO TERMINADO",IF(H107="MI","TRABAJO NO TERMINADO",""))</f>
        <v/>
      </c>
      <c r="H107" s="6" t="inlineStr"/>
      <c r="I107" s="7">
        <f>IF(B107="", G107, IF(G107="", LEFT(B107,45), IF(45-LEN(G107)-2&lt;=0, G107, LEFT(B107,45-LEN(G107)-2)&amp;", "&amp;G107)))</f>
        <v/>
      </c>
      <c r="J107" s="8">
        <f>IF(H107="MI","NO REALIZADO " &amp; B107 &amp; " EN " &amp; C107 &amp; IF(K107&lt;&gt;""," " &amp; K107,""),IF(H107="TT","SE REALIZA " &amp; B107 &amp; " EN " &amp; C107 &amp; IF(K107&lt;&gt;""," " &amp; K107,""),""))</f>
        <v/>
      </c>
      <c r="K107" s="4" t="n"/>
      <c r="L107" s="4" t="inlineStr">
        <is>
          <t>ASUB</t>
        </is>
      </c>
    </row>
    <row r="108">
      <c r="A108" s="4" t="inlineStr">
        <is>
          <t>03649136</t>
        </is>
      </c>
      <c r="B108" s="4" t="inlineStr">
        <is>
          <t>MM DE AGUAS SUBTERRÁNEAS</t>
        </is>
      </c>
      <c r="C108" s="4" t="inlineStr">
        <is>
          <t>PLIX-06 LIXIVIACIÓN</t>
        </is>
      </c>
      <c r="D108" s="4" t="inlineStr">
        <is>
          <t>2026-04-01</t>
        </is>
      </c>
      <c r="E108" s="4" t="inlineStr">
        <is>
          <t>2026-04-07</t>
        </is>
      </c>
      <c r="F108" s="4" t="inlineStr">
        <is>
          <t>SIGVA</t>
        </is>
      </c>
      <c r="G108" s="5">
        <f>IF(H108="TT","TRABAJO TERMINADO",IF(H108="MI","TRABAJO NO TERMINADO",""))</f>
        <v/>
      </c>
      <c r="H108" s="6" t="inlineStr"/>
      <c r="I108" s="7">
        <f>IF(B108="", G108, IF(G108="", LEFT(B108,45), IF(45-LEN(G108)-2&lt;=0, G108, LEFT(B108,45-LEN(G108)-2)&amp;", "&amp;G108)))</f>
        <v/>
      </c>
      <c r="J108" s="8">
        <f>IF(H108="MI","NO REALIZADO " &amp; B108 &amp; " EN " &amp; C108 &amp; IF(K108&lt;&gt;""," " &amp; K108,""),IF(H108="TT","SE REALIZA " &amp; B108 &amp; " EN " &amp; C108 &amp; IF(K108&lt;&gt;""," " &amp; K108,""),""))</f>
        <v/>
      </c>
      <c r="K108" s="4" t="n"/>
      <c r="L108" s="4" t="inlineStr">
        <is>
          <t>ASUB</t>
        </is>
      </c>
    </row>
    <row r="109">
      <c r="A109" s="4" t="inlineStr">
        <is>
          <t>03649137</t>
        </is>
      </c>
      <c r="B109" s="4" t="inlineStr">
        <is>
          <t>MM DE AGUAS SUBTERRÁNEAS</t>
        </is>
      </c>
      <c r="C109" s="4" t="inlineStr">
        <is>
          <t>PLIX-07A LIXIVIACIÓN</t>
        </is>
      </c>
      <c r="D109" s="4" t="inlineStr">
        <is>
          <t>2026-04-01</t>
        </is>
      </c>
      <c r="E109" s="4" t="inlineStr">
        <is>
          <t>2026-04-07</t>
        </is>
      </c>
      <c r="F109" s="4" t="inlineStr">
        <is>
          <t>SIGVA</t>
        </is>
      </c>
      <c r="G109" s="5">
        <f>IF(H109="TT","TRABAJO TERMINADO",IF(H109="MI","TRABAJO NO TERMINADO",""))</f>
        <v/>
      </c>
      <c r="H109" s="6" t="inlineStr"/>
      <c r="I109" s="7">
        <f>IF(B109="", G109, IF(G109="", LEFT(B109,45), IF(45-LEN(G109)-2&lt;=0, G109, LEFT(B109,45-LEN(G109)-2)&amp;", "&amp;G109)))</f>
        <v/>
      </c>
      <c r="J109" s="8">
        <f>IF(H109="MI","NO REALIZADO " &amp; B109 &amp; " EN " &amp; C109 &amp; IF(K109&lt;&gt;""," " &amp; K109,""),IF(H109="TT","SE REALIZA " &amp; B109 &amp; " EN " &amp; C109 &amp; IF(K109&lt;&gt;""," " &amp; K109,""),""))</f>
        <v/>
      </c>
      <c r="K109" s="4" t="n"/>
      <c r="L109" s="4" t="inlineStr">
        <is>
          <t>ASUB</t>
        </is>
      </c>
    </row>
    <row r="110">
      <c r="A110" s="4" t="inlineStr">
        <is>
          <t>03649138</t>
        </is>
      </c>
      <c r="B110" s="4" t="inlineStr">
        <is>
          <t>MM DE AGUAS SUBTERRÁNEAS</t>
        </is>
      </c>
      <c r="C110" s="4" t="inlineStr">
        <is>
          <t>PLIX-07B LIXIVIACIÓN</t>
        </is>
      </c>
      <c r="D110" s="4" t="inlineStr">
        <is>
          <t>2026-04-01</t>
        </is>
      </c>
      <c r="E110" s="4" t="inlineStr">
        <is>
          <t>2026-04-07</t>
        </is>
      </c>
      <c r="F110" s="4" t="inlineStr">
        <is>
          <t>SIGVA</t>
        </is>
      </c>
      <c r="G110" s="5">
        <f>IF(H110="TT","TRABAJO TERMINADO",IF(H110="MI","TRABAJO NO TERMINADO",""))</f>
        <v/>
      </c>
      <c r="H110" s="6" t="inlineStr"/>
      <c r="I110" s="7">
        <f>IF(B110="", G110, IF(G110="", LEFT(B110,45), IF(45-LEN(G110)-2&lt;=0, G110, LEFT(B110,45-LEN(G110)-2)&amp;", "&amp;G110)))</f>
        <v/>
      </c>
      <c r="J110" s="8">
        <f>IF(H110="MI","NO REALIZADO " &amp; B110 &amp; " EN " &amp; C110 &amp; IF(K110&lt;&gt;""," " &amp; K110,""),IF(H110="TT","SE REALIZA " &amp; B110 &amp; " EN " &amp; C110 &amp; IF(K110&lt;&gt;""," " &amp; K110,""),""))</f>
        <v/>
      </c>
      <c r="K110" s="4" t="n"/>
      <c r="L110" s="4" t="inlineStr">
        <is>
          <t>ASUB</t>
        </is>
      </c>
    </row>
    <row r="111">
      <c r="A111" s="4" t="inlineStr">
        <is>
          <t>03649139</t>
        </is>
      </c>
      <c r="B111" s="4" t="inlineStr">
        <is>
          <t>MM DE AGUAS SUBTERRÁNEAS</t>
        </is>
      </c>
      <c r="C111" s="4" t="inlineStr">
        <is>
          <t>PLIX-08A LIXIVIACIÓN</t>
        </is>
      </c>
      <c r="D111" s="4" t="inlineStr">
        <is>
          <t>2026-04-01</t>
        </is>
      </c>
      <c r="E111" s="4" t="inlineStr">
        <is>
          <t>2026-04-07</t>
        </is>
      </c>
      <c r="F111" s="4" t="inlineStr">
        <is>
          <t>SIGVA</t>
        </is>
      </c>
      <c r="G111" s="5">
        <f>IF(H111="TT","TRABAJO TERMINADO",IF(H111="MI","TRABAJO NO TERMINADO",""))</f>
        <v/>
      </c>
      <c r="H111" s="6" t="inlineStr"/>
      <c r="I111" s="7">
        <f>IF(B111="", G111, IF(G111="", LEFT(B111,45), IF(45-LEN(G111)-2&lt;=0, G111, LEFT(B111,45-LEN(G111)-2)&amp;", "&amp;G111)))</f>
        <v/>
      </c>
      <c r="J111" s="8">
        <f>IF(H111="MI","NO REALIZADO " &amp; B111 &amp; " EN " &amp; C111 &amp; IF(K111&lt;&gt;""," " &amp; K111,""),IF(H111="TT","SE REALIZA " &amp; B111 &amp; " EN " &amp; C111 &amp; IF(K111&lt;&gt;""," " &amp; K111,""),""))</f>
        <v/>
      </c>
      <c r="K111" s="4" t="n"/>
      <c r="L111" s="4" t="inlineStr">
        <is>
          <t>ASUB</t>
        </is>
      </c>
    </row>
    <row r="112">
      <c r="A112" s="4" t="inlineStr">
        <is>
          <t>03649140</t>
        </is>
      </c>
      <c r="B112" s="4" t="inlineStr">
        <is>
          <t>MM DE AGUAS SUBTERRÁNEAS</t>
        </is>
      </c>
      <c r="C112" s="4" t="inlineStr">
        <is>
          <t>PLIX-08B LIXIVIACIÓN</t>
        </is>
      </c>
      <c r="D112" s="4" t="inlineStr">
        <is>
          <t>2026-04-01</t>
        </is>
      </c>
      <c r="E112" s="4" t="inlineStr">
        <is>
          <t>2026-04-07</t>
        </is>
      </c>
      <c r="F112" s="4" t="inlineStr">
        <is>
          <t>SIGVA</t>
        </is>
      </c>
      <c r="G112" s="5">
        <f>IF(H112="TT","TRABAJO TERMINADO",IF(H112="MI","TRABAJO NO TERMINADO",""))</f>
        <v/>
      </c>
      <c r="H112" s="6" t="inlineStr"/>
      <c r="I112" s="7">
        <f>IF(B112="", G112, IF(G112="", LEFT(B112,45), IF(45-LEN(G112)-2&lt;=0, G112, LEFT(B112,45-LEN(G112)-2)&amp;", "&amp;G112)))</f>
        <v/>
      </c>
      <c r="J112" s="8">
        <f>IF(H112="MI","NO REALIZADO " &amp; B112 &amp; " EN " &amp; C112 &amp; IF(K112&lt;&gt;""," " &amp; K112,""),IF(H112="TT","SE REALIZA " &amp; B112 &amp; " EN " &amp; C112 &amp; IF(K112&lt;&gt;""," " &amp; K112,""),""))</f>
        <v/>
      </c>
      <c r="K112" s="4" t="n"/>
      <c r="L112" s="4" t="inlineStr">
        <is>
          <t>ASUB</t>
        </is>
      </c>
    </row>
    <row r="113">
      <c r="A113" s="4" t="inlineStr">
        <is>
          <t>03649141</t>
        </is>
      </c>
      <c r="B113" s="4" t="inlineStr">
        <is>
          <t>MM DE AGUAS SUBTERRÁNEAS</t>
        </is>
      </c>
      <c r="C113" s="4" t="inlineStr">
        <is>
          <t>PLIX-09 LIXIVIACIÓN</t>
        </is>
      </c>
      <c r="D113" s="4" t="inlineStr">
        <is>
          <t>2026-04-01</t>
        </is>
      </c>
      <c r="E113" s="4" t="inlineStr">
        <is>
          <t>2026-04-07</t>
        </is>
      </c>
      <c r="F113" s="4" t="inlineStr">
        <is>
          <t>SIGVA</t>
        </is>
      </c>
      <c r="G113" s="5">
        <f>IF(H113="TT","TRABAJO TERMINADO",IF(H113="MI","TRABAJO NO TERMINADO",""))</f>
        <v/>
      </c>
      <c r="H113" s="6" t="inlineStr"/>
      <c r="I113" s="7">
        <f>IF(B113="", G113, IF(G113="", LEFT(B113,45), IF(45-LEN(G113)-2&lt;=0, G113, LEFT(B113,45-LEN(G113)-2)&amp;", "&amp;G113)))</f>
        <v/>
      </c>
      <c r="J113" s="8">
        <f>IF(H113="MI","NO REALIZADO " &amp; B113 &amp; " EN " &amp; C113 &amp; IF(K113&lt;&gt;""," " &amp; K113,""),IF(H113="TT","SE REALIZA " &amp; B113 &amp; " EN " &amp; C113 &amp; IF(K113&lt;&gt;""," " &amp; K113,""),""))</f>
        <v/>
      </c>
      <c r="K113" s="4" t="n"/>
      <c r="L113" s="4" t="inlineStr">
        <is>
          <t>ASUB</t>
        </is>
      </c>
    </row>
    <row r="114">
      <c r="A114" s="4" t="inlineStr">
        <is>
          <t>03649142</t>
        </is>
      </c>
      <c r="B114" s="4" t="inlineStr">
        <is>
          <t>MM DE AGUAS SUBTERRÁNEAS</t>
        </is>
      </c>
      <c r="C114" s="4" t="inlineStr">
        <is>
          <t>PLIX-10A LIXIVIACIÓN</t>
        </is>
      </c>
      <c r="D114" s="4" t="inlineStr">
        <is>
          <t>2026-04-01</t>
        </is>
      </c>
      <c r="E114" s="4" t="inlineStr">
        <is>
          <t>2026-04-07</t>
        </is>
      </c>
      <c r="F114" s="4" t="inlineStr">
        <is>
          <t>SIGVA</t>
        </is>
      </c>
      <c r="G114" s="5">
        <f>IF(H114="TT","TRABAJO TERMINADO",IF(H114="MI","TRABAJO NO TERMINADO",""))</f>
        <v/>
      </c>
      <c r="H114" s="6" t="inlineStr"/>
      <c r="I114" s="7">
        <f>IF(B114="", G114, IF(G114="", LEFT(B114,45), IF(45-LEN(G114)-2&lt;=0, G114, LEFT(B114,45-LEN(G114)-2)&amp;", "&amp;G114)))</f>
        <v/>
      </c>
      <c r="J114" s="8">
        <f>IF(H114="MI","NO REALIZADO " &amp; B114 &amp; " EN " &amp; C114 &amp; IF(K114&lt;&gt;""," " &amp; K114,""),IF(H114="TT","SE REALIZA " &amp; B114 &amp; " EN " &amp; C114 &amp; IF(K114&lt;&gt;""," " &amp; K114,""),""))</f>
        <v/>
      </c>
      <c r="K114" s="4" t="n"/>
      <c r="L114" s="4" t="inlineStr">
        <is>
          <t>ASUB</t>
        </is>
      </c>
    </row>
    <row r="115">
      <c r="A115" s="4" t="inlineStr">
        <is>
          <t>03649143</t>
        </is>
      </c>
      <c r="B115" s="4" t="inlineStr">
        <is>
          <t>MM DE AGUAS SUBTERRÁNEAS</t>
        </is>
      </c>
      <c r="C115" s="4" t="inlineStr">
        <is>
          <t>PLIX-10B LIXIVIACIÓN</t>
        </is>
      </c>
      <c r="D115" s="4" t="inlineStr">
        <is>
          <t>2026-04-01</t>
        </is>
      </c>
      <c r="E115" s="4" t="inlineStr">
        <is>
          <t>2026-04-07</t>
        </is>
      </c>
      <c r="F115" s="4" t="inlineStr">
        <is>
          <t>SIGVA</t>
        </is>
      </c>
      <c r="G115" s="5">
        <f>IF(H115="TT","TRABAJO TERMINADO",IF(H115="MI","TRABAJO NO TERMINADO",""))</f>
        <v/>
      </c>
      <c r="H115" s="6" t="inlineStr"/>
      <c r="I115" s="7">
        <f>IF(B115="", G115, IF(G115="", LEFT(B115,45), IF(45-LEN(G115)-2&lt;=0, G115, LEFT(B115,45-LEN(G115)-2)&amp;", "&amp;G115)))</f>
        <v/>
      </c>
      <c r="J115" s="8">
        <f>IF(H115="MI","NO REALIZADO " &amp; B115 &amp; " EN " &amp; C115 &amp; IF(K115&lt;&gt;""," " &amp; K115,""),IF(H115="TT","SE REALIZA " &amp; B115 &amp; " EN " &amp; C115 &amp; IF(K115&lt;&gt;""," " &amp; K115,""),""))</f>
        <v/>
      </c>
      <c r="K115" s="4" t="n"/>
      <c r="L115" s="4" t="inlineStr">
        <is>
          <t>ASUB</t>
        </is>
      </c>
    </row>
    <row r="116">
      <c r="A116" s="4" t="inlineStr">
        <is>
          <t>03649144</t>
        </is>
      </c>
      <c r="B116" s="4" t="inlineStr">
        <is>
          <t>MM DE AGUAS SUBTERRÁNEAS</t>
        </is>
      </c>
      <c r="C116" s="4" t="inlineStr">
        <is>
          <t>PLIX-11A LIXIVIACIÓN</t>
        </is>
      </c>
      <c r="D116" s="4" t="inlineStr">
        <is>
          <t>2026-04-01</t>
        </is>
      </c>
      <c r="E116" s="4" t="inlineStr">
        <is>
          <t>2026-04-07</t>
        </is>
      </c>
      <c r="F116" s="4" t="inlineStr">
        <is>
          <t>SIGVA</t>
        </is>
      </c>
      <c r="G116" s="5">
        <f>IF(H116="TT","TRABAJO TERMINADO",IF(H116="MI","TRABAJO NO TERMINADO",""))</f>
        <v/>
      </c>
      <c r="H116" s="6" t="inlineStr"/>
      <c r="I116" s="7">
        <f>IF(B116="", G116, IF(G116="", LEFT(B116,45), IF(45-LEN(G116)-2&lt;=0, G116, LEFT(B116,45-LEN(G116)-2)&amp;", "&amp;G116)))</f>
        <v/>
      </c>
      <c r="J116" s="8">
        <f>IF(H116="MI","NO REALIZADO " &amp; B116 &amp; " EN " &amp; C116 &amp; IF(K116&lt;&gt;""," " &amp; K116,""),IF(H116="TT","SE REALIZA " &amp; B116 &amp; " EN " &amp; C116 &amp; IF(K116&lt;&gt;""," " &amp; K116,""),""))</f>
        <v/>
      </c>
      <c r="K116" s="4" t="n"/>
      <c r="L116" s="4" t="inlineStr">
        <is>
          <t>ASUB</t>
        </is>
      </c>
    </row>
    <row r="117">
      <c r="A117" s="4" t="inlineStr">
        <is>
          <t>03649145</t>
        </is>
      </c>
      <c r="B117" s="4" t="inlineStr">
        <is>
          <t>MM DE AGUAS SUBTERRÁNEAS</t>
        </is>
      </c>
      <c r="C117" s="4" t="inlineStr">
        <is>
          <t>PLIX-11B LIXIVIACIÓN</t>
        </is>
      </c>
      <c r="D117" s="4" t="inlineStr">
        <is>
          <t>2026-04-01</t>
        </is>
      </c>
      <c r="E117" s="4" t="inlineStr">
        <is>
          <t>2026-04-07</t>
        </is>
      </c>
      <c r="F117" s="4" t="inlineStr">
        <is>
          <t>SIGVA</t>
        </is>
      </c>
      <c r="G117" s="5">
        <f>IF(H117="TT","TRABAJO TERMINADO",IF(H117="MI","TRABAJO NO TERMINADO",""))</f>
        <v/>
      </c>
      <c r="H117" s="6" t="inlineStr"/>
      <c r="I117" s="7">
        <f>IF(B117="", G117, IF(G117="", LEFT(B117,45), IF(45-LEN(G117)-2&lt;=0, G117, LEFT(B117,45-LEN(G117)-2)&amp;", "&amp;G117)))</f>
        <v/>
      </c>
      <c r="J117" s="8">
        <f>IF(H117="MI","NO REALIZADO " &amp; B117 &amp; " EN " &amp; C117 &amp; IF(K117&lt;&gt;""," " &amp; K117,""),IF(H117="TT","SE REALIZA " &amp; B117 &amp; " EN " &amp; C117 &amp; IF(K117&lt;&gt;""," " &amp; K117,""),""))</f>
        <v/>
      </c>
      <c r="K117" s="4" t="n"/>
      <c r="L117" s="4" t="inlineStr">
        <is>
          <t>ASUB</t>
        </is>
      </c>
    </row>
    <row r="118">
      <c r="A118" s="4" t="inlineStr">
        <is>
          <t>03649146</t>
        </is>
      </c>
      <c r="B118" s="4" t="inlineStr">
        <is>
          <t>MM DE AGUAS SUBTERRÁNEAS</t>
        </is>
      </c>
      <c r="C118" s="4" t="inlineStr">
        <is>
          <t>PLIX-12B LIXIVIACIÓN</t>
        </is>
      </c>
      <c r="D118" s="4" t="inlineStr">
        <is>
          <t>2026-04-01</t>
        </is>
      </c>
      <c r="E118" s="4" t="inlineStr">
        <is>
          <t>2026-04-07</t>
        </is>
      </c>
      <c r="F118" s="4" t="inlineStr">
        <is>
          <t>SIGVA</t>
        </is>
      </c>
      <c r="G118" s="5">
        <f>IF(H118="TT","TRABAJO TERMINADO",IF(H118="MI","TRABAJO NO TERMINADO",""))</f>
        <v/>
      </c>
      <c r="H118" s="6" t="inlineStr"/>
      <c r="I118" s="7">
        <f>IF(B118="", G118, IF(G118="", LEFT(B118,45), IF(45-LEN(G118)-2&lt;=0, G118, LEFT(B118,45-LEN(G118)-2)&amp;", "&amp;G118)))</f>
        <v/>
      </c>
      <c r="J118" s="8">
        <f>IF(H118="MI","NO REALIZADO " &amp; B118 &amp; " EN " &amp; C118 &amp; IF(K118&lt;&gt;""," " &amp; K118,""),IF(H118="TT","SE REALIZA " &amp; B118 &amp; " EN " &amp; C118 &amp; IF(K118&lt;&gt;""," " &amp; K118,""),""))</f>
        <v/>
      </c>
      <c r="K118" s="4" t="n"/>
      <c r="L118" s="4" t="inlineStr">
        <is>
          <t>ASUB</t>
        </is>
      </c>
    </row>
    <row r="119">
      <c r="A119" s="4" t="inlineStr">
        <is>
          <t>03649147</t>
        </is>
      </c>
      <c r="B119" s="4" t="inlineStr">
        <is>
          <t>MM DE AGUAS SUBTERRÁNEAS</t>
        </is>
      </c>
      <c r="C119" s="4" t="inlineStr">
        <is>
          <t>PLIX-13A LIXIVIACIÓN</t>
        </is>
      </c>
      <c r="D119" s="4" t="inlineStr">
        <is>
          <t>2026-04-01</t>
        </is>
      </c>
      <c r="E119" s="4" t="inlineStr">
        <is>
          <t>2026-04-07</t>
        </is>
      </c>
      <c r="F119" s="4" t="inlineStr">
        <is>
          <t>SIGVA</t>
        </is>
      </c>
      <c r="G119" s="5">
        <f>IF(H119="TT","TRABAJO TERMINADO",IF(H119="MI","TRABAJO NO TERMINADO",""))</f>
        <v/>
      </c>
      <c r="H119" s="6" t="inlineStr"/>
      <c r="I119" s="7">
        <f>IF(B119="", G119, IF(G119="", LEFT(B119,45), IF(45-LEN(G119)-2&lt;=0, G119, LEFT(B119,45-LEN(G119)-2)&amp;", "&amp;G119)))</f>
        <v/>
      </c>
      <c r="J119" s="8">
        <f>IF(H119="MI","NO REALIZADO " &amp; B119 &amp; " EN " &amp; C119 &amp; IF(K119&lt;&gt;""," " &amp; K119,""),IF(H119="TT","SE REALIZA " &amp; B119 &amp; " EN " &amp; C119 &amp; IF(K119&lt;&gt;""," " &amp; K119,""),""))</f>
        <v/>
      </c>
      <c r="K119" s="4" t="n"/>
      <c r="L119" s="4" t="inlineStr">
        <is>
          <t>ASUB</t>
        </is>
      </c>
    </row>
    <row r="120">
      <c r="A120" s="4" t="inlineStr">
        <is>
          <t>03649148</t>
        </is>
      </c>
      <c r="B120" s="4" t="inlineStr">
        <is>
          <t>MM DE AGUAS SUBTERRÁNEAS</t>
        </is>
      </c>
      <c r="C120" s="4" t="inlineStr">
        <is>
          <t>PLIX-13B LIXIVIACIÓN</t>
        </is>
      </c>
      <c r="D120" s="4" t="inlineStr">
        <is>
          <t>2026-04-01</t>
        </is>
      </c>
      <c r="E120" s="4" t="inlineStr">
        <is>
          <t>2026-04-07</t>
        </is>
      </c>
      <c r="F120" s="4" t="inlineStr">
        <is>
          <t>SIGVA</t>
        </is>
      </c>
      <c r="G120" s="5">
        <f>IF(H120="TT","TRABAJO TERMINADO",IF(H120="MI","TRABAJO NO TERMINADO",""))</f>
        <v/>
      </c>
      <c r="H120" s="6" t="inlineStr"/>
      <c r="I120" s="7">
        <f>IF(B120="", G120, IF(G120="", LEFT(B120,45), IF(45-LEN(G120)-2&lt;=0, G120, LEFT(B120,45-LEN(G120)-2)&amp;", "&amp;G120)))</f>
        <v/>
      </c>
      <c r="J120" s="8">
        <f>IF(H120="MI","NO REALIZADO " &amp; B120 &amp; " EN " &amp; C120 &amp; IF(K120&lt;&gt;""," " &amp; K120,""),IF(H120="TT","SE REALIZA " &amp; B120 &amp; " EN " &amp; C120 &amp; IF(K120&lt;&gt;""," " &amp; K120,""),""))</f>
        <v/>
      </c>
      <c r="K120" s="4" t="n"/>
      <c r="L120" s="4" t="inlineStr">
        <is>
          <t>ASUB</t>
        </is>
      </c>
    </row>
    <row r="121">
      <c r="A121" s="4" t="inlineStr">
        <is>
          <t>03649149</t>
        </is>
      </c>
      <c r="B121" s="4" t="inlineStr">
        <is>
          <t>MM DE AGUAS SUBTERRÁNEAS</t>
        </is>
      </c>
      <c r="C121" s="4" t="inlineStr">
        <is>
          <t>PLIX-14 LIXIVIACIÓN</t>
        </is>
      </c>
      <c r="D121" s="4" t="inlineStr">
        <is>
          <t>2026-04-01</t>
        </is>
      </c>
      <c r="E121" s="4" t="inlineStr">
        <is>
          <t>2026-04-07</t>
        </is>
      </c>
      <c r="F121" s="4" t="inlineStr">
        <is>
          <t>SIGVA</t>
        </is>
      </c>
      <c r="G121" s="5">
        <f>IF(H121="TT","TRABAJO TERMINADO",IF(H121="MI","TRABAJO NO TERMINADO",""))</f>
        <v/>
      </c>
      <c r="H121" s="6" t="inlineStr"/>
      <c r="I121" s="7">
        <f>IF(B121="", G121, IF(G121="", LEFT(B121,45), IF(45-LEN(G121)-2&lt;=0, G121, LEFT(B121,45-LEN(G121)-2)&amp;", "&amp;G121)))</f>
        <v/>
      </c>
      <c r="J121" s="8">
        <f>IF(H121="MI","NO REALIZADO " &amp; B121 &amp; " EN " &amp; C121 &amp; IF(K121&lt;&gt;""," " &amp; K121,""),IF(H121="TT","SE REALIZA " &amp; B121 &amp; " EN " &amp; C121 &amp; IF(K121&lt;&gt;""," " &amp; K121,""),""))</f>
        <v/>
      </c>
      <c r="K121" s="4" t="n"/>
      <c r="L121" s="4" t="inlineStr">
        <is>
          <t>ASUB</t>
        </is>
      </c>
    </row>
    <row r="122">
      <c r="A122" s="4" t="inlineStr">
        <is>
          <t>03649150</t>
        </is>
      </c>
      <c r="B122" s="4" t="inlineStr">
        <is>
          <t>MEDICION DE NIVELES FREATICOS</t>
        </is>
      </c>
      <c r="C122" s="4" t="inlineStr">
        <is>
          <t>PLIX-01A LIXIVIACIÓN</t>
        </is>
      </c>
      <c r="D122" s="4" t="inlineStr">
        <is>
          <t>2026-04-01</t>
        </is>
      </c>
      <c r="E122" s="4" t="inlineStr">
        <is>
          <t>2026-04-07</t>
        </is>
      </c>
      <c r="F122" s="4" t="inlineStr">
        <is>
          <t>SIGVA</t>
        </is>
      </c>
      <c r="G122" s="5">
        <f>IF(H122="TT","TRABAJO TERMINADO",IF(H122="MI","TRABAJO NO TERMINADO",""))</f>
        <v/>
      </c>
      <c r="H122" s="6" t="inlineStr"/>
      <c r="I122" s="7">
        <f>IF(B122="", G122, IF(G122="", LEFT(B122,45), IF(45-LEN(G122)-2&lt;=0, G122, LEFT(B122,45-LEN(G122)-2)&amp;", "&amp;G122)))</f>
        <v/>
      </c>
      <c r="J122" s="8">
        <f>IF(H122="MI","NO REALIZADO " &amp; B122 &amp; " EN " &amp; C122 &amp; IF(K122&lt;&gt;""," " &amp; K122,""),IF(H122="TT","SE REALIZA " &amp; B122 &amp; " EN " &amp; C122 &amp; IF(K122&lt;&gt;""," " &amp; K122,""),""))</f>
        <v/>
      </c>
      <c r="K122" s="4" t="n"/>
      <c r="L122" s="4" t="inlineStr">
        <is>
          <t>NF</t>
        </is>
      </c>
    </row>
    <row r="123">
      <c r="A123" s="4" t="inlineStr">
        <is>
          <t>03649151</t>
        </is>
      </c>
      <c r="B123" s="4" t="inlineStr">
        <is>
          <t>MEDICION DE NIVELES FREATICOS</t>
        </is>
      </c>
      <c r="C123" s="4" t="inlineStr">
        <is>
          <t>PLIX-01B LIXIVIACIÓN</t>
        </is>
      </c>
      <c r="D123" s="4" t="inlineStr">
        <is>
          <t>2026-04-01</t>
        </is>
      </c>
      <c r="E123" s="4" t="inlineStr">
        <is>
          <t>2026-04-07</t>
        </is>
      </c>
      <c r="F123" s="4" t="inlineStr">
        <is>
          <t>SIGVA</t>
        </is>
      </c>
      <c r="G123" s="5">
        <f>IF(H123="TT","TRABAJO TERMINADO",IF(H123="MI","TRABAJO NO TERMINADO",""))</f>
        <v/>
      </c>
      <c r="H123" s="6" t="inlineStr"/>
      <c r="I123" s="7">
        <f>IF(B123="", G123, IF(G123="", LEFT(B123,45), IF(45-LEN(G123)-2&lt;=0, G123, LEFT(B123,45-LEN(G123)-2)&amp;", "&amp;G123)))</f>
        <v/>
      </c>
      <c r="J123" s="8">
        <f>IF(H123="MI","NO REALIZADO " &amp; B123 &amp; " EN " &amp; C123 &amp; IF(K123&lt;&gt;""," " &amp; K123,""),IF(H123="TT","SE REALIZA " &amp; B123 &amp; " EN " &amp; C123 &amp; IF(K123&lt;&gt;""," " &amp; K123,""),""))</f>
        <v/>
      </c>
      <c r="K123" s="4" t="n"/>
      <c r="L123" s="4" t="inlineStr">
        <is>
          <t>NF</t>
        </is>
      </c>
    </row>
    <row r="124">
      <c r="A124" s="4" t="inlineStr">
        <is>
          <t>03649152</t>
        </is>
      </c>
      <c r="B124" s="4" t="inlineStr">
        <is>
          <t>MEDICION DE NIVELES FREATICOS</t>
        </is>
      </c>
      <c r="C124" s="4" t="inlineStr">
        <is>
          <t>PLIX-02A LIXIVIACIÓN</t>
        </is>
      </c>
      <c r="D124" s="4" t="inlineStr">
        <is>
          <t>2026-04-01</t>
        </is>
      </c>
      <c r="E124" s="4" t="inlineStr">
        <is>
          <t>2026-04-07</t>
        </is>
      </c>
      <c r="F124" s="4" t="inlineStr">
        <is>
          <t>SIGVA</t>
        </is>
      </c>
      <c r="G124" s="5">
        <f>IF(H124="TT","TRABAJO TERMINADO",IF(H124="MI","TRABAJO NO TERMINADO",""))</f>
        <v/>
      </c>
      <c r="H124" s="6" t="inlineStr"/>
      <c r="I124" s="7">
        <f>IF(B124="", G124, IF(G124="", LEFT(B124,45), IF(45-LEN(G124)-2&lt;=0, G124, LEFT(B124,45-LEN(G124)-2)&amp;", "&amp;G124)))</f>
        <v/>
      </c>
      <c r="J124" s="8">
        <f>IF(H124="MI","NO REALIZADO " &amp; B124 &amp; " EN " &amp; C124 &amp; IF(K124&lt;&gt;""," " &amp; K124,""),IF(H124="TT","SE REALIZA " &amp; B124 &amp; " EN " &amp; C124 &amp; IF(K124&lt;&gt;""," " &amp; K124,""),""))</f>
        <v/>
      </c>
      <c r="K124" s="4" t="n"/>
      <c r="L124" s="4" t="inlineStr">
        <is>
          <t>NF</t>
        </is>
      </c>
    </row>
    <row r="125">
      <c r="A125" s="4" t="inlineStr">
        <is>
          <t>03649153</t>
        </is>
      </c>
      <c r="B125" s="4" t="inlineStr">
        <is>
          <t>MEDICION DE NIVELES FREATICOS</t>
        </is>
      </c>
      <c r="C125" s="4" t="inlineStr">
        <is>
          <t>PLIX-02B LIXIVIACIÓN</t>
        </is>
      </c>
      <c r="D125" s="4" t="inlineStr">
        <is>
          <t>2026-04-01</t>
        </is>
      </c>
      <c r="E125" s="4" t="inlineStr">
        <is>
          <t>2026-04-07</t>
        </is>
      </c>
      <c r="F125" s="4" t="inlineStr">
        <is>
          <t>SIGVA</t>
        </is>
      </c>
      <c r="G125" s="5">
        <f>IF(H125="TT","TRABAJO TERMINADO",IF(H125="MI","TRABAJO NO TERMINADO",""))</f>
        <v/>
      </c>
      <c r="H125" s="6" t="inlineStr"/>
      <c r="I125" s="7">
        <f>IF(B125="", G125, IF(G125="", LEFT(B125,45), IF(45-LEN(G125)-2&lt;=0, G125, LEFT(B125,45-LEN(G125)-2)&amp;", "&amp;G125)))</f>
        <v/>
      </c>
      <c r="J125" s="8">
        <f>IF(H125="MI","NO REALIZADO " &amp; B125 &amp; " EN " &amp; C125 &amp; IF(K125&lt;&gt;""," " &amp; K125,""),IF(H125="TT","SE REALIZA " &amp; B125 &amp; " EN " &amp; C125 &amp; IF(K125&lt;&gt;""," " &amp; K125,""),""))</f>
        <v/>
      </c>
      <c r="K125" s="4" t="n"/>
      <c r="L125" s="4" t="inlineStr">
        <is>
          <t>NF</t>
        </is>
      </c>
    </row>
    <row r="126">
      <c r="A126" s="4" t="inlineStr">
        <is>
          <t>03649154</t>
        </is>
      </c>
      <c r="B126" s="4" t="inlineStr">
        <is>
          <t>MEDICION DE NIVELES FREATICOS</t>
        </is>
      </c>
      <c r="C126" s="4" t="inlineStr">
        <is>
          <t>PLIX-03A LIXIVIACIÓN</t>
        </is>
      </c>
      <c r="D126" s="4" t="inlineStr">
        <is>
          <t>2026-04-01</t>
        </is>
      </c>
      <c r="E126" s="4" t="inlineStr">
        <is>
          <t>2026-04-07</t>
        </is>
      </c>
      <c r="F126" s="4" t="inlineStr">
        <is>
          <t>SIGVA</t>
        </is>
      </c>
      <c r="G126" s="5">
        <f>IF(H126="TT","TRABAJO TERMINADO",IF(H126="MI","TRABAJO NO TERMINADO",""))</f>
        <v/>
      </c>
      <c r="H126" s="6" t="inlineStr"/>
      <c r="I126" s="7">
        <f>IF(B126="", G126, IF(G126="", LEFT(B126,45), IF(45-LEN(G126)-2&lt;=0, G126, LEFT(B126,45-LEN(G126)-2)&amp;", "&amp;G126)))</f>
        <v/>
      </c>
      <c r="J126" s="8">
        <f>IF(H126="MI","NO REALIZADO " &amp; B126 &amp; " EN " &amp; C126 &amp; IF(K126&lt;&gt;""," " &amp; K126,""),IF(H126="TT","SE REALIZA " &amp; B126 &amp; " EN " &amp; C126 &amp; IF(K126&lt;&gt;""," " &amp; K126,""),""))</f>
        <v/>
      </c>
      <c r="K126" s="4" t="n"/>
      <c r="L126" s="4" t="inlineStr">
        <is>
          <t>NF</t>
        </is>
      </c>
    </row>
    <row r="127">
      <c r="A127" s="4" t="inlineStr">
        <is>
          <t>03649155</t>
        </is>
      </c>
      <c r="B127" s="4" t="inlineStr">
        <is>
          <t>MEDICION DE NIVELES FREATICOS</t>
        </is>
      </c>
      <c r="C127" s="4" t="inlineStr">
        <is>
          <t>PLIX-03B LIXIVIACIÓN</t>
        </is>
      </c>
      <c r="D127" s="4" t="inlineStr">
        <is>
          <t>2026-04-01</t>
        </is>
      </c>
      <c r="E127" s="4" t="inlineStr">
        <is>
          <t>2026-04-07</t>
        </is>
      </c>
      <c r="F127" s="4" t="inlineStr">
        <is>
          <t>SIGVA</t>
        </is>
      </c>
      <c r="G127" s="5">
        <f>IF(H127="TT","TRABAJO TERMINADO",IF(H127="MI","TRABAJO NO TERMINADO",""))</f>
        <v/>
      </c>
      <c r="H127" s="6" t="inlineStr"/>
      <c r="I127" s="7">
        <f>IF(B127="", G127, IF(G127="", LEFT(B127,45), IF(45-LEN(G127)-2&lt;=0, G127, LEFT(B127,45-LEN(G127)-2)&amp;", "&amp;G127)))</f>
        <v/>
      </c>
      <c r="J127" s="8">
        <f>IF(H127="MI","NO REALIZADO " &amp; B127 &amp; " EN " &amp; C127 &amp; IF(K127&lt;&gt;""," " &amp; K127,""),IF(H127="TT","SE REALIZA " &amp; B127 &amp; " EN " &amp; C127 &amp; IF(K127&lt;&gt;""," " &amp; K127,""),""))</f>
        <v/>
      </c>
      <c r="K127" s="4" t="n"/>
      <c r="L127" s="4" t="inlineStr">
        <is>
          <t>NF</t>
        </is>
      </c>
    </row>
    <row r="128">
      <c r="A128" s="4" t="inlineStr">
        <is>
          <t>03649156</t>
        </is>
      </c>
      <c r="B128" s="4" t="inlineStr">
        <is>
          <t>MEDICION DE NIVELES FREATICOS</t>
        </is>
      </c>
      <c r="C128" s="4" t="inlineStr">
        <is>
          <t>PLIX-04 LIXIVIACIÓN</t>
        </is>
      </c>
      <c r="D128" s="4" t="inlineStr">
        <is>
          <t>2026-04-01</t>
        </is>
      </c>
      <c r="E128" s="4" t="inlineStr">
        <is>
          <t>2026-04-07</t>
        </is>
      </c>
      <c r="F128" s="4" t="inlineStr">
        <is>
          <t>SIGVA</t>
        </is>
      </c>
      <c r="G128" s="5">
        <f>IF(H128="TT","TRABAJO TERMINADO",IF(H128="MI","TRABAJO NO TERMINADO",""))</f>
        <v/>
      </c>
      <c r="H128" s="6" t="inlineStr"/>
      <c r="I128" s="7">
        <f>IF(B128="", G128, IF(G128="", LEFT(B128,45), IF(45-LEN(G128)-2&lt;=0, G128, LEFT(B128,45-LEN(G128)-2)&amp;", "&amp;G128)))</f>
        <v/>
      </c>
      <c r="J128" s="8">
        <f>IF(H128="MI","NO REALIZADO " &amp; B128 &amp; " EN " &amp; C128 &amp; IF(K128&lt;&gt;""," " &amp; K128,""),IF(H128="TT","SE REALIZA " &amp; B128 &amp; " EN " &amp; C128 &amp; IF(K128&lt;&gt;""," " &amp; K128,""),""))</f>
        <v/>
      </c>
      <c r="K128" s="4" t="n"/>
      <c r="L128" s="4" t="inlineStr">
        <is>
          <t>NF</t>
        </is>
      </c>
    </row>
    <row r="129">
      <c r="A129" s="4" t="inlineStr">
        <is>
          <t>03649157</t>
        </is>
      </c>
      <c r="B129" s="4" t="inlineStr">
        <is>
          <t>MEDICION DE NIVELES FREATICOS</t>
        </is>
      </c>
      <c r="C129" s="4" t="inlineStr">
        <is>
          <t>PLIX-05A LIXIVIACIÓN</t>
        </is>
      </c>
      <c r="D129" s="4" t="inlineStr">
        <is>
          <t>2026-04-01</t>
        </is>
      </c>
      <c r="E129" s="4" t="inlineStr">
        <is>
          <t>2026-04-07</t>
        </is>
      </c>
      <c r="F129" s="4" t="inlineStr">
        <is>
          <t>SIGVA</t>
        </is>
      </c>
      <c r="G129" s="5">
        <f>IF(H129="TT","TRABAJO TERMINADO",IF(H129="MI","TRABAJO NO TERMINADO",""))</f>
        <v/>
      </c>
      <c r="H129" s="6" t="inlineStr"/>
      <c r="I129" s="7">
        <f>IF(B129="", G129, IF(G129="", LEFT(B129,45), IF(45-LEN(G129)-2&lt;=0, G129, LEFT(B129,45-LEN(G129)-2)&amp;", "&amp;G129)))</f>
        <v/>
      </c>
      <c r="J129" s="8">
        <f>IF(H129="MI","NO REALIZADO " &amp; B129 &amp; " EN " &amp; C129 &amp; IF(K129&lt;&gt;""," " &amp; K129,""),IF(H129="TT","SE REALIZA " &amp; B129 &amp; " EN " &amp; C129 &amp; IF(K129&lt;&gt;""," " &amp; K129,""),""))</f>
        <v/>
      </c>
      <c r="K129" s="4" t="n"/>
      <c r="L129" s="4" t="inlineStr">
        <is>
          <t>NF</t>
        </is>
      </c>
    </row>
    <row r="130">
      <c r="A130" s="4" t="inlineStr">
        <is>
          <t>03649158</t>
        </is>
      </c>
      <c r="B130" s="4" t="inlineStr">
        <is>
          <t>MEDICION DE NIVELES FREATICOS</t>
        </is>
      </c>
      <c r="C130" s="4" t="inlineStr">
        <is>
          <t>PLIX-05B LIXIVIACIÓN</t>
        </is>
      </c>
      <c r="D130" s="4" t="inlineStr">
        <is>
          <t>2026-04-01</t>
        </is>
      </c>
      <c r="E130" s="4" t="inlineStr">
        <is>
          <t>2026-04-07</t>
        </is>
      </c>
      <c r="F130" s="4" t="inlineStr">
        <is>
          <t>SIGVA</t>
        </is>
      </c>
      <c r="G130" s="5">
        <f>IF(H130="TT","TRABAJO TERMINADO",IF(H130="MI","TRABAJO NO TERMINADO",""))</f>
        <v/>
      </c>
      <c r="H130" s="6" t="inlineStr"/>
      <c r="I130" s="7">
        <f>IF(B130="", G130, IF(G130="", LEFT(B130,45), IF(45-LEN(G130)-2&lt;=0, G130, LEFT(B130,45-LEN(G130)-2)&amp;", "&amp;G130)))</f>
        <v/>
      </c>
      <c r="J130" s="8">
        <f>IF(H130="MI","NO REALIZADO " &amp; B130 &amp; " EN " &amp; C130 &amp; IF(K130&lt;&gt;""," " &amp; K130,""),IF(H130="TT","SE REALIZA " &amp; B130 &amp; " EN " &amp; C130 &amp; IF(K130&lt;&gt;""," " &amp; K130,""),""))</f>
        <v/>
      </c>
      <c r="K130" s="4" t="n"/>
      <c r="L130" s="4" t="inlineStr">
        <is>
          <t>NF</t>
        </is>
      </c>
    </row>
    <row r="131">
      <c r="A131" s="4" t="inlineStr">
        <is>
          <t>03649159</t>
        </is>
      </c>
      <c r="B131" s="4" t="inlineStr">
        <is>
          <t>MEDICION DE NIVELES FREATICOS</t>
        </is>
      </c>
      <c r="C131" s="4" t="inlineStr">
        <is>
          <t>PLIX-06 LIXIVIACIÓN</t>
        </is>
      </c>
      <c r="D131" s="4" t="inlineStr">
        <is>
          <t>2026-04-01</t>
        </is>
      </c>
      <c r="E131" s="4" t="inlineStr">
        <is>
          <t>2026-04-07</t>
        </is>
      </c>
      <c r="F131" s="4" t="inlineStr">
        <is>
          <t>SIGVA</t>
        </is>
      </c>
      <c r="G131" s="5">
        <f>IF(H131="TT","TRABAJO TERMINADO",IF(H131="MI","TRABAJO NO TERMINADO",""))</f>
        <v/>
      </c>
      <c r="H131" s="6" t="inlineStr"/>
      <c r="I131" s="7">
        <f>IF(B131="", G131, IF(G131="", LEFT(B131,45), IF(45-LEN(G131)-2&lt;=0, G131, LEFT(B131,45-LEN(G131)-2)&amp;", "&amp;G131)))</f>
        <v/>
      </c>
      <c r="J131" s="8">
        <f>IF(H131="MI","NO REALIZADO " &amp; B131 &amp; " EN " &amp; C131 &amp; IF(K131&lt;&gt;""," " &amp; K131,""),IF(H131="TT","SE REALIZA " &amp; B131 &amp; " EN " &amp; C131 &amp; IF(K131&lt;&gt;""," " &amp; K131,""),""))</f>
        <v/>
      </c>
      <c r="K131" s="4" t="n"/>
      <c r="L131" s="4" t="inlineStr">
        <is>
          <t>NF</t>
        </is>
      </c>
    </row>
    <row r="132">
      <c r="A132" s="4" t="inlineStr">
        <is>
          <t>03649160</t>
        </is>
      </c>
      <c r="B132" s="4" t="inlineStr">
        <is>
          <t>MEDICION DE NIVELES FREATICOS</t>
        </is>
      </c>
      <c r="C132" s="4" t="inlineStr">
        <is>
          <t>PLIX-07A LIXIVIACIÓN</t>
        </is>
      </c>
      <c r="D132" s="4" t="inlineStr">
        <is>
          <t>2026-04-01</t>
        </is>
      </c>
      <c r="E132" s="4" t="inlineStr">
        <is>
          <t>2026-04-07</t>
        </is>
      </c>
      <c r="F132" s="4" t="inlineStr">
        <is>
          <t>SIGVA</t>
        </is>
      </c>
      <c r="G132" s="5">
        <f>IF(H132="TT","TRABAJO TERMINADO",IF(H132="MI","TRABAJO NO TERMINADO",""))</f>
        <v/>
      </c>
      <c r="H132" s="6" t="inlineStr"/>
      <c r="I132" s="7">
        <f>IF(B132="", G132, IF(G132="", LEFT(B132,45), IF(45-LEN(G132)-2&lt;=0, G132, LEFT(B132,45-LEN(G132)-2)&amp;", "&amp;G132)))</f>
        <v/>
      </c>
      <c r="J132" s="8">
        <f>IF(H132="MI","NO REALIZADO " &amp; B132 &amp; " EN " &amp; C132 &amp; IF(K132&lt;&gt;""," " &amp; K132,""),IF(H132="TT","SE REALIZA " &amp; B132 &amp; " EN " &amp; C132 &amp; IF(K132&lt;&gt;""," " &amp; K132,""),""))</f>
        <v/>
      </c>
      <c r="K132" s="4" t="n"/>
      <c r="L132" s="4" t="inlineStr">
        <is>
          <t>NF</t>
        </is>
      </c>
    </row>
    <row r="133">
      <c r="A133" s="4" t="inlineStr">
        <is>
          <t>03649161</t>
        </is>
      </c>
      <c r="B133" s="4" t="inlineStr">
        <is>
          <t>MEDICION DE NIVELES FREATICOS</t>
        </is>
      </c>
      <c r="C133" s="4" t="inlineStr">
        <is>
          <t>PLIX-07B LIXIVIACIÓN</t>
        </is>
      </c>
      <c r="D133" s="4" t="inlineStr">
        <is>
          <t>2026-04-01</t>
        </is>
      </c>
      <c r="E133" s="4" t="inlineStr">
        <is>
          <t>2026-04-07</t>
        </is>
      </c>
      <c r="F133" s="4" t="inlineStr">
        <is>
          <t>SIGVA</t>
        </is>
      </c>
      <c r="G133" s="5">
        <f>IF(H133="TT","TRABAJO TERMINADO",IF(H133="MI","TRABAJO NO TERMINADO",""))</f>
        <v/>
      </c>
      <c r="H133" s="6" t="inlineStr"/>
      <c r="I133" s="7">
        <f>IF(B133="", G133, IF(G133="", LEFT(B133,45), IF(45-LEN(G133)-2&lt;=0, G133, LEFT(B133,45-LEN(G133)-2)&amp;", "&amp;G133)))</f>
        <v/>
      </c>
      <c r="J133" s="8">
        <f>IF(H133="MI","NO REALIZADO " &amp; B133 &amp; " EN " &amp; C133 &amp; IF(K133&lt;&gt;""," " &amp; K133,""),IF(H133="TT","SE REALIZA " &amp; B133 &amp; " EN " &amp; C133 &amp; IF(K133&lt;&gt;""," " &amp; K133,""),""))</f>
        <v/>
      </c>
      <c r="K133" s="4" t="n"/>
      <c r="L133" s="4" t="inlineStr">
        <is>
          <t>NF</t>
        </is>
      </c>
    </row>
    <row r="134">
      <c r="A134" s="4" t="inlineStr">
        <is>
          <t>03649162</t>
        </is>
      </c>
      <c r="B134" s="4" t="inlineStr">
        <is>
          <t>MEDICION DE NIVELES FREATICOS</t>
        </is>
      </c>
      <c r="C134" s="4" t="inlineStr">
        <is>
          <t>PLIX-08A LIXIVIACIÓN</t>
        </is>
      </c>
      <c r="D134" s="4" t="inlineStr">
        <is>
          <t>2026-04-01</t>
        </is>
      </c>
      <c r="E134" s="4" t="inlineStr">
        <is>
          <t>2026-04-07</t>
        </is>
      </c>
      <c r="F134" s="4" t="inlineStr">
        <is>
          <t>SIGVA</t>
        </is>
      </c>
      <c r="G134" s="5">
        <f>IF(H134="TT","TRABAJO TERMINADO",IF(H134="MI","TRABAJO NO TERMINADO",""))</f>
        <v/>
      </c>
      <c r="H134" s="6" t="inlineStr"/>
      <c r="I134" s="7">
        <f>IF(B134="", G134, IF(G134="", LEFT(B134,45), IF(45-LEN(G134)-2&lt;=0, G134, LEFT(B134,45-LEN(G134)-2)&amp;", "&amp;G134)))</f>
        <v/>
      </c>
      <c r="J134" s="8">
        <f>IF(H134="MI","NO REALIZADO " &amp; B134 &amp; " EN " &amp; C134 &amp; IF(K134&lt;&gt;""," " &amp; K134,""),IF(H134="TT","SE REALIZA " &amp; B134 &amp; " EN " &amp; C134 &amp; IF(K134&lt;&gt;""," " &amp; K134,""),""))</f>
        <v/>
      </c>
      <c r="K134" s="4" t="n"/>
      <c r="L134" s="4" t="inlineStr">
        <is>
          <t>NF</t>
        </is>
      </c>
    </row>
    <row r="135">
      <c r="A135" s="4" t="inlineStr">
        <is>
          <t>03649163</t>
        </is>
      </c>
      <c r="B135" s="4" t="inlineStr">
        <is>
          <t>MEDICION DE NIVELES FREATICOS</t>
        </is>
      </c>
      <c r="C135" s="4" t="inlineStr">
        <is>
          <t>PLIX-08B LIXIVIACIÓN</t>
        </is>
      </c>
      <c r="D135" s="4" t="inlineStr">
        <is>
          <t>2026-04-01</t>
        </is>
      </c>
      <c r="E135" s="4" t="inlineStr">
        <is>
          <t>2026-04-07</t>
        </is>
      </c>
      <c r="F135" s="4" t="inlineStr">
        <is>
          <t>SIGVA</t>
        </is>
      </c>
      <c r="G135" s="5">
        <f>IF(H135="TT","TRABAJO TERMINADO",IF(H135="MI","TRABAJO NO TERMINADO",""))</f>
        <v/>
      </c>
      <c r="H135" s="6" t="inlineStr"/>
      <c r="I135" s="7">
        <f>IF(B135="", G135, IF(G135="", LEFT(B135,45), IF(45-LEN(G135)-2&lt;=0, G135, LEFT(B135,45-LEN(G135)-2)&amp;", "&amp;G135)))</f>
        <v/>
      </c>
      <c r="J135" s="8">
        <f>IF(H135="MI","NO REALIZADO " &amp; B135 &amp; " EN " &amp; C135 &amp; IF(K135&lt;&gt;""," " &amp; K135,""),IF(H135="TT","SE REALIZA " &amp; B135 &amp; " EN " &amp; C135 &amp; IF(K135&lt;&gt;""," " &amp; K135,""),""))</f>
        <v/>
      </c>
      <c r="K135" s="4" t="n"/>
      <c r="L135" s="4" t="inlineStr">
        <is>
          <t>NF</t>
        </is>
      </c>
    </row>
    <row r="136">
      <c r="A136" s="4" t="inlineStr">
        <is>
          <t>03649164</t>
        </is>
      </c>
      <c r="B136" s="4" t="inlineStr">
        <is>
          <t>MEDICION DE NIVELES FREATICOS</t>
        </is>
      </c>
      <c r="C136" s="4" t="inlineStr">
        <is>
          <t>PLIX-09 LIXIVIACIÓN</t>
        </is>
      </c>
      <c r="D136" s="4" t="inlineStr">
        <is>
          <t>2026-04-01</t>
        </is>
      </c>
      <c r="E136" s="4" t="inlineStr">
        <is>
          <t>2026-04-07</t>
        </is>
      </c>
      <c r="F136" s="4" t="inlineStr">
        <is>
          <t>SIGVA</t>
        </is>
      </c>
      <c r="G136" s="5">
        <f>IF(H136="TT","TRABAJO TERMINADO",IF(H136="MI","TRABAJO NO TERMINADO",""))</f>
        <v/>
      </c>
      <c r="H136" s="6" t="inlineStr"/>
      <c r="I136" s="7">
        <f>IF(B136="", G136, IF(G136="", LEFT(B136,45), IF(45-LEN(G136)-2&lt;=0, G136, LEFT(B136,45-LEN(G136)-2)&amp;", "&amp;G136)))</f>
        <v/>
      </c>
      <c r="J136" s="8">
        <f>IF(H136="MI","NO REALIZADO " &amp; B136 &amp; " EN " &amp; C136 &amp; IF(K136&lt;&gt;""," " &amp; K136,""),IF(H136="TT","SE REALIZA " &amp; B136 &amp; " EN " &amp; C136 &amp; IF(K136&lt;&gt;""," " &amp; K136,""),""))</f>
        <v/>
      </c>
      <c r="K136" s="4" t="n"/>
      <c r="L136" s="4" t="inlineStr">
        <is>
          <t>NF</t>
        </is>
      </c>
    </row>
    <row r="137">
      <c r="A137" s="4" t="inlineStr">
        <is>
          <t>03649165</t>
        </is>
      </c>
      <c r="B137" s="4" t="inlineStr">
        <is>
          <t>MEDICION DE NIVELES FREATICOS</t>
        </is>
      </c>
      <c r="C137" s="4" t="inlineStr">
        <is>
          <t>PLIX-10A LIXIVIACIÓN</t>
        </is>
      </c>
      <c r="D137" s="4" t="inlineStr">
        <is>
          <t>2026-04-01</t>
        </is>
      </c>
      <c r="E137" s="4" t="inlineStr">
        <is>
          <t>2026-04-07</t>
        </is>
      </c>
      <c r="F137" s="4" t="inlineStr">
        <is>
          <t>SIGVA</t>
        </is>
      </c>
      <c r="G137" s="5">
        <f>IF(H137="TT","TRABAJO TERMINADO",IF(H137="MI","TRABAJO NO TERMINADO",""))</f>
        <v/>
      </c>
      <c r="H137" s="6" t="inlineStr"/>
      <c r="I137" s="7">
        <f>IF(B137="", G137, IF(G137="", LEFT(B137,45), IF(45-LEN(G137)-2&lt;=0, G137, LEFT(B137,45-LEN(G137)-2)&amp;", "&amp;G137)))</f>
        <v/>
      </c>
      <c r="J137" s="8">
        <f>IF(H137="MI","NO REALIZADO " &amp; B137 &amp; " EN " &amp; C137 &amp; IF(K137&lt;&gt;""," " &amp; K137,""),IF(H137="TT","SE REALIZA " &amp; B137 &amp; " EN " &amp; C137 &amp; IF(K137&lt;&gt;""," " &amp; K137,""),""))</f>
        <v/>
      </c>
      <c r="K137" s="4" t="n"/>
      <c r="L137" s="4" t="inlineStr">
        <is>
          <t>NF</t>
        </is>
      </c>
    </row>
    <row r="138">
      <c r="A138" s="4" t="inlineStr">
        <is>
          <t>03649166</t>
        </is>
      </c>
      <c r="B138" s="4" t="inlineStr">
        <is>
          <t>MEDICION DE NIVELES FREATICOS</t>
        </is>
      </c>
      <c r="C138" s="4" t="inlineStr">
        <is>
          <t>PLIX-10B LIXIVIACIÓN</t>
        </is>
      </c>
      <c r="D138" s="4" t="inlineStr">
        <is>
          <t>2026-04-01</t>
        </is>
      </c>
      <c r="E138" s="4" t="inlineStr">
        <is>
          <t>2026-04-07</t>
        </is>
      </c>
      <c r="F138" s="4" t="inlineStr">
        <is>
          <t>SIGVA</t>
        </is>
      </c>
      <c r="G138" s="5">
        <f>IF(H138="TT","TRABAJO TERMINADO",IF(H138="MI","TRABAJO NO TERMINADO",""))</f>
        <v/>
      </c>
      <c r="H138" s="6" t="inlineStr"/>
      <c r="I138" s="7">
        <f>IF(B138="", G138, IF(G138="", LEFT(B138,45), IF(45-LEN(G138)-2&lt;=0, G138, LEFT(B138,45-LEN(G138)-2)&amp;", "&amp;G138)))</f>
        <v/>
      </c>
      <c r="J138" s="8">
        <f>IF(H138="MI","NO REALIZADO " &amp; B138 &amp; " EN " &amp; C138 &amp; IF(K138&lt;&gt;""," " &amp; K138,""),IF(H138="TT","SE REALIZA " &amp; B138 &amp; " EN " &amp; C138 &amp; IF(K138&lt;&gt;""," " &amp; K138,""),""))</f>
        <v/>
      </c>
      <c r="K138" s="4" t="n"/>
      <c r="L138" s="4" t="inlineStr">
        <is>
          <t>NF</t>
        </is>
      </c>
    </row>
    <row r="139">
      <c r="A139" s="4" t="inlineStr">
        <is>
          <t>03649167</t>
        </is>
      </c>
      <c r="B139" s="4" t="inlineStr">
        <is>
          <t>MEDICION DE NIVELES FREATICOS</t>
        </is>
      </c>
      <c r="C139" s="4" t="inlineStr">
        <is>
          <t>PLIX-11A LIXIVIACIÓN</t>
        </is>
      </c>
      <c r="D139" s="4" t="inlineStr">
        <is>
          <t>2026-04-01</t>
        </is>
      </c>
      <c r="E139" s="4" t="inlineStr">
        <is>
          <t>2026-04-07</t>
        </is>
      </c>
      <c r="F139" s="4" t="inlineStr">
        <is>
          <t>SIGVA</t>
        </is>
      </c>
      <c r="G139" s="5">
        <f>IF(H139="TT","TRABAJO TERMINADO",IF(H139="MI","TRABAJO NO TERMINADO",""))</f>
        <v/>
      </c>
      <c r="H139" s="6" t="inlineStr"/>
      <c r="I139" s="7">
        <f>IF(B139="", G139, IF(G139="", LEFT(B139,45), IF(45-LEN(G139)-2&lt;=0, G139, LEFT(B139,45-LEN(G139)-2)&amp;", "&amp;G139)))</f>
        <v/>
      </c>
      <c r="J139" s="8">
        <f>IF(H139="MI","NO REALIZADO " &amp; B139 &amp; " EN " &amp; C139 &amp; IF(K139&lt;&gt;""," " &amp; K139,""),IF(H139="TT","SE REALIZA " &amp; B139 &amp; " EN " &amp; C139 &amp; IF(K139&lt;&gt;""," " &amp; K139,""),""))</f>
        <v/>
      </c>
      <c r="K139" s="4" t="n"/>
      <c r="L139" s="4" t="inlineStr">
        <is>
          <t>NF</t>
        </is>
      </c>
    </row>
    <row r="140">
      <c r="A140" s="4" t="inlineStr">
        <is>
          <t>03649168</t>
        </is>
      </c>
      <c r="B140" s="4" t="inlineStr">
        <is>
          <t>MEDICION DE NIVELES FREATICOS</t>
        </is>
      </c>
      <c r="C140" s="4" t="inlineStr">
        <is>
          <t>PLIX-11B LIXIVIACIÓN</t>
        </is>
      </c>
      <c r="D140" s="4" t="inlineStr">
        <is>
          <t>2026-04-01</t>
        </is>
      </c>
      <c r="E140" s="4" t="inlineStr">
        <is>
          <t>2026-04-07</t>
        </is>
      </c>
      <c r="F140" s="4" t="inlineStr">
        <is>
          <t>SIGVA</t>
        </is>
      </c>
      <c r="G140" s="5">
        <f>IF(H140="TT","TRABAJO TERMINADO",IF(H140="MI","TRABAJO NO TERMINADO",""))</f>
        <v/>
      </c>
      <c r="H140" s="6" t="inlineStr"/>
      <c r="I140" s="7">
        <f>IF(B140="", G140, IF(G140="", LEFT(B140,45), IF(45-LEN(G140)-2&lt;=0, G140, LEFT(B140,45-LEN(G140)-2)&amp;", "&amp;G140)))</f>
        <v/>
      </c>
      <c r="J140" s="8">
        <f>IF(H140="MI","NO REALIZADO " &amp; B140 &amp; " EN " &amp; C140 &amp; IF(K140&lt;&gt;""," " &amp; K140,""),IF(H140="TT","SE REALIZA " &amp; B140 &amp; " EN " &amp; C140 &amp; IF(K140&lt;&gt;""," " &amp; K140,""),""))</f>
        <v/>
      </c>
      <c r="K140" s="4" t="n"/>
      <c r="L140" s="4" t="inlineStr">
        <is>
          <t>NF</t>
        </is>
      </c>
    </row>
    <row r="141">
      <c r="A141" s="4" t="inlineStr">
        <is>
          <t>03649169</t>
        </is>
      </c>
      <c r="B141" s="4" t="inlineStr">
        <is>
          <t>MEDICION DE NIVELES FREATICOS</t>
        </is>
      </c>
      <c r="C141" s="4" t="inlineStr">
        <is>
          <t>PLIX-12B LIXIVIACIÓN</t>
        </is>
      </c>
      <c r="D141" s="4" t="inlineStr">
        <is>
          <t>2026-04-01</t>
        </is>
      </c>
      <c r="E141" s="4" t="inlineStr">
        <is>
          <t>2026-04-07</t>
        </is>
      </c>
      <c r="F141" s="4" t="inlineStr">
        <is>
          <t>SIGVA</t>
        </is>
      </c>
      <c r="G141" s="5">
        <f>IF(H141="TT","TRABAJO TERMINADO",IF(H141="MI","TRABAJO NO TERMINADO",""))</f>
        <v/>
      </c>
      <c r="H141" s="6" t="inlineStr"/>
      <c r="I141" s="7">
        <f>IF(B141="", G141, IF(G141="", LEFT(B141,45), IF(45-LEN(G141)-2&lt;=0, G141, LEFT(B141,45-LEN(G141)-2)&amp;", "&amp;G141)))</f>
        <v/>
      </c>
      <c r="J141" s="8">
        <f>IF(H141="MI","NO REALIZADO " &amp; B141 &amp; " EN " &amp; C141 &amp; IF(K141&lt;&gt;""," " &amp; K141,""),IF(H141="TT","SE REALIZA " &amp; B141 &amp; " EN " &amp; C141 &amp; IF(K141&lt;&gt;""," " &amp; K141,""),""))</f>
        <v/>
      </c>
      <c r="K141" s="4" t="n"/>
      <c r="L141" s="4" t="inlineStr">
        <is>
          <t>NF</t>
        </is>
      </c>
    </row>
    <row r="142">
      <c r="A142" s="4" t="inlineStr">
        <is>
          <t>03649170</t>
        </is>
      </c>
      <c r="B142" s="4" t="inlineStr">
        <is>
          <t>MEDICION DE NIVELES FREATICOS</t>
        </is>
      </c>
      <c r="C142" s="4" t="inlineStr">
        <is>
          <t>PLIX-13A LIXIVIACIÓN</t>
        </is>
      </c>
      <c r="D142" s="4" t="inlineStr">
        <is>
          <t>2026-04-01</t>
        </is>
      </c>
      <c r="E142" s="4" t="inlineStr">
        <is>
          <t>2026-04-07</t>
        </is>
      </c>
      <c r="F142" s="4" t="inlineStr">
        <is>
          <t>SIGVA</t>
        </is>
      </c>
      <c r="G142" s="5">
        <f>IF(H142="TT","TRABAJO TERMINADO",IF(H142="MI","TRABAJO NO TERMINADO",""))</f>
        <v/>
      </c>
      <c r="H142" s="6" t="inlineStr"/>
      <c r="I142" s="7">
        <f>IF(B142="", G142, IF(G142="", LEFT(B142,45), IF(45-LEN(G142)-2&lt;=0, G142, LEFT(B142,45-LEN(G142)-2)&amp;", "&amp;G142)))</f>
        <v/>
      </c>
      <c r="J142" s="8">
        <f>IF(H142="MI","NO REALIZADO " &amp; B142 &amp; " EN " &amp; C142 &amp; IF(K142&lt;&gt;""," " &amp; K142,""),IF(H142="TT","SE REALIZA " &amp; B142 &amp; " EN " &amp; C142 &amp; IF(K142&lt;&gt;""," " &amp; K142,""),""))</f>
        <v/>
      </c>
      <c r="K142" s="4" t="n"/>
      <c r="L142" s="4" t="inlineStr">
        <is>
          <t>NF</t>
        </is>
      </c>
    </row>
    <row r="143">
      <c r="A143" s="4" t="inlineStr">
        <is>
          <t>03649171</t>
        </is>
      </c>
      <c r="B143" s="4" t="inlineStr">
        <is>
          <t>MEDICION DE NIVELES FREATICOS</t>
        </is>
      </c>
      <c r="C143" s="4" t="inlineStr">
        <is>
          <t>PLIX-13B LIXIVIACIÓN</t>
        </is>
      </c>
      <c r="D143" s="4" t="inlineStr">
        <is>
          <t>2026-04-01</t>
        </is>
      </c>
      <c r="E143" s="4" t="inlineStr">
        <is>
          <t>2026-04-07</t>
        </is>
      </c>
      <c r="F143" s="4" t="inlineStr">
        <is>
          <t>SIGVA</t>
        </is>
      </c>
      <c r="G143" s="5">
        <f>IF(H143="TT","TRABAJO TERMINADO",IF(H143="MI","TRABAJO NO TERMINADO",""))</f>
        <v/>
      </c>
      <c r="H143" s="6" t="inlineStr"/>
      <c r="I143" s="7">
        <f>IF(B143="", G143, IF(G143="", LEFT(B143,45), IF(45-LEN(G143)-2&lt;=0, G143, LEFT(B143,45-LEN(G143)-2)&amp;", "&amp;G143)))</f>
        <v/>
      </c>
      <c r="J143" s="8">
        <f>IF(H143="MI","NO REALIZADO " &amp; B143 &amp; " EN " &amp; C143 &amp; IF(K143&lt;&gt;""," " &amp; K143,""),IF(H143="TT","SE REALIZA " &amp; B143 &amp; " EN " &amp; C143 &amp; IF(K143&lt;&gt;""," " &amp; K143,""),""))</f>
        <v/>
      </c>
      <c r="K143" s="4" t="n"/>
      <c r="L143" s="4" t="inlineStr">
        <is>
          <t>NF</t>
        </is>
      </c>
    </row>
    <row r="144">
      <c r="A144" s="4" t="inlineStr">
        <is>
          <t>03649172</t>
        </is>
      </c>
      <c r="B144" s="4" t="inlineStr">
        <is>
          <t>MEDICION DE NIVELES FREATICOS</t>
        </is>
      </c>
      <c r="C144" s="4" t="inlineStr">
        <is>
          <t>PLIX-14 LIXIVIACIÓN</t>
        </is>
      </c>
      <c r="D144" s="4" t="inlineStr">
        <is>
          <t>2026-04-01</t>
        </is>
      </c>
      <c r="E144" s="4" t="inlineStr">
        <is>
          <t>2026-04-07</t>
        </is>
      </c>
      <c r="F144" s="4" t="inlineStr">
        <is>
          <t>SIGVA</t>
        </is>
      </c>
      <c r="G144" s="5">
        <f>IF(H144="TT","TRABAJO TERMINADO",IF(H144="MI","TRABAJO NO TERMINADO",""))</f>
        <v/>
      </c>
      <c r="H144" s="6" t="inlineStr"/>
      <c r="I144" s="7">
        <f>IF(B144="", G144, IF(G144="", LEFT(B144,45), IF(45-LEN(G144)-2&lt;=0, G144, LEFT(B144,45-LEN(G144)-2)&amp;", "&amp;G144)))</f>
        <v/>
      </c>
      <c r="J144" s="8">
        <f>IF(H144="MI","NO REALIZADO " &amp; B144 &amp; " EN " &amp; C144 &amp; IF(K144&lt;&gt;""," " &amp; K144,""),IF(H144="TT","SE REALIZA " &amp; B144 &amp; " EN " &amp; C144 &amp; IF(K144&lt;&gt;""," " &amp; K144,""),""))</f>
        <v/>
      </c>
      <c r="K144" s="4" t="n"/>
      <c r="L144" s="4" t="inlineStr">
        <is>
          <t>NF</t>
        </is>
      </c>
    </row>
    <row r="145">
      <c r="A145" s="4" t="inlineStr">
        <is>
          <t>03649179</t>
        </is>
      </c>
      <c r="B145" s="4" t="inlineStr">
        <is>
          <t>MED DE NIVELES FREATICOS</t>
        </is>
      </c>
      <c r="C145" s="4" t="inlineStr">
        <is>
          <t>PMI-01 MICHINCHA</t>
        </is>
      </c>
      <c r="D145" s="4" t="inlineStr">
        <is>
          <t>2026-04-01</t>
        </is>
      </c>
      <c r="E145" s="4" t="inlineStr">
        <is>
          <t>2026-04-07</t>
        </is>
      </c>
      <c r="F145" s="4" t="inlineStr">
        <is>
          <t>SIGVA</t>
        </is>
      </c>
      <c r="G145" s="5">
        <f>IF(H145="TT","TRABAJO TERMINADO",IF(H145="MI","TRABAJO NO TERMINADO",""))</f>
        <v/>
      </c>
      <c r="H145" s="6" t="inlineStr"/>
      <c r="I145" s="7">
        <f>IF(B145="", G145, IF(G145="", LEFT(B145,45), IF(45-LEN(G145)-2&lt;=0, G145, LEFT(B145,45-LEN(G145)-2)&amp;", "&amp;G145)))</f>
        <v/>
      </c>
      <c r="J145" s="8">
        <f>IF(H145="MI","NO REALIZADO " &amp; B145 &amp; " EN " &amp; C145 &amp; IF(K145&lt;&gt;""," " &amp; K145,""),IF(H145="TT","SE REALIZA " &amp; B145 &amp; " EN " &amp; C145 &amp; IF(K145&lt;&gt;""," " &amp; K145,""),""))</f>
        <v/>
      </c>
      <c r="K145" s="4" t="n"/>
      <c r="L145" s="4" t="inlineStr">
        <is>
          <t>NF</t>
        </is>
      </c>
    </row>
    <row r="146">
      <c r="A146" s="4" t="inlineStr">
        <is>
          <t>03649180</t>
        </is>
      </c>
      <c r="B146" s="4" t="inlineStr">
        <is>
          <t>MM DE AGUAS SUBTERRÁNEAS</t>
        </is>
      </c>
      <c r="C146" s="4" t="inlineStr">
        <is>
          <t>PMI-01 MICHINCHA</t>
        </is>
      </c>
      <c r="D146" s="4" t="inlineStr">
        <is>
          <t>2026-04-01</t>
        </is>
      </c>
      <c r="E146" s="4" t="inlineStr">
        <is>
          <t>2026-04-07</t>
        </is>
      </c>
      <c r="F146" s="4" t="inlineStr">
        <is>
          <t>SIGVA</t>
        </is>
      </c>
      <c r="G146" s="5">
        <f>IF(H146="TT","TRABAJO TERMINADO",IF(H146="MI","TRABAJO NO TERMINADO",""))</f>
        <v/>
      </c>
      <c r="H146" s="6" t="inlineStr"/>
      <c r="I146" s="7">
        <f>IF(B146="", G146, IF(G146="", LEFT(B146,45), IF(45-LEN(G146)-2&lt;=0, G146, LEFT(B146,45-LEN(G146)-2)&amp;", "&amp;G146)))</f>
        <v/>
      </c>
      <c r="J146" s="8">
        <f>IF(H146="MI","NO REALIZADO " &amp; B146 &amp; " EN " &amp; C146 &amp; IF(K146&lt;&gt;""," " &amp; K146,""),IF(H146="TT","SE REALIZA " &amp; B146 &amp; " EN " &amp; C146 &amp; IF(K146&lt;&gt;""," " &amp; K146,""),""))</f>
        <v/>
      </c>
      <c r="K146" s="4" t="n"/>
      <c r="L146" s="4" t="inlineStr">
        <is>
          <t>ASUB</t>
        </is>
      </c>
    </row>
    <row r="147">
      <c r="A147" s="4" t="inlineStr">
        <is>
          <t>03649185</t>
        </is>
      </c>
      <c r="B147" s="4" t="inlineStr">
        <is>
          <t>MM DE AGUAS SUPERFICIALES</t>
        </is>
      </c>
      <c r="C147" s="4" t="inlineStr">
        <is>
          <t>PR  PUERTO COLLAHUASI</t>
        </is>
      </c>
      <c r="D147" s="4" t="inlineStr">
        <is>
          <t>2026-04-01</t>
        </is>
      </c>
      <c r="E147" s="4" t="inlineStr">
        <is>
          <t>2026-04-07</t>
        </is>
      </c>
      <c r="F147" s="4" t="inlineStr">
        <is>
          <t>SIGVA</t>
        </is>
      </c>
      <c r="G147" s="5">
        <f>IF(H147="TT","TRABAJO TERMINADO",IF(H147="MI","TRABAJO NO TERMINADO",""))</f>
        <v/>
      </c>
      <c r="H147" s="6" t="inlineStr"/>
      <c r="I147" s="7">
        <f>IF(B147="", G147, IF(G147="", LEFT(B147,45), IF(45-LEN(G147)-2&lt;=0, G147, LEFT(B147,45-LEN(G147)-2)&amp;", "&amp;G147)))</f>
        <v/>
      </c>
      <c r="J147" s="8">
        <f>IF(H147="MI","NO REALIZADO " &amp; B147 &amp; " EN " &amp; C147 &amp; IF(K147&lt;&gt;""," " &amp; K147,""),IF(H147="TT","SE REALIZA " &amp; B147 &amp; " EN " &amp; C147 &amp; IF(K147&lt;&gt;""," " &amp; K147,""),""))</f>
        <v/>
      </c>
      <c r="K147" s="4" t="n"/>
      <c r="L147" s="4" t="inlineStr">
        <is>
          <t>ASUP</t>
        </is>
      </c>
    </row>
    <row r="148">
      <c r="A148" s="4" t="inlineStr">
        <is>
          <t>03649186</t>
        </is>
      </c>
      <c r="B148" s="4" t="inlineStr">
        <is>
          <t>MEDICIÓN DE CAUDALES</t>
        </is>
      </c>
      <c r="C148" s="4" t="inlineStr">
        <is>
          <t>QDH-1E PISC. HUINQUIN. (INT. RAJO ROSA )</t>
        </is>
      </c>
      <c r="D148" s="4" t="inlineStr">
        <is>
          <t>2026-04-01</t>
        </is>
      </c>
      <c r="E148" s="4" t="inlineStr">
        <is>
          <t>2026-04-07</t>
        </is>
      </c>
      <c r="F148" s="4" t="inlineStr">
        <is>
          <t>SIGVA</t>
        </is>
      </c>
      <c r="G148" s="5">
        <f>IF(H148="TT","TRABAJO TERMINADO",IF(H148="MI","TRABAJO NO TERMINADO",""))</f>
        <v/>
      </c>
      <c r="H148" s="6" t="inlineStr"/>
      <c r="I148" s="7">
        <f>IF(B148="", G148, IF(G148="", LEFT(B148,45), IF(45-LEN(G148)-2&lt;=0, G148, LEFT(B148,45-LEN(G148)-2)&amp;", "&amp;G148)))</f>
        <v/>
      </c>
      <c r="J148" s="8">
        <f>IF(H148="MI","NO REALIZADO " &amp; B148 &amp; " EN " &amp; C148 &amp; IF(K148&lt;&gt;""," " &amp; K148,""),IF(H148="TT","SE REALIZA " &amp; B148 &amp; " EN " &amp; C148 &amp; IF(K148&lt;&gt;""," " &amp; K148,""),""))</f>
        <v/>
      </c>
      <c r="K148" s="4" t="n"/>
      <c r="L148" s="4" t="inlineStr">
        <is>
          <t>CAUDAL</t>
        </is>
      </c>
    </row>
    <row r="149">
      <c r="A149" s="4" t="inlineStr">
        <is>
          <t>03649188</t>
        </is>
      </c>
      <c r="B149" s="4" t="inlineStr">
        <is>
          <t>MEDICIÓN DE CAUDALES</t>
        </is>
      </c>
      <c r="C149" s="4" t="inlineStr">
        <is>
          <t>QSD-1 PISC. HUINQUIN. (INT. RAJO ROSA )</t>
        </is>
      </c>
      <c r="D149" s="4" t="inlineStr">
        <is>
          <t>2026-04-01</t>
        </is>
      </c>
      <c r="E149" s="4" t="inlineStr">
        <is>
          <t>2026-04-07</t>
        </is>
      </c>
      <c r="F149" s="4" t="inlineStr">
        <is>
          <t>SIGVA</t>
        </is>
      </c>
      <c r="G149" s="5">
        <f>IF(H149="TT","TRABAJO TERMINADO",IF(H149="MI","TRABAJO NO TERMINADO",""))</f>
        <v/>
      </c>
      <c r="H149" s="6" t="inlineStr"/>
      <c r="I149" s="7">
        <f>IF(B149="", G149, IF(G149="", LEFT(B149,45), IF(45-LEN(G149)-2&lt;=0, G149, LEFT(B149,45-LEN(G149)-2)&amp;", "&amp;G149)))</f>
        <v/>
      </c>
      <c r="J149" s="8">
        <f>IF(H149="MI","NO REALIZADO " &amp; B149 &amp; " EN " &amp; C149 &amp; IF(K149&lt;&gt;""," " &amp; K149,""),IF(H149="TT","SE REALIZA " &amp; B149 &amp; " EN " &amp; C149 &amp; IF(K149&lt;&gt;""," " &amp; K149,""),""))</f>
        <v/>
      </c>
      <c r="K149" s="4" t="n"/>
      <c r="L149" s="4" t="inlineStr">
        <is>
          <t>CAUDAL</t>
        </is>
      </c>
    </row>
    <row r="150">
      <c r="A150" s="4" t="inlineStr">
        <is>
          <t>03649206</t>
        </is>
      </c>
      <c r="B150" s="4" t="inlineStr">
        <is>
          <t>MM DE AGUAS SUPERFICIALES</t>
        </is>
      </c>
      <c r="C150" s="4" t="inlineStr">
        <is>
          <t>Estación 1</t>
        </is>
      </c>
      <c r="D150" s="4" t="inlineStr">
        <is>
          <t>2026-04-01</t>
        </is>
      </c>
      <c r="E150" s="4" t="inlineStr">
        <is>
          <t>2026-04-07</t>
        </is>
      </c>
      <c r="F150" s="4" t="inlineStr">
        <is>
          <t>SIGVA</t>
        </is>
      </c>
      <c r="G150" s="5">
        <f>IF(H150="TT","TRABAJO TERMINADO",IF(H150="MI","TRABAJO NO TERMINADO",""))</f>
        <v/>
      </c>
      <c r="H150" s="6" t="inlineStr"/>
      <c r="I150" s="7">
        <f>IF(B150="", G150, IF(G150="", LEFT(B150,45), IF(45-LEN(G150)-2&lt;=0, G150, LEFT(B150,45-LEN(G150)-2)&amp;", "&amp;G150)))</f>
        <v/>
      </c>
      <c r="J150" s="8">
        <f>IF(H150="MI","NO REALIZADO " &amp; B150 &amp; " EN " &amp; C150 &amp; IF(K150&lt;&gt;""," " &amp; K150,""),IF(H150="TT","SE REALIZA " &amp; B150 &amp; " EN " &amp; C150 &amp; IF(K150&lt;&gt;""," " &amp; K150,""),""))</f>
        <v/>
      </c>
      <c r="K150" s="4" t="n"/>
      <c r="L150" s="4" t="inlineStr">
        <is>
          <t>ASUP</t>
        </is>
      </c>
    </row>
    <row r="151">
      <c r="A151" s="4" t="inlineStr">
        <is>
          <t>03649207</t>
        </is>
      </c>
      <c r="B151" s="4" t="inlineStr">
        <is>
          <t>MM DE AGUAS SUPERFICIALES</t>
        </is>
      </c>
      <c r="C151" s="4" t="inlineStr">
        <is>
          <t>Piscina P3 ROSARIO</t>
        </is>
      </c>
      <c r="D151" s="4" t="inlineStr">
        <is>
          <t>2026-04-01</t>
        </is>
      </c>
      <c r="E151" s="4" t="inlineStr">
        <is>
          <t>2026-04-07</t>
        </is>
      </c>
      <c r="F151" s="4" t="inlineStr">
        <is>
          <t>SIGVA</t>
        </is>
      </c>
      <c r="G151" s="5">
        <f>IF(H151="TT","TRABAJO TERMINADO",IF(H151="MI","TRABAJO NO TERMINADO",""))</f>
        <v/>
      </c>
      <c r="H151" s="6" t="inlineStr"/>
      <c r="I151" s="7">
        <f>IF(B151="", G151, IF(G151="", LEFT(B151,45), IF(45-LEN(G151)-2&lt;=0, G151, LEFT(B151,45-LEN(G151)-2)&amp;", "&amp;G151)))</f>
        <v/>
      </c>
      <c r="J151" s="8">
        <f>IF(H151="MI","NO REALIZADO " &amp; B151 &amp; " EN " &amp; C151 &amp; IF(K151&lt;&gt;""," " &amp; K151,""),IF(H151="TT","SE REALIZA " &amp; B151 &amp; " EN " &amp; C151 &amp; IF(K151&lt;&gt;""," " &amp; K151,""),""))</f>
        <v/>
      </c>
      <c r="K151" s="4" t="n"/>
      <c r="L151" s="4" t="inlineStr">
        <is>
          <t>ASUP</t>
        </is>
      </c>
    </row>
    <row r="152">
      <c r="A152" s="4" t="inlineStr">
        <is>
          <t>03649216</t>
        </is>
      </c>
      <c r="B152" s="4" t="inlineStr">
        <is>
          <t>MM DE AGUAS SUBTERRÁNEAS</t>
        </is>
      </c>
      <c r="C152" s="4" t="inlineStr">
        <is>
          <t>LPDC-09 LIXIVIACIÓN</t>
        </is>
      </c>
      <c r="D152" s="4" t="inlineStr">
        <is>
          <t>2026-04-01</t>
        </is>
      </c>
      <c r="E152" s="4" t="inlineStr">
        <is>
          <t>2026-04-07</t>
        </is>
      </c>
      <c r="F152" s="4" t="inlineStr">
        <is>
          <t>SIGVA</t>
        </is>
      </c>
      <c r="G152" s="5">
        <f>IF(H152="TT","TRABAJO TERMINADO",IF(H152="MI","TRABAJO NO TERMINADO",""))</f>
        <v/>
      </c>
      <c r="H152" s="6" t="inlineStr"/>
      <c r="I152" s="7">
        <f>IF(B152="", G152, IF(G152="", LEFT(B152,45), IF(45-LEN(G152)-2&lt;=0, G152, LEFT(B152,45-LEN(G152)-2)&amp;", "&amp;G152)))</f>
        <v/>
      </c>
      <c r="J152" s="8">
        <f>IF(H152="MI","NO REALIZADO " &amp; B152 &amp; " EN " &amp; C152 &amp; IF(K152&lt;&gt;""," " &amp; K152,""),IF(H152="TT","SE REALIZA " &amp; B152 &amp; " EN " &amp; C152 &amp; IF(K152&lt;&gt;""," " &amp; K152,""),""))</f>
        <v/>
      </c>
      <c r="K152" s="4" t="n"/>
      <c r="L152" s="4" t="inlineStr">
        <is>
          <t>ASUB</t>
        </is>
      </c>
    </row>
    <row r="153">
      <c r="A153" s="4" t="inlineStr">
        <is>
          <t>03649217</t>
        </is>
      </c>
      <c r="B153" s="4" t="inlineStr">
        <is>
          <t>MEDICION DE NIVELES FREATICOS</t>
        </is>
      </c>
      <c r="C153" s="4" t="inlineStr">
        <is>
          <t>LPDC-09 LIXIVIACIÓN</t>
        </is>
      </c>
      <c r="D153" s="4" t="inlineStr">
        <is>
          <t>2026-04-01</t>
        </is>
      </c>
      <c r="E153" s="4" t="inlineStr">
        <is>
          <t>2026-04-07</t>
        </is>
      </c>
      <c r="F153" s="4" t="inlineStr">
        <is>
          <t>SIGVA</t>
        </is>
      </c>
      <c r="G153" s="5">
        <f>IF(H153="TT","TRABAJO TERMINADO",IF(H153="MI","TRABAJO NO TERMINADO",""))</f>
        <v/>
      </c>
      <c r="H153" s="6" t="inlineStr"/>
      <c r="I153" s="7">
        <f>IF(B153="", G153, IF(G153="", LEFT(B153,45), IF(45-LEN(G153)-2&lt;=0, G153, LEFT(B153,45-LEN(G153)-2)&amp;", "&amp;G153)))</f>
        <v/>
      </c>
      <c r="J153" s="8">
        <f>IF(H153="MI","NO REALIZADO " &amp; B153 &amp; " EN " &amp; C153 &amp; IF(K153&lt;&gt;""," " &amp; K153,""),IF(H153="TT","SE REALIZA " &amp; B153 &amp; " EN " &amp; C153 &amp; IF(K153&lt;&gt;""," " &amp; K153,""),""))</f>
        <v/>
      </c>
      <c r="K153" s="4" t="n"/>
      <c r="L153" s="4" t="inlineStr">
        <is>
          <t>NF</t>
        </is>
      </c>
    </row>
    <row r="154">
      <c r="A154" s="4" t="inlineStr">
        <is>
          <t>03649218</t>
        </is>
      </c>
      <c r="B154" s="4" t="inlineStr">
        <is>
          <t>MM DE AGUAS SUBTERRÁNEAS</t>
        </is>
      </c>
      <c r="C154" s="4" t="inlineStr">
        <is>
          <t>LPDC-10 LIXIVIACIÓN</t>
        </is>
      </c>
      <c r="D154" s="4" t="inlineStr">
        <is>
          <t>2026-04-01</t>
        </is>
      </c>
      <c r="E154" s="4" t="inlineStr">
        <is>
          <t>2026-04-07</t>
        </is>
      </c>
      <c r="F154" s="4" t="inlineStr">
        <is>
          <t>SIGVA</t>
        </is>
      </c>
      <c r="G154" s="5">
        <f>IF(H154="TT","TRABAJO TERMINADO",IF(H154="MI","TRABAJO NO TERMINADO",""))</f>
        <v/>
      </c>
      <c r="H154" s="6" t="inlineStr"/>
      <c r="I154" s="7">
        <f>IF(B154="", G154, IF(G154="", LEFT(B154,45), IF(45-LEN(G154)-2&lt;=0, G154, LEFT(B154,45-LEN(G154)-2)&amp;", "&amp;G154)))</f>
        <v/>
      </c>
      <c r="J154" s="8">
        <f>IF(H154="MI","NO REALIZADO " &amp; B154 &amp; " EN " &amp; C154 &amp; IF(K154&lt;&gt;""," " &amp; K154,""),IF(H154="TT","SE REALIZA " &amp; B154 &amp; " EN " &amp; C154 &amp; IF(K154&lt;&gt;""," " &amp; K154,""),""))</f>
        <v/>
      </c>
      <c r="K154" s="4" t="n"/>
      <c r="L154" s="4" t="inlineStr">
        <is>
          <t>ASUB</t>
        </is>
      </c>
    </row>
    <row r="155">
      <c r="A155" s="4" t="inlineStr">
        <is>
          <t>03649219</t>
        </is>
      </c>
      <c r="B155" s="4" t="inlineStr">
        <is>
          <t>MEDICION DE NIVELES FREATICOS</t>
        </is>
      </c>
      <c r="C155" s="4" t="inlineStr">
        <is>
          <t>LPDC-10 LIXIVIACIÓN</t>
        </is>
      </c>
      <c r="D155" s="4" t="inlineStr">
        <is>
          <t>2026-04-01</t>
        </is>
      </c>
      <c r="E155" s="4" t="inlineStr">
        <is>
          <t>2026-04-07</t>
        </is>
      </c>
      <c r="F155" s="4" t="inlineStr">
        <is>
          <t>SIGVA</t>
        </is>
      </c>
      <c r="G155" s="5">
        <f>IF(H155="TT","TRABAJO TERMINADO",IF(H155="MI","TRABAJO NO TERMINADO",""))</f>
        <v/>
      </c>
      <c r="H155" s="6" t="inlineStr"/>
      <c r="I155" s="7">
        <f>IF(B155="", G155, IF(G155="", LEFT(B155,45), IF(45-LEN(G155)-2&lt;=0, G155, LEFT(B155,45-LEN(G155)-2)&amp;", "&amp;G155)))</f>
        <v/>
      </c>
      <c r="J155" s="8">
        <f>IF(H155="MI","NO REALIZADO " &amp; B155 &amp; " EN " &amp; C155 &amp; IF(K155&lt;&gt;""," " &amp; K155,""),IF(H155="TT","SE REALIZA " &amp; B155 &amp; " EN " &amp; C155 &amp; IF(K155&lt;&gt;""," " &amp; K155,""),""))</f>
        <v/>
      </c>
      <c r="K155" s="4" t="n"/>
      <c r="L155" s="4" t="inlineStr">
        <is>
          <t>NF</t>
        </is>
      </c>
    </row>
    <row r="156">
      <c r="A156" s="4" t="inlineStr">
        <is>
          <t>03649220</t>
        </is>
      </c>
      <c r="B156" s="4" t="inlineStr">
        <is>
          <t>MM DE AGUAS SUBTERRÁNEAS</t>
        </is>
      </c>
      <c r="C156" s="4" t="inlineStr">
        <is>
          <t>LPDC-11 LIXIVIACIÓN</t>
        </is>
      </c>
      <c r="D156" s="4" t="inlineStr">
        <is>
          <t>2026-04-01</t>
        </is>
      </c>
      <c r="E156" s="4" t="inlineStr">
        <is>
          <t>2026-04-07</t>
        </is>
      </c>
      <c r="F156" s="4" t="inlineStr">
        <is>
          <t>SIGVA</t>
        </is>
      </c>
      <c r="G156" s="5">
        <f>IF(H156="TT","TRABAJO TERMINADO",IF(H156="MI","TRABAJO NO TERMINADO",""))</f>
        <v/>
      </c>
      <c r="H156" s="6" t="inlineStr"/>
      <c r="I156" s="7">
        <f>IF(B156="", G156, IF(G156="", LEFT(B156,45), IF(45-LEN(G156)-2&lt;=0, G156, LEFT(B156,45-LEN(G156)-2)&amp;", "&amp;G156)))</f>
        <v/>
      </c>
      <c r="J156" s="8">
        <f>IF(H156="MI","NO REALIZADO " &amp; B156 &amp; " EN " &amp; C156 &amp; IF(K156&lt;&gt;""," " &amp; K156,""),IF(H156="TT","SE REALIZA " &amp; B156 &amp; " EN " &amp; C156 &amp; IF(K156&lt;&gt;""," " &amp; K156,""),""))</f>
        <v/>
      </c>
      <c r="K156" s="4" t="n"/>
      <c r="L156" s="4" t="inlineStr">
        <is>
          <t>ASUB</t>
        </is>
      </c>
    </row>
    <row r="157">
      <c r="A157" s="4" t="inlineStr">
        <is>
          <t>03649221</t>
        </is>
      </c>
      <c r="B157" s="4" t="inlineStr">
        <is>
          <t>MEDICION DE NIVELES FREATICOS</t>
        </is>
      </c>
      <c r="C157" s="4" t="inlineStr">
        <is>
          <t>LPDC-11 LIXIVIACIÓN</t>
        </is>
      </c>
      <c r="D157" s="4" t="inlineStr">
        <is>
          <t>2026-04-01</t>
        </is>
      </c>
      <c r="E157" s="4" t="inlineStr">
        <is>
          <t>2026-04-07</t>
        </is>
      </c>
      <c r="F157" s="4" t="inlineStr">
        <is>
          <t>SIGVA</t>
        </is>
      </c>
      <c r="G157" s="5">
        <f>IF(H157="TT","TRABAJO TERMINADO",IF(H157="MI","TRABAJO NO TERMINADO",""))</f>
        <v/>
      </c>
      <c r="H157" s="6" t="inlineStr"/>
      <c r="I157" s="7">
        <f>IF(B157="", G157, IF(G157="", LEFT(B157,45), IF(45-LEN(G157)-2&lt;=0, G157, LEFT(B157,45-LEN(G157)-2)&amp;", "&amp;G157)))</f>
        <v/>
      </c>
      <c r="J157" s="8">
        <f>IF(H157="MI","NO REALIZADO " &amp; B157 &amp; " EN " &amp; C157 &amp; IF(K157&lt;&gt;""," " &amp; K157,""),IF(H157="TT","SE REALIZA " &amp; B157 &amp; " EN " &amp; C157 &amp; IF(K157&lt;&gt;""," " &amp; K157,""),""))</f>
        <v/>
      </c>
      <c r="K157" s="4" t="n"/>
      <c r="L157" s="4" t="inlineStr">
        <is>
          <t>NF</t>
        </is>
      </c>
    </row>
    <row r="158">
      <c r="A158" s="4" t="inlineStr">
        <is>
          <t>03649238</t>
        </is>
      </c>
      <c r="B158" s="4" t="inlineStr">
        <is>
          <t>MM DE AGUAS SUPERFICIALES</t>
        </is>
      </c>
      <c r="C158" s="4" t="inlineStr">
        <is>
          <t>PAR PUERTO COLLAHUASI</t>
        </is>
      </c>
      <c r="D158" s="4" t="inlineStr">
        <is>
          <t>2026-04-01</t>
        </is>
      </c>
      <c r="E158" s="4" t="inlineStr">
        <is>
          <t>2026-04-07</t>
        </is>
      </c>
      <c r="F158" s="4" t="inlineStr">
        <is>
          <t>SIGVANC</t>
        </is>
      </c>
      <c r="G158" s="5">
        <f>IF(H158="TT","TRABAJO TERMINADO",IF(H158="MI","TRABAJO NO TERMINADO",""))</f>
        <v/>
      </c>
      <c r="H158" s="6" t="inlineStr"/>
      <c r="I158" s="7">
        <f>IF(B158="", G158, IF(G158="", LEFT(B158,45), IF(45-LEN(G158)-2&lt;=0, G158, LEFT(B158,45-LEN(G158)-2)&amp;", "&amp;G158)))</f>
        <v/>
      </c>
      <c r="J158" s="8">
        <f>IF(H158="MI","NO REALIZADO " &amp; B158 &amp; " EN " &amp; C158 &amp; IF(K158&lt;&gt;""," " &amp; K158,""),IF(H158="TT","SE REALIZA " &amp; B158 &amp; " EN " &amp; C158 &amp; IF(K158&lt;&gt;""," " &amp; K158,""),""))</f>
        <v/>
      </c>
      <c r="K158" s="4" t="n"/>
      <c r="L158" s="4" t="inlineStr">
        <is>
          <t>ASUP</t>
        </is>
      </c>
    </row>
    <row r="159">
      <c r="A159" s="4" t="inlineStr">
        <is>
          <t>03649239</t>
        </is>
      </c>
      <c r="B159" s="4" t="inlineStr">
        <is>
          <t>MM DE AGUAS SUPERFICIALES</t>
        </is>
      </c>
      <c r="C159" s="4" t="inlineStr">
        <is>
          <t>PEV-01 (PES-01) PUERTO COLLAHUASI</t>
        </is>
      </c>
      <c r="D159" s="4" t="inlineStr">
        <is>
          <t>2026-04-01</t>
        </is>
      </c>
      <c r="E159" s="4" t="inlineStr">
        <is>
          <t>2026-04-07</t>
        </is>
      </c>
      <c r="F159" s="4" t="inlineStr">
        <is>
          <t>SIGVANC</t>
        </is>
      </c>
      <c r="G159" s="5">
        <f>IF(H159="TT","TRABAJO TERMINADO",IF(H159="MI","TRABAJO NO TERMINADO",""))</f>
        <v/>
      </c>
      <c r="H159" s="6" t="inlineStr"/>
      <c r="I159" s="7">
        <f>IF(B159="", G159, IF(G159="", LEFT(B159,45), IF(45-LEN(G159)-2&lt;=0, G159, LEFT(B159,45-LEN(G159)-2)&amp;", "&amp;G159)))</f>
        <v/>
      </c>
      <c r="J159" s="8">
        <f>IF(H159="MI","NO REALIZADO " &amp; B159 &amp; " EN " &amp; C159 &amp; IF(K159&lt;&gt;""," " &amp; K159,""),IF(H159="TT","SE REALIZA " &amp; B159 &amp; " EN " &amp; C159 &amp; IF(K159&lt;&gt;""," " &amp; K159,""),""))</f>
        <v/>
      </c>
      <c r="K159" s="4" t="n"/>
      <c r="L159" s="4" t="inlineStr">
        <is>
          <t>ASUP</t>
        </is>
      </c>
    </row>
    <row r="160">
      <c r="A160" s="4" t="inlineStr">
        <is>
          <t>03649240</t>
        </is>
      </c>
      <c r="B160" s="4" t="inlineStr">
        <is>
          <t>MEDICION DE NIVELES FREATICOS</t>
        </is>
      </c>
      <c r="C160" s="4" t="inlineStr">
        <is>
          <t>CWE-18 (1) FALLA PABELLON</t>
        </is>
      </c>
      <c r="D160" s="4" t="inlineStr">
        <is>
          <t>2026-04-01</t>
        </is>
      </c>
      <c r="E160" s="4" t="inlineStr">
        <is>
          <t>2026-04-07</t>
        </is>
      </c>
      <c r="F160" s="4" t="inlineStr">
        <is>
          <t>SIGVANC</t>
        </is>
      </c>
      <c r="G160" s="5">
        <f>IF(H160="TT","TRABAJO TERMINADO",IF(H160="MI","TRABAJO NO TERMINADO",""))</f>
        <v/>
      </c>
      <c r="H160" s="6" t="inlineStr"/>
      <c r="I160" s="7">
        <f>IF(B160="", G160, IF(G160="", LEFT(B160,45), IF(45-LEN(G160)-2&lt;=0, G160, LEFT(B160,45-LEN(G160)-2)&amp;", "&amp;G160)))</f>
        <v/>
      </c>
      <c r="J160" s="8">
        <f>IF(H160="MI","NO REALIZADO " &amp; B160 &amp; " EN " &amp; C160 &amp; IF(K160&lt;&gt;""," " &amp; K160,""),IF(H160="TT","SE REALIZA " &amp; B160 &amp; " EN " &amp; C160 &amp; IF(K160&lt;&gt;""," " &amp; K160,""),""))</f>
        <v/>
      </c>
      <c r="K160" s="4" t="n"/>
      <c r="L160" s="4" t="inlineStr">
        <is>
          <t>NF</t>
        </is>
      </c>
    </row>
    <row r="161">
      <c r="A161" s="4" t="inlineStr">
        <is>
          <t>03649241</t>
        </is>
      </c>
      <c r="B161" s="4" t="inlineStr">
        <is>
          <t>MEDICION DE NIVELES FREATICOS</t>
        </is>
      </c>
      <c r="C161" s="4" t="inlineStr">
        <is>
          <t>CWE-18 (2) FALLA PABELLON</t>
        </is>
      </c>
      <c r="D161" s="4" t="inlineStr">
        <is>
          <t>2026-04-01</t>
        </is>
      </c>
      <c r="E161" s="4" t="inlineStr">
        <is>
          <t>2026-04-07</t>
        </is>
      </c>
      <c r="F161" s="4" t="inlineStr">
        <is>
          <t>SIGVANC</t>
        </is>
      </c>
      <c r="G161" s="5">
        <f>IF(H161="TT","TRABAJO TERMINADO",IF(H161="MI","TRABAJO NO TERMINADO",""))</f>
        <v/>
      </c>
      <c r="H161" s="6" t="inlineStr"/>
      <c r="I161" s="7">
        <f>IF(B161="", G161, IF(G161="", LEFT(B161,45), IF(45-LEN(G161)-2&lt;=0, G161, LEFT(B161,45-LEN(G161)-2)&amp;", "&amp;G161)))</f>
        <v/>
      </c>
      <c r="J161" s="8">
        <f>IF(H161="MI","NO REALIZADO " &amp; B161 &amp; " EN " &amp; C161 &amp; IF(K161&lt;&gt;""," " &amp; K161,""),IF(H161="TT","SE REALIZA " &amp; B161 &amp; " EN " &amp; C161 &amp; IF(K161&lt;&gt;""," " &amp; K161,""),""))</f>
        <v/>
      </c>
      <c r="K161" s="4" t="n"/>
      <c r="L161" s="4" t="inlineStr">
        <is>
          <t>NF</t>
        </is>
      </c>
    </row>
    <row r="162">
      <c r="A162" s="4" t="inlineStr">
        <is>
          <t>03649242</t>
        </is>
      </c>
      <c r="B162" s="4" t="inlineStr">
        <is>
          <t>MEDICION DE NIVELES FREATICOS</t>
        </is>
      </c>
      <c r="C162" s="4" t="inlineStr">
        <is>
          <t>CWE-23 (1) FALLA PABELLON</t>
        </is>
      </c>
      <c r="D162" s="4" t="inlineStr">
        <is>
          <t>2026-04-01</t>
        </is>
      </c>
      <c r="E162" s="4" t="inlineStr">
        <is>
          <t>2026-04-07</t>
        </is>
      </c>
      <c r="F162" s="4" t="inlineStr">
        <is>
          <t>SIGVANC</t>
        </is>
      </c>
      <c r="G162" s="5">
        <f>IF(H162="TT","TRABAJO TERMINADO",IF(H162="MI","TRABAJO NO TERMINADO",""))</f>
        <v/>
      </c>
      <c r="H162" s="6" t="inlineStr"/>
      <c r="I162" s="7">
        <f>IF(B162="", G162, IF(G162="", LEFT(B162,45), IF(45-LEN(G162)-2&lt;=0, G162, LEFT(B162,45-LEN(G162)-2)&amp;", "&amp;G162)))</f>
        <v/>
      </c>
      <c r="J162" s="8">
        <f>IF(H162="MI","NO REALIZADO " &amp; B162 &amp; " EN " &amp; C162 &amp; IF(K162&lt;&gt;""," " &amp; K162,""),IF(H162="TT","SE REALIZA " &amp; B162 &amp; " EN " &amp; C162 &amp; IF(K162&lt;&gt;""," " &amp; K162,""),""))</f>
        <v/>
      </c>
      <c r="K162" s="4" t="n"/>
      <c r="L162" s="4" t="inlineStr">
        <is>
          <t>NF</t>
        </is>
      </c>
    </row>
    <row r="163">
      <c r="A163" s="4" t="inlineStr">
        <is>
          <t>03649243</t>
        </is>
      </c>
      <c r="B163" s="4" t="inlineStr">
        <is>
          <t>MEDICION DE NIVELES FREATICOS</t>
        </is>
      </c>
      <c r="C163" s="4" t="inlineStr">
        <is>
          <t>CWE-23 (2) FALLA PABELLON</t>
        </is>
      </c>
      <c r="D163" s="4" t="inlineStr">
        <is>
          <t>2026-04-01</t>
        </is>
      </c>
      <c r="E163" s="4" t="inlineStr">
        <is>
          <t>2026-04-07</t>
        </is>
      </c>
      <c r="F163" s="4" t="inlineStr">
        <is>
          <t>SIGVANC</t>
        </is>
      </c>
      <c r="G163" s="5">
        <f>IF(H163="TT","TRABAJO TERMINADO",IF(H163="MI","TRABAJO NO TERMINADO",""))</f>
        <v/>
      </c>
      <c r="H163" s="6" t="inlineStr"/>
      <c r="I163" s="7">
        <f>IF(B163="", G163, IF(G163="", LEFT(B163,45), IF(45-LEN(G163)-2&lt;=0, G163, LEFT(B163,45-LEN(G163)-2)&amp;", "&amp;G163)))</f>
        <v/>
      </c>
      <c r="J163" s="8">
        <f>IF(H163="MI","NO REALIZADO " &amp; B163 &amp; " EN " &amp; C163 &amp; IF(K163&lt;&gt;""," " &amp; K163,""),IF(H163="TT","SE REALIZA " &amp; B163 &amp; " EN " &amp; C163 &amp; IF(K163&lt;&gt;""," " &amp; K163,""),""))</f>
        <v/>
      </c>
      <c r="K163" s="4" t="n"/>
      <c r="L163" s="4" t="inlineStr">
        <is>
          <t>NF</t>
        </is>
      </c>
    </row>
    <row r="164">
      <c r="A164" s="4" t="inlineStr">
        <is>
          <t>03649244</t>
        </is>
      </c>
      <c r="B164" s="4" t="inlineStr">
        <is>
          <t>MEDICION DE NIVELES FREATICOS</t>
        </is>
      </c>
      <c r="C164" s="4" t="inlineStr">
        <is>
          <t>CWE-23 (3) FALLA PABELLON</t>
        </is>
      </c>
      <c r="D164" s="4" t="inlineStr">
        <is>
          <t>2026-04-01</t>
        </is>
      </c>
      <c r="E164" s="4" t="inlineStr">
        <is>
          <t>2026-04-07</t>
        </is>
      </c>
      <c r="F164" s="4" t="inlineStr">
        <is>
          <t>SIGVANC</t>
        </is>
      </c>
      <c r="G164" s="5">
        <f>IF(H164="TT","TRABAJO TERMINADO",IF(H164="MI","TRABAJO NO TERMINADO",""))</f>
        <v/>
      </c>
      <c r="H164" s="6" t="inlineStr"/>
      <c r="I164" s="7">
        <f>IF(B164="", G164, IF(G164="", LEFT(B164,45), IF(45-LEN(G164)-2&lt;=0, G164, LEFT(B164,45-LEN(G164)-2)&amp;", "&amp;G164)))</f>
        <v/>
      </c>
      <c r="J164" s="8">
        <f>IF(H164="MI","NO REALIZADO " &amp; B164 &amp; " EN " &amp; C164 &amp; IF(K164&lt;&gt;""," " &amp; K164,""),IF(H164="TT","SE REALIZA " &amp; B164 &amp; " EN " &amp; C164 &amp; IF(K164&lt;&gt;""," " &amp; K164,""),""))</f>
        <v/>
      </c>
      <c r="K164" s="4" t="n"/>
      <c r="L164" s="4" t="inlineStr">
        <is>
          <t>NF</t>
        </is>
      </c>
    </row>
    <row r="165">
      <c r="A165" s="4" t="inlineStr">
        <is>
          <t>03649245</t>
        </is>
      </c>
      <c r="B165" s="4" t="inlineStr">
        <is>
          <t>MEDICION DE NIVELES FREATICOS</t>
        </is>
      </c>
      <c r="C165" s="4" t="inlineStr">
        <is>
          <t>CWE-23 (4) FALLA PABELLON</t>
        </is>
      </c>
      <c r="D165" s="4" t="inlineStr">
        <is>
          <t>2026-04-01</t>
        </is>
      </c>
      <c r="E165" s="4" t="inlineStr">
        <is>
          <t>2026-04-07</t>
        </is>
      </c>
      <c r="F165" s="4" t="inlineStr">
        <is>
          <t>SIGVANC</t>
        </is>
      </c>
      <c r="G165" s="5">
        <f>IF(H165="TT","TRABAJO TERMINADO",IF(H165="MI","TRABAJO NO TERMINADO",""))</f>
        <v/>
      </c>
      <c r="H165" s="6" t="inlineStr"/>
      <c r="I165" s="7">
        <f>IF(B165="", G165, IF(G165="", LEFT(B165,45), IF(45-LEN(G165)-2&lt;=0, G165, LEFT(B165,45-LEN(G165)-2)&amp;", "&amp;G165)))</f>
        <v/>
      </c>
      <c r="J165" s="8">
        <f>IF(H165="MI","NO REALIZADO " &amp; B165 &amp; " EN " &amp; C165 &amp; IF(K165&lt;&gt;""," " &amp; K165,""),IF(H165="TT","SE REALIZA " &amp; B165 &amp; " EN " &amp; C165 &amp; IF(K165&lt;&gt;""," " &amp; K165,""),""))</f>
        <v/>
      </c>
      <c r="K165" s="4" t="n"/>
      <c r="L165" s="4" t="inlineStr">
        <is>
          <t>NF</t>
        </is>
      </c>
    </row>
    <row r="166">
      <c r="A166" s="4" t="inlineStr">
        <is>
          <t>03649246</t>
        </is>
      </c>
      <c r="B166" s="4" t="inlineStr">
        <is>
          <t>MEDICION DE NIVELES FREATICOS</t>
        </is>
      </c>
      <c r="C166" s="4" t="inlineStr">
        <is>
          <t>M-09 MICHINCHA</t>
        </is>
      </c>
      <c r="D166" s="4" t="inlineStr">
        <is>
          <t>2026-04-01</t>
        </is>
      </c>
      <c r="E166" s="4" t="inlineStr">
        <is>
          <t>2026-04-07</t>
        </is>
      </c>
      <c r="F166" s="4" t="inlineStr">
        <is>
          <t>SIGVANC</t>
        </is>
      </c>
      <c r="G166" s="5">
        <f>IF(H166="TT","TRABAJO TERMINADO",IF(H166="MI","TRABAJO NO TERMINADO",""))</f>
        <v/>
      </c>
      <c r="H166" s="6" t="inlineStr"/>
      <c r="I166" s="7">
        <f>IF(B166="", G166, IF(G166="", LEFT(B166,45), IF(45-LEN(G166)-2&lt;=0, G166, LEFT(B166,45-LEN(G166)-2)&amp;", "&amp;G166)))</f>
        <v/>
      </c>
      <c r="J166" s="8">
        <f>IF(H166="MI","NO REALIZADO " &amp; B166 &amp; " EN " &amp; C166 &amp; IF(K166&lt;&gt;""," " &amp; K166,""),IF(H166="TT","SE REALIZA " &amp; B166 &amp; " EN " &amp; C166 &amp; IF(K166&lt;&gt;""," " &amp; K166,""),""))</f>
        <v/>
      </c>
      <c r="K166" s="4" t="n"/>
      <c r="L166" s="4" t="inlineStr">
        <is>
          <t>NF</t>
        </is>
      </c>
    </row>
    <row r="167">
      <c r="A167" s="4" t="inlineStr">
        <is>
          <t>03649247</t>
        </is>
      </c>
      <c r="B167" s="4" t="inlineStr">
        <is>
          <t>MEDICION DE NIVELES FREATICOS</t>
        </is>
      </c>
      <c r="C167" s="4" t="inlineStr">
        <is>
          <t>M-28 MICHINCHA</t>
        </is>
      </c>
      <c r="D167" s="4" t="inlineStr">
        <is>
          <t>2026-04-01</t>
        </is>
      </c>
      <c r="E167" s="4" t="inlineStr">
        <is>
          <t>2026-04-07</t>
        </is>
      </c>
      <c r="F167" s="4" t="inlineStr">
        <is>
          <t>SIGVANC</t>
        </is>
      </c>
      <c r="G167" s="5">
        <f>IF(H167="TT","TRABAJO TERMINADO",IF(H167="MI","TRABAJO NO TERMINADO",""))</f>
        <v/>
      </c>
      <c r="H167" s="6" t="inlineStr"/>
      <c r="I167" s="7">
        <f>IF(B167="", G167, IF(G167="", LEFT(B167,45), IF(45-LEN(G167)-2&lt;=0, G167, LEFT(B167,45-LEN(G167)-2)&amp;", "&amp;G167)))</f>
        <v/>
      </c>
      <c r="J167" s="8">
        <f>IF(H167="MI","NO REALIZADO " &amp; B167 &amp; " EN " &amp; C167 &amp; IF(K167&lt;&gt;""," " &amp; K167,""),IF(H167="TT","SE REALIZA " &amp; B167 &amp; " EN " &amp; C167 &amp; IF(K167&lt;&gt;""," " &amp; K167,""),""))</f>
        <v/>
      </c>
      <c r="K167" s="4" t="n"/>
      <c r="L167" s="4" t="inlineStr">
        <is>
          <t>NF</t>
        </is>
      </c>
    </row>
    <row r="168">
      <c r="A168" s="4" t="inlineStr">
        <is>
          <t>03649248</t>
        </is>
      </c>
      <c r="B168" s="4" t="inlineStr">
        <is>
          <t>MEDICION DE NIVELES FREATICOS</t>
        </is>
      </c>
      <c r="C168" s="4" t="inlineStr">
        <is>
          <t>UC-602 LIXIVIACIÓN</t>
        </is>
      </c>
      <c r="D168" s="4" t="inlineStr">
        <is>
          <t>2026-04-01</t>
        </is>
      </c>
      <c r="E168" s="4" t="inlineStr">
        <is>
          <t>2026-04-07</t>
        </is>
      </c>
      <c r="F168" s="4" t="inlineStr">
        <is>
          <t>SIGVANC</t>
        </is>
      </c>
      <c r="G168" s="5">
        <f>IF(H168="TT","TRABAJO TERMINADO",IF(H168="MI","TRABAJO NO TERMINADO",""))</f>
        <v/>
      </c>
      <c r="H168" s="6" t="inlineStr"/>
      <c r="I168" s="7">
        <f>IF(B168="", G168, IF(G168="", LEFT(B168,45), IF(45-LEN(G168)-2&lt;=0, G168, LEFT(B168,45-LEN(G168)-2)&amp;", "&amp;G168)))</f>
        <v/>
      </c>
      <c r="J168" s="8">
        <f>IF(H168="MI","NO REALIZADO " &amp; B168 &amp; " EN " &amp; C168 &amp; IF(K168&lt;&gt;""," " &amp; K168,""),IF(H168="TT","SE REALIZA " &amp; B168 &amp; " EN " &amp; C168 &amp; IF(K168&lt;&gt;""," " &amp; K168,""),""))</f>
        <v/>
      </c>
      <c r="K168" s="4" t="n"/>
      <c r="L168" s="4" t="inlineStr">
        <is>
          <t>NF</t>
        </is>
      </c>
    </row>
    <row r="169">
      <c r="A169" s="4" t="inlineStr">
        <is>
          <t>03649249</t>
        </is>
      </c>
      <c r="B169" s="4" t="inlineStr">
        <is>
          <t>MEDICION DE NIVELES FREATICOS</t>
        </is>
      </c>
      <c r="C169" s="4" t="inlineStr">
        <is>
          <t>UC-603 MICHINCHA</t>
        </is>
      </c>
      <c r="D169" s="4" t="inlineStr">
        <is>
          <t>2026-04-01</t>
        </is>
      </c>
      <c r="E169" s="4" t="inlineStr">
        <is>
          <t>2026-04-07</t>
        </is>
      </c>
      <c r="F169" s="4" t="inlineStr">
        <is>
          <t>SIGVANC</t>
        </is>
      </c>
      <c r="G169" s="5">
        <f>IF(H169="TT","TRABAJO TERMINADO",IF(H169="MI","TRABAJO NO TERMINADO",""))</f>
        <v/>
      </c>
      <c r="H169" s="6" t="inlineStr"/>
      <c r="I169" s="7">
        <f>IF(B169="", G169, IF(G169="", LEFT(B169,45), IF(45-LEN(G169)-2&lt;=0, G169, LEFT(B169,45-LEN(G169)-2)&amp;", "&amp;G169)))</f>
        <v/>
      </c>
      <c r="J169" s="8">
        <f>IF(H169="MI","NO REALIZADO " &amp; B169 &amp; " EN " &amp; C169 &amp; IF(K169&lt;&gt;""," " &amp; K169,""),IF(H169="TT","SE REALIZA " &amp; B169 &amp; " EN " &amp; C169 &amp; IF(K169&lt;&gt;""," " &amp; K169,""),""))</f>
        <v/>
      </c>
      <c r="K169" s="4" t="n"/>
      <c r="L169" s="4" t="inlineStr">
        <is>
          <t>NF</t>
        </is>
      </c>
    </row>
    <row r="170">
      <c r="A170" s="4" t="inlineStr">
        <is>
          <t>03653640</t>
        </is>
      </c>
      <c r="B170" s="4" t="inlineStr">
        <is>
          <t>INSPECCION DE EXTINTOR SALIMAX</t>
        </is>
      </c>
      <c r="C170" s="4" t="inlineStr"/>
      <c r="D170" s="4" t="inlineStr">
        <is>
          <t>2026-04-01</t>
        </is>
      </c>
      <c r="E170" s="4" t="inlineStr">
        <is>
          <t>2026-04-07</t>
        </is>
      </c>
      <c r="F170" s="4" t="inlineStr">
        <is>
          <t>SIGEXT</t>
        </is>
      </c>
      <c r="G170" s="5">
        <f>IF(H170="TT","TRABAJO TERMINADO",IF(H170="MI","TRABAJO NO TERMINADO",""))</f>
        <v/>
      </c>
      <c r="H170" s="6" t="inlineStr"/>
      <c r="I170" s="7">
        <f>IF(B170="", G170, IF(G170="", LEFT(B170,45), IF(45-LEN(G170)-2&lt;=0, G170, LEFT(B170,45-LEN(G170)-2)&amp;", "&amp;G170)))</f>
        <v/>
      </c>
      <c r="J170" s="8">
        <f>IF(H170="MI","NO REALIZADO " &amp; B170 &amp; " EN " &amp; C170 &amp; IF(K170&lt;&gt;""," " &amp; K170,""),IF(H170="TT","SE REALIZA " &amp; B170 &amp; " EN " &amp; C170 &amp; IF(K170&lt;&gt;""," " &amp; K170,""),""))</f>
        <v/>
      </c>
      <c r="K170" s="4" t="n"/>
      <c r="L170" s="4" t="inlineStr"/>
    </row>
    <row r="171">
      <c r="A171" s="4" t="inlineStr">
        <is>
          <t>03653641</t>
        </is>
      </c>
      <c r="B171" s="4" t="inlineStr">
        <is>
          <t>INSPECCIÓN EXTINTOR CALIDAD AIRE COPOSA</t>
        </is>
      </c>
      <c r="C171" s="4" t="inlineStr"/>
      <c r="D171" s="4" t="inlineStr">
        <is>
          <t>2026-04-01</t>
        </is>
      </c>
      <c r="E171" s="4" t="inlineStr">
        <is>
          <t>2026-04-07</t>
        </is>
      </c>
      <c r="F171" s="4" t="inlineStr">
        <is>
          <t>SIGEXT</t>
        </is>
      </c>
      <c r="G171" s="5">
        <f>IF(H171="TT","TRABAJO TERMINADO",IF(H171="MI","TRABAJO NO TERMINADO",""))</f>
        <v/>
      </c>
      <c r="H171" s="6" t="inlineStr"/>
      <c r="I171" s="7">
        <f>IF(B171="", G171, IF(G171="", LEFT(B171,45), IF(45-LEN(G171)-2&lt;=0, G171, LEFT(B171,45-LEN(G171)-2)&amp;", "&amp;G171)))</f>
        <v/>
      </c>
      <c r="J171" s="8">
        <f>IF(H171="MI","NO REALIZADO " &amp; B171 &amp; " EN " &amp; C171 &amp; IF(K171&lt;&gt;""," " &amp; K171,""),IF(H171="TT","SE REALIZA " &amp; B171 &amp; " EN " &amp; C171 &amp; IF(K171&lt;&gt;""," " &amp; K171,""),""))</f>
        <v/>
      </c>
      <c r="K171" s="4" t="n"/>
      <c r="L171" s="4" t="inlineStr"/>
    </row>
    <row r="172">
      <c r="A172" s="4" t="inlineStr">
        <is>
          <t>03653642</t>
        </is>
      </c>
      <c r="B172" s="4" t="inlineStr">
        <is>
          <t>INSPECCIÓN EXTINTOR ALS UJINA</t>
        </is>
      </c>
      <c r="C172" s="4" t="inlineStr"/>
      <c r="D172" s="4" t="inlineStr">
        <is>
          <t>2026-04-01</t>
        </is>
      </c>
      <c r="E172" s="4" t="inlineStr">
        <is>
          <t>2026-04-07</t>
        </is>
      </c>
      <c r="F172" s="4" t="inlineStr">
        <is>
          <t>SIGEXT</t>
        </is>
      </c>
      <c r="G172" s="5">
        <f>IF(H172="TT","TRABAJO TERMINADO",IF(H172="MI","TRABAJO NO TERMINADO",""))</f>
        <v/>
      </c>
      <c r="H172" s="6" t="inlineStr"/>
      <c r="I172" s="7">
        <f>IF(B172="", G172, IF(G172="", LEFT(B172,45), IF(45-LEN(G172)-2&lt;=0, G172, LEFT(B172,45-LEN(G172)-2)&amp;", "&amp;G172)))</f>
        <v/>
      </c>
      <c r="J172" s="8">
        <f>IF(H172="MI","NO REALIZADO " &amp; B172 &amp; " EN " &amp; C172 &amp; IF(K172&lt;&gt;""," " &amp; K172,""),IF(H172="TT","SE REALIZA " &amp; B172 &amp; " EN " &amp; C172 &amp; IF(K172&lt;&gt;""," " &amp; K172,""),""))</f>
        <v/>
      </c>
      <c r="K172" s="4" t="n"/>
      <c r="L172" s="4" t="inlineStr"/>
    </row>
    <row r="173">
      <c r="A173" s="4" t="inlineStr">
        <is>
          <t>03660793</t>
        </is>
      </c>
      <c r="B173" s="4" t="inlineStr">
        <is>
          <t>MED DE NIVELES FREATICOS</t>
        </is>
      </c>
      <c r="C173" s="4" t="inlineStr"/>
      <c r="D173" s="4" t="inlineStr">
        <is>
          <t>2026-04-01</t>
        </is>
      </c>
      <c r="E173" s="4" t="inlineStr">
        <is>
          <t>2026-04-07</t>
        </is>
      </c>
      <c r="F173" s="4" t="inlineStr">
        <is>
          <t>SIGVA</t>
        </is>
      </c>
      <c r="G173" s="5">
        <f>IF(H173="TT","TRABAJO TERMINADO",IF(H173="MI","TRABAJO NO TERMINADO",""))</f>
        <v/>
      </c>
      <c r="H173" s="6" t="inlineStr"/>
      <c r="I173" s="7">
        <f>IF(B173="", G173, IF(G173="", LEFT(B173,45), IF(45-LEN(G173)-2&lt;=0, G173, LEFT(B173,45-LEN(G173)-2)&amp;", "&amp;G173)))</f>
        <v/>
      </c>
      <c r="J173" s="8">
        <f>IF(H173="MI","NO REALIZADO " &amp; B173 &amp; " EN " &amp; C173 &amp; IF(K173&lt;&gt;""," " &amp; K173,""),IF(H173="TT","SE REALIZA " &amp; B173 &amp; " EN " &amp; C173 &amp; IF(K173&lt;&gt;""," " &amp; K173,""),""))</f>
        <v/>
      </c>
      <c r="K173" s="4" t="n"/>
      <c r="L173" s="4" t="inlineStr">
        <is>
          <t>NF</t>
        </is>
      </c>
    </row>
  </sheetData>
  <autoFilter ref="A1:L1"/>
  <conditionalFormatting sqref="I2:I173">
    <cfRule type="expression" priority="1" dxfId="0">
      <formula>AND(I2&lt;&gt;"", LEN(I2)&gt;50)</formula>
    </cfRule>
  </conditionalFormatting>
  <dataValidations count="1">
    <dataValidation sqref="I1:I173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03648737</t>
        </is>
      </c>
      <c r="B2" s="4" t="inlineStr">
        <is>
          <t>TRAS PERS. Y CAM. TURNO CONTRAT</t>
        </is>
      </c>
      <c r="C2" s="4" t="inlineStr">
        <is>
          <t>IQUIQUE - CMDIC Y VICE VERSA</t>
        </is>
      </c>
      <c r="D2" s="4" t="inlineStr">
        <is>
          <t>2026-04-02</t>
        </is>
      </c>
      <c r="E2" s="4" t="inlineStr">
        <is>
          <t>2026-04-08</t>
        </is>
      </c>
      <c r="F2" s="4" t="inlineStr">
        <is>
          <t>SIGADM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03648738</t>
        </is>
      </c>
      <c r="B3" s="4" t="inlineStr">
        <is>
          <t>TRAS MUESTRAS Y MATERIAL MUEST</t>
        </is>
      </c>
      <c r="C3" s="4" t="inlineStr">
        <is>
          <t>IQUIQUE - CMDIC Y VICE VERSA</t>
        </is>
      </c>
      <c r="D3" s="4" t="inlineStr">
        <is>
          <t>2026-04-02</t>
        </is>
      </c>
      <c r="E3" s="4" t="inlineStr">
        <is>
          <t>2026-04-08</t>
        </is>
      </c>
      <c r="F3" s="4" t="inlineStr">
        <is>
          <t>SIGADM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/>
    </row>
    <row r="4">
      <c r="A4" s="4" t="inlineStr">
        <is>
          <t>03661637</t>
        </is>
      </c>
      <c r="B4" s="4" t="inlineStr">
        <is>
          <t>HOUSEKEEPING</t>
        </is>
      </c>
      <c r="C4" s="4" t="inlineStr">
        <is>
          <t>OFICINAS  SI ENERGIA</t>
        </is>
      </c>
      <c r="D4" s="4" t="inlineStr">
        <is>
          <t>2026-04-02</t>
        </is>
      </c>
      <c r="E4" s="4" t="inlineStr">
        <is>
          <t>2026-04-08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HK</t>
        </is>
      </c>
    </row>
    <row r="5">
      <c r="A5" s="4" t="inlineStr">
        <is>
          <t>03661638</t>
        </is>
      </c>
      <c r="B5" s="4" t="inlineStr">
        <is>
          <t>MONITOREO DE BAÑOS Y CASINOS</t>
        </is>
      </c>
      <c r="C5" s="4" t="inlineStr">
        <is>
          <t>BCON UJINA</t>
        </is>
      </c>
      <c r="D5" s="4" t="inlineStr">
        <is>
          <t>2026-04-02</t>
        </is>
      </c>
      <c r="E5" s="4" t="inlineStr">
        <is>
          <t>2026-04-08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AP</t>
        </is>
      </c>
    </row>
    <row r="6">
      <c r="A6" s="4" t="inlineStr">
        <is>
          <t>03661639</t>
        </is>
      </c>
      <c r="B6" s="4" t="inlineStr">
        <is>
          <t>MONITOREO DE BAÑOS Y CASINOS</t>
        </is>
      </c>
      <c r="C6" s="4" t="inlineStr">
        <is>
          <t>BGSO UJINA</t>
        </is>
      </c>
      <c r="D6" s="4" t="inlineStr">
        <is>
          <t>2026-04-02</t>
        </is>
      </c>
      <c r="E6" s="4" t="inlineStr">
        <is>
          <t>2026-04-08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AP</t>
        </is>
      </c>
    </row>
    <row r="7">
      <c r="A7" s="4" t="inlineStr">
        <is>
          <t>03661640</t>
        </is>
      </c>
      <c r="B7" s="4" t="inlineStr">
        <is>
          <t>MEDICIÓN NIVELES FREÁTICOS</t>
        </is>
      </c>
      <c r="C7" s="4" t="inlineStr">
        <is>
          <t>ZANJA NORTE 2 PUERTO COLLAHUASI</t>
        </is>
      </c>
      <c r="D7" s="4" t="inlineStr">
        <is>
          <t>2026-04-02</t>
        </is>
      </c>
      <c r="E7" s="4" t="inlineStr">
        <is>
          <t>2026-04-08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NF</t>
        </is>
      </c>
    </row>
    <row r="8">
      <c r="A8" s="4" t="inlineStr">
        <is>
          <t>03661641</t>
        </is>
      </c>
      <c r="B8" s="4" t="inlineStr">
        <is>
          <t>MONITOREO AGUAS SERVIDAS</t>
        </is>
      </c>
      <c r="C8" s="4" t="inlineStr">
        <is>
          <t>PTAS PUERTO COLLAHUASI PUERTO COLLAHUASI</t>
        </is>
      </c>
      <c r="D8" s="4" t="inlineStr">
        <is>
          <t>2026-04-02</t>
        </is>
      </c>
      <c r="E8" s="4" t="inlineStr">
        <is>
          <t>2026-04-08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AR</t>
        </is>
      </c>
    </row>
    <row r="9">
      <c r="A9" s="4" t="inlineStr">
        <is>
          <t>03661642</t>
        </is>
      </c>
      <c r="B9" s="4" t="inlineStr">
        <is>
          <t>MEDICIÓN NIVELES FREÁTICOS</t>
        </is>
      </c>
      <c r="C9" s="4" t="inlineStr">
        <is>
          <t>ZANJA NORTE 1 PUERTO COLLAHUASI</t>
        </is>
      </c>
      <c r="D9" s="4" t="inlineStr">
        <is>
          <t>2026-04-02</t>
        </is>
      </c>
      <c r="E9" s="4" t="inlineStr">
        <is>
          <t>2026-04-08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NF</t>
        </is>
      </c>
    </row>
    <row r="10">
      <c r="A10" s="4" t="inlineStr">
        <is>
          <t>03661643</t>
        </is>
      </c>
      <c r="B10" s="4" t="inlineStr">
        <is>
          <t>MUESTREO PUNTUAL DE RIL AS</t>
        </is>
      </c>
      <c r="C10" s="4" t="inlineStr">
        <is>
          <t>PTAS-C FALLA PABELLON</t>
        </is>
      </c>
      <c r="D10" s="4" t="inlineStr">
        <is>
          <t>2026-04-02</t>
        </is>
      </c>
      <c r="E10" s="4" t="inlineStr">
        <is>
          <t>2026-04-08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AR</t>
        </is>
      </c>
    </row>
    <row r="11">
      <c r="A11" s="4" t="inlineStr">
        <is>
          <t>03661644</t>
        </is>
      </c>
      <c r="B11" s="4" t="inlineStr">
        <is>
          <t>MONIT EN SALAS DE ESTACION Y TK</t>
        </is>
      </c>
      <c r="C11" s="4" t="inlineStr">
        <is>
          <t>TK-505 FALLA PABELLON</t>
        </is>
      </c>
      <c r="D11" s="4" t="inlineStr">
        <is>
          <t>2026-04-02</t>
        </is>
      </c>
      <c r="E11" s="4" t="inlineStr">
        <is>
          <t>2026-04-08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AP</t>
        </is>
      </c>
    </row>
    <row r="12">
      <c r="A12" s="4" t="inlineStr">
        <is>
          <t>03661645</t>
        </is>
      </c>
      <c r="B12" s="4" t="inlineStr">
        <is>
          <t>MEDICIÓN CAUDALES</t>
        </is>
      </c>
      <c r="C12" s="4" t="inlineStr">
        <is>
          <t>CSW-02 JACHUCOPOSA</t>
        </is>
      </c>
      <c r="D12" s="4" t="inlineStr">
        <is>
          <t>2026-04-02</t>
        </is>
      </c>
      <c r="E12" s="4" t="inlineStr">
        <is>
          <t>2026-04-08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CAUDAL</t>
        </is>
      </c>
    </row>
    <row r="13">
      <c r="A13" s="4" t="inlineStr">
        <is>
          <t>03661646</t>
        </is>
      </c>
      <c r="B13" s="4" t="inlineStr">
        <is>
          <t>MONITOREO DE BAÑOS Y CASINOS</t>
        </is>
      </c>
      <c r="C13" s="4" t="inlineStr">
        <is>
          <t>BPCR ROSARIO</t>
        </is>
      </c>
      <c r="D13" s="4" t="inlineStr">
        <is>
          <t>2026-04-02</t>
        </is>
      </c>
      <c r="E13" s="4" t="inlineStr">
        <is>
          <t>2026-04-08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AP</t>
        </is>
      </c>
    </row>
    <row r="14">
      <c r="A14" s="4" t="inlineStr">
        <is>
          <t>03661647</t>
        </is>
      </c>
      <c r="B14" s="4" t="inlineStr">
        <is>
          <t>MUESTREO M. AGUAS SUPERF (FOTOMETRO)</t>
        </is>
      </c>
      <c r="C14" s="4" t="inlineStr">
        <is>
          <t>QDH-1E PISC. HUINQUIN. (INT. RAJO ROSA )</t>
        </is>
      </c>
      <c r="D14" s="4" t="inlineStr">
        <is>
          <t>2026-04-02</t>
        </is>
      </c>
      <c r="E14" s="4" t="inlineStr">
        <is>
          <t>2026-04-08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FOTOMETRO</t>
        </is>
      </c>
    </row>
    <row r="15">
      <c r="A15" s="4" t="inlineStr">
        <is>
          <t>03661648</t>
        </is>
      </c>
      <c r="B15" s="4" t="inlineStr">
        <is>
          <t>MEDICIÓN CAUDALES</t>
        </is>
      </c>
      <c r="C15" s="4" t="inlineStr">
        <is>
          <t>QDH-2 HUINQUINTIPA</t>
        </is>
      </c>
      <c r="D15" s="4" t="inlineStr">
        <is>
          <t>2026-04-02</t>
        </is>
      </c>
      <c r="E15" s="4" t="inlineStr">
        <is>
          <t>2026-04-08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CAUDAL</t>
        </is>
      </c>
    </row>
    <row r="16">
      <c r="A16" s="4" t="inlineStr">
        <is>
          <t>03661649</t>
        </is>
      </c>
      <c r="B16" s="4" t="inlineStr">
        <is>
          <t>MM. AGUAS  SUPERF. (FOTOMETRO)</t>
        </is>
      </c>
      <c r="C16" s="4" t="inlineStr">
        <is>
          <t>QSD-1 PISC. HUINQUIN. (INT. RAJO ROSA )</t>
        </is>
      </c>
      <c r="D16" s="4" t="inlineStr">
        <is>
          <t>2026-04-02</t>
        </is>
      </c>
      <c r="E16" s="4" t="inlineStr">
        <is>
          <t>2026-04-08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FOTOMETRO</t>
        </is>
      </c>
    </row>
    <row r="17">
      <c r="A17" s="4" t="inlineStr">
        <is>
          <t>03661650</t>
        </is>
      </c>
      <c r="B17" s="4" t="inlineStr">
        <is>
          <t>MEDICIÓN CAUDALES</t>
        </is>
      </c>
      <c r="C17" s="4" t="inlineStr">
        <is>
          <t>QSN-1 SAN NICOLAS</t>
        </is>
      </c>
      <c r="D17" s="4" t="inlineStr">
        <is>
          <t>2026-04-02</t>
        </is>
      </c>
      <c r="E17" s="4" t="inlineStr">
        <is>
          <t>2026-04-08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CAUDAL</t>
        </is>
      </c>
    </row>
    <row r="18">
      <c r="A18" s="4" t="inlineStr">
        <is>
          <t>03661651</t>
        </is>
      </c>
      <c r="B18" s="4" t="inlineStr">
        <is>
          <t>MEDICIÓN NIVELES FREÁTICOS</t>
        </is>
      </c>
      <c r="C18" s="4" t="inlineStr">
        <is>
          <t>SH-02B PUERTO COLLAHUASI</t>
        </is>
      </c>
      <c r="D18" s="4" t="inlineStr">
        <is>
          <t>2026-04-02</t>
        </is>
      </c>
      <c r="E18" s="4" t="inlineStr">
        <is>
          <t>2026-04-08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03661652</t>
        </is>
      </c>
      <c r="B19" s="4" t="inlineStr">
        <is>
          <t>MEDICIÓN NIVELES FREÁTICOS</t>
        </is>
      </c>
      <c r="C19" s="4" t="inlineStr">
        <is>
          <t>SH-06 PUERTO COLLAHUASI</t>
        </is>
      </c>
      <c r="D19" s="4" t="inlineStr">
        <is>
          <t>2026-04-02</t>
        </is>
      </c>
      <c r="E19" s="4" t="inlineStr">
        <is>
          <t>2026-04-08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NF</t>
        </is>
      </c>
    </row>
    <row r="20">
      <c r="A20" s="4" t="inlineStr">
        <is>
          <t>03661653</t>
        </is>
      </c>
      <c r="B20" s="4" t="inlineStr">
        <is>
          <t>MEDICIÓN NIVELES FREÁTICOS</t>
        </is>
      </c>
      <c r="C20" s="4" t="inlineStr">
        <is>
          <t>SH-07 PUERTO COLLAHUASI</t>
        </is>
      </c>
      <c r="D20" s="4" t="inlineStr">
        <is>
          <t>2026-04-02</t>
        </is>
      </c>
      <c r="E20" s="4" t="inlineStr">
        <is>
          <t>2026-04-08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03661654</t>
        </is>
      </c>
      <c r="B21" s="4" t="inlineStr">
        <is>
          <t>MEDICIÓN NIVELES FREÁTICOS</t>
        </is>
      </c>
      <c r="C21" s="4" t="inlineStr">
        <is>
          <t>SH-08 PUERTO COLLAHUASI</t>
        </is>
      </c>
      <c r="D21" s="4" t="inlineStr">
        <is>
          <t>2026-04-02</t>
        </is>
      </c>
      <c r="E21" s="4" t="inlineStr">
        <is>
          <t>2026-04-08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NF</t>
        </is>
      </c>
    </row>
    <row r="22">
      <c r="A22" s="4" t="inlineStr">
        <is>
          <t>03661655</t>
        </is>
      </c>
      <c r="B22" s="4" t="inlineStr">
        <is>
          <t>MEDICIÓN NIVELES FREÁTICOS</t>
        </is>
      </c>
      <c r="C22" s="4" t="inlineStr">
        <is>
          <t>SH-19 PUERTO COLLAHUASI</t>
        </is>
      </c>
      <c r="D22" s="4" t="inlineStr">
        <is>
          <t>2026-04-02</t>
        </is>
      </c>
      <c r="E22" s="4" t="inlineStr">
        <is>
          <t>2026-04-08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NF</t>
        </is>
      </c>
    </row>
    <row r="23">
      <c r="A23" s="4" t="inlineStr">
        <is>
          <t>03661656</t>
        </is>
      </c>
      <c r="B23" s="4" t="inlineStr">
        <is>
          <t>MONITOREO DE BAÑOS Y CASINOS</t>
        </is>
      </c>
      <c r="C23" s="4" t="inlineStr">
        <is>
          <t>CPC FALLA PABELLON</t>
        </is>
      </c>
      <c r="D23" s="4" t="inlineStr">
        <is>
          <t>2026-04-02</t>
        </is>
      </c>
      <c r="E23" s="4" t="inlineStr">
        <is>
          <t>2026-04-08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AP</t>
        </is>
      </c>
    </row>
    <row r="24">
      <c r="A24" s="4" t="inlineStr">
        <is>
          <t>03661657</t>
        </is>
      </c>
      <c r="B24" s="4" t="inlineStr">
        <is>
          <t>MONITOREO DE BAÑOS Y CASINOS</t>
        </is>
      </c>
      <c r="C24" s="4" t="inlineStr">
        <is>
          <t>C-1000 UJINA</t>
        </is>
      </c>
      <c r="D24" s="4" t="inlineStr">
        <is>
          <t>2026-04-02</t>
        </is>
      </c>
      <c r="E24" s="4" t="inlineStr">
        <is>
          <t>2026-04-08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AP</t>
        </is>
      </c>
    </row>
    <row r="25">
      <c r="A25" s="4" t="inlineStr">
        <is>
          <t>03661658</t>
        </is>
      </c>
      <c r="B25" s="4" t="inlineStr">
        <is>
          <t>MONITOREO DE BAÑOS Y CASINOS</t>
        </is>
      </c>
      <c r="C25" s="4" t="inlineStr">
        <is>
          <t>MONITOREO DE BAÑOS Y CASINOS BCC</t>
        </is>
      </c>
      <c r="D25" s="4" t="inlineStr">
        <is>
          <t>2026-04-02</t>
        </is>
      </c>
      <c r="E25" s="4" t="inlineStr">
        <is>
          <t>2026-04-08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AP</t>
        </is>
      </c>
    </row>
    <row r="26">
      <c r="A26" s="4" t="inlineStr">
        <is>
          <t>03661659</t>
        </is>
      </c>
      <c r="B26" s="4" t="inlineStr">
        <is>
          <t>MONITOREO DE BAÑOS Y CASINOS</t>
        </is>
      </c>
      <c r="C26" s="4" t="inlineStr">
        <is>
          <t>C-460 ROSARIO</t>
        </is>
      </c>
      <c r="D26" s="4" t="inlineStr">
        <is>
          <t>2026-04-02</t>
        </is>
      </c>
      <c r="E26" s="4" t="inlineStr">
        <is>
          <t>2026-04-08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AP</t>
        </is>
      </c>
    </row>
    <row r="27">
      <c r="A27" s="4" t="inlineStr">
        <is>
          <t>03661660</t>
        </is>
      </c>
      <c r="B27" s="4" t="inlineStr">
        <is>
          <t>MONITOREO DE BAÑOS Y CASINOS</t>
        </is>
      </c>
      <c r="C27" s="4" t="inlineStr">
        <is>
          <t>CCD</t>
        </is>
      </c>
      <c r="D27" s="4" t="inlineStr">
        <is>
          <t>2026-04-02</t>
        </is>
      </c>
      <c r="E27" s="4" t="inlineStr">
        <is>
          <t>2026-04-08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AP</t>
        </is>
      </c>
    </row>
    <row r="28">
      <c r="A28" s="4" t="inlineStr">
        <is>
          <t>03661661</t>
        </is>
      </c>
      <c r="B28" s="4" t="inlineStr">
        <is>
          <t>MONIT EN SALAS DE ESTACION Y TK</t>
        </is>
      </c>
      <c r="C28" s="4" t="inlineStr">
        <is>
          <t>TK-1004 ROSARIO</t>
        </is>
      </c>
      <c r="D28" s="4" t="inlineStr">
        <is>
          <t>2026-04-02</t>
        </is>
      </c>
      <c r="E28" s="4" t="inlineStr">
        <is>
          <t>2026-04-08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AP</t>
        </is>
      </c>
    </row>
    <row r="29">
      <c r="A29" s="4" t="inlineStr">
        <is>
          <t>03661662</t>
        </is>
      </c>
      <c r="B29" s="4" t="inlineStr">
        <is>
          <t>MONIT EN SALAS DE ESTACION Y TK</t>
        </is>
      </c>
      <c r="C29" s="4" t="inlineStr">
        <is>
          <t>TK-517 UJINA</t>
        </is>
      </c>
      <c r="D29" s="4" t="inlineStr">
        <is>
          <t>2026-04-02</t>
        </is>
      </c>
      <c r="E29" s="4" t="inlineStr">
        <is>
          <t>2026-04-08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AP</t>
        </is>
      </c>
    </row>
    <row r="30">
      <c r="A30" s="4" t="inlineStr">
        <is>
          <t>03661663</t>
        </is>
      </c>
      <c r="B30" s="4" t="inlineStr">
        <is>
          <t>MUESTREO PUNTUAL DE RIL-AS</t>
        </is>
      </c>
      <c r="C30" s="4" t="inlineStr">
        <is>
          <t>PTAS-M ROSARIO</t>
        </is>
      </c>
      <c r="D30" s="4" t="inlineStr">
        <is>
          <t>2026-04-02</t>
        </is>
      </c>
      <c r="E30" s="4" t="inlineStr">
        <is>
          <t>2026-04-08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AR</t>
        </is>
      </c>
    </row>
    <row r="31">
      <c r="A31" s="4" t="inlineStr">
        <is>
          <t>03661664</t>
        </is>
      </c>
      <c r="B31" s="4" t="inlineStr">
        <is>
          <t>MONITOREO DE BAÑOS Y CASINOS</t>
        </is>
      </c>
      <c r="C31" s="4" t="inlineStr">
        <is>
          <t>BOR ROSARIO</t>
        </is>
      </c>
      <c r="D31" s="4" t="inlineStr">
        <is>
          <t>2026-04-02</t>
        </is>
      </c>
      <c r="E31" s="4" t="inlineStr">
        <is>
          <t>2026-04-08</t>
        </is>
      </c>
      <c r="F31" s="4" t="inlineStr">
        <is>
          <t>SIGVA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>
        <is>
          <t>AP</t>
        </is>
      </c>
    </row>
    <row r="32">
      <c r="A32" s="4" t="inlineStr">
        <is>
          <t>03661665</t>
        </is>
      </c>
      <c r="B32" s="4" t="inlineStr">
        <is>
          <t>MUESTREO M. AGUAS SUPERF (FOTOMETRO)</t>
        </is>
      </c>
      <c r="C32" s="4" t="inlineStr">
        <is>
          <t>PISCINA  DIQUE HUINQUINTIPA</t>
        </is>
      </c>
      <c r="D32" s="4" t="inlineStr">
        <is>
          <t>2026-04-02</t>
        </is>
      </c>
      <c r="E32" s="4" t="inlineStr">
        <is>
          <t>2026-04-08</t>
        </is>
      </c>
      <c r="F32" s="4" t="inlineStr">
        <is>
          <t>SIGVA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>
        <is>
          <t>FOTOMETRO</t>
        </is>
      </c>
    </row>
    <row r="33">
      <c r="A33" s="4" t="inlineStr">
        <is>
          <t>03661838</t>
        </is>
      </c>
      <c r="B33" s="4" t="inlineStr">
        <is>
          <t>OP DE ESTACIONES CONTINUAS</t>
        </is>
      </c>
      <c r="C33" s="4" t="inlineStr">
        <is>
          <t>Ujina</t>
        </is>
      </c>
      <c r="D33" s="4" t="inlineStr">
        <is>
          <t>2026-04-02</t>
        </is>
      </c>
      <c r="E33" s="4" t="inlineStr">
        <is>
          <t>2026-04-08</t>
        </is>
      </c>
      <c r="F33" s="4" t="inlineStr">
        <is>
          <t>SIGAIR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/>
    </row>
    <row r="34">
      <c r="A34" s="4" t="inlineStr">
        <is>
          <t>03661839</t>
        </is>
      </c>
      <c r="B34" s="4" t="inlineStr">
        <is>
          <t>OPERACIÓN DE ESTACIONES DISCRETAS</t>
        </is>
      </c>
      <c r="C34" s="4" t="inlineStr">
        <is>
          <t>Ujina</t>
        </is>
      </c>
      <c r="D34" s="4" t="inlineStr">
        <is>
          <t>2026-04-02</t>
        </is>
      </c>
      <c r="E34" s="4" t="inlineStr">
        <is>
          <t>2026-04-08</t>
        </is>
      </c>
      <c r="F34" s="4" t="inlineStr">
        <is>
          <t>SIGAIR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/>
    </row>
    <row r="35">
      <c r="A35" s="4" t="inlineStr">
        <is>
          <t>03661840</t>
        </is>
      </c>
      <c r="B35" s="4" t="inlineStr">
        <is>
          <t>OP DE ESTACIONES CONTINUAS</t>
        </is>
      </c>
      <c r="C35" s="4" t="inlineStr">
        <is>
          <t>Coposa Continuo</t>
        </is>
      </c>
      <c r="D35" s="4" t="inlineStr">
        <is>
          <t>2026-04-02</t>
        </is>
      </c>
      <c r="E35" s="4" t="inlineStr">
        <is>
          <t>2026-04-08</t>
        </is>
      </c>
      <c r="F35" s="4" t="inlineStr">
        <is>
          <t>SIGAIR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/>
    </row>
    <row r="36">
      <c r="A36" s="4" t="inlineStr">
        <is>
          <t>03661841</t>
        </is>
      </c>
      <c r="B36" s="4" t="inlineStr">
        <is>
          <t>OPERACIÓN DE ESTACIONES DISCRETAS</t>
        </is>
      </c>
      <c r="C36" s="4" t="inlineStr">
        <is>
          <t>Coposa EMRP Discreto</t>
        </is>
      </c>
      <c r="D36" s="4" t="inlineStr">
        <is>
          <t>2026-04-02</t>
        </is>
      </c>
      <c r="E36" s="4" t="inlineStr">
        <is>
          <t>2026-04-08</t>
        </is>
      </c>
      <c r="F36" s="4" t="inlineStr">
        <is>
          <t>SIGAIR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/>
    </row>
    <row r="37">
      <c r="A37" s="4" t="inlineStr">
        <is>
          <t>03661842</t>
        </is>
      </c>
      <c r="B37" s="4" t="inlineStr">
        <is>
          <t>OP DE ESTACIONES CONTINUAS</t>
        </is>
      </c>
      <c r="C37" s="4" t="inlineStr">
        <is>
          <t>Casino 460</t>
        </is>
      </c>
      <c r="D37" s="4" t="inlineStr">
        <is>
          <t>2026-04-02</t>
        </is>
      </c>
      <c r="E37" s="4" t="inlineStr">
        <is>
          <t>2026-04-08</t>
        </is>
      </c>
      <c r="F37" s="4" t="inlineStr">
        <is>
          <t>SIGAIR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/>
    </row>
    <row r="38">
      <c r="A38" s="4" t="inlineStr">
        <is>
          <t>03670028</t>
        </is>
      </c>
      <c r="B38" s="4" t="inlineStr">
        <is>
          <t>GESTION DE RESIDUOS</t>
        </is>
      </c>
      <c r="C38" s="4" t="inlineStr">
        <is>
          <t>BODEGA SIGA-B02</t>
        </is>
      </c>
      <c r="D38" s="4" t="inlineStr">
        <is>
          <t>2026-04-02</t>
        </is>
      </c>
      <c r="E38" s="4" t="inlineStr">
        <is>
          <t>2026-04-08</t>
        </is>
      </c>
      <c r="F38" s="4" t="inlineStr">
        <is>
          <t>SIGAIR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/>
    </row>
    <row r="39">
      <c r="A39" s="4" t="inlineStr">
        <is>
          <t>03670029</t>
        </is>
      </c>
      <c r="B39" s="4" t="inlineStr">
        <is>
          <t>HOUSEKEEPING</t>
        </is>
      </c>
      <c r="C39" s="4" t="inlineStr"/>
      <c r="D39" s="4" t="inlineStr">
        <is>
          <t>2026-04-02</t>
        </is>
      </c>
      <c r="E39" s="4" t="inlineStr">
        <is>
          <t>2026-04-08</t>
        </is>
      </c>
      <c r="F39" s="4" t="inlineStr">
        <is>
          <t>SIGADM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/>
    </row>
    <row r="40">
      <c r="A40" s="4" t="inlineStr">
        <is>
          <t>03670030</t>
        </is>
      </c>
      <c r="B40" s="4" t="inlineStr">
        <is>
          <t>MM. AGUAS  SUPERF. (FOTOMETRO)</t>
        </is>
      </c>
      <c r="C40" s="4" t="inlineStr">
        <is>
          <t>PISCINA DIQUE SAN DANIEL</t>
        </is>
      </c>
      <c r="D40" s="4" t="inlineStr">
        <is>
          <t>2026-04-02</t>
        </is>
      </c>
      <c r="E40" s="4" t="inlineStr">
        <is>
          <t>2026-04-08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FOTOMETRO</t>
        </is>
      </c>
    </row>
  </sheetData>
  <autoFilter ref="A1:L1"/>
  <conditionalFormatting sqref="I2:I40">
    <cfRule type="expression" priority="1" dxfId="0">
      <formula>AND(I2&lt;&gt;"", LEN(I2)&gt;50)</formula>
    </cfRule>
  </conditionalFormatting>
  <dataValidations count="1">
    <dataValidation sqref="I1:I40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2026-04-02T11:38:32Z</dcterms:created>
  <dcterms:modified xsi:type="dcterms:W3CDTF">2026-04-03T20:47:45Z</dcterms:modified>
</cp:coreProperties>
</file>